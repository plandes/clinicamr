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unal plots" sheetId="1" state="visible" r:id="rId1"/>
    <sheet xmlns:r="http://schemas.openxmlformats.org/officeDocument/2006/relationships" name="adam plots" sheetId="2" state="visible" r:id="rId2"/>
    <sheet xmlns:r="http://schemas.openxmlformats.org/officeDocument/2006/relationships" name="paul plot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78"/>
  <sheetViews>
    <sheetView workbookViewId="0">
      <selection activeCell="A1" sqref="A1"/>
    </sheetView>
  </sheetViews>
  <sheetFormatPr baseColWidth="8" defaultRowHeight="15"/>
  <sheetData>
    <row r="1">
      <c r="A1" s="1" t="inlineStr">
        <is>
          <t>id</t>
        </is>
      </c>
      <c r="B1" s="1" t="inlineStr">
        <is>
          <t>how_correct</t>
        </is>
      </c>
      <c r="C1" s="1" t="inlineStr">
        <is>
          <t>issues</t>
        </is>
      </c>
      <c r="D1" s="1" t="inlineStr">
        <is>
          <t>file</t>
        </is>
      </c>
      <c r="E1" s="1" t="inlineStr">
        <is>
          <t>hadm_id</t>
        </is>
      </c>
      <c r="F1" s="1" t="inlineStr">
        <is>
          <t>note_id</t>
        </is>
      </c>
      <c r="G1" s="1" t="inlineStr">
        <is>
          <t>category</t>
        </is>
      </c>
      <c r="H1" s="1" t="inlineStr">
        <is>
          <t>section</t>
        </is>
      </c>
      <c r="I1" s="1" t="inlineStr">
        <is>
          <t>sent</t>
        </is>
      </c>
    </row>
    <row r="2">
      <c r="A2" t="inlineStr">
        <is>
          <t>532406-chief-complaint-0-0</t>
        </is>
      </c>
      <c r="B2" t="inlineStr"/>
      <c r="C2" t="inlineStr"/>
      <c r="D2">
        <f>HYPERLINK("http://nlpdeep.cs.uic.edu:8080/proofing/t5/532406-chief-complaint-0-0.pdf","t5/532406-chief-complaint-0-0.pdf")</f>
        <v/>
      </c>
      <c r="E2" t="n">
        <v>119960</v>
      </c>
      <c r="F2" t="n">
        <v>532406</v>
      </c>
      <c r="G2" t="inlineStr">
        <is>
          <t>Physician</t>
        </is>
      </c>
      <c r="H2" t="inlineStr">
        <is>
          <t>chief-complaint</t>
        </is>
      </c>
      <c r="I2" t="inlineStr">
        <is>
          <t>hypotension, h</t>
        </is>
      </c>
    </row>
    <row r="3">
      <c r="A3" t="inlineStr">
        <is>
          <t>532406-chief-complaint-0-0</t>
        </is>
      </c>
      <c r="B3" t="inlineStr"/>
      <c r="C3" t="inlineStr"/>
      <c r="D3">
        <f>HYPERLINK("http://nlpdeep.cs.uic.edu:8080/proofing/gsii/532406-chief-complaint-0-0.pdf","gsii/532406-chief-complaint-0-0.pdf")</f>
        <v/>
      </c>
      <c r="E3" t="n">
        <v>119960</v>
      </c>
      <c r="F3" t="n">
        <v>532406</v>
      </c>
      <c r="G3" t="inlineStr">
        <is>
          <t>Physician</t>
        </is>
      </c>
      <c r="H3" t="inlineStr">
        <is>
          <t>chief-complaint</t>
        </is>
      </c>
      <c r="I3" t="inlineStr">
        <is>
          <t>hypotension, h</t>
        </is>
      </c>
    </row>
    <row r="4">
      <c r="A4" t="inlineStr">
        <is>
          <t>532406-history-of-present-illness-0-0</t>
        </is>
      </c>
      <c r="B4" t="inlineStr"/>
      <c r="C4" t="inlineStr"/>
      <c r="D4">
        <f>HYPERLINK("http://nlpdeep.cs.uic.edu:8080/proofing/t5/532406-history-of-present-illness-0-0.pdf","t5/532406-history-of-present-illness-0-0.pdf")</f>
        <v/>
      </c>
      <c r="E4" t="n">
        <v>119960</v>
      </c>
      <c r="F4" t="n">
        <v>532406</v>
      </c>
      <c r="G4" t="inlineStr">
        <is>
          <t>Physician</t>
        </is>
      </c>
      <c r="H4" t="inlineStr">
        <is>
          <t>history-of-present-illness</t>
        </is>
      </c>
      <c r="I4" t="inlineStr">
        <is>
          <t>Mr. [**Known lastname 14060**] is an 87 yo male with a history of diastolic CHF (EF 65%
   1/10), AFib not on coumadin, mild AS, stage IV CKD, and HTN, who
   presented from acute rehab after falling at his nursing home.</t>
        </is>
      </c>
    </row>
    <row r="5">
      <c r="A5" t="inlineStr">
        <is>
          <t>532406-history-of-present-illness-0-0</t>
        </is>
      </c>
      <c r="B5" t="inlineStr"/>
      <c r="C5" t="inlineStr"/>
      <c r="D5">
        <f>HYPERLINK("http://nlpdeep.cs.uic.edu:8080/proofing/gsii/532406-history-of-present-illness-0-0.pdf","gsii/532406-history-of-present-illness-0-0.pdf")</f>
        <v/>
      </c>
      <c r="E5" t="n">
        <v>119960</v>
      </c>
      <c r="F5" t="n">
        <v>532406</v>
      </c>
      <c r="G5" t="inlineStr">
        <is>
          <t>Physician</t>
        </is>
      </c>
      <c r="H5" t="inlineStr">
        <is>
          <t>history-of-present-illness</t>
        </is>
      </c>
      <c r="I5" t="inlineStr">
        <is>
          <t>Mr. [**Known lastname 14060**] is an 87 yo male with a history of diastolic CHF (EF 65%
   1/10), AFib not on coumadin, mild AS, stage IV CKD, and HTN, who
   presented from acute rehab after falling at his nursing home.</t>
        </is>
      </c>
    </row>
    <row r="6">
      <c r="A6" t="inlineStr">
        <is>
          <t>532406-history-of-present-illness-0-1</t>
        </is>
      </c>
      <c r="B6" t="inlineStr"/>
      <c r="C6" t="inlineStr"/>
      <c r="D6">
        <f>HYPERLINK("http://nlpdeep.cs.uic.edu:8080/proofing/t5/532406-history-of-present-illness-0-1.pdf","t5/532406-history-of-present-illness-0-1.pdf")</f>
        <v/>
      </c>
      <c r="E6" t="n">
        <v>119960</v>
      </c>
      <c r="F6" t="n">
        <v>532406</v>
      </c>
      <c r="G6" t="inlineStr">
        <is>
          <t>Physician</t>
        </is>
      </c>
      <c r="H6" t="inlineStr">
        <is>
          <t>history-of-present-illness</t>
        </is>
      </c>
      <c r="I6" t="inlineStr">
        <is>
          <t xml:space="preserve">
   Yesterday he had been feeling well, walking with PT (using a walker)
   and feeling well.</t>
        </is>
      </c>
    </row>
    <row r="7">
      <c r="A7" t="inlineStr">
        <is>
          <t>532406-history-of-present-illness-0-1</t>
        </is>
      </c>
      <c r="B7" t="inlineStr"/>
      <c r="C7" t="inlineStr"/>
      <c r="D7">
        <f>HYPERLINK("http://nlpdeep.cs.uic.edu:8080/proofing/gsii/532406-history-of-present-illness-0-1.pdf","gsii/532406-history-of-present-illness-0-1.pdf")</f>
        <v/>
      </c>
      <c r="E7" t="n">
        <v>119960</v>
      </c>
      <c r="F7" t="n">
        <v>532406</v>
      </c>
      <c r="G7" t="inlineStr">
        <is>
          <t>Physician</t>
        </is>
      </c>
      <c r="H7" t="inlineStr">
        <is>
          <t>history-of-present-illness</t>
        </is>
      </c>
      <c r="I7" t="inlineStr">
        <is>
          <t xml:space="preserve">
   Yesterday he had been feeling well, walking with PT (using a walker)
   and feeling well.</t>
        </is>
      </c>
    </row>
    <row r="8">
      <c r="A8" t="inlineStr">
        <is>
          <t>532406-history-of-present-illness-0-2</t>
        </is>
      </c>
      <c r="B8" t="inlineStr"/>
      <c r="C8" t="inlineStr"/>
      <c r="D8">
        <f>HYPERLINK("http://nlpdeep.cs.uic.edu:8080/proofing/t5/532406-history-of-present-illness-0-2.pdf","t5/532406-history-of-present-illness-0-2.pdf")</f>
        <v/>
      </c>
      <c r="E8" t="n">
        <v>119960</v>
      </c>
      <c r="F8" t="n">
        <v>532406</v>
      </c>
      <c r="G8" t="inlineStr">
        <is>
          <t>Physician</t>
        </is>
      </c>
      <c r="H8" t="inlineStr">
        <is>
          <t>history-of-present-illness</t>
        </is>
      </c>
      <c r="I8" t="inlineStr">
        <is>
          <t>Today he was reaching onto a shelf for batteries when
   he turned too quickly and twisted his left foot under him, falling on
   his left side and left arm.</t>
        </is>
      </c>
    </row>
    <row r="9">
      <c r="A9" t="inlineStr">
        <is>
          <t>532406-history-of-present-illness-0-2</t>
        </is>
      </c>
      <c r="B9" t="inlineStr"/>
      <c r="C9" t="inlineStr"/>
      <c r="D9">
        <f>HYPERLINK("http://nlpdeep.cs.uic.edu:8080/proofing/gsii/532406-history-of-present-illness-0-2.pdf","gsii/532406-history-of-present-illness-0-2.pdf")</f>
        <v/>
      </c>
      <c r="E9" t="n">
        <v>119960</v>
      </c>
      <c r="F9" t="n">
        <v>532406</v>
      </c>
      <c r="G9" t="inlineStr">
        <is>
          <t>Physician</t>
        </is>
      </c>
      <c r="H9" t="inlineStr">
        <is>
          <t>history-of-present-illness</t>
        </is>
      </c>
      <c r="I9" t="inlineStr">
        <is>
          <t>Today he was reaching onto a shelf for batteries when
   he turned too quickly and twisted his left foot under him, falling on
   his left side and left arm.</t>
        </is>
      </c>
    </row>
    <row r="10">
      <c r="A10" t="inlineStr">
        <is>
          <t>532406-history-of-present-illness-0-3</t>
        </is>
      </c>
      <c r="B10" t="inlineStr"/>
      <c r="C10" t="inlineStr"/>
      <c r="D10">
        <f>HYPERLINK("http://nlpdeep.cs.uic.edu:8080/proofing/t5/532406-history-of-present-illness-0-3.pdf","t5/532406-history-of-present-illness-0-3.pdf")</f>
        <v/>
      </c>
      <c r="E10" t="n">
        <v>119960</v>
      </c>
      <c r="F10" t="n">
        <v>532406</v>
      </c>
      <c r="G10" t="inlineStr">
        <is>
          <t>Physician</t>
        </is>
      </c>
      <c r="H10" t="inlineStr">
        <is>
          <t>history-of-present-illness</t>
        </is>
      </c>
      <c r="I10" t="inlineStr">
        <is>
          <t>He was sent from rehab to the ED.</t>
        </is>
      </c>
    </row>
    <row r="11">
      <c r="A11" t="inlineStr">
        <is>
          <t>532406-history-of-present-illness-0-3</t>
        </is>
      </c>
      <c r="B11" t="inlineStr"/>
      <c r="C11" t="inlineStr"/>
      <c r="D11">
        <f>HYPERLINK("http://nlpdeep.cs.uic.edu:8080/proofing/gsii/532406-history-of-present-illness-0-3.pdf","gsii/532406-history-of-present-illness-0-3.pdf")</f>
        <v/>
      </c>
      <c r="E11" t="n">
        <v>119960</v>
      </c>
      <c r="F11" t="n">
        <v>532406</v>
      </c>
      <c r="G11" t="inlineStr">
        <is>
          <t>Physician</t>
        </is>
      </c>
      <c r="H11" t="inlineStr">
        <is>
          <t>history-of-present-illness</t>
        </is>
      </c>
      <c r="I11" t="inlineStr">
        <is>
          <t>He was sent from rehab to the ED.</t>
        </is>
      </c>
    </row>
    <row r="12">
      <c r="A12" t="inlineStr">
        <is>
          <t>532406-history-of-present-illness-0-4</t>
        </is>
      </c>
      <c r="B12" t="inlineStr"/>
      <c r="C12" t="inlineStr"/>
      <c r="D12">
        <f>HYPERLINK("http://nlpdeep.cs.uic.edu:8080/proofing/t5/532406-history-of-present-illness-0-4.pdf","t5/532406-history-of-present-illness-0-4.pdf")</f>
        <v/>
      </c>
      <c r="E12" t="n">
        <v>119960</v>
      </c>
      <c r="F12" t="n">
        <v>532406</v>
      </c>
      <c r="G12" t="inlineStr">
        <is>
          <t>Physician</t>
        </is>
      </c>
      <c r="H12" t="inlineStr">
        <is>
          <t>history-of-present-illness</t>
        </is>
      </c>
      <c r="I12" t="inlineStr">
        <is>
          <t xml:space="preserve"> On exam,
   his hip was externally rotated and shortened.</t>
        </is>
      </c>
    </row>
    <row r="13">
      <c r="A13" t="inlineStr">
        <is>
          <t>532406-history-of-present-illness-0-4</t>
        </is>
      </c>
      <c r="B13" t="inlineStr"/>
      <c r="C13" t="inlineStr"/>
      <c r="D13">
        <f>HYPERLINK("http://nlpdeep.cs.uic.edu:8080/proofing/gsii/532406-history-of-present-illness-0-4.pdf","gsii/532406-history-of-present-illness-0-4.pdf")</f>
        <v/>
      </c>
      <c r="E13" t="n">
        <v>119960</v>
      </c>
      <c r="F13" t="n">
        <v>532406</v>
      </c>
      <c r="G13" t="inlineStr">
        <is>
          <t>Physician</t>
        </is>
      </c>
      <c r="H13" t="inlineStr">
        <is>
          <t>history-of-present-illness</t>
        </is>
      </c>
      <c r="I13" t="inlineStr">
        <is>
          <t xml:space="preserve"> On exam,
   his hip was externally rotated and shortened.</t>
        </is>
      </c>
    </row>
    <row r="14">
      <c r="A14" t="inlineStr">
        <is>
          <t>532406-history-of-present-illness-0-5</t>
        </is>
      </c>
      <c r="B14" t="inlineStr"/>
      <c r="C14" t="inlineStr"/>
      <c r="D14">
        <f>HYPERLINK("http://nlpdeep.cs.uic.edu:8080/proofing/t5/532406-history-of-present-illness-0-5.pdf","t5/532406-history-of-present-illness-0-5.pdf")</f>
        <v/>
      </c>
      <c r="E14" t="n">
        <v>119960</v>
      </c>
      <c r="F14" t="n">
        <v>532406</v>
      </c>
      <c r="G14" t="inlineStr">
        <is>
          <t>Physician</t>
        </is>
      </c>
      <c r="H14" t="inlineStr">
        <is>
          <t>history-of-present-illness</t>
        </is>
      </c>
      <c r="I14" t="inlineStr">
        <is>
          <t xml:space="preserve"> He had no other
   complaints and denied loss of consciousness or hitting his head on the
   fall.</t>
        </is>
      </c>
    </row>
    <row r="15">
      <c r="A15" t="inlineStr">
        <is>
          <t>532406-history-of-present-illness-0-5</t>
        </is>
      </c>
      <c r="B15" t="inlineStr"/>
      <c r="C15" t="inlineStr"/>
      <c r="D15">
        <f>HYPERLINK("http://nlpdeep.cs.uic.edu:8080/proofing/gsii/532406-history-of-present-illness-0-5.pdf","gsii/532406-history-of-present-illness-0-5.pdf")</f>
        <v/>
      </c>
      <c r="E15" t="n">
        <v>119960</v>
      </c>
      <c r="F15" t="n">
        <v>532406</v>
      </c>
      <c r="G15" t="inlineStr">
        <is>
          <t>Physician</t>
        </is>
      </c>
      <c r="H15" t="inlineStr">
        <is>
          <t>history-of-present-illness</t>
        </is>
      </c>
      <c r="I15" t="inlineStr">
        <is>
          <t xml:space="preserve"> He had no other
   complaints and denied loss of consciousness or hitting his head on the
   fall.</t>
        </is>
      </c>
    </row>
    <row r="16">
      <c r="A16" t="inlineStr">
        <is>
          <t>532406-history-of-present-illness-0-6</t>
        </is>
      </c>
      <c r="B16" t="inlineStr"/>
      <c r="C16" t="inlineStr"/>
      <c r="D16">
        <f>HYPERLINK("http://nlpdeep.cs.uic.edu:8080/proofing/t5/532406-history-of-present-illness-0-6.pdf","t5/532406-history-of-present-illness-0-6.pdf")</f>
        <v/>
      </c>
      <c r="E16" t="n">
        <v>119960</v>
      </c>
      <c r="F16" t="n">
        <v>532406</v>
      </c>
      <c r="G16" t="inlineStr">
        <is>
          <t>Physician</t>
        </is>
      </c>
      <c r="H16" t="inlineStr">
        <is>
          <t>history-of-present-illness</t>
        </is>
      </c>
      <c r="I16" t="inlineStr">
        <is>
          <t xml:space="preserve"> Hct was 29.6 at rehab, Na 142, K 4.0, BUN 51, Creat 2.1, WBC
   6.8, Plt 215.</t>
        </is>
      </c>
    </row>
    <row r="17">
      <c r="A17" t="inlineStr">
        <is>
          <t>532406-history-of-present-illness-0-6</t>
        </is>
      </c>
      <c r="B17" t="inlineStr"/>
      <c r="C17" t="inlineStr"/>
      <c r="D17">
        <f>HYPERLINK("http://nlpdeep.cs.uic.edu:8080/proofing/gsii/532406-history-of-present-illness-0-6.pdf","gsii/532406-history-of-present-illness-0-6.pdf")</f>
        <v/>
      </c>
      <c r="E17" t="n">
        <v>119960</v>
      </c>
      <c r="F17" t="n">
        <v>532406</v>
      </c>
      <c r="G17" t="inlineStr">
        <is>
          <t>Physician</t>
        </is>
      </c>
      <c r="H17" t="inlineStr">
        <is>
          <t>history-of-present-illness</t>
        </is>
      </c>
      <c r="I17" t="inlineStr">
        <is>
          <t xml:space="preserve"> Hct was 29.6 at rehab, Na 142, K 4.0, BUN 51, Creat 2.1, WBC
   6.8, Plt 215.</t>
        </is>
      </c>
    </row>
    <row r="18">
      <c r="A18" t="inlineStr">
        <is>
          <t>532406-history-of-present-illness-1-0</t>
        </is>
      </c>
      <c r="B18" t="inlineStr"/>
      <c r="C18" t="inlineStr"/>
      <c r="D18">
        <f>HYPERLINK("http://nlpdeep.cs.uic.edu:8080/proofing/t5/532406-history-of-present-illness-1-0.pdf","t5/532406-history-of-present-illness-1-0.pdf")</f>
        <v/>
      </c>
      <c r="E18" t="n">
        <v>119960</v>
      </c>
      <c r="F18" t="n">
        <v>532406</v>
      </c>
      <c r="G18" t="inlineStr">
        <is>
          <t>Physician</t>
        </is>
      </c>
      <c r="H18" t="inlineStr">
        <is>
          <t>history-of-present-illness</t>
        </is>
      </c>
      <c r="I18" t="inlineStr">
        <is>
          <t xml:space="preserve">
   In the ED, triage vs were: T 96.3 P 60 BP 107/62 R 16 O2 sat 96% on RA,
   but he was then found to have systolic BP of 83-90s on exam.</t>
        </is>
      </c>
    </row>
    <row r="19">
      <c r="A19" t="inlineStr">
        <is>
          <t>532406-history-of-present-illness-1-0</t>
        </is>
      </c>
      <c r="B19" t="inlineStr"/>
      <c r="C19" t="inlineStr"/>
      <c r="D19">
        <f>HYPERLINK("http://nlpdeep.cs.uic.edu:8080/proofing/gsii/532406-history-of-present-illness-1-0.pdf","gsii/532406-history-of-present-illness-1-0.pdf")</f>
        <v/>
      </c>
      <c r="E19" t="n">
        <v>119960</v>
      </c>
      <c r="F19" t="n">
        <v>532406</v>
      </c>
      <c r="G19" t="inlineStr">
        <is>
          <t>Physician</t>
        </is>
      </c>
      <c r="H19" t="inlineStr">
        <is>
          <t>history-of-present-illness</t>
        </is>
      </c>
      <c r="I19" t="inlineStr">
        <is>
          <t xml:space="preserve">
   In the ED, triage vs were: T 96.3 P 60 BP 107/62 R 16 O2 sat 96% on RA,
   but he was then found to have systolic BP of 83-90s on exam.</t>
        </is>
      </c>
    </row>
    <row r="20">
      <c r="A20" t="inlineStr">
        <is>
          <t>532406-history-of-present-illness-1-1</t>
        </is>
      </c>
      <c r="B20" t="inlineStr"/>
      <c r="C20" t="inlineStr"/>
      <c r="D20">
        <f>HYPERLINK("http://nlpdeep.cs.uic.edu:8080/proofing/t5/532406-history-of-present-illness-1-1.pdf","t5/532406-history-of-present-illness-1-1.pdf")</f>
        <v/>
      </c>
      <c r="E20" t="n">
        <v>119960</v>
      </c>
      <c r="F20" t="n">
        <v>532406</v>
      </c>
      <c r="G20" t="inlineStr">
        <is>
          <t>Physician</t>
        </is>
      </c>
      <c r="H20" t="inlineStr">
        <is>
          <t>history-of-present-illness</t>
        </is>
      </c>
      <c r="I20" t="inlineStr">
        <is>
          <t>He had
   good peripheral pulses.</t>
        </is>
      </c>
    </row>
    <row r="21">
      <c r="A21" t="inlineStr">
        <is>
          <t>532406-history-of-present-illness-1-1</t>
        </is>
      </c>
      <c r="B21" t="inlineStr"/>
      <c r="C21" t="inlineStr"/>
      <c r="D21">
        <f>HYPERLINK("http://nlpdeep.cs.uic.edu:8080/proofing/gsii/532406-history-of-present-illness-1-1.pdf","gsii/532406-history-of-present-illness-1-1.pdf")</f>
        <v/>
      </c>
      <c r="E21" t="n">
        <v>119960</v>
      </c>
      <c r="F21" t="n">
        <v>532406</v>
      </c>
      <c r="G21" t="inlineStr">
        <is>
          <t>Physician</t>
        </is>
      </c>
      <c r="H21" t="inlineStr">
        <is>
          <t>history-of-present-illness</t>
        </is>
      </c>
      <c r="I21" t="inlineStr">
        <is>
          <t>He had
   good peripheral pulses.</t>
        </is>
      </c>
    </row>
    <row r="22">
      <c r="A22" t="inlineStr">
        <is>
          <t>532406-history-of-present-illness-1-2</t>
        </is>
      </c>
      <c r="B22" t="inlineStr"/>
      <c r="C22" t="inlineStr"/>
      <c r="D22">
        <f>HYPERLINK("http://nlpdeep.cs.uic.edu:8080/proofing/t5/532406-history-of-present-illness-1-2.pdf","t5/532406-history-of-present-illness-1-2.pdf")</f>
        <v/>
      </c>
      <c r="E22" t="n">
        <v>119960</v>
      </c>
      <c r="F22" t="n">
        <v>532406</v>
      </c>
      <c r="G22" t="inlineStr">
        <is>
          <t>Physician</t>
        </is>
      </c>
      <c r="H22" t="inlineStr">
        <is>
          <t>history-of-present-illness</t>
        </is>
      </c>
      <c r="I22" t="inlineStr">
        <is>
          <t xml:space="preserve"> He was evaluated for trauma and plain films of
   the left hip and femur were completed, showing multiple comminuted
   fractures for which the patient would need a THR.</t>
        </is>
      </c>
    </row>
    <row r="23">
      <c r="A23" t="inlineStr">
        <is>
          <t>532406-history-of-present-illness-1-2</t>
        </is>
      </c>
      <c r="B23" t="inlineStr"/>
      <c r="C23" t="inlineStr"/>
      <c r="D23">
        <f>HYPERLINK("http://nlpdeep.cs.uic.edu:8080/proofing/gsii/532406-history-of-present-illness-1-2.pdf","gsii/532406-history-of-present-illness-1-2.pdf")</f>
        <v/>
      </c>
      <c r="E23" t="n">
        <v>119960</v>
      </c>
      <c r="F23" t="n">
        <v>532406</v>
      </c>
      <c r="G23" t="inlineStr">
        <is>
          <t>Physician</t>
        </is>
      </c>
      <c r="H23" t="inlineStr">
        <is>
          <t>history-of-present-illness</t>
        </is>
      </c>
      <c r="I23" t="inlineStr">
        <is>
          <t xml:space="preserve"> He was evaluated for trauma and plain films of
   the left hip and femur were completed, showing multiple comminuted
   fractures for which the patient would need a THR.</t>
        </is>
      </c>
    </row>
    <row r="24">
      <c r="A24" t="inlineStr">
        <is>
          <t>532406-history-of-present-illness-1-3</t>
        </is>
      </c>
      <c r="B24" t="inlineStr"/>
      <c r="C24" t="inlineStr"/>
      <c r="D24">
        <f>HYPERLINK("http://nlpdeep.cs.uic.edu:8080/proofing/t5/532406-history-of-present-illness-1-3.pdf","t5/532406-history-of-present-illness-1-3.pdf")</f>
        <v/>
      </c>
      <c r="E24" t="n">
        <v>119960</v>
      </c>
      <c r="F24" t="n">
        <v>532406</v>
      </c>
      <c r="G24" t="inlineStr">
        <is>
          <t>Physician</t>
        </is>
      </c>
      <c r="H24" t="inlineStr">
        <is>
          <t>history-of-present-illness</t>
        </is>
      </c>
      <c r="I24" t="inlineStr">
        <is>
          <t xml:space="preserve"> CT C-spine showed no
   fracture or malalignment, and moderate multilevel degenerative change
   on preliminary read.</t>
        </is>
      </c>
    </row>
    <row r="25">
      <c r="A25" t="inlineStr">
        <is>
          <t>532406-history-of-present-illness-1-3</t>
        </is>
      </c>
      <c r="B25" t="inlineStr"/>
      <c r="C25" t="inlineStr"/>
      <c r="D25">
        <f>HYPERLINK("http://nlpdeep.cs.uic.edu:8080/proofing/gsii/532406-history-of-present-illness-1-3.pdf","gsii/532406-history-of-present-illness-1-3.pdf")</f>
        <v/>
      </c>
      <c r="E25" t="n">
        <v>119960</v>
      </c>
      <c r="F25" t="n">
        <v>532406</v>
      </c>
      <c r="G25" t="inlineStr">
        <is>
          <t>Physician</t>
        </is>
      </c>
      <c r="H25" t="inlineStr">
        <is>
          <t>history-of-present-illness</t>
        </is>
      </c>
      <c r="I25" t="inlineStr">
        <is>
          <t xml:space="preserve"> CT C-spine showed no
   fracture or malalignment, and moderate multilevel degenerative change
   on preliminary read.</t>
        </is>
      </c>
    </row>
    <row r="26">
      <c r="A26" t="inlineStr">
        <is>
          <t>532406-history-of-present-illness-1-4</t>
        </is>
      </c>
      <c r="B26" t="inlineStr"/>
      <c r="C26" t="inlineStr"/>
      <c r="D26">
        <f>HYPERLINK("http://nlpdeep.cs.uic.edu:8080/proofing/t5/532406-history-of-present-illness-1-4.pdf","t5/532406-history-of-present-illness-1-4.pdf")</f>
        <v/>
      </c>
      <c r="E26" t="n">
        <v>119960</v>
      </c>
      <c r="F26" t="n">
        <v>532406</v>
      </c>
      <c r="G26" t="inlineStr">
        <is>
          <t>Physician</t>
        </is>
      </c>
      <c r="H26" t="inlineStr">
        <is>
          <t>history-of-present-illness</t>
        </is>
      </c>
      <c r="I26" t="inlineStr">
        <is>
          <t>CT head without contrast showed no fracture or
   hemorrhage (preliminary read).</t>
        </is>
      </c>
    </row>
    <row r="27">
      <c r="A27" t="inlineStr">
        <is>
          <t>532406-history-of-present-illness-1-4</t>
        </is>
      </c>
      <c r="B27" t="inlineStr"/>
      <c r="C27" t="inlineStr"/>
      <c r="D27">
        <f>HYPERLINK("http://nlpdeep.cs.uic.edu:8080/proofing/gsii/532406-history-of-present-illness-1-4.pdf","gsii/532406-history-of-present-illness-1-4.pdf")</f>
        <v/>
      </c>
      <c r="E27" t="n">
        <v>119960</v>
      </c>
      <c r="F27" t="n">
        <v>532406</v>
      </c>
      <c r="G27" t="inlineStr">
        <is>
          <t>Physician</t>
        </is>
      </c>
      <c r="H27" t="inlineStr">
        <is>
          <t>history-of-present-illness</t>
        </is>
      </c>
      <c r="I27" t="inlineStr">
        <is>
          <t>CT head without contrast showed no fracture or
   hemorrhage (preliminary read).</t>
        </is>
      </c>
    </row>
    <row r="28">
      <c r="A28" t="inlineStr">
        <is>
          <t>532406-history-of-present-illness-2-0</t>
        </is>
      </c>
      <c r="B28" t="inlineStr"/>
      <c r="C28" t="inlineStr"/>
      <c r="D28">
        <f>HYPERLINK("http://nlpdeep.cs.uic.edu:8080/proofing/t5/532406-history-of-present-illness-2-0.pdf","t5/532406-history-of-present-illness-2-0.pdf")</f>
        <v/>
      </c>
      <c r="E28" t="n">
        <v>119960</v>
      </c>
      <c r="F28" t="n">
        <v>532406</v>
      </c>
      <c r="G28" t="inlineStr">
        <is>
          <t>Physician</t>
        </is>
      </c>
      <c r="H28" t="inlineStr">
        <is>
          <t>history-of-present-illness</t>
        </is>
      </c>
      <c r="I28" t="inlineStr">
        <is>
          <t xml:space="preserve">
   The patient was given 1L IVF and fentanyl 100 mcg for pain.</t>
        </is>
      </c>
    </row>
    <row r="29">
      <c r="A29" t="inlineStr">
        <is>
          <t>532406-history-of-present-illness-2-0</t>
        </is>
      </c>
      <c r="B29" t="inlineStr"/>
      <c r="C29" t="inlineStr"/>
      <c r="D29">
        <f>HYPERLINK("http://nlpdeep.cs.uic.edu:8080/proofing/gsii/532406-history-of-present-illness-2-0.pdf","gsii/532406-history-of-present-illness-2-0.pdf")</f>
        <v/>
      </c>
      <c r="E29" t="n">
        <v>119960</v>
      </c>
      <c r="F29" t="n">
        <v>532406</v>
      </c>
      <c r="G29" t="inlineStr">
        <is>
          <t>Physician</t>
        </is>
      </c>
      <c r="H29" t="inlineStr">
        <is>
          <t>history-of-present-illness</t>
        </is>
      </c>
      <c r="I29" t="inlineStr">
        <is>
          <t xml:space="preserve">
   The patient was given 1L IVF and fentanyl 100 mcg for pain.</t>
        </is>
      </c>
    </row>
    <row r="30">
      <c r="A30" t="inlineStr">
        <is>
          <t>532406-history-of-present-illness-2-1</t>
        </is>
      </c>
      <c r="B30" t="inlineStr"/>
      <c r="C30" t="inlineStr"/>
      <c r="D30">
        <f>HYPERLINK("http://nlpdeep.cs.uic.edu:8080/proofing/t5/532406-history-of-present-illness-2-1.pdf","t5/532406-history-of-present-illness-2-1.pdf")</f>
        <v/>
      </c>
      <c r="E30" t="n">
        <v>119960</v>
      </c>
      <c r="F30" t="n">
        <v>532406</v>
      </c>
      <c r="G30" t="inlineStr">
        <is>
          <t>Physician</t>
        </is>
      </c>
      <c r="H30" t="inlineStr">
        <is>
          <t>history-of-present-illness</t>
        </is>
      </c>
      <c r="I30" t="inlineStr">
        <is>
          <t>His SBPs
   persisted in the 80s/90s.</t>
        </is>
      </c>
    </row>
    <row r="31">
      <c r="A31" t="inlineStr">
        <is>
          <t>532406-history-of-present-illness-2-1</t>
        </is>
      </c>
      <c r="B31" t="inlineStr"/>
      <c r="C31" t="inlineStr"/>
      <c r="D31">
        <f>HYPERLINK("http://nlpdeep.cs.uic.edu:8080/proofing/gsii/532406-history-of-present-illness-2-1.pdf","gsii/532406-history-of-present-illness-2-1.pdf")</f>
        <v/>
      </c>
      <c r="E31" t="n">
        <v>119960</v>
      </c>
      <c r="F31" t="n">
        <v>532406</v>
      </c>
      <c r="G31" t="inlineStr">
        <is>
          <t>Physician</t>
        </is>
      </c>
      <c r="H31" t="inlineStr">
        <is>
          <t>history-of-present-illness</t>
        </is>
      </c>
      <c r="I31" t="inlineStr">
        <is>
          <t>His SBPs
   persisted in the 80s/90s.</t>
        </is>
      </c>
    </row>
    <row r="32">
      <c r="A32" t="inlineStr">
        <is>
          <t>532406-history-of-present-illness-2-2</t>
        </is>
      </c>
      <c r="B32" t="inlineStr"/>
      <c r="C32" t="inlineStr"/>
      <c r="D32">
        <f>HYPERLINK("http://nlpdeep.cs.uic.edu:8080/proofing/t5/532406-history-of-present-illness-2-2.pdf","t5/532406-history-of-present-illness-2-2.pdf")</f>
        <v/>
      </c>
      <c r="E32" t="n">
        <v>119960</v>
      </c>
      <c r="F32" t="n">
        <v>532406</v>
      </c>
      <c r="G32" t="inlineStr">
        <is>
          <t>Physician</t>
        </is>
      </c>
      <c r="H32" t="inlineStr">
        <is>
          <t>history-of-present-illness</t>
        </is>
      </c>
      <c r="I32" t="inlineStr">
        <is>
          <t>His Hct was found to be 24, down [**4-3**] points.</t>
        </is>
      </c>
    </row>
    <row r="33">
      <c r="A33" t="inlineStr">
        <is>
          <t>532406-history-of-present-illness-2-2</t>
        </is>
      </c>
      <c r="B33" t="inlineStr"/>
      <c r="C33" t="inlineStr"/>
      <c r="D33">
        <f>HYPERLINK("http://nlpdeep.cs.uic.edu:8080/proofing/gsii/532406-history-of-present-illness-2-2.pdf","gsii/532406-history-of-present-illness-2-2.pdf")</f>
        <v/>
      </c>
      <c r="E33" t="n">
        <v>119960</v>
      </c>
      <c r="F33" t="n">
        <v>532406</v>
      </c>
      <c r="G33" t="inlineStr">
        <is>
          <t>Physician</t>
        </is>
      </c>
      <c r="H33" t="inlineStr">
        <is>
          <t>history-of-present-illness</t>
        </is>
      </c>
      <c r="I33" t="inlineStr">
        <is>
          <t>His Hct was found to be 24, down [**4-3**] points.</t>
        </is>
      </c>
    </row>
    <row r="34">
      <c r="A34" t="inlineStr">
        <is>
          <t>532406-history-of-present-illness-2-3</t>
        </is>
      </c>
      <c r="B34" t="inlineStr"/>
      <c r="C34" t="inlineStr"/>
      <c r="D34">
        <f>HYPERLINK("http://nlpdeep.cs.uic.edu:8080/proofing/t5/532406-history-of-present-illness-2-3.pdf","t5/532406-history-of-present-illness-2-3.pdf")</f>
        <v/>
      </c>
      <c r="E34" t="n">
        <v>119960</v>
      </c>
      <c r="F34" t="n">
        <v>532406</v>
      </c>
      <c r="G34" t="inlineStr">
        <is>
          <t>Physician</t>
        </is>
      </c>
      <c r="H34" t="inlineStr">
        <is>
          <t>history-of-present-illness</t>
        </is>
      </c>
      <c r="I34" t="inlineStr">
        <is>
          <t xml:space="preserve">
   CT ab/pelvis was performed in the setting of the Hct drop, showing left
   hip intertrochanteric fracture, a large retroperitoneal mass likely
   from left adrenal gland (non-urgent MR recommended for further
   evaluation), and no retroperitoneal hematoma on preliminary read.</t>
        </is>
      </c>
    </row>
    <row r="35">
      <c r="A35" t="inlineStr">
        <is>
          <t>532406-history-of-present-illness-2-3</t>
        </is>
      </c>
      <c r="B35" t="inlineStr"/>
      <c r="C35" t="inlineStr"/>
      <c r="D35">
        <f>HYPERLINK("http://nlpdeep.cs.uic.edu:8080/proofing/gsii/532406-history-of-present-illness-2-3.pdf","gsii/532406-history-of-present-illness-2-3.pdf")</f>
        <v/>
      </c>
      <c r="E35" t="n">
        <v>119960</v>
      </c>
      <c r="F35" t="n">
        <v>532406</v>
      </c>
      <c r="G35" t="inlineStr">
        <is>
          <t>Physician</t>
        </is>
      </c>
      <c r="H35" t="inlineStr">
        <is>
          <t>history-of-present-illness</t>
        </is>
      </c>
      <c r="I35" t="inlineStr">
        <is>
          <t xml:space="preserve">
   CT ab/pelvis was performed in the setting of the Hct drop, showing left
   hip intertrochanteric fracture, a large retroperitoneal mass likely
   from left adrenal gland (non-urgent MR recommended for further
   evaluation), and no retroperitoneal hematoma on preliminary read.</t>
        </is>
      </c>
    </row>
    <row r="36">
      <c r="A36" t="inlineStr">
        <is>
          <t>532406-history-of-present-illness-2-4</t>
        </is>
      </c>
      <c r="B36" t="inlineStr"/>
      <c r="C36" t="inlineStr"/>
      <c r="D36">
        <f>HYPERLINK("http://nlpdeep.cs.uic.edu:8080/proofing/t5/532406-history-of-present-illness-2-4.pdf","t5/532406-history-of-present-illness-2-4.pdf")</f>
        <v/>
      </c>
      <c r="E36" t="n">
        <v>119960</v>
      </c>
      <c r="F36" t="n">
        <v>532406</v>
      </c>
      <c r="G36" t="inlineStr">
        <is>
          <t>Physician</t>
        </is>
      </c>
      <c r="H36" t="inlineStr">
        <is>
          <t>history-of-present-illness</t>
        </is>
      </c>
      <c r="I36" t="inlineStr">
        <is>
          <t>He
   was found to be guaiac negative.</t>
        </is>
      </c>
    </row>
    <row r="37">
      <c r="A37" t="inlineStr">
        <is>
          <t>532406-history-of-present-illness-2-4</t>
        </is>
      </c>
      <c r="B37" t="inlineStr"/>
      <c r="C37" t="inlineStr"/>
      <c r="D37">
        <f>HYPERLINK("http://nlpdeep.cs.uic.edu:8080/proofing/gsii/532406-history-of-present-illness-2-4.pdf","gsii/532406-history-of-present-illness-2-4.pdf")</f>
        <v/>
      </c>
      <c r="E37" t="n">
        <v>119960</v>
      </c>
      <c r="F37" t="n">
        <v>532406</v>
      </c>
      <c r="G37" t="inlineStr">
        <is>
          <t>Physician</t>
        </is>
      </c>
      <c r="H37" t="inlineStr">
        <is>
          <t>history-of-present-illness</t>
        </is>
      </c>
      <c r="I37" t="inlineStr">
        <is>
          <t>He
   was found to be guaiac negative.</t>
        </is>
      </c>
    </row>
    <row r="38">
      <c r="A38" t="inlineStr">
        <is>
          <t>532406-history-of-present-illness-2-5</t>
        </is>
      </c>
      <c r="B38" t="inlineStr"/>
      <c r="C38" t="inlineStr"/>
      <c r="D38">
        <f>HYPERLINK("http://nlpdeep.cs.uic.edu:8080/proofing/t5/532406-history-of-present-illness-2-5.pdf","t5/532406-history-of-present-illness-2-5.pdf")</f>
        <v/>
      </c>
      <c r="E38" t="n">
        <v>119960</v>
      </c>
      <c r="F38" t="n">
        <v>532406</v>
      </c>
      <c r="G38" t="inlineStr">
        <is>
          <t>Physician</t>
        </is>
      </c>
      <c r="H38" t="inlineStr">
        <is>
          <t>history-of-present-illness</t>
        </is>
      </c>
      <c r="I38" t="inlineStr">
        <is>
          <t>He continued with HR in 60s and
   systolics in 90s, received an additional 1L IVF (and a second liter was
   begun prior to transfer), and was typed and crossed for 2 units pRBC.</t>
        </is>
      </c>
    </row>
    <row r="39">
      <c r="A39" t="inlineStr">
        <is>
          <t>532406-history-of-present-illness-2-5</t>
        </is>
      </c>
      <c r="B39" t="inlineStr"/>
      <c r="C39" t="inlineStr"/>
      <c r="D39">
        <f>HYPERLINK("http://nlpdeep.cs.uic.edu:8080/proofing/gsii/532406-history-of-present-illness-2-5.pdf","gsii/532406-history-of-present-illness-2-5.pdf")</f>
        <v/>
      </c>
      <c r="E39" t="n">
        <v>119960</v>
      </c>
      <c r="F39" t="n">
        <v>532406</v>
      </c>
      <c r="G39" t="inlineStr">
        <is>
          <t>Physician</t>
        </is>
      </c>
      <c r="H39" t="inlineStr">
        <is>
          <t>history-of-present-illness</t>
        </is>
      </c>
      <c r="I39" t="inlineStr">
        <is>
          <t>He continued with HR in 60s and
   systolics in 90s, received an additional 1L IVF (and a second liter was
   begun prior to transfer), and was typed and crossed for 2 units pRBC.</t>
        </is>
      </c>
    </row>
    <row r="40">
      <c r="A40" t="inlineStr">
        <is>
          <t>532406-history-of-present-illness-2-6</t>
        </is>
      </c>
      <c r="B40" t="inlineStr"/>
      <c r="C40" t="inlineStr"/>
      <c r="D40">
        <f>HYPERLINK("http://nlpdeep.cs.uic.edu:8080/proofing/t5/532406-history-of-present-illness-2-6.pdf","t5/532406-history-of-present-illness-2-6.pdf")</f>
        <v/>
      </c>
      <c r="E40" t="n">
        <v>119960</v>
      </c>
      <c r="F40" t="n">
        <v>532406</v>
      </c>
      <c r="G40" t="inlineStr">
        <is>
          <t>Physician</t>
        </is>
      </c>
      <c r="H40" t="inlineStr">
        <is>
          <t>history-of-present-illness</t>
        </is>
      </c>
      <c r="I40" t="inlineStr">
        <is>
          <t xml:space="preserve">
   CXR showed a retrocardiac opacity and he was given levofloxacin 750 mg
   for empiric pneumonia coverage after a single blood culture was drawn.</t>
        </is>
      </c>
    </row>
    <row r="41">
      <c r="A41" t="inlineStr">
        <is>
          <t>532406-history-of-present-illness-2-6</t>
        </is>
      </c>
      <c r="B41" t="inlineStr"/>
      <c r="C41" t="inlineStr"/>
      <c r="D41">
        <f>HYPERLINK("http://nlpdeep.cs.uic.edu:8080/proofing/gsii/532406-history-of-present-illness-2-6.pdf","gsii/532406-history-of-present-illness-2-6.pdf")</f>
        <v/>
      </c>
      <c r="E41" t="n">
        <v>119960</v>
      </c>
      <c r="F41" t="n">
        <v>532406</v>
      </c>
      <c r="G41" t="inlineStr">
        <is>
          <t>Physician</t>
        </is>
      </c>
      <c r="H41" t="inlineStr">
        <is>
          <t>history-of-present-illness</t>
        </is>
      </c>
      <c r="I41" t="inlineStr">
        <is>
          <t xml:space="preserve">
   CXR showed a retrocardiac opacity and he was given levofloxacin 750 mg
   for empiric pneumonia coverage after a single blood culture was drawn.</t>
        </is>
      </c>
    </row>
    <row r="42">
      <c r="A42" t="inlineStr">
        <is>
          <t>532406-history-of-present-illness-2-7</t>
        </is>
      </c>
      <c r="B42" t="inlineStr"/>
      <c r="C42" t="inlineStr"/>
      <c r="D42">
        <f>HYPERLINK("http://nlpdeep.cs.uic.edu:8080/proofing/t5/532406-history-of-present-illness-2-7.pdf","t5/532406-history-of-present-illness-2-7.pdf")</f>
        <v/>
      </c>
      <c r="E42" t="n">
        <v>119960</v>
      </c>
      <c r="F42" t="n">
        <v>532406</v>
      </c>
      <c r="G42" t="inlineStr">
        <is>
          <t>Physician</t>
        </is>
      </c>
      <c r="H42" t="inlineStr">
        <is>
          <t>history-of-present-illness</t>
        </is>
      </c>
      <c r="I42" t="inlineStr">
        <is>
          <t xml:space="preserve">
   A Foley was placed.</t>
        </is>
      </c>
    </row>
    <row r="43">
      <c r="A43" t="inlineStr">
        <is>
          <t>532406-history-of-present-illness-2-7</t>
        </is>
      </c>
      <c r="B43" t="inlineStr"/>
      <c r="C43" t="inlineStr"/>
      <c r="D43">
        <f>HYPERLINK("http://nlpdeep.cs.uic.edu:8080/proofing/gsii/532406-history-of-present-illness-2-7.pdf","gsii/532406-history-of-present-illness-2-7.pdf")</f>
        <v/>
      </c>
      <c r="E43" t="n">
        <v>119960</v>
      </c>
      <c r="F43" t="n">
        <v>532406</v>
      </c>
      <c r="G43" t="inlineStr">
        <is>
          <t>Physician</t>
        </is>
      </c>
      <c r="H43" t="inlineStr">
        <is>
          <t>history-of-present-illness</t>
        </is>
      </c>
      <c r="I43" t="inlineStr">
        <is>
          <t xml:space="preserve">
   A Foley was placed.</t>
        </is>
      </c>
    </row>
    <row r="44">
      <c r="A44" t="inlineStr">
        <is>
          <t>532406-history-of-present-illness-2-8</t>
        </is>
      </c>
      <c r="B44" t="inlineStr"/>
      <c r="C44" t="inlineStr"/>
      <c r="D44">
        <f>HYPERLINK("http://nlpdeep.cs.uic.edu:8080/proofing/t5/532406-history-of-present-illness-2-8.pdf","t5/532406-history-of-present-illness-2-8.pdf")</f>
        <v/>
      </c>
      <c r="E44" t="n">
        <v>119960</v>
      </c>
      <c r="F44" t="n">
        <v>532406</v>
      </c>
      <c r="G44" t="inlineStr">
        <is>
          <t>Physician</t>
        </is>
      </c>
      <c r="H44" t="inlineStr">
        <is>
          <t>history-of-present-illness</t>
        </is>
      </c>
      <c r="I44" t="inlineStr">
        <is>
          <t>Transfer vitals in the ED were HR 64, RR19 100% on
   4L (desatted after NS to low 90s), 88/48.</t>
        </is>
      </c>
    </row>
    <row r="45">
      <c r="A45" t="inlineStr">
        <is>
          <t>532406-history-of-present-illness-2-8</t>
        </is>
      </c>
      <c r="B45" t="inlineStr"/>
      <c r="C45" t="inlineStr"/>
      <c r="D45">
        <f>HYPERLINK("http://nlpdeep.cs.uic.edu:8080/proofing/gsii/532406-history-of-present-illness-2-8.pdf","gsii/532406-history-of-present-illness-2-8.pdf")</f>
        <v/>
      </c>
      <c r="E45" t="n">
        <v>119960</v>
      </c>
      <c r="F45" t="n">
        <v>532406</v>
      </c>
      <c r="G45" t="inlineStr">
        <is>
          <t>Physician</t>
        </is>
      </c>
      <c r="H45" t="inlineStr">
        <is>
          <t>history-of-present-illness</t>
        </is>
      </c>
      <c r="I45" t="inlineStr">
        <is>
          <t>Transfer vitals in the ED were HR 64, RR19 100% on
   4L (desatted after NS to low 90s), 88/48.</t>
        </is>
      </c>
    </row>
    <row r="46">
      <c r="A46" t="inlineStr">
        <is>
          <t>532406-history-of-present-illness-3-0</t>
        </is>
      </c>
      <c r="B46" t="inlineStr"/>
      <c r="C46" t="inlineStr"/>
      <c r="D46">
        <f>HYPERLINK("http://nlpdeep.cs.uic.edu:8080/proofing/t5/532406-history-of-present-illness-3-0.pdf","t5/532406-history-of-present-illness-3-0.pdf")</f>
        <v/>
      </c>
      <c r="E46" t="n">
        <v>119960</v>
      </c>
      <c r="F46" t="n">
        <v>532406</v>
      </c>
      <c r="G46" t="inlineStr">
        <is>
          <t>Physician</t>
        </is>
      </c>
      <c r="H46" t="inlineStr">
        <is>
          <t>history-of-present-illness</t>
        </is>
      </c>
      <c r="I46" t="inlineStr">
        <is>
          <t xml:space="preserve">
   The patient was admitted to the MICU, where initial vitals were HR 69
   BP 102/63-120/75, RR 32-20, SpO2 100% on 1L NC.</t>
        </is>
      </c>
    </row>
    <row r="47">
      <c r="A47" t="inlineStr">
        <is>
          <t>532406-history-of-present-illness-3-0</t>
        </is>
      </c>
      <c r="B47" t="inlineStr"/>
      <c r="C47" t="inlineStr"/>
      <c r="D47">
        <f>HYPERLINK("http://nlpdeep.cs.uic.edu:8080/proofing/gsii/532406-history-of-present-illness-3-0.pdf","gsii/532406-history-of-present-illness-3-0.pdf")</f>
        <v/>
      </c>
      <c r="E47" t="n">
        <v>119960</v>
      </c>
      <c r="F47" t="n">
        <v>532406</v>
      </c>
      <c r="G47" t="inlineStr">
        <is>
          <t>Physician</t>
        </is>
      </c>
      <c r="H47" t="inlineStr">
        <is>
          <t>history-of-present-illness</t>
        </is>
      </c>
      <c r="I47" t="inlineStr">
        <is>
          <t xml:space="preserve">
   The patient was admitted to the MICU, where initial vitals were HR 69
   BP 102/63-120/75, RR 32-20, SpO2 100% on 1L NC.</t>
        </is>
      </c>
    </row>
    <row r="48">
      <c r="A48" t="inlineStr">
        <is>
          <t>532406-history-of-present-illness-4-0</t>
        </is>
      </c>
      <c r="B48" t="inlineStr"/>
      <c r="C48" t="inlineStr"/>
      <c r="D48">
        <f>HYPERLINK("http://nlpdeep.cs.uic.edu:8080/proofing/t5/532406-history-of-present-illness-4-0.pdf","t5/532406-history-of-present-illness-4-0.pdf")</f>
        <v/>
      </c>
      <c r="E48" t="n">
        <v>119960</v>
      </c>
      <c r="F48" t="n">
        <v>532406</v>
      </c>
      <c r="G48" t="inlineStr">
        <is>
          <t>Physician</t>
        </is>
      </c>
      <c r="H48" t="inlineStr">
        <is>
          <t>history-of-present-illness</t>
        </is>
      </c>
      <c r="I48" t="inlineStr">
        <is>
          <t xml:space="preserve">
   On ROS, the patient denies any LOC, dizziness/lightheadedness, recent
   diarrhea (though had diarrhea in prior admission).</t>
        </is>
      </c>
    </row>
    <row r="49">
      <c r="A49" t="inlineStr">
        <is>
          <t>532406-history-of-present-illness-4-0</t>
        </is>
      </c>
      <c r="B49" t="inlineStr"/>
      <c r="C49" t="inlineStr"/>
      <c r="D49">
        <f>HYPERLINK("http://nlpdeep.cs.uic.edu:8080/proofing/gsii/532406-history-of-present-illness-4-0.pdf","gsii/532406-history-of-present-illness-4-0.pdf")</f>
        <v/>
      </c>
      <c r="E49" t="n">
        <v>119960</v>
      </c>
      <c r="F49" t="n">
        <v>532406</v>
      </c>
      <c r="G49" t="inlineStr">
        <is>
          <t>Physician</t>
        </is>
      </c>
      <c r="H49" t="inlineStr">
        <is>
          <t>history-of-present-illness</t>
        </is>
      </c>
      <c r="I49" t="inlineStr">
        <is>
          <t xml:space="preserve">
   On ROS, the patient denies any LOC, dizziness/lightheadedness, recent
   diarrhea (though had diarrhea in prior admission).</t>
        </is>
      </c>
    </row>
    <row r="50">
      <c r="A50" t="inlineStr">
        <is>
          <t>532406-history-of-present-illness-4-1</t>
        </is>
      </c>
      <c r="B50" t="inlineStr"/>
      <c r="C50" t="inlineStr"/>
      <c r="D50">
        <f>HYPERLINK("http://nlpdeep.cs.uic.edu:8080/proofing/t5/532406-history-of-present-illness-4-1.pdf","t5/532406-history-of-present-illness-4-1.pdf")</f>
        <v/>
      </c>
      <c r="E50" t="n">
        <v>119960</v>
      </c>
      <c r="F50" t="n">
        <v>532406</v>
      </c>
      <c r="G50" t="inlineStr">
        <is>
          <t>Physician</t>
        </is>
      </c>
      <c r="H50" t="inlineStr">
        <is>
          <t>history-of-present-illness</t>
        </is>
      </c>
      <c r="I50" t="inlineStr">
        <is>
          <t>+cough with small
   amounts of yellowish sputum but not in past few days.</t>
        </is>
      </c>
    </row>
    <row r="51">
      <c r="A51" t="inlineStr">
        <is>
          <t>532406-history-of-present-illness-4-1</t>
        </is>
      </c>
      <c r="B51" t="inlineStr"/>
      <c r="C51" t="inlineStr"/>
      <c r="D51">
        <f>HYPERLINK("http://nlpdeep.cs.uic.edu:8080/proofing/gsii/532406-history-of-present-illness-4-1.pdf","gsii/532406-history-of-present-illness-4-1.pdf")</f>
        <v/>
      </c>
      <c r="E51" t="n">
        <v>119960</v>
      </c>
      <c r="F51" t="n">
        <v>532406</v>
      </c>
      <c r="G51" t="inlineStr">
        <is>
          <t>Physician</t>
        </is>
      </c>
      <c r="H51" t="inlineStr">
        <is>
          <t>history-of-present-illness</t>
        </is>
      </c>
      <c r="I51" t="inlineStr">
        <is>
          <t>+cough with small
   amounts of yellowish sputum but not in past few days.</t>
        </is>
      </c>
    </row>
    <row r="52">
      <c r="A52" t="inlineStr">
        <is>
          <t>532406-history-of-present-illness-4-2</t>
        </is>
      </c>
      <c r="B52" t="inlineStr"/>
      <c r="C52" t="inlineStr"/>
      <c r="D52">
        <f>HYPERLINK("http://nlpdeep.cs.uic.edu:8080/proofing/t5/532406-history-of-present-illness-4-2.pdf","t5/532406-history-of-present-illness-4-2.pdf")</f>
        <v/>
      </c>
      <c r="E52" t="n">
        <v>119960</v>
      </c>
      <c r="F52" t="n">
        <v>532406</v>
      </c>
      <c r="G52" t="inlineStr">
        <is>
          <t>Physician</t>
        </is>
      </c>
      <c r="H52" t="inlineStr">
        <is>
          <t>history-of-present-illness</t>
        </is>
      </c>
      <c r="I52" t="inlineStr">
        <is>
          <t>Patient admitted from: [**Hospital1 19**] ER
   History obtained from Patient, Family / F</t>
        </is>
      </c>
    </row>
    <row r="53">
      <c r="A53" t="inlineStr">
        <is>
          <t>532406-history-of-present-illness-4-2</t>
        </is>
      </c>
      <c r="B53" t="inlineStr"/>
      <c r="C53" t="inlineStr"/>
      <c r="D53">
        <f>HYPERLINK("http://nlpdeep.cs.uic.edu:8080/proofing/gsii/532406-history-of-present-illness-4-2.pdf","gsii/532406-history-of-present-illness-4-2.pdf")</f>
        <v/>
      </c>
      <c r="E53" t="n">
        <v>119960</v>
      </c>
      <c r="F53" t="n">
        <v>532406</v>
      </c>
      <c r="G53" t="inlineStr">
        <is>
          <t>Physician</t>
        </is>
      </c>
      <c r="H53" t="inlineStr">
        <is>
          <t>history-of-present-illness</t>
        </is>
      </c>
      <c r="I53" t="inlineStr">
        <is>
          <t>Patient admitted from: [**Hospital1 19**] ER
   History obtained from Patient, Family / F</t>
        </is>
      </c>
    </row>
    <row r="54">
      <c r="A54" t="inlineStr">
        <is>
          <t>532406-allergies-0-0</t>
        </is>
      </c>
      <c r="B54" t="inlineStr"/>
      <c r="C54" t="inlineStr"/>
      <c r="D54">
        <f>HYPERLINK("http://nlpdeep.cs.uic.edu:8080/proofing/t5/532406-allergies-0-0.pdf","t5/532406-allergies-0-0.pdf")</f>
        <v/>
      </c>
      <c r="E54" t="n">
        <v>119960</v>
      </c>
      <c r="F54" t="n">
        <v>532406</v>
      </c>
      <c r="G54" t="inlineStr">
        <is>
          <t>Physician</t>
        </is>
      </c>
      <c r="H54" t="inlineStr">
        <is>
          <t>allergies</t>
        </is>
      </c>
      <c r="I54" t="inlineStr">
        <is>
          <t>Quinidine
   fever;
   Propranolol
   Aggitation;</t>
        </is>
      </c>
    </row>
    <row r="55">
      <c r="A55" t="inlineStr">
        <is>
          <t>532406-allergies-0-0</t>
        </is>
      </c>
      <c r="B55" t="inlineStr"/>
      <c r="C55" t="inlineStr"/>
      <c r="D55">
        <f>HYPERLINK("http://nlpdeep.cs.uic.edu:8080/proofing/gsii/532406-allergies-0-0.pdf","gsii/532406-allergies-0-0.pdf")</f>
        <v/>
      </c>
      <c r="E55" t="n">
        <v>119960</v>
      </c>
      <c r="F55" t="n">
        <v>532406</v>
      </c>
      <c r="G55" t="inlineStr">
        <is>
          <t>Physician</t>
        </is>
      </c>
      <c r="H55" t="inlineStr">
        <is>
          <t>allergies</t>
        </is>
      </c>
      <c r="I55" t="inlineStr">
        <is>
          <t>Quinidine
   fever;
   Propranolol
   Aggitation;</t>
        </is>
      </c>
    </row>
    <row r="56">
      <c r="A56" t="inlineStr">
        <is>
          <t>532406-other-medications-0-0</t>
        </is>
      </c>
      <c r="B56" t="inlineStr"/>
      <c r="C56" t="inlineStr"/>
      <c r="D56">
        <f>HYPERLINK("http://nlpdeep.cs.uic.edu:8080/proofing/t5/532406-other-medications-0-0.pdf","t5/532406-other-medications-0-0.pdf")</f>
        <v/>
      </c>
      <c r="E56" t="n">
        <v>119960</v>
      </c>
      <c r="F56" t="n">
        <v>532406</v>
      </c>
      <c r="G56" t="inlineStr">
        <is>
          <t>Physician</t>
        </is>
      </c>
      <c r="H56" t="inlineStr">
        <is>
          <t>other-medications</t>
        </is>
      </c>
      <c r="I56" t="inlineStr">
        <is>
          <t>Morphine Sulfate - [**2141-4-6**] 09:30 PM
   Other medications:
   Meds from rehab:
   -Vicodin 5/500 2 tabs qd
   -Pantoprazole 40 mg Tablet qd
   -Vancomycin 125 mg PO Q6H; taper as follows:
        [**Date range (1) 14476**] 125mg Q6H;
        [**Date range (1) 14477**] 125mg Q12H;
        [**Date range (1) 14478**] 125mg daily;
        [**Date range (1) 14479**] 125mg; every other day
        [**Date range (1) 14480**] 125mg; every third day; then stop.</t>
        </is>
      </c>
    </row>
    <row r="57">
      <c r="A57" t="inlineStr">
        <is>
          <t>532406-other-medications-0-0</t>
        </is>
      </c>
      <c r="B57" t="inlineStr"/>
      <c r="C57" t="inlineStr"/>
      <c r="D57">
        <f>HYPERLINK("http://nlpdeep.cs.uic.edu:8080/proofing/gsii/532406-other-medications-0-0.pdf","gsii/532406-other-medications-0-0.pdf")</f>
        <v/>
      </c>
      <c r="E57" t="n">
        <v>119960</v>
      </c>
      <c r="F57" t="n">
        <v>532406</v>
      </c>
      <c r="G57" t="inlineStr">
        <is>
          <t>Physician</t>
        </is>
      </c>
      <c r="H57" t="inlineStr">
        <is>
          <t>other-medications</t>
        </is>
      </c>
      <c r="I57" t="inlineStr">
        <is>
          <t>Morphine Sulfate - [**2141-4-6**] 09:30 PM
   Other medications:
   Meds from rehab:
   -Vicodin 5/500 2 tabs qd
   -Pantoprazole 40 mg Tablet qd
   -Vancomycin 125 mg PO Q6H; taper as follows:
        [**Date range (1) 14476**] 125mg Q6H;
        [**Date range (1) 14477**] 125mg Q12H;
        [**Date range (1) 14478**] 125mg daily;
        [**Date range (1) 14479**] 125mg; every other day
        [**Date range (1) 14480**] 125mg; every third day; then stop.</t>
        </is>
      </c>
    </row>
    <row r="58">
      <c r="A58" t="inlineStr">
        <is>
          <t>532406-other-medications-0-1</t>
        </is>
      </c>
      <c r="B58" t="inlineStr"/>
      <c r="C58" t="inlineStr"/>
      <c r="D58">
        <f>HYPERLINK("http://nlpdeep.cs.uic.edu:8080/proofing/t5/532406-other-medications-0-1.pdf","t5/532406-other-medications-0-1.pdf")</f>
        <v/>
      </c>
      <c r="E58" t="n">
        <v>119960</v>
      </c>
      <c r="F58" t="n">
        <v>532406</v>
      </c>
      <c r="G58" t="inlineStr">
        <is>
          <t>Physician</t>
        </is>
      </c>
      <c r="H58" t="inlineStr">
        <is>
          <t>other-medications</t>
        </is>
      </c>
      <c r="I58" t="inlineStr">
        <is>
          <t xml:space="preserve">
   -Ativan 0.125 mg tid prn
   -Ammonium Lactate 12% Lotion Topical [**Hospital1 7**]
   -Ipratropium Bromide 0.5 mg Neb Inhalation Q6H PRN SOB/Wheezing.</t>
        </is>
      </c>
    </row>
    <row r="59">
      <c r="A59" t="inlineStr">
        <is>
          <t>532406-other-medications-0-1</t>
        </is>
      </c>
      <c r="B59" t="inlineStr"/>
      <c r="C59" t="inlineStr"/>
      <c r="D59">
        <f>HYPERLINK("http://nlpdeep.cs.uic.edu:8080/proofing/gsii/532406-other-medications-0-1.pdf","gsii/532406-other-medications-0-1.pdf")</f>
        <v/>
      </c>
      <c r="E59" t="n">
        <v>119960</v>
      </c>
      <c r="F59" t="n">
        <v>532406</v>
      </c>
      <c r="G59" t="inlineStr">
        <is>
          <t>Physician</t>
        </is>
      </c>
      <c r="H59" t="inlineStr">
        <is>
          <t>other-medications</t>
        </is>
      </c>
      <c r="I59" t="inlineStr">
        <is>
          <t xml:space="preserve">
   -Ativan 0.125 mg tid prn
   -Ammonium Lactate 12% Lotion Topical [**Hospital1 7**]
   -Ipratropium Bromide 0.5 mg Neb Inhalation Q6H PRN SOB/Wheezing.</t>
        </is>
      </c>
    </row>
    <row r="60">
      <c r="A60" t="inlineStr">
        <is>
          <t>532406-other-medications-0-2</t>
        </is>
      </c>
      <c r="B60" t="inlineStr"/>
      <c r="C60" t="inlineStr"/>
      <c r="D60">
        <f>HYPERLINK("http://nlpdeep.cs.uic.edu:8080/proofing/t5/532406-other-medications-0-2.pdf","t5/532406-other-medications-0-2.pdf")</f>
        <v/>
      </c>
      <c r="E60" t="n">
        <v>119960</v>
      </c>
      <c r="F60" t="n">
        <v>532406</v>
      </c>
      <c r="G60" t="inlineStr">
        <is>
          <t>Physician</t>
        </is>
      </c>
      <c r="H60" t="inlineStr">
        <is>
          <t>other-medications</t>
        </is>
      </c>
      <c r="I60" t="inlineStr">
        <is>
          <t xml:space="preserve">
   -Torsemide 40 mg PO BID (if weight &gt; 160lbs, increase to 80mg in the
   morning and 40mg at night; if weight &lt; 145lbs, decrease torsemide to
   40mg daily)
   -Spironolactone 25 mg Tablet PO DAILY
   -Metoprolol Tartrate 12.5 mg PO BID
   -Simvastatin 40 mg PO qpm
   -Ergocalciferol (Vitamin D2) 5,000 unit po weekly
   -Bisacodyl suppository 10 mg qd prn
   -Senna qd prn
   -Aspirin 81 mg po qd
   -Acetaminophen 325 mg 1-2 Tablets PO Q4H prn pain / fever.</t>
        </is>
      </c>
    </row>
    <row r="61">
      <c r="A61" t="inlineStr">
        <is>
          <t>532406-other-medications-0-2</t>
        </is>
      </c>
      <c r="B61" t="inlineStr"/>
      <c r="C61" t="inlineStr"/>
      <c r="D61">
        <f>HYPERLINK("http://nlpdeep.cs.uic.edu:8080/proofing/gsii/532406-other-medications-0-2.pdf","gsii/532406-other-medications-0-2.pdf")</f>
        <v/>
      </c>
      <c r="E61" t="n">
        <v>119960</v>
      </c>
      <c r="F61" t="n">
        <v>532406</v>
      </c>
      <c r="G61" t="inlineStr">
        <is>
          <t>Physician</t>
        </is>
      </c>
      <c r="H61" t="inlineStr">
        <is>
          <t>other-medications</t>
        </is>
      </c>
      <c r="I61" t="inlineStr">
        <is>
          <t xml:space="preserve">
   -Torsemide 40 mg PO BID (if weight &gt; 160lbs, increase to 80mg in the
   morning and 40mg at night; if weight &lt; 145lbs, decrease torsemide to
   40mg daily)
   -Spironolactone 25 mg Tablet PO DAILY
   -Metoprolol Tartrate 12.5 mg PO BID
   -Simvastatin 40 mg PO qpm
   -Ergocalciferol (Vitamin D2) 5,000 unit po weekly
   -Bisacodyl suppository 10 mg qd prn
   -Senna qd prn
   -Aspirin 81 mg po qd
   -Acetaminophen 325 mg 1-2 Tablets PO Q4H prn pain / fever.</t>
        </is>
      </c>
    </row>
    <row r="62">
      <c r="A62" t="inlineStr">
        <is>
          <t>532406-other-medications-0-3</t>
        </is>
      </c>
      <c r="B62" t="inlineStr"/>
      <c r="C62" t="inlineStr"/>
      <c r="D62">
        <f>HYPERLINK("http://nlpdeep.cs.uic.edu:8080/proofing/t5/532406-other-medications-0-3.pdf","t5/532406-other-medications-0-3.pdf")</f>
        <v/>
      </c>
      <c r="E62" t="n">
        <v>119960</v>
      </c>
      <c r="F62" t="n">
        <v>532406</v>
      </c>
      <c r="G62" t="inlineStr">
        <is>
          <t>Physician</t>
        </is>
      </c>
      <c r="H62" t="inlineStr">
        <is>
          <t>other-medications</t>
        </is>
      </c>
      <c r="I62" t="inlineStr">
        <is>
          <t>-Tums [**Hospital1 **]
   -Cadexomer iodine topical gel q3d topical
   -Dextromethorphan-Guaifenesin 30 mg q12hr p</t>
        </is>
      </c>
    </row>
    <row r="63">
      <c r="A63" t="inlineStr">
        <is>
          <t>532406-other-medications-0-3</t>
        </is>
      </c>
      <c r="B63" t="inlineStr"/>
      <c r="C63" t="inlineStr"/>
      <c r="D63">
        <f>HYPERLINK("http://nlpdeep.cs.uic.edu:8080/proofing/gsii/532406-other-medications-0-3.pdf","gsii/532406-other-medications-0-3.pdf")</f>
        <v/>
      </c>
      <c r="E63" t="n">
        <v>119960</v>
      </c>
      <c r="F63" t="n">
        <v>532406</v>
      </c>
      <c r="G63" t="inlineStr">
        <is>
          <t>Physician</t>
        </is>
      </c>
      <c r="H63" t="inlineStr">
        <is>
          <t>other-medications</t>
        </is>
      </c>
      <c r="I63" t="inlineStr">
        <is>
          <t>-Tums [**Hospital1 **]
   -Cadexomer iodine topical gel q3d topical
   -Dextromethorphan-Guaifenesin 30 mg q12hr p</t>
        </is>
      </c>
    </row>
    <row r="64">
      <c r="A64" t="inlineStr">
        <is>
          <t>532406-past-medical-history-0-0</t>
        </is>
      </c>
      <c r="B64" t="inlineStr"/>
      <c r="C64" t="inlineStr"/>
      <c r="D64">
        <f>HYPERLINK("http://nlpdeep.cs.uic.edu:8080/proofing/t5/532406-past-medical-history-0-0.pdf","t5/532406-past-medical-history-0-0.pdf")</f>
        <v/>
      </c>
      <c r="E64" t="n">
        <v>119960</v>
      </c>
      <c r="F64" t="n">
        <v>532406</v>
      </c>
      <c r="G64" t="inlineStr">
        <is>
          <t>Physician</t>
        </is>
      </c>
      <c r="H64" t="inlineStr">
        <is>
          <t>past-medical-history</t>
        </is>
      </c>
      <c r="I64" t="inlineStr">
        <is>
          <t>-CHF with preserved LVEF (65% 1/10), thought to have L HF leading to R
   HF without primary pulm HTN
   -Chronic Afib, not on warfarin given recent UGIB ([**2-8**])
   -Pulmonary artery HTN (30mmHg + RA [**11-6**])
   -Mild MR, mod TR, mild AI, mild AS (peak 25 mmHg [**11-6**])
   -Mild ascending aortic dilatation (3.7 cm)
   -Left ventricular hypertrophy
   -Prostate enlargement (followed by Dr.</t>
        </is>
      </c>
    </row>
    <row r="65">
      <c r="A65" t="inlineStr">
        <is>
          <t>532406-past-medical-history-0-0</t>
        </is>
      </c>
      <c r="B65" t="inlineStr"/>
      <c r="C65" t="inlineStr"/>
      <c r="D65">
        <f>HYPERLINK("http://nlpdeep.cs.uic.edu:8080/proofing/gsii/532406-past-medical-history-0-0.pdf","gsii/532406-past-medical-history-0-0.pdf")</f>
        <v/>
      </c>
      <c r="E65" t="n">
        <v>119960</v>
      </c>
      <c r="F65" t="n">
        <v>532406</v>
      </c>
      <c r="G65" t="inlineStr">
        <is>
          <t>Physician</t>
        </is>
      </c>
      <c r="H65" t="inlineStr">
        <is>
          <t>past-medical-history</t>
        </is>
      </c>
      <c r="I65" t="inlineStr">
        <is>
          <t>-CHF with preserved LVEF (65% 1/10), thought to have L HF leading to R
   HF without primary pulm HTN
   -Chronic Afib, not on warfarin given recent UGIB ([**2-8**])
   -Pulmonary artery HTN (30mmHg + RA [**11-6**])
   -Mild MR, mod TR, mild AI, mild AS (peak 25 mmHg [**11-6**])
   -Mild ascending aortic dilatation (3.7 cm)
   -Left ventricular hypertrophy
   -Prostate enlargement (followed by Dr.</t>
        </is>
      </c>
    </row>
    <row r="66">
      <c r="A66" t="inlineStr">
        <is>
          <t>532406-past-medical-history-0-1</t>
        </is>
      </c>
      <c r="B66" t="inlineStr"/>
      <c r="C66" t="inlineStr"/>
      <c r="D66">
        <f>HYPERLINK("http://nlpdeep.cs.uic.edu:8080/proofing/t5/532406-past-medical-history-0-1.pdf","t5/532406-past-medical-history-0-1.pdf")</f>
        <v/>
      </c>
      <c r="E66" t="n">
        <v>119960</v>
      </c>
      <c r="F66" t="n">
        <v>532406</v>
      </c>
      <c r="G66" t="inlineStr">
        <is>
          <t>Physician</t>
        </is>
      </c>
      <c r="H66" t="inlineStr">
        <is>
          <t>past-medical-history</t>
        </is>
      </c>
      <c r="I66" t="inlineStr">
        <is>
          <t>[**Last Name (STitle) **] [**Last Name (STitle) **])
   -Hypertension
   -Hypercholesterolemia
   -Severe essential tremor, since [**2076**] (WWII)
   -Venous stasis, followed by Dr.</t>
        </is>
      </c>
    </row>
    <row r="67">
      <c r="A67" t="inlineStr">
        <is>
          <t>532406-past-medical-history-0-1</t>
        </is>
      </c>
      <c r="B67" t="inlineStr"/>
      <c r="C67" t="inlineStr"/>
      <c r="D67">
        <f>HYPERLINK("http://nlpdeep.cs.uic.edu:8080/proofing/gsii/532406-past-medical-history-0-1.pdf","gsii/532406-past-medical-history-0-1.pdf")</f>
        <v/>
      </c>
      <c r="E67" t="n">
        <v>119960</v>
      </c>
      <c r="F67" t="n">
        <v>532406</v>
      </c>
      <c r="G67" t="inlineStr">
        <is>
          <t>Physician</t>
        </is>
      </c>
      <c r="H67" t="inlineStr">
        <is>
          <t>past-medical-history</t>
        </is>
      </c>
      <c r="I67" t="inlineStr">
        <is>
          <t>[**Last Name (STitle) **] [**Last Name (STitle) **])
   -Hypertension
   -Hypercholesterolemia
   -Severe essential tremor, since [**2076**] (WWII)
   -Venous stasis, followed by Dr.</t>
        </is>
      </c>
    </row>
    <row r="68">
      <c r="A68" t="inlineStr">
        <is>
          <t>532406-past-medical-history-0-2</t>
        </is>
      </c>
      <c r="B68" t="inlineStr"/>
      <c r="C68" t="inlineStr"/>
      <c r="D68">
        <f>HYPERLINK("http://nlpdeep.cs.uic.edu:8080/proofing/t5/532406-past-medical-history-0-2.pdf","t5/532406-past-medical-history-0-2.pdf")</f>
        <v/>
      </c>
      <c r="E68" t="n">
        <v>119960</v>
      </c>
      <c r="F68" t="n">
        <v>532406</v>
      </c>
      <c r="G68" t="inlineStr">
        <is>
          <t>Physician</t>
        </is>
      </c>
      <c r="H68" t="inlineStr">
        <is>
          <t>past-medical-history</t>
        </is>
      </c>
      <c r="I68" t="inlineStr">
        <is>
          <t>[**Last Name (STitle) 14061**]
   [**Name (STitle) 14062**] hernia repair
   -Anemia, multifactorial (chronic illness, CKD, recent GIB)
   -Hemorrhoid repair
   -History of MRSA cellulitis ([**2-7**])
   -Chronic Renal Failure [**1-31**] poor forward flow from CHF: Stage IV with
   eGFR of 24 ml/min (MDRD).</t>
        </is>
      </c>
    </row>
    <row r="69">
      <c r="A69" t="inlineStr">
        <is>
          <t>532406-past-medical-history-0-2</t>
        </is>
      </c>
      <c r="B69" t="inlineStr"/>
      <c r="C69" t="inlineStr"/>
      <c r="D69">
        <f>HYPERLINK("http://nlpdeep.cs.uic.edu:8080/proofing/gsii/532406-past-medical-history-0-2.pdf","gsii/532406-past-medical-history-0-2.pdf")</f>
        <v/>
      </c>
      <c r="E69" t="n">
        <v>119960</v>
      </c>
      <c r="F69" t="n">
        <v>532406</v>
      </c>
      <c r="G69" t="inlineStr">
        <is>
          <t>Physician</t>
        </is>
      </c>
      <c r="H69" t="inlineStr">
        <is>
          <t>past-medical-history</t>
        </is>
      </c>
      <c r="I69" t="inlineStr">
        <is>
          <t>[**Last Name (STitle) 14061**]
   [**Name (STitle) 14062**] hernia repair
   -Anemia, multifactorial (chronic illness, CKD, recent GIB)
   -Hemorrhoid repair
   -History of MRSA cellulitis ([**2-7**])
   -Chronic Renal Failure [**1-31**] poor forward flow from CHF: Stage IV with
   eGFR of 24 ml/min (MDRD).</t>
        </is>
      </c>
    </row>
    <row r="70">
      <c r="A70" t="inlineStr">
        <is>
          <t>532406-past-medical-history-0-3</t>
        </is>
      </c>
      <c r="B70" t="inlineStr"/>
      <c r="C70" t="inlineStr"/>
      <c r="D70">
        <f>HYPERLINK("http://nlpdeep.cs.uic.edu:8080/proofing/t5/532406-past-medical-history-0-3.pdf","t5/532406-past-medical-history-0-3.pdf")</f>
        <v/>
      </c>
      <c r="E70" t="n">
        <v>119960</v>
      </c>
      <c r="F70" t="n">
        <v>532406</v>
      </c>
      <c r="G70" t="inlineStr">
        <is>
          <t>Physician</t>
        </is>
      </c>
      <c r="H70" t="inlineStr">
        <is>
          <t>past-medical-history</t>
        </is>
      </c>
      <c r="I70" t="inlineStr">
        <is>
          <t>Near dialysis.</t>
        </is>
      </c>
    </row>
    <row r="71">
      <c r="A71" t="inlineStr">
        <is>
          <t>532406-past-medical-history-0-3</t>
        </is>
      </c>
      <c r="B71" t="inlineStr"/>
      <c r="C71" t="inlineStr"/>
      <c r="D71">
        <f>HYPERLINK("http://nlpdeep.cs.uic.edu:8080/proofing/gsii/532406-past-medical-history-0-3.pdf","gsii/532406-past-medical-history-0-3.pdf")</f>
        <v/>
      </c>
      <c r="E71" t="n">
        <v>119960</v>
      </c>
      <c r="F71" t="n">
        <v>532406</v>
      </c>
      <c r="G71" t="inlineStr">
        <is>
          <t>Physician</t>
        </is>
      </c>
      <c r="H71" t="inlineStr">
        <is>
          <t>past-medical-history</t>
        </is>
      </c>
      <c r="I71" t="inlineStr">
        <is>
          <t>Near dialysis.</t>
        </is>
      </c>
    </row>
    <row r="72">
      <c r="A72" t="inlineStr">
        <is>
          <t>532406-past-medical-history-0-4</t>
        </is>
      </c>
      <c r="B72" t="inlineStr"/>
      <c r="C72" t="inlineStr"/>
      <c r="D72">
        <f>HYPERLINK("http://nlpdeep.cs.uic.edu:8080/proofing/t5/532406-past-medical-history-0-4.pdf","t5/532406-past-medical-history-0-4.pdf")</f>
        <v/>
      </c>
      <c r="E72" t="n">
        <v>119960</v>
      </c>
      <c r="F72" t="n">
        <v>532406</v>
      </c>
      <c r="G72" t="inlineStr">
        <is>
          <t>Physician</t>
        </is>
      </c>
      <c r="H72" t="inlineStr">
        <is>
          <t>past-medical-history</t>
        </is>
      </c>
      <c r="I72" t="inlineStr">
        <is>
          <t xml:space="preserve">
   -Left foot abscess s/p I&amp;D
   -C.</t>
        </is>
      </c>
    </row>
    <row r="73">
      <c r="A73" t="inlineStr">
        <is>
          <t>532406-past-medical-history-0-4</t>
        </is>
      </c>
      <c r="B73" t="inlineStr"/>
      <c r="C73" t="inlineStr"/>
      <c r="D73">
        <f>HYPERLINK("http://nlpdeep.cs.uic.edu:8080/proofing/gsii/532406-past-medical-history-0-4.pdf","gsii/532406-past-medical-history-0-4.pdf")</f>
        <v/>
      </c>
      <c r="E73" t="n">
        <v>119960</v>
      </c>
      <c r="F73" t="n">
        <v>532406</v>
      </c>
      <c r="G73" t="inlineStr">
        <is>
          <t>Physician</t>
        </is>
      </c>
      <c r="H73" t="inlineStr">
        <is>
          <t>past-medical-history</t>
        </is>
      </c>
      <c r="I73" t="inlineStr">
        <is>
          <t xml:space="preserve">
   -Left foot abscess s/p I&amp;D
   -C.</t>
        </is>
      </c>
    </row>
    <row r="74">
      <c r="A74" t="inlineStr">
        <is>
          <t>532406-past-medical-history-0-5</t>
        </is>
      </c>
      <c r="B74" t="inlineStr"/>
      <c r="C74" t="inlineStr"/>
      <c r="D74">
        <f>HYPERLINK("http://nlpdeep.cs.uic.edu:8080/proofing/t5/532406-past-medical-history-0-5.pdf","t5/532406-past-medical-history-0-5.pdf")</f>
        <v/>
      </c>
      <c r="E74" t="n">
        <v>119960</v>
      </c>
      <c r="F74" t="n">
        <v>532406</v>
      </c>
      <c r="G74" t="inlineStr">
        <is>
          <t>Physician</t>
        </is>
      </c>
      <c r="H74" t="inlineStr">
        <is>
          <t>past-medical-history</t>
        </is>
      </c>
      <c r="I74" t="inlineStr"/>
    </row>
    <row r="75">
      <c r="A75" t="inlineStr">
        <is>
          <t>532406-past-medical-history-0-5</t>
        </is>
      </c>
      <c r="B75" t="inlineStr"/>
      <c r="C75" t="inlineStr"/>
      <c r="D75">
        <f>HYPERLINK("http://nlpdeep.cs.uic.edu:8080/proofing/gsii/532406-past-medical-history-0-5.pdf","gsii/532406-past-medical-history-0-5.pdf")</f>
        <v/>
      </c>
      <c r="E75" t="n">
        <v>119960</v>
      </c>
      <c r="F75" t="n">
        <v>532406</v>
      </c>
      <c r="G75" t="inlineStr">
        <is>
          <t>Physician</t>
        </is>
      </c>
      <c r="H75" t="inlineStr">
        <is>
          <t>past-medical-history</t>
        </is>
      </c>
      <c r="I75" t="inlineStr"/>
    </row>
    <row r="76">
      <c r="A76" t="inlineStr">
        <is>
          <t>532406-past-medical-history-1-0</t>
        </is>
      </c>
      <c r="B76" t="inlineStr"/>
      <c r="C76" t="inlineStr"/>
      <c r="D76">
        <f>HYPERLINK("http://nlpdeep.cs.uic.edu:8080/proofing/t5/532406-past-medical-history-1-0.pdf","t5/532406-past-medical-history-1-0.pdf")</f>
        <v/>
      </c>
      <c r="E76" t="n">
        <v>119960</v>
      </c>
      <c r="F76" t="n">
        <v>532406</v>
      </c>
      <c r="G76" t="inlineStr">
        <is>
          <t>Physician</t>
        </is>
      </c>
      <c r="H76" t="inlineStr">
        <is>
          <t>past-medical-history</t>
        </is>
      </c>
      <c r="I76" t="inlineStr"/>
    </row>
    <row r="77">
      <c r="A77" t="inlineStr">
        <is>
          <t>532406-past-medical-history-1-0</t>
        </is>
      </c>
      <c r="B77" t="inlineStr"/>
      <c r="C77" t="inlineStr"/>
      <c r="D77">
        <f>HYPERLINK("http://nlpdeep.cs.uic.edu:8080/proofing/gsii/532406-past-medical-history-1-0.pdf","gsii/532406-past-medical-history-1-0.pdf")</f>
        <v/>
      </c>
      <c r="E77" t="n">
        <v>119960</v>
      </c>
      <c r="F77" t="n">
        <v>532406</v>
      </c>
      <c r="G77" t="inlineStr">
        <is>
          <t>Physician</t>
        </is>
      </c>
      <c r="H77" t="inlineStr">
        <is>
          <t>past-medical-history</t>
        </is>
      </c>
      <c r="I77" t="inlineStr"/>
    </row>
    <row r="78">
      <c r="A78" t="inlineStr">
        <is>
          <t>532406-past-medical-history-2-0</t>
        </is>
      </c>
      <c r="B78" t="inlineStr"/>
      <c r="C78" t="inlineStr"/>
      <c r="D78">
        <f>HYPERLINK("http://nlpdeep.cs.uic.edu:8080/proofing/t5/532406-past-medical-history-2-0.pdf","t5/532406-past-medical-history-2-0.pdf")</f>
        <v/>
      </c>
      <c r="E78" t="n">
        <v>119960</v>
      </c>
      <c r="F78" t="n">
        <v>532406</v>
      </c>
      <c r="G78" t="inlineStr">
        <is>
          <t>Physician</t>
        </is>
      </c>
      <c r="H78" t="inlineStr">
        <is>
          <t>past-medical-history</t>
        </is>
      </c>
      <c r="I78" t="inlineStr">
        <is>
          <t xml:space="preserve">
   [**2141-1-31**] to [**2141-2-15**]
   -- also for CHF exacerbation, given lasix ggt and metolazone
   -- supratherapeutic INR on admission, complicated by epistaxis and
   melena (GI followed but endoscopy was deferred)
   -- C diff colitis treated with ?</t>
        </is>
      </c>
    </row>
    <row r="79">
      <c r="A79" t="inlineStr">
        <is>
          <t>532406-past-medical-history-2-0</t>
        </is>
      </c>
      <c r="B79" t="inlineStr"/>
      <c r="C79" t="inlineStr"/>
      <c r="D79">
        <f>HYPERLINK("http://nlpdeep.cs.uic.edu:8080/proofing/gsii/532406-past-medical-history-2-0.pdf","gsii/532406-past-medical-history-2-0.pdf")</f>
        <v/>
      </c>
      <c r="E79" t="n">
        <v>119960</v>
      </c>
      <c r="F79" t="n">
        <v>532406</v>
      </c>
      <c r="G79" t="inlineStr">
        <is>
          <t>Physician</t>
        </is>
      </c>
      <c r="H79" t="inlineStr">
        <is>
          <t>past-medical-history</t>
        </is>
      </c>
      <c r="I79" t="inlineStr">
        <is>
          <t xml:space="preserve">
   [**2141-1-31**] to [**2141-2-15**]
   -- also for CHF exacerbation, given lasix ggt and metolazone
   -- supratherapeutic INR on admission, complicated by epistaxis and
   melena (GI followed but endoscopy was deferred)
   -- C diff colitis treated with ?</t>
        </is>
      </c>
    </row>
    <row r="80">
      <c r="A80" t="inlineStr">
        <is>
          <t>532406-past-medical-history-2-1</t>
        </is>
      </c>
      <c r="B80" t="inlineStr"/>
      <c r="C80" t="inlineStr"/>
      <c r="D80">
        <f>HYPERLINK("http://nlpdeep.cs.uic.edu:8080/proofing/t5/532406-past-medical-history-2-1.pdf","t5/532406-past-medical-history-2-1.pdf")</f>
        <v/>
      </c>
      <c r="E80" t="n">
        <v>119960</v>
      </c>
      <c r="F80" t="n">
        <v>532406</v>
      </c>
      <c r="G80" t="inlineStr">
        <is>
          <t>Physician</t>
        </is>
      </c>
      <c r="H80" t="inlineStr">
        <is>
          <t>past-medical-history</t>
        </is>
      </c>
      <c r="I80" t="inlineStr"/>
    </row>
    <row r="81">
      <c r="A81" t="inlineStr">
        <is>
          <t>532406-past-medical-history-2-1</t>
        </is>
      </c>
      <c r="B81" t="inlineStr"/>
      <c r="C81" t="inlineStr"/>
      <c r="D81">
        <f>HYPERLINK("http://nlpdeep.cs.uic.edu:8080/proofing/gsii/532406-past-medical-history-2-1.pdf","gsii/532406-past-medical-history-2-1.pdf")</f>
        <v/>
      </c>
      <c r="E81" t="n">
        <v>119960</v>
      </c>
      <c r="F81" t="n">
        <v>532406</v>
      </c>
      <c r="G81" t="inlineStr">
        <is>
          <t>Physician</t>
        </is>
      </c>
      <c r="H81" t="inlineStr">
        <is>
          <t>past-medical-history</t>
        </is>
      </c>
      <c r="I81" t="inlineStr"/>
    </row>
    <row r="82">
      <c r="A82" t="inlineStr">
        <is>
          <t>532406-past-medical-history-3-0</t>
        </is>
      </c>
      <c r="B82" t="inlineStr"/>
      <c r="C82" t="inlineStr"/>
      <c r="D82">
        <f>HYPERLINK("http://nlpdeep.cs.uic.edu:8080/proofing/t5/532406-past-medical-history-3-0.pdf","t5/532406-past-medical-history-3-0.pdf")</f>
        <v/>
      </c>
      <c r="E82" t="n">
        <v>119960</v>
      </c>
      <c r="F82" t="n">
        <v>532406</v>
      </c>
      <c r="G82" t="inlineStr">
        <is>
          <t>Physician</t>
        </is>
      </c>
      <c r="H82" t="inlineStr">
        <is>
          <t>past-medical-history</t>
        </is>
      </c>
      <c r="I82" t="inlineStr"/>
    </row>
    <row r="83">
      <c r="A83" t="inlineStr">
        <is>
          <t>532406-past-medical-history-3-0</t>
        </is>
      </c>
      <c r="B83" t="inlineStr"/>
      <c r="C83" t="inlineStr"/>
      <c r="D83">
        <f>HYPERLINK("http://nlpdeep.cs.uic.edu:8080/proofing/gsii/532406-past-medical-history-3-0.pdf","gsii/532406-past-medical-history-3-0.pdf")</f>
        <v/>
      </c>
      <c r="E83" t="n">
        <v>119960</v>
      </c>
      <c r="F83" t="n">
        <v>532406</v>
      </c>
      <c r="G83" t="inlineStr">
        <is>
          <t>Physician</t>
        </is>
      </c>
      <c r="H83" t="inlineStr">
        <is>
          <t>past-medical-history</t>
        </is>
      </c>
      <c r="I83" t="inlineStr"/>
    </row>
    <row r="84">
      <c r="A84" t="inlineStr">
        <is>
          <t>532406-past-medical-history-4-0</t>
        </is>
      </c>
      <c r="B84" t="inlineStr"/>
      <c r="C84" t="inlineStr"/>
      <c r="D84">
        <f>HYPERLINK("http://nlpdeep.cs.uic.edu:8080/proofing/t5/532406-past-medical-history-4-0.pdf","t5/532406-past-medical-history-4-0.pdf")</f>
        <v/>
      </c>
      <c r="E84" t="n">
        <v>119960</v>
      </c>
      <c r="F84" t="n">
        <v>532406</v>
      </c>
      <c r="G84" t="inlineStr">
        <is>
          <t>Physician</t>
        </is>
      </c>
      <c r="H84" t="inlineStr">
        <is>
          <t>past-medical-history</t>
        </is>
      </c>
      <c r="I84" t="inlineStr">
        <is>
          <t xml:space="preserve">
   [**2141-3-17**] to [**2141-3-31**]
   -- Sent in by rehab for sleepiness, low Hct, weight gain, cough.</t>
        </is>
      </c>
    </row>
    <row r="85">
      <c r="A85" t="inlineStr">
        <is>
          <t>532406-past-medical-history-4-0</t>
        </is>
      </c>
      <c r="B85" t="inlineStr"/>
      <c r="C85" t="inlineStr"/>
      <c r="D85">
        <f>HYPERLINK("http://nlpdeep.cs.uic.edu:8080/proofing/gsii/532406-past-medical-history-4-0.pdf","gsii/532406-past-medical-history-4-0.pdf")</f>
        <v/>
      </c>
      <c r="E85" t="n">
        <v>119960</v>
      </c>
      <c r="F85" t="n">
        <v>532406</v>
      </c>
      <c r="G85" t="inlineStr">
        <is>
          <t>Physician</t>
        </is>
      </c>
      <c r="H85" t="inlineStr">
        <is>
          <t>past-medical-history</t>
        </is>
      </c>
      <c r="I85" t="inlineStr">
        <is>
          <t xml:space="preserve">
   [**2141-3-17**] to [**2141-3-31**]
   -- Sent in by rehab for sleepiness, low Hct, weight gain, cough.</t>
        </is>
      </c>
    </row>
    <row r="86">
      <c r="A86" t="inlineStr">
        <is>
          <t>532406-past-medical-history-4-1</t>
        </is>
      </c>
      <c r="B86" t="inlineStr"/>
      <c r="C86" t="inlineStr"/>
      <c r="D86">
        <f>HYPERLINK("http://nlpdeep.cs.uic.edu:8080/proofing/t5/532406-past-medical-history-4-1.pdf","t5/532406-past-medical-history-4-1.pdf")</f>
        <v/>
      </c>
      <c r="E86" t="n">
        <v>119960</v>
      </c>
      <c r="F86" t="n">
        <v>532406</v>
      </c>
      <c r="G86" t="inlineStr">
        <is>
          <t>Physician</t>
        </is>
      </c>
      <c r="H86" t="inlineStr">
        <is>
          <t>past-medical-history</t>
        </is>
      </c>
      <c r="I86" t="inlineStr">
        <is>
          <t xml:space="preserve">
   -- C.</t>
        </is>
      </c>
    </row>
    <row r="87">
      <c r="A87" t="inlineStr">
        <is>
          <t>532406-past-medical-history-4-1</t>
        </is>
      </c>
      <c r="B87" t="inlineStr"/>
      <c r="C87" t="inlineStr"/>
      <c r="D87">
        <f>HYPERLINK("http://nlpdeep.cs.uic.edu:8080/proofing/gsii/532406-past-medical-history-4-1.pdf","gsii/532406-past-medical-history-4-1.pdf")</f>
        <v/>
      </c>
      <c r="E87" t="n">
        <v>119960</v>
      </c>
      <c r="F87" t="n">
        <v>532406</v>
      </c>
      <c r="G87" t="inlineStr">
        <is>
          <t>Physician</t>
        </is>
      </c>
      <c r="H87" t="inlineStr">
        <is>
          <t>past-medical-history</t>
        </is>
      </c>
      <c r="I87" t="inlineStr">
        <is>
          <t xml:space="preserve">
   -- C.</t>
        </is>
      </c>
    </row>
    <row r="88">
      <c r="A88" t="inlineStr">
        <is>
          <t>532406-past-medical-history-4-2</t>
        </is>
      </c>
      <c r="B88" t="inlineStr"/>
      <c r="C88" t="inlineStr"/>
      <c r="D88">
        <f>HYPERLINK("http://nlpdeep.cs.uic.edu:8080/proofing/t5/532406-past-medical-history-4-2.pdf","t5/532406-past-medical-history-4-2.pdf")</f>
        <v/>
      </c>
      <c r="E88" t="n">
        <v>119960</v>
      </c>
      <c r="F88" t="n">
        <v>532406</v>
      </c>
      <c r="G88" t="inlineStr">
        <is>
          <t>Physician</t>
        </is>
      </c>
      <c r="H88" t="inlineStr">
        <is>
          <t>past-medical-history</t>
        </is>
      </c>
      <c r="I88" t="inlineStr">
        <is>
          <t>Diff colitis
   -- GIB (Guaiac positive,</t>
        </is>
      </c>
    </row>
    <row r="89">
      <c r="A89" t="inlineStr">
        <is>
          <t>532406-past-medical-history-4-2</t>
        </is>
      </c>
      <c r="B89" t="inlineStr"/>
      <c r="C89" t="inlineStr"/>
      <c r="D89">
        <f>HYPERLINK("http://nlpdeep.cs.uic.edu:8080/proofing/gsii/532406-past-medical-history-4-2.pdf","gsii/532406-past-medical-history-4-2.pdf")</f>
        <v/>
      </c>
      <c r="E89" t="n">
        <v>119960</v>
      </c>
      <c r="F89" t="n">
        <v>532406</v>
      </c>
      <c r="G89" t="inlineStr">
        <is>
          <t>Physician</t>
        </is>
      </c>
      <c r="H89" t="inlineStr">
        <is>
          <t>past-medical-history</t>
        </is>
      </c>
      <c r="I89" t="inlineStr">
        <is>
          <t>Diff colitis
   -- GIB (Guaiac positive,</t>
        </is>
      </c>
    </row>
    <row r="90">
      <c r="A90" t="inlineStr">
        <is>
          <t>532406-past-medical-history-4-3</t>
        </is>
      </c>
      <c r="B90" t="inlineStr"/>
      <c r="C90" t="inlineStr"/>
      <c r="D90">
        <f>HYPERLINK("http://nlpdeep.cs.uic.edu:8080/proofing/t5/532406-past-medical-history-4-3.pdf","t5/532406-past-medical-history-4-3.pdf")</f>
        <v/>
      </c>
      <c r="E90" t="n">
        <v>119960</v>
      </c>
      <c r="F90" t="n">
        <v>532406</v>
      </c>
      <c r="G90" t="inlineStr">
        <is>
          <t>Physician</t>
        </is>
      </c>
      <c r="H90" t="inlineStr">
        <is>
          <t>past-medical-history</t>
        </is>
      </c>
      <c r="I90" t="inlineStr">
        <is>
          <t>had been on coumadin until [**Month (only) 2299**] when had
   presumed UGIB requiring 1U pRBC); transfused for Hct 23.5 (but near
   baseline of 24)
   -- Hypotension to the 70s systolic (baseline 90-100s)
   -- CHF
   -- UTI
   -- Acute on chronic kidney disease
   -- Pancytopenia: found to be HIT antibody positive but serotonin assay
   negative so not likely HIT; nonetheless heparin products were avoided.</t>
        </is>
      </c>
    </row>
    <row r="91">
      <c r="A91" t="inlineStr">
        <is>
          <t>532406-past-medical-history-4-3</t>
        </is>
      </c>
      <c r="B91" t="inlineStr"/>
      <c r="C91" t="inlineStr"/>
      <c r="D91">
        <f>HYPERLINK("http://nlpdeep.cs.uic.edu:8080/proofing/gsii/532406-past-medical-history-4-3.pdf","gsii/532406-past-medical-history-4-3.pdf")</f>
        <v/>
      </c>
      <c r="E91" t="n">
        <v>119960</v>
      </c>
      <c r="F91" t="n">
        <v>532406</v>
      </c>
      <c r="G91" t="inlineStr">
        <is>
          <t>Physician</t>
        </is>
      </c>
      <c r="H91" t="inlineStr">
        <is>
          <t>past-medical-history</t>
        </is>
      </c>
      <c r="I91" t="inlineStr">
        <is>
          <t>had been on coumadin until [**Month (only) 2299**] when had
   presumed UGIB requiring 1U pRBC); transfused for Hct 23.5 (but near
   baseline of 24)
   -- Hypotension to the 70s systolic (baseline 90-100s)
   -- CHF
   -- UTI
   -- Acute on chronic kidney disease
   -- Pancytopenia: found to be HIT antibody positive but serotonin assay
   negative so not likely HIT; nonetheless heparin products were avoided.</t>
        </is>
      </c>
    </row>
    <row r="92">
      <c r="A92" t="inlineStr">
        <is>
          <t>532406-past-medical-history-4-4</t>
        </is>
      </c>
      <c r="B92" t="inlineStr"/>
      <c r="C92" t="inlineStr"/>
      <c r="D92">
        <f>HYPERLINK("http://nlpdeep.cs.uic.edu:8080/proofing/t5/532406-past-medical-history-4-4.pdf","t5/532406-past-medical-history-4-4.pdf")</f>
        <v/>
      </c>
      <c r="E92" t="n">
        <v>119960</v>
      </c>
      <c r="F92" t="n">
        <v>532406</v>
      </c>
      <c r="G92" t="inlineStr">
        <is>
          <t>Physician</t>
        </is>
      </c>
      <c r="H92" t="inlineStr">
        <is>
          <t>past-medical-history</t>
        </is>
      </c>
      <c r="I92" t="inlineStr">
        <is>
          <t xml:space="preserve">
   Pancytopenia improved over hospital course; thought to be infection
   related.</t>
        </is>
      </c>
    </row>
    <row r="93">
      <c r="A93" t="inlineStr">
        <is>
          <t>532406-past-medical-history-4-4</t>
        </is>
      </c>
      <c r="B93" t="inlineStr"/>
      <c r="C93" t="inlineStr"/>
      <c r="D93">
        <f>HYPERLINK("http://nlpdeep.cs.uic.edu:8080/proofing/gsii/532406-past-medical-history-4-4.pdf","gsii/532406-past-medical-history-4-4.pdf")</f>
        <v/>
      </c>
      <c r="E93" t="n">
        <v>119960</v>
      </c>
      <c r="F93" t="n">
        <v>532406</v>
      </c>
      <c r="G93" t="inlineStr">
        <is>
          <t>Physician</t>
        </is>
      </c>
      <c r="H93" t="inlineStr">
        <is>
          <t>past-medical-history</t>
        </is>
      </c>
      <c r="I93" t="inlineStr">
        <is>
          <t xml:space="preserve">
   Pancytopenia improved over hospital course; thought to be infection
   related.</t>
        </is>
      </c>
    </row>
    <row r="94">
      <c r="A94" t="inlineStr">
        <is>
          <t>532406-past-medical-history-4-5</t>
        </is>
      </c>
      <c r="B94" t="inlineStr"/>
      <c r="C94" t="inlineStr"/>
      <c r="D94">
        <f>HYPERLINK("http://nlpdeep.cs.uic.edu:8080/proofing/t5/532406-past-medical-history-4-5.pdf","t5/532406-past-medical-history-4-5.pdf")</f>
        <v/>
      </c>
      <c r="E94" t="n">
        <v>119960</v>
      </c>
      <c r="F94" t="n">
        <v>532406</v>
      </c>
      <c r="G94" t="inlineStr">
        <is>
          <t>Physician</t>
        </is>
      </c>
      <c r="H94" t="inlineStr">
        <is>
          <t>past-medical-history</t>
        </is>
      </c>
      <c r="I94" t="inlineStr">
        <is>
          <t xml:space="preserve">
   -- Increased AP and GGT with elevated lipase and an abnormality on
   ultrasound suggestive of a pancreatic mass.</t>
        </is>
      </c>
    </row>
    <row r="95">
      <c r="A95" t="inlineStr">
        <is>
          <t>532406-past-medical-history-4-5</t>
        </is>
      </c>
      <c r="B95" t="inlineStr"/>
      <c r="C95" t="inlineStr"/>
      <c r="D95">
        <f>HYPERLINK("http://nlpdeep.cs.uic.edu:8080/proofing/gsii/532406-past-medical-history-4-5.pdf","gsii/532406-past-medical-history-4-5.pdf")</f>
        <v/>
      </c>
      <c r="E95" t="n">
        <v>119960</v>
      </c>
      <c r="F95" t="n">
        <v>532406</v>
      </c>
      <c r="G95" t="inlineStr">
        <is>
          <t>Physician</t>
        </is>
      </c>
      <c r="H95" t="inlineStr">
        <is>
          <t>past-medical-history</t>
        </is>
      </c>
      <c r="I95" t="inlineStr">
        <is>
          <t xml:space="preserve">
   -- Increased AP and GGT with elevated lipase and an abnormality on
   ultrasound suggestive of a pancreatic mass.</t>
        </is>
      </c>
    </row>
    <row r="96">
      <c r="A96" t="inlineStr">
        <is>
          <t>532406-past-medical-history-4-6</t>
        </is>
      </c>
      <c r="B96" t="inlineStr"/>
      <c r="C96" t="inlineStr"/>
      <c r="D96">
        <f>HYPERLINK("http://nlpdeep.cs.uic.edu:8080/proofing/t5/532406-past-medical-history-4-6.pdf","t5/532406-past-medical-history-4-6.pdf")</f>
        <v/>
      </c>
      <c r="E96" t="n">
        <v>119960</v>
      </c>
      <c r="F96" t="n">
        <v>532406</v>
      </c>
      <c r="G96" t="inlineStr">
        <is>
          <t>Physician</t>
        </is>
      </c>
      <c r="H96" t="inlineStr">
        <is>
          <t>past-medical-history</t>
        </is>
      </c>
      <c r="I96" t="inlineStr">
        <is>
          <t>GI was consulted and
   recommended an outpatient MRCP.</t>
        </is>
      </c>
    </row>
    <row r="97">
      <c r="A97" t="inlineStr">
        <is>
          <t>532406-past-medical-history-4-6</t>
        </is>
      </c>
      <c r="B97" t="inlineStr"/>
      <c r="C97" t="inlineStr"/>
      <c r="D97">
        <f>HYPERLINK("http://nlpdeep.cs.uic.edu:8080/proofing/gsii/532406-past-medical-history-4-6.pdf","gsii/532406-past-medical-history-4-6.pdf")</f>
        <v/>
      </c>
      <c r="E97" t="n">
        <v>119960</v>
      </c>
      <c r="F97" t="n">
        <v>532406</v>
      </c>
      <c r="G97" t="inlineStr">
        <is>
          <t>Physician</t>
        </is>
      </c>
      <c r="H97" t="inlineStr">
        <is>
          <t>past-medical-history</t>
        </is>
      </c>
      <c r="I97" t="inlineStr">
        <is>
          <t>GI was consulted and
   recommended an outpatient MRCP.</t>
        </is>
      </c>
    </row>
    <row r="98">
      <c r="A98" t="inlineStr">
        <is>
          <t>532406-family-history-0-0</t>
        </is>
      </c>
      <c r="B98" t="inlineStr"/>
      <c r="C98" t="inlineStr"/>
      <c r="D98">
        <f>HYPERLINK("http://nlpdeep.cs.uic.edu:8080/proofing/t5/532406-family-history-0-0.pdf","t5/532406-family-history-0-0.pdf")</f>
        <v/>
      </c>
      <c r="E98" t="n">
        <v>119960</v>
      </c>
      <c r="F98" t="n">
        <v>532406</v>
      </c>
      <c r="G98" t="inlineStr">
        <is>
          <t>Physician</t>
        </is>
      </c>
      <c r="H98" t="inlineStr">
        <is>
          <t>family-history</t>
        </is>
      </c>
      <c r="I98" t="inlineStr">
        <is>
          <t xml:space="preserve">
   Parents are both deceased.</t>
        </is>
      </c>
    </row>
    <row r="99">
      <c r="A99" t="inlineStr">
        <is>
          <t>532406-family-history-0-0</t>
        </is>
      </c>
      <c r="B99" t="inlineStr"/>
      <c r="C99" t="inlineStr"/>
      <c r="D99">
        <f>HYPERLINK("http://nlpdeep.cs.uic.edu:8080/proofing/gsii/532406-family-history-0-0.pdf","gsii/532406-family-history-0-0.pdf")</f>
        <v/>
      </c>
      <c r="E99" t="n">
        <v>119960</v>
      </c>
      <c r="F99" t="n">
        <v>532406</v>
      </c>
      <c r="G99" t="inlineStr">
        <is>
          <t>Physician</t>
        </is>
      </c>
      <c r="H99" t="inlineStr">
        <is>
          <t>family-history</t>
        </is>
      </c>
      <c r="I99" t="inlineStr">
        <is>
          <t xml:space="preserve">
   Parents are both deceased.</t>
        </is>
      </c>
    </row>
    <row r="100">
      <c r="A100" t="inlineStr">
        <is>
          <t>532406-family-history-0-1</t>
        </is>
      </c>
      <c r="B100" t="inlineStr"/>
      <c r="C100" t="inlineStr"/>
      <c r="D100">
        <f>HYPERLINK("http://nlpdeep.cs.uic.edu:8080/proofing/t5/532406-family-history-0-1.pdf","t5/532406-family-history-0-1.pdf")</f>
        <v/>
      </c>
      <c r="E100" t="n">
        <v>119960</v>
      </c>
      <c r="F100" t="n">
        <v>532406</v>
      </c>
      <c r="G100" t="inlineStr">
        <is>
          <t>Physician</t>
        </is>
      </c>
      <c r="H100" t="inlineStr">
        <is>
          <t>family-history</t>
        </is>
      </c>
      <c r="I100" t="inlineStr">
        <is>
          <t>Father (73 years; "heart" disease); Mother
   (48 years; stomach cancer).</t>
        </is>
      </c>
    </row>
    <row r="101">
      <c r="A101" t="inlineStr">
        <is>
          <t>532406-family-history-0-1</t>
        </is>
      </c>
      <c r="B101" t="inlineStr"/>
      <c r="C101" t="inlineStr"/>
      <c r="D101">
        <f>HYPERLINK("http://nlpdeep.cs.uic.edu:8080/proofing/gsii/532406-family-history-0-1.pdf","gsii/532406-family-history-0-1.pdf")</f>
        <v/>
      </c>
      <c r="E101" t="n">
        <v>119960</v>
      </c>
      <c r="F101" t="n">
        <v>532406</v>
      </c>
      <c r="G101" t="inlineStr">
        <is>
          <t>Physician</t>
        </is>
      </c>
      <c r="H101" t="inlineStr">
        <is>
          <t>family-history</t>
        </is>
      </c>
      <c r="I101" t="inlineStr">
        <is>
          <t>Father (73 years; "heart" disease); Mother
   (48 years; stomach cancer).</t>
        </is>
      </c>
    </row>
    <row r="102">
      <c r="A102" t="inlineStr">
        <is>
          <t>532406-family-history-0-2</t>
        </is>
      </c>
      <c r="B102" t="inlineStr"/>
      <c r="C102" t="inlineStr"/>
      <c r="D102">
        <f>HYPERLINK("http://nlpdeep.cs.uic.edu:8080/proofing/t5/532406-family-history-0-2.pdf","t5/532406-family-history-0-2.pdf")</f>
        <v/>
      </c>
      <c r="E102" t="n">
        <v>119960</v>
      </c>
      <c r="F102" t="n">
        <v>532406</v>
      </c>
      <c r="G102" t="inlineStr">
        <is>
          <t>Physician</t>
        </is>
      </c>
      <c r="H102" t="inlineStr">
        <is>
          <t>family-history</t>
        </is>
      </c>
      <c r="I102" t="inlineStr">
        <is>
          <t>He has 2 siblings (80- breast cancer,
   brother with ? abdominal cancer).</t>
        </is>
      </c>
    </row>
    <row r="103">
      <c r="A103" t="inlineStr">
        <is>
          <t>532406-family-history-0-2</t>
        </is>
      </c>
      <c r="B103" t="inlineStr"/>
      <c r="C103" t="inlineStr"/>
      <c r="D103">
        <f>HYPERLINK("http://nlpdeep.cs.uic.edu:8080/proofing/gsii/532406-family-history-0-2.pdf","gsii/532406-family-history-0-2.pdf")</f>
        <v/>
      </c>
      <c r="E103" t="n">
        <v>119960</v>
      </c>
      <c r="F103" t="n">
        <v>532406</v>
      </c>
      <c r="G103" t="inlineStr">
        <is>
          <t>Physician</t>
        </is>
      </c>
      <c r="H103" t="inlineStr">
        <is>
          <t>family-history</t>
        </is>
      </c>
      <c r="I103" t="inlineStr">
        <is>
          <t>He has 2 siblings (80- breast cancer,
   brother with ? abdominal cancer).</t>
        </is>
      </c>
    </row>
    <row r="104">
      <c r="A104" t="inlineStr">
        <is>
          <t>532406-family-history-0-3</t>
        </is>
      </c>
      <c r="B104" t="inlineStr"/>
      <c r="C104" t="inlineStr"/>
      <c r="D104">
        <f>HYPERLINK("http://nlpdeep.cs.uic.edu:8080/proofing/t5/532406-family-history-0-3.pdf","t5/532406-family-history-0-3.pdf")</f>
        <v/>
      </c>
      <c r="E104" t="n">
        <v>119960</v>
      </c>
      <c r="F104" t="n">
        <v>532406</v>
      </c>
      <c r="G104" t="inlineStr">
        <is>
          <t>Physician</t>
        </is>
      </c>
      <c r="H104" t="inlineStr">
        <is>
          <t>family-history</t>
        </is>
      </c>
      <c r="I104" t="inlineStr">
        <is>
          <t>He has 3 children (55, 53, 49 years;
   all well).</t>
        </is>
      </c>
    </row>
    <row r="105">
      <c r="A105" t="inlineStr">
        <is>
          <t>532406-family-history-0-3</t>
        </is>
      </c>
      <c r="B105" t="inlineStr"/>
      <c r="C105" t="inlineStr"/>
      <c r="D105">
        <f>HYPERLINK("http://nlpdeep.cs.uic.edu:8080/proofing/gsii/532406-family-history-0-3.pdf","gsii/532406-family-history-0-3.pdf")</f>
        <v/>
      </c>
      <c r="E105" t="n">
        <v>119960</v>
      </c>
      <c r="F105" t="n">
        <v>532406</v>
      </c>
      <c r="G105" t="inlineStr">
        <is>
          <t>Physician</t>
        </is>
      </c>
      <c r="H105" t="inlineStr">
        <is>
          <t>family-history</t>
        </is>
      </c>
      <c r="I105" t="inlineStr">
        <is>
          <t>He has 3 children (55, 53, 49 years;
   all well).</t>
        </is>
      </c>
    </row>
    <row r="106">
      <c r="A106" t="inlineStr">
        <is>
          <t>532406-family-history-0-4</t>
        </is>
      </c>
      <c r="B106" t="inlineStr"/>
      <c r="C106" t="inlineStr"/>
      <c r="D106">
        <f>HYPERLINK("http://nlpdeep.cs.uic.edu:8080/proofing/t5/532406-family-history-0-4.pdf","t5/532406-family-history-0-4.pdf")</f>
        <v/>
      </c>
      <c r="E106" t="n">
        <v>119960</v>
      </c>
      <c r="F106" t="n">
        <v>532406</v>
      </c>
      <c r="G106" t="inlineStr">
        <is>
          <t>Physician</t>
        </is>
      </c>
      <c r="H106" t="inlineStr">
        <is>
          <t>family-history</t>
        </is>
      </c>
      <c r="I106" t="inlineStr">
        <is>
          <t>A son [**Doctor Last Name 20**] has atrial fibrillation.</t>
        </is>
      </c>
    </row>
    <row r="107">
      <c r="A107" t="inlineStr">
        <is>
          <t>532406-family-history-0-4</t>
        </is>
      </c>
      <c r="B107" t="inlineStr"/>
      <c r="C107" t="inlineStr"/>
      <c r="D107">
        <f>HYPERLINK("http://nlpdeep.cs.uic.edu:8080/proofing/gsii/532406-family-history-0-4.pdf","gsii/532406-family-history-0-4.pdf")</f>
        <v/>
      </c>
      <c r="E107" t="n">
        <v>119960</v>
      </c>
      <c r="F107" t="n">
        <v>532406</v>
      </c>
      <c r="G107" t="inlineStr">
        <is>
          <t>Physician</t>
        </is>
      </c>
      <c r="H107" t="inlineStr">
        <is>
          <t>family-history</t>
        </is>
      </c>
      <c r="I107" t="inlineStr">
        <is>
          <t>A son [**Doctor Last Name 20**] has atrial fibrillation.</t>
        </is>
      </c>
    </row>
    <row r="108">
      <c r="A108" t="inlineStr">
        <is>
          <t>532406-social-history-0-0</t>
        </is>
      </c>
      <c r="B108" t="inlineStr"/>
      <c r="C108" t="inlineStr"/>
      <c r="D108">
        <f>HYPERLINK("http://nlpdeep.cs.uic.edu:8080/proofing/t5/532406-social-history-0-0.pdf","t5/532406-social-history-0-0.pdf")</f>
        <v/>
      </c>
      <c r="E108" t="n">
        <v>119960</v>
      </c>
      <c r="F108" t="n">
        <v>532406</v>
      </c>
      <c r="G108" t="inlineStr">
        <is>
          <t>Physician</t>
        </is>
      </c>
      <c r="H108" t="inlineStr">
        <is>
          <t>social-history</t>
        </is>
      </c>
      <c r="I108" t="inlineStr">
        <is>
          <t xml:space="preserve">
   Occupation:
   Drugs:
   Tobacco:
   Alcohol:
   Other: Usually lives with wife, married for &gt;50yrs, currently at [**Hospital 328**]
   Rehab.</t>
        </is>
      </c>
    </row>
    <row r="109">
      <c r="A109" t="inlineStr">
        <is>
          <t>532406-social-history-0-0</t>
        </is>
      </c>
      <c r="B109" t="inlineStr"/>
      <c r="C109" t="inlineStr"/>
      <c r="D109">
        <f>HYPERLINK("http://nlpdeep.cs.uic.edu:8080/proofing/gsii/532406-social-history-0-0.pdf","gsii/532406-social-history-0-0.pdf")</f>
        <v/>
      </c>
      <c r="E109" t="n">
        <v>119960</v>
      </c>
      <c r="F109" t="n">
        <v>532406</v>
      </c>
      <c r="G109" t="inlineStr">
        <is>
          <t>Physician</t>
        </is>
      </c>
      <c r="H109" t="inlineStr">
        <is>
          <t>social-history</t>
        </is>
      </c>
      <c r="I109" t="inlineStr">
        <is>
          <t xml:space="preserve">
   Occupation:
   Drugs:
   Tobacco:
   Alcohol:
   Other: Usually lives with wife, married for &gt;50yrs, currently at [**Hospital 328**]
   Rehab.</t>
        </is>
      </c>
    </row>
    <row r="110">
      <c r="A110" t="inlineStr">
        <is>
          <t>532406-social-history-0-1</t>
        </is>
      </c>
      <c r="B110" t="inlineStr"/>
      <c r="C110" t="inlineStr"/>
      <c r="D110">
        <f>HYPERLINK("http://nlpdeep.cs.uic.edu:8080/proofing/t5/532406-social-history-0-1.pdf","t5/532406-social-history-0-1.pdf")</f>
        <v/>
      </c>
      <c r="E110" t="n">
        <v>119960</v>
      </c>
      <c r="F110" t="n">
        <v>532406</v>
      </c>
      <c r="G110" t="inlineStr">
        <is>
          <t>Physician</t>
        </is>
      </c>
      <c r="H110" t="inlineStr">
        <is>
          <t>social-history</t>
        </is>
      </c>
      <c r="I110" t="inlineStr">
        <is>
          <t>3 children.</t>
        </is>
      </c>
    </row>
    <row r="111">
      <c r="A111" t="inlineStr">
        <is>
          <t>532406-social-history-0-1</t>
        </is>
      </c>
      <c r="B111" t="inlineStr"/>
      <c r="C111" t="inlineStr"/>
      <c r="D111">
        <f>HYPERLINK("http://nlpdeep.cs.uic.edu:8080/proofing/gsii/532406-social-history-0-1.pdf","gsii/532406-social-history-0-1.pdf")</f>
        <v/>
      </c>
      <c r="E111" t="n">
        <v>119960</v>
      </c>
      <c r="F111" t="n">
        <v>532406</v>
      </c>
      <c r="G111" t="inlineStr">
        <is>
          <t>Physician</t>
        </is>
      </c>
      <c r="H111" t="inlineStr">
        <is>
          <t>social-history</t>
        </is>
      </c>
      <c r="I111" t="inlineStr">
        <is>
          <t>3 children.</t>
        </is>
      </c>
    </row>
    <row r="112">
      <c r="A112" t="inlineStr">
        <is>
          <t>532406-social-history-0-2</t>
        </is>
      </c>
      <c r="B112" t="inlineStr"/>
      <c r="C112" t="inlineStr"/>
      <c r="D112">
        <f>HYPERLINK("http://nlpdeep.cs.uic.edu:8080/proofing/t5/532406-social-history-0-2.pdf","t5/532406-social-history-0-2.pdf")</f>
        <v/>
      </c>
      <c r="E112" t="n">
        <v>119960</v>
      </c>
      <c r="F112" t="n">
        <v>532406</v>
      </c>
      <c r="G112" t="inlineStr">
        <is>
          <t>Physician</t>
        </is>
      </c>
      <c r="H112" t="inlineStr">
        <is>
          <t>social-history</t>
        </is>
      </c>
      <c r="I112" t="inlineStr">
        <is>
          <t>No tobacco, EtOH, IVDU.</t>
        </is>
      </c>
    </row>
    <row r="113">
      <c r="A113" t="inlineStr">
        <is>
          <t>532406-social-history-0-2</t>
        </is>
      </c>
      <c r="B113" t="inlineStr"/>
      <c r="C113" t="inlineStr"/>
      <c r="D113">
        <f>HYPERLINK("http://nlpdeep.cs.uic.edu:8080/proofing/gsii/532406-social-history-0-2.pdf","gsii/532406-social-history-0-2.pdf")</f>
        <v/>
      </c>
      <c r="E113" t="n">
        <v>119960</v>
      </c>
      <c r="F113" t="n">
        <v>532406</v>
      </c>
      <c r="G113" t="inlineStr">
        <is>
          <t>Physician</t>
        </is>
      </c>
      <c r="H113" t="inlineStr">
        <is>
          <t>social-history</t>
        </is>
      </c>
      <c r="I113" t="inlineStr">
        <is>
          <t>No tobacco, EtOH, IVDU.</t>
        </is>
      </c>
    </row>
    <row r="114">
      <c r="A114" t="inlineStr">
        <is>
          <t>532406-social-history-0-3</t>
        </is>
      </c>
      <c r="B114" t="inlineStr"/>
      <c r="C114" t="inlineStr"/>
      <c r="D114">
        <f>HYPERLINK("http://nlpdeep.cs.uic.edu:8080/proofing/t5/532406-social-history-0-3.pdf","t5/532406-social-history-0-3.pdf")</f>
        <v/>
      </c>
      <c r="E114" t="n">
        <v>119960</v>
      </c>
      <c r="F114" t="n">
        <v>532406</v>
      </c>
      <c r="G114" t="inlineStr">
        <is>
          <t>Physician</t>
        </is>
      </c>
      <c r="H114" t="inlineStr">
        <is>
          <t>social-history</t>
        </is>
      </c>
      <c r="I114" t="inlineStr">
        <is>
          <t>Retired, formerly worked
   manufacturing and distributing batteries.</t>
        </is>
      </c>
    </row>
    <row r="115">
      <c r="A115" t="inlineStr">
        <is>
          <t>532406-social-history-0-3</t>
        </is>
      </c>
      <c r="B115" t="inlineStr"/>
      <c r="C115" t="inlineStr"/>
      <c r="D115">
        <f>HYPERLINK("http://nlpdeep.cs.uic.edu:8080/proofing/gsii/532406-social-history-0-3.pdf","gsii/532406-social-history-0-3.pdf")</f>
        <v/>
      </c>
      <c r="E115" t="n">
        <v>119960</v>
      </c>
      <c r="F115" t="n">
        <v>532406</v>
      </c>
      <c r="G115" t="inlineStr">
        <is>
          <t>Physician</t>
        </is>
      </c>
      <c r="H115" t="inlineStr">
        <is>
          <t>social-history</t>
        </is>
      </c>
      <c r="I115" t="inlineStr">
        <is>
          <t>Retired, formerly worked
   manufacturing and distributing batteries.</t>
        </is>
      </c>
    </row>
    <row r="116">
      <c r="A116" t="inlineStr">
        <is>
          <t>532406-social-history-0-4</t>
        </is>
      </c>
      <c r="B116" t="inlineStr"/>
      <c r="C116" t="inlineStr"/>
      <c r="D116">
        <f>HYPERLINK("http://nlpdeep.cs.uic.edu:8080/proofing/t5/532406-social-history-0-4.pdf","t5/532406-social-history-0-4.pdf")</f>
        <v/>
      </c>
      <c r="E116" t="n">
        <v>119960</v>
      </c>
      <c r="F116" t="n">
        <v>532406</v>
      </c>
      <c r="G116" t="inlineStr">
        <is>
          <t>Physician</t>
        </is>
      </c>
      <c r="H116" t="inlineStr">
        <is>
          <t>social-history</t>
        </is>
      </c>
      <c r="I116" t="inlineStr">
        <is>
          <t>He smoked cigars for [**2-1**]
   years and quit &gt;45 years ago.</t>
        </is>
      </c>
    </row>
    <row r="117">
      <c r="A117" t="inlineStr">
        <is>
          <t>532406-social-history-0-4</t>
        </is>
      </c>
      <c r="B117" t="inlineStr"/>
      <c r="C117" t="inlineStr"/>
      <c r="D117">
        <f>HYPERLINK("http://nlpdeep.cs.uic.edu:8080/proofing/gsii/532406-social-history-0-4.pdf","gsii/532406-social-history-0-4.pdf")</f>
        <v/>
      </c>
      <c r="E117" t="n">
        <v>119960</v>
      </c>
      <c r="F117" t="n">
        <v>532406</v>
      </c>
      <c r="G117" t="inlineStr">
        <is>
          <t>Physician</t>
        </is>
      </c>
      <c r="H117" t="inlineStr">
        <is>
          <t>social-history</t>
        </is>
      </c>
      <c r="I117" t="inlineStr">
        <is>
          <t>He smoked cigars for [**2-1**]
   years and quit &gt;45 years ago.</t>
        </is>
      </c>
    </row>
    <row r="118">
      <c r="A118" t="inlineStr">
        <is>
          <t>532406-social-history-0-5</t>
        </is>
      </c>
      <c r="B118" t="inlineStr"/>
      <c r="C118" t="inlineStr"/>
      <c r="D118">
        <f>HYPERLINK("http://nlpdeep.cs.uic.edu:8080/proofing/t5/532406-social-history-0-5.pdf","t5/532406-social-history-0-5.pdf")</f>
        <v/>
      </c>
      <c r="E118" t="n">
        <v>119960</v>
      </c>
      <c r="F118" t="n">
        <v>532406</v>
      </c>
      <c r="G118" t="inlineStr">
        <is>
          <t>Physician</t>
        </is>
      </c>
      <c r="H118" t="inlineStr">
        <is>
          <t>social-history</t>
        </is>
      </c>
      <c r="I118" t="inlineStr">
        <is>
          <t>He has not smoked cigarettes.</t>
        </is>
      </c>
    </row>
    <row r="119">
      <c r="A119" t="inlineStr">
        <is>
          <t>532406-social-history-0-5</t>
        </is>
      </c>
      <c r="B119" t="inlineStr"/>
      <c r="C119" t="inlineStr"/>
      <c r="D119">
        <f>HYPERLINK("http://nlpdeep.cs.uic.edu:8080/proofing/gsii/532406-social-history-0-5.pdf","gsii/532406-social-history-0-5.pdf")</f>
        <v/>
      </c>
      <c r="E119" t="n">
        <v>119960</v>
      </c>
      <c r="F119" t="n">
        <v>532406</v>
      </c>
      <c r="G119" t="inlineStr">
        <is>
          <t>Physician</t>
        </is>
      </c>
      <c r="H119" t="inlineStr">
        <is>
          <t>social-history</t>
        </is>
      </c>
      <c r="I119" t="inlineStr">
        <is>
          <t>He has not smoked cigarettes.</t>
        </is>
      </c>
    </row>
    <row r="120">
      <c r="A120" t="inlineStr">
        <is>
          <t>532406-social-history-0-6</t>
        </is>
      </c>
      <c r="B120" t="inlineStr"/>
      <c r="C120" t="inlineStr"/>
      <c r="D120">
        <f>HYPERLINK("http://nlpdeep.cs.uic.edu:8080/proofing/t5/532406-social-history-0-6.pdf","t5/532406-social-history-0-6.pdf")</f>
        <v/>
      </c>
      <c r="E120" t="n">
        <v>119960</v>
      </c>
      <c r="F120" t="n">
        <v>532406</v>
      </c>
      <c r="G120" t="inlineStr">
        <is>
          <t>Physician</t>
        </is>
      </c>
      <c r="H120" t="inlineStr">
        <is>
          <t>social-history</t>
        </is>
      </c>
      <c r="I120" t="inlineStr">
        <is>
          <t>He does not
   drink alcohol on a regular basis.</t>
        </is>
      </c>
    </row>
    <row r="121">
      <c r="A121" t="inlineStr">
        <is>
          <t>532406-social-history-0-6</t>
        </is>
      </c>
      <c r="B121" t="inlineStr"/>
      <c r="C121" t="inlineStr"/>
      <c r="D121">
        <f>HYPERLINK("http://nlpdeep.cs.uic.edu:8080/proofing/gsii/532406-social-history-0-6.pdf","gsii/532406-social-history-0-6.pdf")</f>
        <v/>
      </c>
      <c r="E121" t="n">
        <v>119960</v>
      </c>
      <c r="F121" t="n">
        <v>532406</v>
      </c>
      <c r="G121" t="inlineStr">
        <is>
          <t>Physician</t>
        </is>
      </c>
      <c r="H121" t="inlineStr">
        <is>
          <t>social-history</t>
        </is>
      </c>
      <c r="I121" t="inlineStr">
        <is>
          <t>He does not
   drink alcohol on a regular basis.</t>
        </is>
      </c>
    </row>
    <row r="122">
      <c r="A122" t="inlineStr">
        <is>
          <t>532406-social-history-0-7</t>
        </is>
      </c>
      <c r="B122" t="inlineStr"/>
      <c r="C122" t="inlineStr"/>
      <c r="D122">
        <f>HYPERLINK("http://nlpdeep.cs.uic.edu:8080/proofing/t5/532406-social-history-0-7.pdf","t5/532406-social-history-0-7.pdf")</f>
        <v/>
      </c>
      <c r="E122" t="n">
        <v>119960</v>
      </c>
      <c r="F122" t="n">
        <v>532406</v>
      </c>
      <c r="G122" t="inlineStr">
        <is>
          <t>Physician</t>
        </is>
      </c>
      <c r="H122" t="inlineStr">
        <is>
          <t>social-history</t>
        </is>
      </c>
      <c r="I122" t="inlineStr">
        <is>
          <t>Denies IV, illicit, or herbal drug
   use.</t>
        </is>
      </c>
    </row>
    <row r="123">
      <c r="A123" t="inlineStr">
        <is>
          <t>532406-social-history-0-7</t>
        </is>
      </c>
      <c r="B123" t="inlineStr"/>
      <c r="C123" t="inlineStr"/>
      <c r="D123">
        <f>HYPERLINK("http://nlpdeep.cs.uic.edu:8080/proofing/gsii/532406-social-history-0-7.pdf","gsii/532406-social-history-0-7.pdf")</f>
        <v/>
      </c>
      <c r="E123" t="n">
        <v>119960</v>
      </c>
      <c r="F123" t="n">
        <v>532406</v>
      </c>
      <c r="G123" t="inlineStr">
        <is>
          <t>Physician</t>
        </is>
      </c>
      <c r="H123" t="inlineStr">
        <is>
          <t>social-history</t>
        </is>
      </c>
      <c r="I123" t="inlineStr">
        <is>
          <t>Denies IV, illicit, or herbal drug
   use.</t>
        </is>
      </c>
    </row>
    <row r="124">
      <c r="A124" t="inlineStr">
        <is>
          <t>532406-flowsheet-data-vitals-0-0</t>
        </is>
      </c>
      <c r="B124" t="inlineStr"/>
      <c r="C124" t="inlineStr"/>
      <c r="D124">
        <f>HYPERLINK("http://nlpdeep.cs.uic.edu:8080/proofing/t5/532406-flowsheet-data-vitals-0-0.pdf","t5/532406-flowsheet-data-vitals-0-0.pdf")</f>
        <v/>
      </c>
      <c r="E124" t="n">
        <v>119960</v>
      </c>
      <c r="F124" t="n">
        <v>532406</v>
      </c>
      <c r="G124" t="inlineStr">
        <is>
          <t>Physician</t>
        </is>
      </c>
      <c r="H124" t="inlineStr">
        <is>
          <t>flowsheet-data-vitals</t>
        </is>
      </c>
      <c r="I124" t="inlineStr">
        <is>
          <t>Vital Signs
   Hemodynamic monitoring
   Fluid Balance
                                                                  24 hours
                                                               Since [**42**] AM
   Tmax: 32.9
C (91.2
   Tcurrent: 32.9
C (91.2
   HR: 65 (65 - 71) bpm
   BP: 96/63(70) {96/63(70) - 151/105(169)} mmHg
   RR: 13 (13 - 32) insp/min
   SpO2: 98%
   Heart rhythm: AF (Atrial Fibrillation)
             Total In:
             26 mL
   PO:
             TF:
   IVF:
   26 mL
   Blood products:
   Total out:
                                                                      0 mL
                                                                    400 mL
   Urine:
   NG:
   Stool:
   Drains:
   Balance:
                                                                      0 mL
                                                                   -375 mL
   Respiratory
   O2 Delivery Device: Nasal cannula
   SpO2: 98%</t>
        </is>
      </c>
    </row>
    <row r="125">
      <c r="A125" t="inlineStr">
        <is>
          <t>532406-flowsheet-data-vitals-0-0</t>
        </is>
      </c>
      <c r="B125" t="inlineStr"/>
      <c r="C125" t="inlineStr"/>
      <c r="D125">
        <f>HYPERLINK("http://nlpdeep.cs.uic.edu:8080/proofing/gsii/532406-flowsheet-data-vitals-0-0.pdf","gsii/532406-flowsheet-data-vitals-0-0.pdf")</f>
        <v/>
      </c>
      <c r="E125" t="n">
        <v>119960</v>
      </c>
      <c r="F125" t="n">
        <v>532406</v>
      </c>
      <c r="G125" t="inlineStr">
        <is>
          <t>Physician</t>
        </is>
      </c>
      <c r="H125" t="inlineStr">
        <is>
          <t>flowsheet-data-vitals</t>
        </is>
      </c>
      <c r="I125" t="inlineStr">
        <is>
          <t>Vital Signs
   Hemodynamic monitoring
   Fluid Balance
                                                                  24 hours
                                                               Since [**42**] AM
   Tmax: 32.9
C (91.2
   Tcurrent: 32.9
C (91.2
   HR: 65 (65 - 71) bpm
   BP: 96/63(70) {96/63(70) - 151/105(169)} mmHg
   RR: 13 (13 - 32) insp/min
   SpO2: 98%
   Heart rhythm: AF (Atrial Fibrillation)
             Total In:
             26 mL
   PO:
             TF:
   IVF:
   26 mL
   Blood products:
   Total out:
                                                                      0 mL
                                                                    400 mL
   Urine:
   NG:
   Stool:
   Drains:
   Balance:
                                                                      0 mL
                                                                   -375 mL
   Respiratory
   O2 Delivery Device: Nasal cannula
   SpO2: 98%</t>
        </is>
      </c>
    </row>
    <row r="126">
      <c r="A126" t="inlineStr">
        <is>
          <t>532406-physical-examination-0-0</t>
        </is>
      </c>
      <c r="B126" t="inlineStr"/>
      <c r="C126" t="inlineStr"/>
      <c r="D126">
        <f>HYPERLINK("http://nlpdeep.cs.uic.edu:8080/proofing/t5/532406-physical-examination-0-0.pdf","t5/532406-physical-examination-0-0.pdf")</f>
        <v/>
      </c>
      <c r="E126" t="n">
        <v>119960</v>
      </c>
      <c r="F126" t="n">
        <v>532406</v>
      </c>
      <c r="G126" t="inlineStr">
        <is>
          <t>Physician</t>
        </is>
      </c>
      <c r="H126" t="inlineStr">
        <is>
          <t>physical-examination</t>
        </is>
      </c>
      <c r="I126" t="inlineStr">
        <is>
          <t>General: Alert, oriented, breathing heavily and appears in pain
   HEENT: Sclera anicteric, MMM
   Neck: supple, JVP 11 cm
   Lungs: Clear to auscultation bilaterally anteriorly but difficult to
   assess with much transmitted upper airway sounds, no wheezes, rales,
   ronchi
   CV: Irregularly irregular rhythm, normal rate, distant heart sounds, no
   murmurs, rubs, gallops
   Abdomen:  soft, non-tender, non-distended, bowel sounds present, no
   rebound tenderness or guarding
   GU: foley
   Ext: cool, 2+ DP pulses bilaterally, no clubbing.</t>
        </is>
      </c>
    </row>
    <row r="127">
      <c r="A127" t="inlineStr">
        <is>
          <t>532406-physical-examination-0-0</t>
        </is>
      </c>
      <c r="B127" t="inlineStr"/>
      <c r="C127" t="inlineStr"/>
      <c r="D127">
        <f>HYPERLINK("http://nlpdeep.cs.uic.edu:8080/proofing/gsii/532406-physical-examination-0-0.pdf","gsii/532406-physical-examination-0-0.pdf")</f>
        <v/>
      </c>
      <c r="E127" t="n">
        <v>119960</v>
      </c>
      <c r="F127" t="n">
        <v>532406</v>
      </c>
      <c r="G127" t="inlineStr">
        <is>
          <t>Physician</t>
        </is>
      </c>
      <c r="H127" t="inlineStr">
        <is>
          <t>physical-examination</t>
        </is>
      </c>
      <c r="I127" t="inlineStr">
        <is>
          <t>General: Alert, oriented, breathing heavily and appears in pain
   HEENT: Sclera anicteric, MMM
   Neck: supple, JVP 11 cm
   Lungs: Clear to auscultation bilaterally anteriorly but difficult to
   assess with much transmitted upper airway sounds, no wheezes, rales,
   ronchi
   CV: Irregularly irregular rhythm, normal rate, distant heart sounds, no
   murmurs, rubs, gallops
   Abdomen:  soft, non-tender, non-distended, bowel sounds present, no
   rebound tenderness or guarding
   GU: foley
   Ext: cool, 2+ DP pulses bilaterally, no clubbing.</t>
        </is>
      </c>
    </row>
    <row r="128">
      <c r="A128" t="inlineStr">
        <is>
          <t>532406-physical-examination-0-1</t>
        </is>
      </c>
      <c r="B128" t="inlineStr"/>
      <c r="C128" t="inlineStr"/>
      <c r="D128">
        <f>HYPERLINK("http://nlpdeep.cs.uic.edu:8080/proofing/t5/532406-physical-examination-0-1.pdf","t5/532406-physical-examination-0-1.pdf")</f>
        <v/>
      </c>
      <c r="E128" t="n">
        <v>119960</v>
      </c>
      <c r="F128" t="n">
        <v>532406</v>
      </c>
      <c r="G128" t="inlineStr">
        <is>
          <t>Physician</t>
        </is>
      </c>
      <c r="H128" t="inlineStr">
        <is>
          <t>physical-examination</t>
        </is>
      </c>
      <c r="I128" t="inlineStr">
        <is>
          <t>[**2-1**]+ pitting edema
   bilaterally; lower legs wrapped in ACE bandages.</t>
        </is>
      </c>
    </row>
    <row r="129">
      <c r="A129" t="inlineStr">
        <is>
          <t>532406-physical-examination-0-1</t>
        </is>
      </c>
      <c r="B129" t="inlineStr"/>
      <c r="C129" t="inlineStr"/>
      <c r="D129">
        <f>HYPERLINK("http://nlpdeep.cs.uic.edu:8080/proofing/gsii/532406-physical-examination-0-1.pdf","gsii/532406-physical-examination-0-1.pdf")</f>
        <v/>
      </c>
      <c r="E129" t="n">
        <v>119960</v>
      </c>
      <c r="F129" t="n">
        <v>532406</v>
      </c>
      <c r="G129" t="inlineStr">
        <is>
          <t>Physician</t>
        </is>
      </c>
      <c r="H129" t="inlineStr">
        <is>
          <t>physical-examination</t>
        </is>
      </c>
      <c r="I129" t="inlineStr">
        <is>
          <t>[**2-1**]+ pitting edema
   bilaterally; lower legs wrapped in ACE bandages.</t>
        </is>
      </c>
    </row>
    <row r="130">
      <c r="A130" t="inlineStr">
        <is>
          <t>532406-physical-examination-0-2</t>
        </is>
      </c>
      <c r="B130" t="inlineStr"/>
      <c r="C130" t="inlineStr"/>
      <c r="D130">
        <f>HYPERLINK("http://nlpdeep.cs.uic.edu:8080/proofing/t5/532406-physical-examination-0-2.pdf","t5/532406-physical-examination-0-2.pdf")</f>
        <v/>
      </c>
      <c r="E130" t="n">
        <v>119960</v>
      </c>
      <c r="F130" t="n">
        <v>532406</v>
      </c>
      <c r="G130" t="inlineStr">
        <is>
          <t>Physician</t>
        </is>
      </c>
      <c r="H130" t="inlineStr">
        <is>
          <t>physical-examination</t>
        </is>
      </c>
      <c r="I130" t="inlineStr">
        <is>
          <t>Multiple small
   ecchymoses on UE bilaterally.</t>
        </is>
      </c>
    </row>
    <row r="131">
      <c r="A131" t="inlineStr">
        <is>
          <t>532406-physical-examination-0-2</t>
        </is>
      </c>
      <c r="B131" t="inlineStr"/>
      <c r="C131" t="inlineStr"/>
      <c r="D131">
        <f>HYPERLINK("http://nlpdeep.cs.uic.edu:8080/proofing/gsii/532406-physical-examination-0-2.pdf","gsii/532406-physical-examination-0-2.pdf")</f>
        <v/>
      </c>
      <c r="E131" t="n">
        <v>119960</v>
      </c>
      <c r="F131" t="n">
        <v>532406</v>
      </c>
      <c r="G131" t="inlineStr">
        <is>
          <t>Physician</t>
        </is>
      </c>
      <c r="H131" t="inlineStr">
        <is>
          <t>physical-examination</t>
        </is>
      </c>
      <c r="I131" t="inlineStr">
        <is>
          <t>Multiple small
   ecchymoses on UE bilaterally.</t>
        </is>
      </c>
    </row>
    <row r="132">
      <c r="A132" t="inlineStr">
        <is>
          <t>532406-physical-examination-0-3</t>
        </is>
      </c>
      <c r="B132" t="inlineStr"/>
      <c r="C132" t="inlineStr"/>
      <c r="D132">
        <f>HYPERLINK("http://nlpdeep.cs.uic.edu:8080/proofing/t5/532406-physical-examination-0-3.pdf","t5/532406-physical-examination-0-3.pdf")</f>
        <v/>
      </c>
      <c r="E132" t="n">
        <v>119960</v>
      </c>
      <c r="F132" t="n">
        <v>532406</v>
      </c>
      <c r="G132" t="inlineStr">
        <is>
          <t>Physician</t>
        </is>
      </c>
      <c r="H132" t="inlineStr">
        <is>
          <t>physical-examination</t>
        </is>
      </c>
      <c r="I132" t="inlineStr">
        <is>
          <t>Left leg externally rotated and
   shortened, with ecchymosis noted on lateral hip area.</t>
        </is>
      </c>
    </row>
    <row r="133">
      <c r="A133" t="inlineStr">
        <is>
          <t>532406-physical-examination-0-3</t>
        </is>
      </c>
      <c r="B133" t="inlineStr"/>
      <c r="C133" t="inlineStr"/>
      <c r="D133">
        <f>HYPERLINK("http://nlpdeep.cs.uic.edu:8080/proofing/gsii/532406-physical-examination-0-3.pdf","gsii/532406-physical-examination-0-3.pdf")</f>
        <v/>
      </c>
      <c r="E133" t="n">
        <v>119960</v>
      </c>
      <c r="F133" t="n">
        <v>532406</v>
      </c>
      <c r="G133" t="inlineStr">
        <is>
          <t>Physician</t>
        </is>
      </c>
      <c r="H133" t="inlineStr">
        <is>
          <t>physical-examination</t>
        </is>
      </c>
      <c r="I133" t="inlineStr">
        <is>
          <t>Left leg externally rotated and
   shortened, with ecchymosis noted on lateral hip area.</t>
        </is>
      </c>
    </row>
    <row r="134">
      <c r="A134" t="inlineStr">
        <is>
          <t>532406-labs-imaging-0-0</t>
        </is>
      </c>
      <c r="B134" t="inlineStr"/>
      <c r="C134" t="inlineStr"/>
      <c r="D134">
        <f>HYPERLINK("http://nlpdeep.cs.uic.edu:8080/proofing/t5/532406-labs-imaging-0-0.pdf","t5/532406-labs-imaging-0-0.pdf")</f>
        <v/>
      </c>
      <c r="E134" t="n">
        <v>119960</v>
      </c>
      <c r="F134" t="n">
        <v>532406</v>
      </c>
      <c r="G134" t="inlineStr">
        <is>
          <t>Physician</t>
        </is>
      </c>
      <c r="H134" t="inlineStr">
        <is>
          <t>labs-imaging</t>
        </is>
      </c>
      <c r="I134" t="inlineStr">
        <is>
          <t>128 K/uL
   7.8 g/dL
   101 mEq/L
   5.1 mEq/L
   140 mEq/L
   22.8 %
   8.2 K/uL
        [image002.jpg]
                                  [**2136-12-31**]
                          2:33 A4/8/[**2140**]  08:20 PM
                                  [**2137-1-4**]
                                   10:20 P
                                  [**2137-1-5**]
                                   1:20 P
                                  [**2137-1-6**]
                                   11:50 P
                                  [**2137-1-7**]
                                   1:20 A
                                  [**2137-1-8**]
                                   7:20 P
                                  1//11/006
                                   1:23 P
                                  [**2137-1-31**]
                                   1:20 P
                                  [**2137-1-31**]
                                   11:20 P
                                  [**2137-1-31**]
                                   4:20 P
   WBC
                                     8.2
   Hct
                                    22.8
   Plt
                                     128
   Other labs: Lactic Acid:0.9 mmol/L, Mg++:2.1 mg/dL, PO4:5.0 mg/dL
   Micro: blood cx
 pending
   [**4-6**] CT Ab/pelvis w/o contrast: 1.</t>
        </is>
      </c>
    </row>
    <row r="135">
      <c r="A135" t="inlineStr">
        <is>
          <t>532406-labs-imaging-0-0</t>
        </is>
      </c>
      <c r="B135" t="inlineStr"/>
      <c r="C135" t="inlineStr"/>
      <c r="D135">
        <f>HYPERLINK("http://nlpdeep.cs.uic.edu:8080/proofing/gsii/532406-labs-imaging-0-0.pdf","gsii/532406-labs-imaging-0-0.pdf")</f>
        <v/>
      </c>
      <c r="E135" t="n">
        <v>119960</v>
      </c>
      <c r="F135" t="n">
        <v>532406</v>
      </c>
      <c r="G135" t="inlineStr">
        <is>
          <t>Physician</t>
        </is>
      </c>
      <c r="H135" t="inlineStr">
        <is>
          <t>labs-imaging</t>
        </is>
      </c>
      <c r="I135" t="inlineStr">
        <is>
          <t>128 K/uL
   7.8 g/dL
   101 mEq/L
   5.1 mEq/L
   140 mEq/L
   22.8 %
   8.2 K/uL
        [image002.jpg]
                                  [**2136-12-31**]
                          2:33 A4/8/[**2140**]  08:20 PM
                                  [**2137-1-4**]
                                   10:20 P
                                  [**2137-1-5**]
                                   1:20 P
                                  [**2137-1-6**]
                                   11:50 P
                                  [**2137-1-7**]
                                   1:20 A
                                  [**2137-1-8**]
                                   7:20 P
                                  1//11/006
                                   1:23 P
                                  [**2137-1-31**]
                                   1:20 P
                                  [**2137-1-31**]
                                   11:20 P
                                  [**2137-1-31**]
                                   4:20 P
   WBC
                                     8.2
   Hct
                                    22.8
   Plt
                                     128
   Other labs: Lactic Acid:0.9 mmol/L, Mg++:2.1 mg/dL, PO4:5.0 mg/dL
   Micro: blood cx
 pending
   [**4-6**] CT Ab/pelvis w/o contrast: 1.</t>
        </is>
      </c>
    </row>
    <row r="136">
      <c r="A136" t="inlineStr">
        <is>
          <t>532406-labs-imaging-0-1</t>
        </is>
      </c>
      <c r="B136" t="inlineStr"/>
      <c r="C136" t="inlineStr"/>
      <c r="D136">
        <f>HYPERLINK("http://nlpdeep.cs.uic.edu:8080/proofing/t5/532406-labs-imaging-0-1.pdf","t5/532406-labs-imaging-0-1.pdf")</f>
        <v/>
      </c>
      <c r="E136" t="n">
        <v>119960</v>
      </c>
      <c r="F136" t="n">
        <v>532406</v>
      </c>
      <c r="G136" t="inlineStr">
        <is>
          <t>Physician</t>
        </is>
      </c>
      <c r="H136" t="inlineStr">
        <is>
          <t>labs-imaging</t>
        </is>
      </c>
      <c r="I136" t="inlineStr">
        <is>
          <t>Left intertrochanteric hip fracture.</t>
        </is>
      </c>
    </row>
    <row r="137">
      <c r="A137" t="inlineStr">
        <is>
          <t>532406-labs-imaging-0-1</t>
        </is>
      </c>
      <c r="B137" t="inlineStr"/>
      <c r="C137" t="inlineStr"/>
      <c r="D137">
        <f>HYPERLINK("http://nlpdeep.cs.uic.edu:8080/proofing/gsii/532406-labs-imaging-0-1.pdf","gsii/532406-labs-imaging-0-1.pdf")</f>
        <v/>
      </c>
      <c r="E137" t="n">
        <v>119960</v>
      </c>
      <c r="F137" t="n">
        <v>532406</v>
      </c>
      <c r="G137" t="inlineStr">
        <is>
          <t>Physician</t>
        </is>
      </c>
      <c r="H137" t="inlineStr">
        <is>
          <t>labs-imaging</t>
        </is>
      </c>
      <c r="I137" t="inlineStr">
        <is>
          <t>Left intertrochanteric hip fracture.</t>
        </is>
      </c>
    </row>
    <row r="138">
      <c r="A138" t="inlineStr">
        <is>
          <t>532406-labs-imaging-0-2</t>
        </is>
      </c>
      <c r="B138" t="inlineStr"/>
      <c r="C138" t="inlineStr"/>
      <c r="D138">
        <f>HYPERLINK("http://nlpdeep.cs.uic.edu:8080/proofing/t5/532406-labs-imaging-0-2.pdf","t5/532406-labs-imaging-0-2.pdf")</f>
        <v/>
      </c>
      <c r="E138" t="n">
        <v>119960</v>
      </c>
      <c r="F138" t="n">
        <v>532406</v>
      </c>
      <c r="G138" t="inlineStr">
        <is>
          <t>Physician</t>
        </is>
      </c>
      <c r="H138" t="inlineStr">
        <is>
          <t>labs-imaging</t>
        </is>
      </c>
      <c r="I138" t="inlineStr">
        <is>
          <t>Large left adrenal mass, which is not characterized on non-contrast
   examination.</t>
        </is>
      </c>
    </row>
    <row r="139">
      <c r="A139" t="inlineStr">
        <is>
          <t>532406-labs-imaging-0-2</t>
        </is>
      </c>
      <c r="B139" t="inlineStr"/>
      <c r="C139" t="inlineStr"/>
      <c r="D139">
        <f>HYPERLINK("http://nlpdeep.cs.uic.edu:8080/proofing/gsii/532406-labs-imaging-0-2.pdf","gsii/532406-labs-imaging-0-2.pdf")</f>
        <v/>
      </c>
      <c r="E139" t="n">
        <v>119960</v>
      </c>
      <c r="F139" t="n">
        <v>532406</v>
      </c>
      <c r="G139" t="inlineStr">
        <is>
          <t>Physician</t>
        </is>
      </c>
      <c r="H139" t="inlineStr">
        <is>
          <t>labs-imaging</t>
        </is>
      </c>
      <c r="I139" t="inlineStr">
        <is>
          <t>Large left adrenal mass, which is not characterized on non-contrast
   examination.</t>
        </is>
      </c>
    </row>
    <row r="140">
      <c r="A140" t="inlineStr">
        <is>
          <t>532406-labs-imaging-0-3</t>
        </is>
      </c>
      <c r="B140" t="inlineStr"/>
      <c r="C140" t="inlineStr"/>
      <c r="D140">
        <f>HYPERLINK("http://nlpdeep.cs.uic.edu:8080/proofing/t5/532406-labs-imaging-0-3.pdf","t5/532406-labs-imaging-0-3.pdf")</f>
        <v/>
      </c>
      <c r="E140" t="n">
        <v>119960</v>
      </c>
      <c r="F140" t="n">
        <v>532406</v>
      </c>
      <c r="G140" t="inlineStr">
        <is>
          <t>Physician</t>
        </is>
      </c>
      <c r="H140" t="inlineStr">
        <is>
          <t>labs-imaging</t>
        </is>
      </c>
      <c r="I140" t="inlineStr">
        <is>
          <t>However, the imaging features are not consistent with an
   adrenal hematoma.</t>
        </is>
      </c>
    </row>
    <row r="141">
      <c r="A141" t="inlineStr">
        <is>
          <t>532406-labs-imaging-0-3</t>
        </is>
      </c>
      <c r="B141" t="inlineStr"/>
      <c r="C141" t="inlineStr"/>
      <c r="D141">
        <f>HYPERLINK("http://nlpdeep.cs.uic.edu:8080/proofing/gsii/532406-labs-imaging-0-3.pdf","gsii/532406-labs-imaging-0-3.pdf")</f>
        <v/>
      </c>
      <c r="E141" t="n">
        <v>119960</v>
      </c>
      <c r="F141" t="n">
        <v>532406</v>
      </c>
      <c r="G141" t="inlineStr">
        <is>
          <t>Physician</t>
        </is>
      </c>
      <c r="H141" t="inlineStr">
        <is>
          <t>labs-imaging</t>
        </is>
      </c>
      <c r="I141" t="inlineStr">
        <is>
          <t>However, the imaging features are not consistent with an
   adrenal hematoma.</t>
        </is>
      </c>
    </row>
    <row r="142">
      <c r="A142" t="inlineStr">
        <is>
          <t>532406-labs-imaging-0-4</t>
        </is>
      </c>
      <c r="B142" t="inlineStr"/>
      <c r="C142" t="inlineStr"/>
      <c r="D142">
        <f>HYPERLINK("http://nlpdeep.cs.uic.edu:8080/proofing/t5/532406-labs-imaging-0-4.pdf","t5/532406-labs-imaging-0-4.pdf")</f>
        <v/>
      </c>
      <c r="E142" t="n">
        <v>119960</v>
      </c>
      <c r="F142" t="n">
        <v>532406</v>
      </c>
      <c r="G142" t="inlineStr">
        <is>
          <t>Physician</t>
        </is>
      </c>
      <c r="H142" t="inlineStr">
        <is>
          <t>labs-imaging</t>
        </is>
      </c>
      <c r="I142" t="inlineStr">
        <is>
          <t>A nonurgent adrenal MR recommended for further
   characterization.</t>
        </is>
      </c>
    </row>
    <row r="143">
      <c r="A143" t="inlineStr">
        <is>
          <t>532406-labs-imaging-0-4</t>
        </is>
      </c>
      <c r="B143" t="inlineStr"/>
      <c r="C143" t="inlineStr"/>
      <c r="D143">
        <f>HYPERLINK("http://nlpdeep.cs.uic.edu:8080/proofing/gsii/532406-labs-imaging-0-4.pdf","gsii/532406-labs-imaging-0-4.pdf")</f>
        <v/>
      </c>
      <c r="E143" t="n">
        <v>119960</v>
      </c>
      <c r="F143" t="n">
        <v>532406</v>
      </c>
      <c r="G143" t="inlineStr">
        <is>
          <t>Physician</t>
        </is>
      </c>
      <c r="H143" t="inlineStr">
        <is>
          <t>labs-imaging</t>
        </is>
      </c>
      <c r="I143" t="inlineStr">
        <is>
          <t>A nonurgent adrenal MR recommended for further
   characterization.</t>
        </is>
      </c>
    </row>
    <row r="144">
      <c r="A144" t="inlineStr">
        <is>
          <t>532406-labs-imaging-0-5</t>
        </is>
      </c>
      <c r="B144" t="inlineStr"/>
      <c r="C144" t="inlineStr"/>
      <c r="D144">
        <f>HYPERLINK("http://nlpdeep.cs.uic.edu:8080/proofing/t5/532406-labs-imaging-0-5.pdf","t5/532406-labs-imaging-0-5.pdf")</f>
        <v/>
      </c>
      <c r="E144" t="n">
        <v>119960</v>
      </c>
      <c r="F144" t="n">
        <v>532406</v>
      </c>
      <c r="G144" t="inlineStr">
        <is>
          <t>Physician</t>
        </is>
      </c>
      <c r="H144" t="inlineStr">
        <is>
          <t>labs-imaging</t>
        </is>
      </c>
      <c r="I144" t="inlineStr">
        <is>
          <t>Cholelithiasis.</t>
        </is>
      </c>
    </row>
    <row r="145">
      <c r="A145" t="inlineStr">
        <is>
          <t>532406-labs-imaging-0-5</t>
        </is>
      </c>
      <c r="B145" t="inlineStr"/>
      <c r="C145" t="inlineStr"/>
      <c r="D145">
        <f>HYPERLINK("http://nlpdeep.cs.uic.edu:8080/proofing/gsii/532406-labs-imaging-0-5.pdf","gsii/532406-labs-imaging-0-5.pdf")</f>
        <v/>
      </c>
      <c r="E145" t="n">
        <v>119960</v>
      </c>
      <c r="F145" t="n">
        <v>532406</v>
      </c>
      <c r="G145" t="inlineStr">
        <is>
          <t>Physician</t>
        </is>
      </c>
      <c r="H145" t="inlineStr">
        <is>
          <t>labs-imaging</t>
        </is>
      </c>
      <c r="I145" t="inlineStr">
        <is>
          <t>Cholelithiasis.</t>
        </is>
      </c>
    </row>
    <row r="146">
      <c r="A146" t="inlineStr">
        <is>
          <t>532406-labs-imaging-0-6</t>
        </is>
      </c>
      <c r="B146" t="inlineStr"/>
      <c r="C146" t="inlineStr"/>
      <c r="D146">
        <f>HYPERLINK("http://nlpdeep.cs.uic.edu:8080/proofing/t5/532406-labs-imaging-0-6.pdf","t5/532406-labs-imaging-0-6.pdf")</f>
        <v/>
      </c>
      <c r="E146" t="n">
        <v>119960</v>
      </c>
      <c r="F146" t="n">
        <v>532406</v>
      </c>
      <c r="G146" t="inlineStr">
        <is>
          <t>Physician</t>
        </is>
      </c>
      <c r="H146" t="inlineStr">
        <is>
          <t>labs-imaging</t>
        </is>
      </c>
      <c r="I146" t="inlineStr">
        <is>
          <t>Atherosclerotic calcification
   of the abdominal aorta and its branches.</t>
        </is>
      </c>
    </row>
    <row r="147">
      <c r="A147" t="inlineStr">
        <is>
          <t>532406-labs-imaging-0-6</t>
        </is>
      </c>
      <c r="B147" t="inlineStr"/>
      <c r="C147" t="inlineStr"/>
      <c r="D147">
        <f>HYPERLINK("http://nlpdeep.cs.uic.edu:8080/proofing/gsii/532406-labs-imaging-0-6.pdf","gsii/532406-labs-imaging-0-6.pdf")</f>
        <v/>
      </c>
      <c r="E147" t="n">
        <v>119960</v>
      </c>
      <c r="F147" t="n">
        <v>532406</v>
      </c>
      <c r="G147" t="inlineStr">
        <is>
          <t>Physician</t>
        </is>
      </c>
      <c r="H147" t="inlineStr">
        <is>
          <t>labs-imaging</t>
        </is>
      </c>
      <c r="I147" t="inlineStr">
        <is>
          <t>Atherosclerotic calcification
   of the abdominal aorta and its branches.</t>
        </is>
      </c>
    </row>
    <row r="148">
      <c r="A148" t="inlineStr">
        <is>
          <t>532406-labs-imaging-0-7</t>
        </is>
      </c>
      <c r="B148" t="inlineStr"/>
      <c r="C148" t="inlineStr"/>
      <c r="D148">
        <f>HYPERLINK("http://nlpdeep.cs.uic.edu:8080/proofing/t5/532406-labs-imaging-0-7.pdf","t5/532406-labs-imaging-0-7.pdf")</f>
        <v/>
      </c>
      <c r="E148" t="n">
        <v>119960</v>
      </c>
      <c r="F148" t="n">
        <v>532406</v>
      </c>
      <c r="G148" t="inlineStr">
        <is>
          <t>Physician</t>
        </is>
      </c>
      <c r="H148" t="inlineStr">
        <is>
          <t>labs-imaging</t>
        </is>
      </c>
      <c r="I148" t="inlineStr">
        <is>
          <t>No evidence of
   retroperitoneal hematoma.</t>
        </is>
      </c>
    </row>
    <row r="149">
      <c r="A149" t="inlineStr">
        <is>
          <t>532406-labs-imaging-0-7</t>
        </is>
      </c>
      <c r="B149" t="inlineStr"/>
      <c r="C149" t="inlineStr"/>
      <c r="D149">
        <f>HYPERLINK("http://nlpdeep.cs.uic.edu:8080/proofing/gsii/532406-labs-imaging-0-7.pdf","gsii/532406-labs-imaging-0-7.pdf")</f>
        <v/>
      </c>
      <c r="E149" t="n">
        <v>119960</v>
      </c>
      <c r="F149" t="n">
        <v>532406</v>
      </c>
      <c r="G149" t="inlineStr">
        <is>
          <t>Physician</t>
        </is>
      </c>
      <c r="H149" t="inlineStr">
        <is>
          <t>labs-imaging</t>
        </is>
      </c>
      <c r="I149" t="inlineStr">
        <is>
          <t>No evidence of
   retroperitoneal hematoma.</t>
        </is>
      </c>
    </row>
    <row r="150">
      <c r="A150" t="inlineStr">
        <is>
          <t>532406-labs-imaging-0-8</t>
        </is>
      </c>
      <c r="B150" t="inlineStr"/>
      <c r="C150" t="inlineStr"/>
      <c r="D150">
        <f>HYPERLINK("http://nlpdeep.cs.uic.edu:8080/proofing/t5/532406-labs-imaging-0-8.pdf","t5/532406-labs-imaging-0-8.pdf")</f>
        <v/>
      </c>
      <c r="E150" t="n">
        <v>119960</v>
      </c>
      <c r="F150" t="n">
        <v>532406</v>
      </c>
      <c r="G150" t="inlineStr">
        <is>
          <t>Physician</t>
        </is>
      </c>
      <c r="H150" t="inlineStr">
        <is>
          <t>labs-imaging</t>
        </is>
      </c>
      <c r="I150" t="inlineStr">
        <is>
          <t>Prostatic enlargement.</t>
        </is>
      </c>
    </row>
    <row r="151">
      <c r="A151" t="inlineStr">
        <is>
          <t>532406-labs-imaging-0-8</t>
        </is>
      </c>
      <c r="B151" t="inlineStr"/>
      <c r="C151" t="inlineStr"/>
      <c r="D151">
        <f>HYPERLINK("http://nlpdeep.cs.uic.edu:8080/proofing/gsii/532406-labs-imaging-0-8.pdf","gsii/532406-labs-imaging-0-8.pdf")</f>
        <v/>
      </c>
      <c r="E151" t="n">
        <v>119960</v>
      </c>
      <c r="F151" t="n">
        <v>532406</v>
      </c>
      <c r="G151" t="inlineStr">
        <is>
          <t>Physician</t>
        </is>
      </c>
      <c r="H151" t="inlineStr">
        <is>
          <t>labs-imaging</t>
        </is>
      </c>
      <c r="I151" t="inlineStr">
        <is>
          <t>Prostatic enlargement.</t>
        </is>
      </c>
    </row>
    <row r="152">
      <c r="A152" t="inlineStr">
        <is>
          <t>532406-labs-imaging-1-0</t>
        </is>
      </c>
      <c r="B152" t="inlineStr"/>
      <c r="C152" t="inlineStr"/>
      <c r="D152">
        <f>HYPERLINK("http://nlpdeep.cs.uic.edu:8080/proofing/t5/532406-labs-imaging-1-0.pdf","t5/532406-labs-imaging-1-0.pdf")</f>
        <v/>
      </c>
      <c r="E152" t="n">
        <v>119960</v>
      </c>
      <c r="F152" t="n">
        <v>532406</v>
      </c>
      <c r="G152" t="inlineStr">
        <is>
          <t>Physician</t>
        </is>
      </c>
      <c r="H152" t="inlineStr">
        <is>
          <t>labs-imaging</t>
        </is>
      </c>
      <c r="I152" t="inlineStr"/>
    </row>
    <row r="153">
      <c r="A153" t="inlineStr">
        <is>
          <t>532406-labs-imaging-1-0</t>
        </is>
      </c>
      <c r="B153" t="inlineStr"/>
      <c r="C153" t="inlineStr"/>
      <c r="D153">
        <f>HYPERLINK("http://nlpdeep.cs.uic.edu:8080/proofing/gsii/532406-labs-imaging-1-0.pdf","gsii/532406-labs-imaging-1-0.pdf")</f>
        <v/>
      </c>
      <c r="E153" t="n">
        <v>119960</v>
      </c>
      <c r="F153" t="n">
        <v>532406</v>
      </c>
      <c r="G153" t="inlineStr">
        <is>
          <t>Physician</t>
        </is>
      </c>
      <c r="H153" t="inlineStr">
        <is>
          <t>labs-imaging</t>
        </is>
      </c>
      <c r="I153" t="inlineStr"/>
    </row>
    <row r="154">
      <c r="A154" t="inlineStr">
        <is>
          <t>532406-labs-imaging-2-0</t>
        </is>
      </c>
      <c r="B154" t="inlineStr"/>
      <c r="C154" t="inlineStr"/>
      <c r="D154">
        <f>HYPERLINK("http://nlpdeep.cs.uic.edu:8080/proofing/t5/532406-labs-imaging-2-0.pdf","t5/532406-labs-imaging-2-0.pdf")</f>
        <v/>
      </c>
      <c r="E154" t="n">
        <v>119960</v>
      </c>
      <c r="F154" t="n">
        <v>532406</v>
      </c>
      <c r="G154" t="inlineStr">
        <is>
          <t>Physician</t>
        </is>
      </c>
      <c r="H154" t="inlineStr">
        <is>
          <t>labs-imaging</t>
        </is>
      </c>
      <c r="I154" t="inlineStr"/>
    </row>
    <row r="155">
      <c r="A155" t="inlineStr">
        <is>
          <t>532406-labs-imaging-2-0</t>
        </is>
      </c>
      <c r="B155" t="inlineStr"/>
      <c r="C155" t="inlineStr"/>
      <c r="D155">
        <f>HYPERLINK("http://nlpdeep.cs.uic.edu:8080/proofing/gsii/532406-labs-imaging-2-0.pdf","gsii/532406-labs-imaging-2-0.pdf")</f>
        <v/>
      </c>
      <c r="E155" t="n">
        <v>119960</v>
      </c>
      <c r="F155" t="n">
        <v>532406</v>
      </c>
      <c r="G155" t="inlineStr">
        <is>
          <t>Physician</t>
        </is>
      </c>
      <c r="H155" t="inlineStr">
        <is>
          <t>labs-imaging</t>
        </is>
      </c>
      <c r="I155" t="inlineStr"/>
    </row>
    <row r="156">
      <c r="A156" t="inlineStr">
        <is>
          <t>532406-labs-imaging-3-0</t>
        </is>
      </c>
      <c r="B156" t="inlineStr"/>
      <c r="C156" t="inlineStr"/>
      <c r="D156">
        <f>HYPERLINK("http://nlpdeep.cs.uic.edu:8080/proofing/t5/532406-labs-imaging-3-0.pdf","t5/532406-labs-imaging-3-0.pdf")</f>
        <v/>
      </c>
      <c r="E156" t="n">
        <v>119960</v>
      </c>
      <c r="F156" t="n">
        <v>532406</v>
      </c>
      <c r="G156" t="inlineStr">
        <is>
          <t>Physician</t>
        </is>
      </c>
      <c r="H156" t="inlineStr">
        <is>
          <t>labs-imaging</t>
        </is>
      </c>
      <c r="I156" t="inlineStr"/>
    </row>
    <row r="157">
      <c r="A157" t="inlineStr">
        <is>
          <t>532406-labs-imaging-3-0</t>
        </is>
      </c>
      <c r="B157" t="inlineStr"/>
      <c r="C157" t="inlineStr"/>
      <c r="D157">
        <f>HYPERLINK("http://nlpdeep.cs.uic.edu:8080/proofing/gsii/532406-labs-imaging-3-0.pdf","gsii/532406-labs-imaging-3-0.pdf")</f>
        <v/>
      </c>
      <c r="E157" t="n">
        <v>119960</v>
      </c>
      <c r="F157" t="n">
        <v>532406</v>
      </c>
      <c r="G157" t="inlineStr">
        <is>
          <t>Physician</t>
        </is>
      </c>
      <c r="H157" t="inlineStr">
        <is>
          <t>labs-imaging</t>
        </is>
      </c>
      <c r="I157" t="inlineStr"/>
    </row>
    <row r="158">
      <c r="A158" t="inlineStr">
        <is>
          <t>532406-labs-imaging-4-0</t>
        </is>
      </c>
      <c r="B158" t="inlineStr"/>
      <c r="C158" t="inlineStr"/>
      <c r="D158">
        <f>HYPERLINK("http://nlpdeep.cs.uic.edu:8080/proofing/t5/532406-labs-imaging-4-0.pdf","t5/532406-labs-imaging-4-0.pdf")</f>
        <v/>
      </c>
      <c r="E158" t="n">
        <v>119960</v>
      </c>
      <c r="F158" t="n">
        <v>532406</v>
      </c>
      <c r="G158" t="inlineStr">
        <is>
          <t>Physician</t>
        </is>
      </c>
      <c r="H158" t="inlineStr">
        <is>
          <t>labs-imaging</t>
        </is>
      </c>
      <c r="I158" t="inlineStr">
        <is>
          <t xml:space="preserve">
   [**4-6**] CT C-spine w/o contrast - 1.</t>
        </is>
      </c>
    </row>
    <row r="159">
      <c r="A159" t="inlineStr">
        <is>
          <t>532406-labs-imaging-4-0</t>
        </is>
      </c>
      <c r="B159" t="inlineStr"/>
      <c r="C159" t="inlineStr"/>
      <c r="D159">
        <f>HYPERLINK("http://nlpdeep.cs.uic.edu:8080/proofing/gsii/532406-labs-imaging-4-0.pdf","gsii/532406-labs-imaging-4-0.pdf")</f>
        <v/>
      </c>
      <c r="E159" t="n">
        <v>119960</v>
      </c>
      <c r="F159" t="n">
        <v>532406</v>
      </c>
      <c r="G159" t="inlineStr">
        <is>
          <t>Physician</t>
        </is>
      </c>
      <c r="H159" t="inlineStr">
        <is>
          <t>labs-imaging</t>
        </is>
      </c>
      <c r="I159" t="inlineStr">
        <is>
          <t xml:space="preserve">
   [**4-6**] CT C-spine w/o contrast - 1.</t>
        </is>
      </c>
    </row>
    <row r="160">
      <c r="A160" t="inlineStr">
        <is>
          <t>532406-labs-imaging-4-1</t>
        </is>
      </c>
      <c r="B160" t="inlineStr"/>
      <c r="C160" t="inlineStr"/>
      <c r="D160">
        <f>HYPERLINK("http://nlpdeep.cs.uic.edu:8080/proofing/t5/532406-labs-imaging-4-1.pdf","t5/532406-labs-imaging-4-1.pdf")</f>
        <v/>
      </c>
      <c r="E160" t="n">
        <v>119960</v>
      </c>
      <c r="F160" t="n">
        <v>532406</v>
      </c>
      <c r="G160" t="inlineStr">
        <is>
          <t>Physician</t>
        </is>
      </c>
      <c r="H160" t="inlineStr">
        <is>
          <t>labs-imaging</t>
        </is>
      </c>
      <c r="I160" t="inlineStr">
        <is>
          <t>No fracture.</t>
        </is>
      </c>
    </row>
    <row r="161">
      <c r="A161" t="inlineStr">
        <is>
          <t>532406-labs-imaging-4-1</t>
        </is>
      </c>
      <c r="B161" t="inlineStr"/>
      <c r="C161" t="inlineStr"/>
      <c r="D161">
        <f>HYPERLINK("http://nlpdeep.cs.uic.edu:8080/proofing/gsii/532406-labs-imaging-4-1.pdf","gsii/532406-labs-imaging-4-1.pdf")</f>
        <v/>
      </c>
      <c r="E161" t="n">
        <v>119960</v>
      </c>
      <c r="F161" t="n">
        <v>532406</v>
      </c>
      <c r="G161" t="inlineStr">
        <is>
          <t>Physician</t>
        </is>
      </c>
      <c r="H161" t="inlineStr">
        <is>
          <t>labs-imaging</t>
        </is>
      </c>
      <c r="I161" t="inlineStr">
        <is>
          <t>No fracture.</t>
        </is>
      </c>
    </row>
    <row r="162">
      <c r="A162" t="inlineStr">
        <is>
          <t>532406-labs-imaging-4-2</t>
        </is>
      </c>
      <c r="B162" t="inlineStr"/>
      <c r="C162" t="inlineStr"/>
      <c r="D162">
        <f>HYPERLINK("http://nlpdeep.cs.uic.edu:8080/proofing/t5/532406-labs-imaging-4-2.pdf","t5/532406-labs-imaging-4-2.pdf")</f>
        <v/>
      </c>
      <c r="E162" t="n">
        <v>119960</v>
      </c>
      <c r="F162" t="n">
        <v>532406</v>
      </c>
      <c r="G162" t="inlineStr">
        <is>
          <t>Physician</t>
        </is>
      </c>
      <c r="H162" t="inlineStr">
        <is>
          <t>labs-imaging</t>
        </is>
      </c>
      <c r="I162" t="inlineStr">
        <is>
          <t>Multilevel
   degenerative change.</t>
        </is>
      </c>
    </row>
    <row r="163">
      <c r="A163" t="inlineStr">
        <is>
          <t>532406-labs-imaging-4-2</t>
        </is>
      </c>
      <c r="B163" t="inlineStr"/>
      <c r="C163" t="inlineStr"/>
      <c r="D163">
        <f>HYPERLINK("http://nlpdeep.cs.uic.edu:8080/proofing/gsii/532406-labs-imaging-4-2.pdf","gsii/532406-labs-imaging-4-2.pdf")</f>
        <v/>
      </c>
      <c r="E163" t="n">
        <v>119960</v>
      </c>
      <c r="F163" t="n">
        <v>532406</v>
      </c>
      <c r="G163" t="inlineStr">
        <is>
          <t>Physician</t>
        </is>
      </c>
      <c r="H163" t="inlineStr">
        <is>
          <t>labs-imaging</t>
        </is>
      </c>
      <c r="I163" t="inlineStr">
        <is>
          <t>Multilevel
   degenerative change.</t>
        </is>
      </c>
    </row>
    <row r="164">
      <c r="A164" t="inlineStr">
        <is>
          <t>532406-labs-imaging-4-3</t>
        </is>
      </c>
      <c r="B164" t="inlineStr"/>
      <c r="C164" t="inlineStr"/>
      <c r="D164">
        <f>HYPERLINK("http://nlpdeep.cs.uic.edu:8080/proofing/t5/532406-labs-imaging-4-3.pdf","t5/532406-labs-imaging-4-3.pdf")</f>
        <v/>
      </c>
      <c r="E164" t="n">
        <v>119960</v>
      </c>
      <c r="F164" t="n">
        <v>532406</v>
      </c>
      <c r="G164" t="inlineStr">
        <is>
          <t>Physician</t>
        </is>
      </c>
      <c r="H164" t="inlineStr">
        <is>
          <t>labs-imaging</t>
        </is>
      </c>
      <c r="I164" t="inlineStr">
        <is>
          <t>Grade I anterolisthesis of C7 on T1 and T1 on
   T2, presumably degenerative in nature.</t>
        </is>
      </c>
    </row>
    <row r="165">
      <c r="A165" t="inlineStr">
        <is>
          <t>532406-labs-imaging-4-3</t>
        </is>
      </c>
      <c r="B165" t="inlineStr"/>
      <c r="C165" t="inlineStr"/>
      <c r="D165">
        <f>HYPERLINK("http://nlpdeep.cs.uic.edu:8080/proofing/gsii/532406-labs-imaging-4-3.pdf","gsii/532406-labs-imaging-4-3.pdf")</f>
        <v/>
      </c>
      <c r="E165" t="n">
        <v>119960</v>
      </c>
      <c r="F165" t="n">
        <v>532406</v>
      </c>
      <c r="G165" t="inlineStr">
        <is>
          <t>Physician</t>
        </is>
      </c>
      <c r="H165" t="inlineStr">
        <is>
          <t>labs-imaging</t>
        </is>
      </c>
      <c r="I165" t="inlineStr">
        <is>
          <t>Grade I anterolisthesis of C7 on T1 and T1 on
   T2, presumably degenerative in nature.</t>
        </is>
      </c>
    </row>
    <row r="166">
      <c r="A166" t="inlineStr">
        <is>
          <t>532406-labs-imaging-5-0</t>
        </is>
      </c>
      <c r="B166" t="inlineStr"/>
      <c r="C166" t="inlineStr"/>
      <c r="D166">
        <f>HYPERLINK("http://nlpdeep.cs.uic.edu:8080/proofing/t5/532406-labs-imaging-5-0.pdf","t5/532406-labs-imaging-5-0.pdf")</f>
        <v/>
      </c>
      <c r="E166" t="n">
        <v>119960</v>
      </c>
      <c r="F166" t="n">
        <v>532406</v>
      </c>
      <c r="G166" t="inlineStr">
        <is>
          <t>Physician</t>
        </is>
      </c>
      <c r="H166" t="inlineStr">
        <is>
          <t>labs-imaging</t>
        </is>
      </c>
      <c r="I166" t="inlineStr">
        <is>
          <t xml:space="preserve">
   [**4-6**] CT head w/o contrast - There is no hemorrhage, edema, mass effect,
   shift of midline structures, or evidence of major vascular territorial
   infarction.</t>
        </is>
      </c>
    </row>
    <row r="167">
      <c r="A167" t="inlineStr">
        <is>
          <t>532406-labs-imaging-5-0</t>
        </is>
      </c>
      <c r="B167" t="inlineStr"/>
      <c r="C167" t="inlineStr"/>
      <c r="D167">
        <f>HYPERLINK("http://nlpdeep.cs.uic.edu:8080/proofing/gsii/532406-labs-imaging-5-0.pdf","gsii/532406-labs-imaging-5-0.pdf")</f>
        <v/>
      </c>
      <c r="E167" t="n">
        <v>119960</v>
      </c>
      <c r="F167" t="n">
        <v>532406</v>
      </c>
      <c r="G167" t="inlineStr">
        <is>
          <t>Physician</t>
        </is>
      </c>
      <c r="H167" t="inlineStr">
        <is>
          <t>labs-imaging</t>
        </is>
      </c>
      <c r="I167" t="inlineStr">
        <is>
          <t xml:space="preserve">
   [**4-6**] CT head w/o contrast - There is no hemorrhage, edema, mass effect,
   shift of midline structures, or evidence of major vascular territorial
   infarction.</t>
        </is>
      </c>
    </row>
    <row r="168">
      <c r="A168" t="inlineStr">
        <is>
          <t>532406-labs-imaging-5-1</t>
        </is>
      </c>
      <c r="B168" t="inlineStr"/>
      <c r="C168" t="inlineStr"/>
      <c r="D168">
        <f>HYPERLINK("http://nlpdeep.cs.uic.edu:8080/proofing/t5/532406-labs-imaging-5-1.pdf","t5/532406-labs-imaging-5-1.pdf")</f>
        <v/>
      </c>
      <c r="E168" t="n">
        <v>119960</v>
      </c>
      <c r="F168" t="n">
        <v>532406</v>
      </c>
      <c r="G168" t="inlineStr">
        <is>
          <t>Physician</t>
        </is>
      </c>
      <c r="H168" t="inlineStr">
        <is>
          <t>labs-imaging</t>
        </is>
      </c>
      <c r="I168" t="inlineStr">
        <is>
          <t>There is no acute fracture.</t>
        </is>
      </c>
    </row>
    <row r="169">
      <c r="A169" t="inlineStr">
        <is>
          <t>532406-labs-imaging-5-1</t>
        </is>
      </c>
      <c r="B169" t="inlineStr"/>
      <c r="C169" t="inlineStr"/>
      <c r="D169">
        <f>HYPERLINK("http://nlpdeep.cs.uic.edu:8080/proofing/gsii/532406-labs-imaging-5-1.pdf","gsii/532406-labs-imaging-5-1.pdf")</f>
        <v/>
      </c>
      <c r="E169" t="n">
        <v>119960</v>
      </c>
      <c r="F169" t="n">
        <v>532406</v>
      </c>
      <c r="G169" t="inlineStr">
        <is>
          <t>Physician</t>
        </is>
      </c>
      <c r="H169" t="inlineStr">
        <is>
          <t>labs-imaging</t>
        </is>
      </c>
      <c r="I169" t="inlineStr">
        <is>
          <t>There is no acute fracture.</t>
        </is>
      </c>
    </row>
    <row r="170">
      <c r="A170" t="inlineStr">
        <is>
          <t>532406-labs-imaging-5-2</t>
        </is>
      </c>
      <c r="B170" t="inlineStr"/>
      <c r="C170" t="inlineStr"/>
      <c r="D170">
        <f>HYPERLINK("http://nlpdeep.cs.uic.edu:8080/proofing/t5/532406-labs-imaging-5-2.pdf","t5/532406-labs-imaging-5-2.pdf")</f>
        <v/>
      </c>
      <c r="E170" t="n">
        <v>119960</v>
      </c>
      <c r="F170" t="n">
        <v>532406</v>
      </c>
      <c r="G170" t="inlineStr">
        <is>
          <t>Physician</t>
        </is>
      </c>
      <c r="H170" t="inlineStr">
        <is>
          <t>labs-imaging</t>
        </is>
      </c>
      <c r="I170" t="inlineStr">
        <is>
          <t>There is prominence of
   ventricles and sulci consistent with age-related parenchymal
   involutional change.</t>
        </is>
      </c>
    </row>
    <row r="171">
      <c r="A171" t="inlineStr">
        <is>
          <t>532406-labs-imaging-5-2</t>
        </is>
      </c>
      <c r="B171" t="inlineStr"/>
      <c r="C171" t="inlineStr"/>
      <c r="D171">
        <f>HYPERLINK("http://nlpdeep.cs.uic.edu:8080/proofing/gsii/532406-labs-imaging-5-2.pdf","gsii/532406-labs-imaging-5-2.pdf")</f>
        <v/>
      </c>
      <c r="E171" t="n">
        <v>119960</v>
      </c>
      <c r="F171" t="n">
        <v>532406</v>
      </c>
      <c r="G171" t="inlineStr">
        <is>
          <t>Physician</t>
        </is>
      </c>
      <c r="H171" t="inlineStr">
        <is>
          <t>labs-imaging</t>
        </is>
      </c>
      <c r="I171" t="inlineStr">
        <is>
          <t>There is prominence of
   ventricles and sulci consistent with age-related parenchymal
   involutional change.</t>
        </is>
      </c>
    </row>
    <row r="172">
      <c r="A172" t="inlineStr">
        <is>
          <t>532406-labs-imaging-5-3</t>
        </is>
      </c>
      <c r="B172" t="inlineStr"/>
      <c r="C172" t="inlineStr"/>
      <c r="D172">
        <f>HYPERLINK("http://nlpdeep.cs.uic.edu:8080/proofing/t5/532406-labs-imaging-5-3.pdf","t5/532406-labs-imaging-5-3.pdf")</f>
        <v/>
      </c>
      <c r="E172" t="n">
        <v>119960</v>
      </c>
      <c r="F172" t="n">
        <v>532406</v>
      </c>
      <c r="G172" t="inlineStr">
        <is>
          <t>Physician</t>
        </is>
      </c>
      <c r="H172" t="inlineStr">
        <is>
          <t>labs-imaging</t>
        </is>
      </c>
      <c r="I172" t="inlineStr">
        <is>
          <t>There is periventricular hypodensity consistent
   with chronic small vessel ischemic change.</t>
        </is>
      </c>
    </row>
    <row r="173">
      <c r="A173" t="inlineStr">
        <is>
          <t>532406-labs-imaging-5-3</t>
        </is>
      </c>
      <c r="B173" t="inlineStr"/>
      <c r="C173" t="inlineStr"/>
      <c r="D173">
        <f>HYPERLINK("http://nlpdeep.cs.uic.edu:8080/proofing/gsii/532406-labs-imaging-5-3.pdf","gsii/532406-labs-imaging-5-3.pdf")</f>
        <v/>
      </c>
      <c r="E173" t="n">
        <v>119960</v>
      </c>
      <c r="F173" t="n">
        <v>532406</v>
      </c>
      <c r="G173" t="inlineStr">
        <is>
          <t>Physician</t>
        </is>
      </c>
      <c r="H173" t="inlineStr">
        <is>
          <t>labs-imaging</t>
        </is>
      </c>
      <c r="I173" t="inlineStr">
        <is>
          <t>There is periventricular hypodensity consistent
   with chronic small vessel ischemic change.</t>
        </is>
      </c>
    </row>
    <row r="174">
      <c r="A174" t="inlineStr">
        <is>
          <t>532406-labs-imaging-5-4</t>
        </is>
      </c>
      <c r="B174" t="inlineStr"/>
      <c r="C174" t="inlineStr"/>
      <c r="D174">
        <f>HYPERLINK("http://nlpdeep.cs.uic.edu:8080/proofing/t5/532406-labs-imaging-5-4.pdf","t5/532406-labs-imaging-5-4.pdf")</f>
        <v/>
      </c>
      <c r="E174" t="n">
        <v>119960</v>
      </c>
      <c r="F174" t="n">
        <v>532406</v>
      </c>
      <c r="G174" t="inlineStr">
        <is>
          <t>Physician</t>
        </is>
      </c>
      <c r="H174" t="inlineStr">
        <is>
          <t>labs-imaging</t>
        </is>
      </c>
      <c r="I174" t="inlineStr">
        <is>
          <t>There is a subcentimeter
   right frontal sinus osteoma (2:16).</t>
        </is>
      </c>
    </row>
    <row r="175">
      <c r="A175" t="inlineStr">
        <is>
          <t>532406-labs-imaging-5-4</t>
        </is>
      </c>
      <c r="B175" t="inlineStr"/>
      <c r="C175" t="inlineStr"/>
      <c r="D175">
        <f>HYPERLINK("http://nlpdeep.cs.uic.edu:8080/proofing/gsii/532406-labs-imaging-5-4.pdf","gsii/532406-labs-imaging-5-4.pdf")</f>
        <v/>
      </c>
      <c r="E175" t="n">
        <v>119960</v>
      </c>
      <c r="F175" t="n">
        <v>532406</v>
      </c>
      <c r="G175" t="inlineStr">
        <is>
          <t>Physician</t>
        </is>
      </c>
      <c r="H175" t="inlineStr">
        <is>
          <t>labs-imaging</t>
        </is>
      </c>
      <c r="I175" t="inlineStr">
        <is>
          <t>There is a subcentimeter
   right frontal sinus osteoma (2:16).</t>
        </is>
      </c>
    </row>
    <row r="176">
      <c r="A176" t="inlineStr">
        <is>
          <t>532406-labs-imaging-6-0</t>
        </is>
      </c>
      <c r="B176" t="inlineStr"/>
      <c r="C176" t="inlineStr"/>
      <c r="D176">
        <f>HYPERLINK("http://nlpdeep.cs.uic.edu:8080/proofing/t5/532406-labs-imaging-6-0.pdf","t5/532406-labs-imaging-6-0.pdf")</f>
        <v/>
      </c>
      <c r="E176" t="n">
        <v>119960</v>
      </c>
      <c r="F176" t="n">
        <v>532406</v>
      </c>
      <c r="G176" t="inlineStr">
        <is>
          <t>Physician</t>
        </is>
      </c>
      <c r="H176" t="inlineStr">
        <is>
          <t>labs-imaging</t>
        </is>
      </c>
      <c r="I176" t="inlineStr">
        <is>
          <t xml:space="preserve">
   EKG: HR 60, QRS 134, QTc 494.</t>
        </is>
      </c>
    </row>
    <row r="177">
      <c r="A177" t="inlineStr">
        <is>
          <t>532406-labs-imaging-6-0</t>
        </is>
      </c>
      <c r="B177" t="inlineStr"/>
      <c r="C177" t="inlineStr"/>
      <c r="D177">
        <f>HYPERLINK("http://nlpdeep.cs.uic.edu:8080/proofing/gsii/532406-labs-imaging-6-0.pdf","gsii/532406-labs-imaging-6-0.pdf")</f>
        <v/>
      </c>
      <c r="E177" t="n">
        <v>119960</v>
      </c>
      <c r="F177" t="n">
        <v>532406</v>
      </c>
      <c r="G177" t="inlineStr">
        <is>
          <t>Physician</t>
        </is>
      </c>
      <c r="H177" t="inlineStr">
        <is>
          <t>labs-imaging</t>
        </is>
      </c>
      <c r="I177" t="inlineStr">
        <is>
          <t xml:space="preserve">
   EKG: HR 60, QRS 134, QTc 494.</t>
        </is>
      </c>
    </row>
    <row r="178">
      <c r="A178" t="inlineStr">
        <is>
          <t>532406-labs-imaging-6-1</t>
        </is>
      </c>
      <c r="B178" t="inlineStr"/>
      <c r="C178" t="inlineStr"/>
      <c r="D178">
        <f>HYPERLINK("http://nlpdeep.cs.uic.edu:8080/proofing/t5/532406-labs-imaging-6-1.pdf","t5/532406-labs-imaging-6-1.pdf")</f>
        <v/>
      </c>
      <c r="E178" t="n">
        <v>119960</v>
      </c>
      <c r="F178" t="n">
        <v>532406</v>
      </c>
      <c r="G178" t="inlineStr">
        <is>
          <t>Physician</t>
        </is>
      </c>
      <c r="H178" t="inlineStr">
        <is>
          <t>labs-imaging</t>
        </is>
      </c>
      <c r="I178" t="inlineStr">
        <is>
          <t>Atrial fibrillation.</t>
        </is>
      </c>
    </row>
    <row r="179">
      <c r="A179" t="inlineStr">
        <is>
          <t>532406-labs-imaging-6-1</t>
        </is>
      </c>
      <c r="B179" t="inlineStr"/>
      <c r="C179" t="inlineStr"/>
      <c r="D179">
        <f>HYPERLINK("http://nlpdeep.cs.uic.edu:8080/proofing/gsii/532406-labs-imaging-6-1.pdf","gsii/532406-labs-imaging-6-1.pdf")</f>
        <v/>
      </c>
      <c r="E179" t="n">
        <v>119960</v>
      </c>
      <c r="F179" t="n">
        <v>532406</v>
      </c>
      <c r="G179" t="inlineStr">
        <is>
          <t>Physician</t>
        </is>
      </c>
      <c r="H179" t="inlineStr">
        <is>
          <t>labs-imaging</t>
        </is>
      </c>
      <c r="I179" t="inlineStr">
        <is>
          <t>Atrial fibrillation.</t>
        </is>
      </c>
    </row>
    <row r="180">
      <c r="A180" t="inlineStr">
        <is>
          <t>532406-labs-imaging-6-2</t>
        </is>
      </c>
      <c r="B180" t="inlineStr"/>
      <c r="C180" t="inlineStr"/>
      <c r="D180">
        <f>HYPERLINK("http://nlpdeep.cs.uic.edu:8080/proofing/t5/532406-labs-imaging-6-2.pdf","t5/532406-labs-imaging-6-2.pdf")</f>
        <v/>
      </c>
      <c r="E180" t="n">
        <v>119960</v>
      </c>
      <c r="F180" t="n">
        <v>532406</v>
      </c>
      <c r="G180" t="inlineStr">
        <is>
          <t>Physician</t>
        </is>
      </c>
      <c r="H180" t="inlineStr">
        <is>
          <t>labs-imaging</t>
        </is>
      </c>
      <c r="I180" t="inlineStr">
        <is>
          <t>RBBB.</t>
        </is>
      </c>
    </row>
    <row r="181">
      <c r="A181" t="inlineStr">
        <is>
          <t>532406-labs-imaging-6-2</t>
        </is>
      </c>
      <c r="B181" t="inlineStr"/>
      <c r="C181" t="inlineStr"/>
      <c r="D181">
        <f>HYPERLINK("http://nlpdeep.cs.uic.edu:8080/proofing/gsii/532406-labs-imaging-6-2.pdf","gsii/532406-labs-imaging-6-2.pdf")</f>
        <v/>
      </c>
      <c r="E181" t="n">
        <v>119960</v>
      </c>
      <c r="F181" t="n">
        <v>532406</v>
      </c>
      <c r="G181" t="inlineStr">
        <is>
          <t>Physician</t>
        </is>
      </c>
      <c r="H181" t="inlineStr">
        <is>
          <t>labs-imaging</t>
        </is>
      </c>
      <c r="I181" t="inlineStr">
        <is>
          <t>RBBB.</t>
        </is>
      </c>
    </row>
    <row r="182">
      <c r="A182" t="inlineStr">
        <is>
          <t>532406-labs-imaging-6-3</t>
        </is>
      </c>
      <c r="B182" t="inlineStr"/>
      <c r="C182" t="inlineStr"/>
      <c r="D182">
        <f>HYPERLINK("http://nlpdeep.cs.uic.edu:8080/proofing/t5/532406-labs-imaging-6-3.pdf","t5/532406-labs-imaging-6-3.pdf")</f>
        <v/>
      </c>
      <c r="E182" t="n">
        <v>119960</v>
      </c>
      <c r="F182" t="n">
        <v>532406</v>
      </c>
      <c r="G182" t="inlineStr">
        <is>
          <t>Physician</t>
        </is>
      </c>
      <c r="H182" t="inlineStr">
        <is>
          <t>labs-imaging</t>
        </is>
      </c>
      <c r="I182" t="inlineStr">
        <is>
          <t>ST depression
   in V3 (unchanged from previous comparison, [**2141-3-17**])</t>
        </is>
      </c>
    </row>
    <row r="183">
      <c r="A183" t="inlineStr">
        <is>
          <t>532406-labs-imaging-6-3</t>
        </is>
      </c>
      <c r="B183" t="inlineStr"/>
      <c r="C183" t="inlineStr"/>
      <c r="D183">
        <f>HYPERLINK("http://nlpdeep.cs.uic.edu:8080/proofing/gsii/532406-labs-imaging-6-3.pdf","gsii/532406-labs-imaging-6-3.pdf")</f>
        <v/>
      </c>
      <c r="E183" t="n">
        <v>119960</v>
      </c>
      <c r="F183" t="n">
        <v>532406</v>
      </c>
      <c r="G183" t="inlineStr">
        <is>
          <t>Physician</t>
        </is>
      </c>
      <c r="H183" t="inlineStr">
        <is>
          <t>labs-imaging</t>
        </is>
      </c>
      <c r="I183" t="inlineStr">
        <is>
          <t>ST depression
   in V3 (unchanged from previous comparison, [**2141-3-17**])</t>
        </is>
      </c>
    </row>
    <row r="184">
      <c r="A184" t="inlineStr">
        <is>
          <t>532406-assessment-and-plan-0-0</t>
        </is>
      </c>
      <c r="B184" t="inlineStr"/>
      <c r="C184" t="inlineStr"/>
      <c r="D184">
        <f>HYPERLINK("http://nlpdeep.cs.uic.edu:8080/proofing/t5/532406-assessment-and-plan-0-0.pdf","t5/532406-assessment-and-plan-0-0.pdf")</f>
        <v/>
      </c>
      <c r="E184" t="n">
        <v>119960</v>
      </c>
      <c r="F184" t="n">
        <v>532406</v>
      </c>
      <c r="G184" t="inlineStr">
        <is>
          <t>Physician</t>
        </is>
      </c>
      <c r="H184" t="inlineStr">
        <is>
          <t>assessment-and-plan</t>
        </is>
      </c>
      <c r="I184" t="inlineStr">
        <is>
          <t>ICU Care
   Nutrition:
   Glycemic Control:
   Lines:
   18 Gauge - [**2141-4-6**] 08:30 PM
   Prophylaxis:
   DVT:
   Stress ulcer:
   VAP:
   Comments:
   Communication:  Comments:
   Code status:
   Disposition:</t>
        </is>
      </c>
    </row>
    <row r="185">
      <c r="A185" t="inlineStr">
        <is>
          <t>532406-assessment-and-plan-0-0</t>
        </is>
      </c>
      <c r="B185" t="inlineStr"/>
      <c r="C185" t="inlineStr"/>
      <c r="D185">
        <f>HYPERLINK("http://nlpdeep.cs.uic.edu:8080/proofing/gsii/532406-assessment-and-plan-0-0.pdf","gsii/532406-assessment-and-plan-0-0.pdf")</f>
        <v/>
      </c>
      <c r="E185" t="n">
        <v>119960</v>
      </c>
      <c r="F185" t="n">
        <v>532406</v>
      </c>
      <c r="G185" t="inlineStr">
        <is>
          <t>Physician</t>
        </is>
      </c>
      <c r="H185" t="inlineStr">
        <is>
          <t>assessment-and-plan</t>
        </is>
      </c>
      <c r="I185" t="inlineStr">
        <is>
          <t>ICU Care
   Nutrition:
   Glycemic Control:
   Lines:
   18 Gauge - [**2141-4-6**] 08:30 PM
   Prophylaxis:
   DVT:
   Stress ulcer:
   VAP:
   Comments:
   Communication:  Comments:
   Code status:
   Disposition:</t>
        </is>
      </c>
    </row>
    <row r="186">
      <c r="A186" t="inlineStr">
        <is>
          <t>532406-communication-0-0</t>
        </is>
      </c>
      <c r="B186" t="inlineStr"/>
      <c r="C186" t="inlineStr"/>
      <c r="D186">
        <f>HYPERLINK("http://nlpdeep.cs.uic.edu:8080/proofing/t5/532406-communication-0-0.pdf","t5/532406-communication-0-0.pdf")</f>
        <v/>
      </c>
      <c r="E186" t="n">
        <v>119960</v>
      </c>
      <c r="F186" t="n">
        <v>532406</v>
      </c>
      <c r="G186" t="inlineStr">
        <is>
          <t>Physician</t>
        </is>
      </c>
      <c r="H186" t="inlineStr">
        <is>
          <t>communication</t>
        </is>
      </c>
      <c r="I186" t="inlineStr">
        <is>
          <t>Patient, wife [**Name (NI) **] [**Name (NI) 14481**] [</t>
        </is>
      </c>
    </row>
    <row r="187">
      <c r="A187" t="inlineStr">
        <is>
          <t>532406-communication-0-0</t>
        </is>
      </c>
      <c r="B187" t="inlineStr"/>
      <c r="C187" t="inlineStr"/>
      <c r="D187">
        <f>HYPERLINK("http://nlpdeep.cs.uic.edu:8080/proofing/gsii/532406-communication-0-0.pdf","gsii/532406-communication-0-0.pdf")</f>
        <v/>
      </c>
      <c r="E187" t="n">
        <v>119960</v>
      </c>
      <c r="F187" t="n">
        <v>532406</v>
      </c>
      <c r="G187" t="inlineStr">
        <is>
          <t>Physician</t>
        </is>
      </c>
      <c r="H187" t="inlineStr">
        <is>
          <t>communication</t>
        </is>
      </c>
      <c r="I187" t="inlineStr">
        <is>
          <t>Patient, wife [**Name (NI) **] [**Name (NI) 14481**] [</t>
        </is>
      </c>
    </row>
    <row r="188">
      <c r="A188" t="inlineStr">
        <is>
          <t>532406-code-status-0-0</t>
        </is>
      </c>
      <c r="B188" t="inlineStr"/>
      <c r="C188" t="inlineStr"/>
      <c r="D188">
        <f>HYPERLINK("http://nlpdeep.cs.uic.edu:8080/proofing/t5/532406-code-status-0-0.pdf","t5/532406-code-status-0-0.pdf")</f>
        <v/>
      </c>
      <c r="E188" t="n">
        <v>119960</v>
      </c>
      <c r="F188" t="n">
        <v>532406</v>
      </c>
      <c r="G188" t="inlineStr">
        <is>
          <t>Physician</t>
        </is>
      </c>
      <c r="H188" t="inlineStr">
        <is>
          <t>code-status</t>
        </is>
      </c>
      <c r="I188" t="inlineStr">
        <is>
          <t>Full code for acute situations and OR but does not wish to be
   chronically vented (discussed with patient and wife)</t>
        </is>
      </c>
    </row>
    <row r="189">
      <c r="A189" t="inlineStr">
        <is>
          <t>532406-code-status-0-0</t>
        </is>
      </c>
      <c r="B189" t="inlineStr"/>
      <c r="C189" t="inlineStr"/>
      <c r="D189">
        <f>HYPERLINK("http://nlpdeep.cs.uic.edu:8080/proofing/gsii/532406-code-status-0-0.pdf","gsii/532406-code-status-0-0.pdf")</f>
        <v/>
      </c>
      <c r="E189" t="n">
        <v>119960</v>
      </c>
      <c r="F189" t="n">
        <v>532406</v>
      </c>
      <c r="G189" t="inlineStr">
        <is>
          <t>Physician</t>
        </is>
      </c>
      <c r="H189" t="inlineStr">
        <is>
          <t>code-status</t>
        </is>
      </c>
      <c r="I189" t="inlineStr">
        <is>
          <t>Full code for acute situations and OR but does not wish to be
   chronically vented (discussed with patient and wife)</t>
        </is>
      </c>
    </row>
    <row r="190">
      <c r="A190" t="inlineStr">
        <is>
          <t>532406-disposition-0-0</t>
        </is>
      </c>
      <c r="B190" t="inlineStr"/>
      <c r="C190" t="inlineStr"/>
      <c r="D190">
        <f>HYPERLINK("http://nlpdeep.cs.uic.edu:8080/proofing/t5/532406-disposition-0-0.pdf","t5/532406-disposition-0-0.pdf")</f>
        <v/>
      </c>
      <c r="E190" t="n">
        <v>119960</v>
      </c>
      <c r="F190" t="n">
        <v>532406</v>
      </c>
      <c r="G190" t="inlineStr">
        <is>
          <t>Physician</t>
        </is>
      </c>
      <c r="H190" t="inlineStr">
        <is>
          <t>disposition</t>
        </is>
      </c>
      <c r="I190" t="inlineStr">
        <is>
          <t>ICU pending clinical i</t>
        </is>
      </c>
    </row>
    <row r="191">
      <c r="A191" t="inlineStr">
        <is>
          <t>532406-disposition-0-0</t>
        </is>
      </c>
      <c r="B191" t="inlineStr"/>
      <c r="C191" t="inlineStr"/>
      <c r="D191">
        <f>HYPERLINK("http://nlpdeep.cs.uic.edu:8080/proofing/gsii/532406-disposition-0-0.pdf","gsii/532406-disposition-0-0.pdf")</f>
        <v/>
      </c>
      <c r="E191" t="n">
        <v>119960</v>
      </c>
      <c r="F191" t="n">
        <v>532406</v>
      </c>
      <c r="G191" t="inlineStr">
        <is>
          <t>Physician</t>
        </is>
      </c>
      <c r="H191" t="inlineStr">
        <is>
          <t>disposition</t>
        </is>
      </c>
      <c r="I191" t="inlineStr">
        <is>
          <t>ICU pending clinical i</t>
        </is>
      </c>
    </row>
    <row r="192">
      <c r="A192" t="inlineStr">
        <is>
          <t>532411-chief-complaint-0-0</t>
        </is>
      </c>
      <c r="B192" t="inlineStr"/>
      <c r="C192" t="inlineStr"/>
      <c r="D192">
        <f>HYPERLINK("http://nlpdeep.cs.uic.edu:8080/proofing/t5/532411-chief-complaint-0-0.pdf","t5/532411-chief-complaint-0-0.pdf")</f>
        <v/>
      </c>
      <c r="E192" t="n">
        <v>119960</v>
      </c>
      <c r="F192" t="n">
        <v>532411</v>
      </c>
      <c r="G192" t="inlineStr">
        <is>
          <t>Physician</t>
        </is>
      </c>
      <c r="H192" t="inlineStr">
        <is>
          <t>chief-complaint</t>
        </is>
      </c>
      <c r="I192" t="inlineStr">
        <is>
          <t>hypotension, h</t>
        </is>
      </c>
    </row>
    <row r="193">
      <c r="A193" t="inlineStr">
        <is>
          <t>532411-chief-complaint-0-0</t>
        </is>
      </c>
      <c r="B193" t="inlineStr"/>
      <c r="C193" t="inlineStr"/>
      <c r="D193">
        <f>HYPERLINK("http://nlpdeep.cs.uic.edu:8080/proofing/gsii/532411-chief-complaint-0-0.pdf","gsii/532411-chief-complaint-0-0.pdf")</f>
        <v/>
      </c>
      <c r="E193" t="n">
        <v>119960</v>
      </c>
      <c r="F193" t="n">
        <v>532411</v>
      </c>
      <c r="G193" t="inlineStr">
        <is>
          <t>Physician</t>
        </is>
      </c>
      <c r="H193" t="inlineStr">
        <is>
          <t>chief-complaint</t>
        </is>
      </c>
      <c r="I193" t="inlineStr">
        <is>
          <t>hypotension, h</t>
        </is>
      </c>
    </row>
    <row r="194">
      <c r="A194" t="inlineStr">
        <is>
          <t>532411-history-of-present-illness-0-0</t>
        </is>
      </c>
      <c r="B194" t="inlineStr"/>
      <c r="C194" t="inlineStr"/>
      <c r="D194">
        <f>HYPERLINK("http://nlpdeep.cs.uic.edu:8080/proofing/t5/532411-history-of-present-illness-0-0.pdf","t5/532411-history-of-present-illness-0-0.pdf")</f>
        <v/>
      </c>
      <c r="E194" t="n">
        <v>119960</v>
      </c>
      <c r="F194" t="n">
        <v>532411</v>
      </c>
      <c r="G194" t="inlineStr">
        <is>
          <t>Physician</t>
        </is>
      </c>
      <c r="H194" t="inlineStr">
        <is>
          <t>history-of-present-illness</t>
        </is>
      </c>
      <c r="I194" t="inlineStr">
        <is>
          <t>Mr. [**Known lastname 14060**] is an 87 yo male with a history of diastolic CHF (EF 65%
   1/10), AFib not on coumadin, mild AS, stage IV CKD, and HTN, who
   presented from acute rehab after falling at his nursing home.</t>
        </is>
      </c>
    </row>
    <row r="195">
      <c r="A195" t="inlineStr">
        <is>
          <t>532411-history-of-present-illness-0-0</t>
        </is>
      </c>
      <c r="B195" t="inlineStr"/>
      <c r="C195" t="inlineStr"/>
      <c r="D195">
        <f>HYPERLINK("http://nlpdeep.cs.uic.edu:8080/proofing/gsii/532411-history-of-present-illness-0-0.pdf","gsii/532411-history-of-present-illness-0-0.pdf")</f>
        <v/>
      </c>
      <c r="E195" t="n">
        <v>119960</v>
      </c>
      <c r="F195" t="n">
        <v>532411</v>
      </c>
      <c r="G195" t="inlineStr">
        <is>
          <t>Physician</t>
        </is>
      </c>
      <c r="H195" t="inlineStr">
        <is>
          <t>history-of-present-illness</t>
        </is>
      </c>
      <c r="I195" t="inlineStr">
        <is>
          <t>Mr. [**Known lastname 14060**] is an 87 yo male with a history of diastolic CHF (EF 65%
   1/10), AFib not on coumadin, mild AS, stage IV CKD, and HTN, who
   presented from acute rehab after falling at his nursing home.</t>
        </is>
      </c>
    </row>
    <row r="196">
      <c r="A196" t="inlineStr">
        <is>
          <t>532411-history-of-present-illness-0-1</t>
        </is>
      </c>
      <c r="B196" t="inlineStr"/>
      <c r="C196" t="inlineStr"/>
      <c r="D196">
        <f>HYPERLINK("http://nlpdeep.cs.uic.edu:8080/proofing/t5/532411-history-of-present-illness-0-1.pdf","t5/532411-history-of-present-illness-0-1.pdf")</f>
        <v/>
      </c>
      <c r="E196" t="n">
        <v>119960</v>
      </c>
      <c r="F196" t="n">
        <v>532411</v>
      </c>
      <c r="G196" t="inlineStr">
        <is>
          <t>Physician</t>
        </is>
      </c>
      <c r="H196" t="inlineStr">
        <is>
          <t>history-of-present-illness</t>
        </is>
      </c>
      <c r="I196" t="inlineStr">
        <is>
          <t xml:space="preserve">
   Yesterday he had been feeling well, walking with PT (using a walker)
   and feeling well.</t>
        </is>
      </c>
    </row>
    <row r="197">
      <c r="A197" t="inlineStr">
        <is>
          <t>532411-history-of-present-illness-0-1</t>
        </is>
      </c>
      <c r="B197" t="inlineStr"/>
      <c r="C197" t="inlineStr"/>
      <c r="D197">
        <f>HYPERLINK("http://nlpdeep.cs.uic.edu:8080/proofing/gsii/532411-history-of-present-illness-0-1.pdf","gsii/532411-history-of-present-illness-0-1.pdf")</f>
        <v/>
      </c>
      <c r="E197" t="n">
        <v>119960</v>
      </c>
      <c r="F197" t="n">
        <v>532411</v>
      </c>
      <c r="G197" t="inlineStr">
        <is>
          <t>Physician</t>
        </is>
      </c>
      <c r="H197" t="inlineStr">
        <is>
          <t>history-of-present-illness</t>
        </is>
      </c>
      <c r="I197" t="inlineStr">
        <is>
          <t xml:space="preserve">
   Yesterday he had been feeling well, walking with PT (using a walker)
   and feeling well.</t>
        </is>
      </c>
    </row>
    <row r="198">
      <c r="A198" t="inlineStr">
        <is>
          <t>532411-history-of-present-illness-0-2</t>
        </is>
      </c>
      <c r="B198" t="inlineStr"/>
      <c r="C198" t="inlineStr"/>
      <c r="D198">
        <f>HYPERLINK("http://nlpdeep.cs.uic.edu:8080/proofing/t5/532411-history-of-present-illness-0-2.pdf","t5/532411-history-of-present-illness-0-2.pdf")</f>
        <v/>
      </c>
      <c r="E198" t="n">
        <v>119960</v>
      </c>
      <c r="F198" t="n">
        <v>532411</v>
      </c>
      <c r="G198" t="inlineStr">
        <is>
          <t>Physician</t>
        </is>
      </c>
      <c r="H198" t="inlineStr">
        <is>
          <t>history-of-present-illness</t>
        </is>
      </c>
      <c r="I198" t="inlineStr">
        <is>
          <t>Today he was reaching onto a shelf for batteries when
   he turned too quickly and twisted his left foot under him, falling on
   his left side and left arm.</t>
        </is>
      </c>
    </row>
    <row r="199">
      <c r="A199" t="inlineStr">
        <is>
          <t>532411-history-of-present-illness-0-2</t>
        </is>
      </c>
      <c r="B199" t="inlineStr"/>
      <c r="C199" t="inlineStr"/>
      <c r="D199">
        <f>HYPERLINK("http://nlpdeep.cs.uic.edu:8080/proofing/gsii/532411-history-of-present-illness-0-2.pdf","gsii/532411-history-of-present-illness-0-2.pdf")</f>
        <v/>
      </c>
      <c r="E199" t="n">
        <v>119960</v>
      </c>
      <c r="F199" t="n">
        <v>532411</v>
      </c>
      <c r="G199" t="inlineStr">
        <is>
          <t>Physician</t>
        </is>
      </c>
      <c r="H199" t="inlineStr">
        <is>
          <t>history-of-present-illness</t>
        </is>
      </c>
      <c r="I199" t="inlineStr">
        <is>
          <t>Today he was reaching onto a shelf for batteries when
   he turned too quickly and twisted his left foot under him, falling on
   his left side and left arm.</t>
        </is>
      </c>
    </row>
    <row r="200">
      <c r="A200" t="inlineStr">
        <is>
          <t>532411-history-of-present-illness-0-3</t>
        </is>
      </c>
      <c r="B200" t="inlineStr"/>
      <c r="C200" t="inlineStr"/>
      <c r="D200">
        <f>HYPERLINK("http://nlpdeep.cs.uic.edu:8080/proofing/t5/532411-history-of-present-illness-0-3.pdf","t5/532411-history-of-present-illness-0-3.pdf")</f>
        <v/>
      </c>
      <c r="E200" t="n">
        <v>119960</v>
      </c>
      <c r="F200" t="n">
        <v>532411</v>
      </c>
      <c r="G200" t="inlineStr">
        <is>
          <t>Physician</t>
        </is>
      </c>
      <c r="H200" t="inlineStr">
        <is>
          <t>history-of-present-illness</t>
        </is>
      </c>
      <c r="I200" t="inlineStr">
        <is>
          <t>He was sent from rehab to the ED.</t>
        </is>
      </c>
    </row>
    <row r="201">
      <c r="A201" t="inlineStr">
        <is>
          <t>532411-history-of-present-illness-0-3</t>
        </is>
      </c>
      <c r="B201" t="inlineStr"/>
      <c r="C201" t="inlineStr"/>
      <c r="D201">
        <f>HYPERLINK("http://nlpdeep.cs.uic.edu:8080/proofing/gsii/532411-history-of-present-illness-0-3.pdf","gsii/532411-history-of-present-illness-0-3.pdf")</f>
        <v/>
      </c>
      <c r="E201" t="n">
        <v>119960</v>
      </c>
      <c r="F201" t="n">
        <v>532411</v>
      </c>
      <c r="G201" t="inlineStr">
        <is>
          <t>Physician</t>
        </is>
      </c>
      <c r="H201" t="inlineStr">
        <is>
          <t>history-of-present-illness</t>
        </is>
      </c>
      <c r="I201" t="inlineStr">
        <is>
          <t>He was sent from rehab to the ED.</t>
        </is>
      </c>
    </row>
    <row r="202">
      <c r="A202" t="inlineStr">
        <is>
          <t>532411-history-of-present-illness-0-4</t>
        </is>
      </c>
      <c r="B202" t="inlineStr"/>
      <c r="C202" t="inlineStr"/>
      <c r="D202">
        <f>HYPERLINK("http://nlpdeep.cs.uic.edu:8080/proofing/t5/532411-history-of-present-illness-0-4.pdf","t5/532411-history-of-present-illness-0-4.pdf")</f>
        <v/>
      </c>
      <c r="E202" t="n">
        <v>119960</v>
      </c>
      <c r="F202" t="n">
        <v>532411</v>
      </c>
      <c r="G202" t="inlineStr">
        <is>
          <t>Physician</t>
        </is>
      </c>
      <c r="H202" t="inlineStr">
        <is>
          <t>history-of-present-illness</t>
        </is>
      </c>
      <c r="I202" t="inlineStr">
        <is>
          <t xml:space="preserve"> On exam,
   his hip was externally rotated and shortened.</t>
        </is>
      </c>
    </row>
    <row r="203">
      <c r="A203" t="inlineStr">
        <is>
          <t>532411-history-of-present-illness-0-4</t>
        </is>
      </c>
      <c r="B203" t="inlineStr"/>
      <c r="C203" t="inlineStr"/>
      <c r="D203">
        <f>HYPERLINK("http://nlpdeep.cs.uic.edu:8080/proofing/gsii/532411-history-of-present-illness-0-4.pdf","gsii/532411-history-of-present-illness-0-4.pdf")</f>
        <v/>
      </c>
      <c r="E203" t="n">
        <v>119960</v>
      </c>
      <c r="F203" t="n">
        <v>532411</v>
      </c>
      <c r="G203" t="inlineStr">
        <is>
          <t>Physician</t>
        </is>
      </c>
      <c r="H203" t="inlineStr">
        <is>
          <t>history-of-present-illness</t>
        </is>
      </c>
      <c r="I203" t="inlineStr">
        <is>
          <t xml:space="preserve"> On exam,
   his hip was externally rotated and shortened.</t>
        </is>
      </c>
    </row>
    <row r="204">
      <c r="A204" t="inlineStr">
        <is>
          <t>532411-history-of-present-illness-0-5</t>
        </is>
      </c>
      <c r="B204" t="inlineStr"/>
      <c r="C204" t="inlineStr"/>
      <c r="D204">
        <f>HYPERLINK("http://nlpdeep.cs.uic.edu:8080/proofing/t5/532411-history-of-present-illness-0-5.pdf","t5/532411-history-of-present-illness-0-5.pdf")</f>
        <v/>
      </c>
      <c r="E204" t="n">
        <v>119960</v>
      </c>
      <c r="F204" t="n">
        <v>532411</v>
      </c>
      <c r="G204" t="inlineStr">
        <is>
          <t>Physician</t>
        </is>
      </c>
      <c r="H204" t="inlineStr">
        <is>
          <t>history-of-present-illness</t>
        </is>
      </c>
      <c r="I204" t="inlineStr">
        <is>
          <t xml:space="preserve"> He had no other
   complaints and denied loss of consciousness or hitting his head on the
   fall.</t>
        </is>
      </c>
    </row>
    <row r="205">
      <c r="A205" t="inlineStr">
        <is>
          <t>532411-history-of-present-illness-0-5</t>
        </is>
      </c>
      <c r="B205" t="inlineStr"/>
      <c r="C205" t="inlineStr"/>
      <c r="D205">
        <f>HYPERLINK("http://nlpdeep.cs.uic.edu:8080/proofing/gsii/532411-history-of-present-illness-0-5.pdf","gsii/532411-history-of-present-illness-0-5.pdf")</f>
        <v/>
      </c>
      <c r="E205" t="n">
        <v>119960</v>
      </c>
      <c r="F205" t="n">
        <v>532411</v>
      </c>
      <c r="G205" t="inlineStr">
        <is>
          <t>Physician</t>
        </is>
      </c>
      <c r="H205" t="inlineStr">
        <is>
          <t>history-of-present-illness</t>
        </is>
      </c>
      <c r="I205" t="inlineStr">
        <is>
          <t xml:space="preserve"> He had no other
   complaints and denied loss of consciousness or hitting his head on the
   fall.</t>
        </is>
      </c>
    </row>
    <row r="206">
      <c r="A206" t="inlineStr">
        <is>
          <t>532411-history-of-present-illness-0-6</t>
        </is>
      </c>
      <c r="B206" t="inlineStr"/>
      <c r="C206" t="inlineStr"/>
      <c r="D206">
        <f>HYPERLINK("http://nlpdeep.cs.uic.edu:8080/proofing/t5/532411-history-of-present-illness-0-6.pdf","t5/532411-history-of-present-illness-0-6.pdf")</f>
        <v/>
      </c>
      <c r="E206" t="n">
        <v>119960</v>
      </c>
      <c r="F206" t="n">
        <v>532411</v>
      </c>
      <c r="G206" t="inlineStr">
        <is>
          <t>Physician</t>
        </is>
      </c>
      <c r="H206" t="inlineStr">
        <is>
          <t>history-of-present-illness</t>
        </is>
      </c>
      <c r="I206" t="inlineStr">
        <is>
          <t xml:space="preserve"> Hct was 29.6 at rehab, Na 142, K 4.0, BUN 51, Creat 2.1, WBC
   6.8, Plt 215.</t>
        </is>
      </c>
    </row>
    <row r="207">
      <c r="A207" t="inlineStr">
        <is>
          <t>532411-history-of-present-illness-0-6</t>
        </is>
      </c>
      <c r="B207" t="inlineStr"/>
      <c r="C207" t="inlineStr"/>
      <c r="D207">
        <f>HYPERLINK("http://nlpdeep.cs.uic.edu:8080/proofing/gsii/532411-history-of-present-illness-0-6.pdf","gsii/532411-history-of-present-illness-0-6.pdf")</f>
        <v/>
      </c>
      <c r="E207" t="n">
        <v>119960</v>
      </c>
      <c r="F207" t="n">
        <v>532411</v>
      </c>
      <c r="G207" t="inlineStr">
        <is>
          <t>Physician</t>
        </is>
      </c>
      <c r="H207" t="inlineStr">
        <is>
          <t>history-of-present-illness</t>
        </is>
      </c>
      <c r="I207" t="inlineStr">
        <is>
          <t xml:space="preserve"> Hct was 29.6 at rehab, Na 142, K 4.0, BUN 51, Creat 2.1, WBC
   6.8, Plt 215.</t>
        </is>
      </c>
    </row>
    <row r="208">
      <c r="A208" t="inlineStr">
        <is>
          <t>532411-history-of-present-illness-1-0</t>
        </is>
      </c>
      <c r="B208" t="inlineStr"/>
      <c r="C208" t="inlineStr"/>
      <c r="D208">
        <f>HYPERLINK("http://nlpdeep.cs.uic.edu:8080/proofing/t5/532411-history-of-present-illness-1-0.pdf","t5/532411-history-of-present-illness-1-0.pdf")</f>
        <v/>
      </c>
      <c r="E208" t="n">
        <v>119960</v>
      </c>
      <c r="F208" t="n">
        <v>532411</v>
      </c>
      <c r="G208" t="inlineStr">
        <is>
          <t>Physician</t>
        </is>
      </c>
      <c r="H208" t="inlineStr">
        <is>
          <t>history-of-present-illness</t>
        </is>
      </c>
      <c r="I208" t="inlineStr">
        <is>
          <t xml:space="preserve">
   In the ED, triage vs were: T 96.3 P 60 BP 107/62 R 16 O2 sat 96% on RA,
   but he was then found to have systolic BP of 83-90s on exam.</t>
        </is>
      </c>
    </row>
    <row r="209">
      <c r="A209" t="inlineStr">
        <is>
          <t>532411-history-of-present-illness-1-0</t>
        </is>
      </c>
      <c r="B209" t="inlineStr"/>
      <c r="C209" t="inlineStr"/>
      <c r="D209">
        <f>HYPERLINK("http://nlpdeep.cs.uic.edu:8080/proofing/gsii/532411-history-of-present-illness-1-0.pdf","gsii/532411-history-of-present-illness-1-0.pdf")</f>
        <v/>
      </c>
      <c r="E209" t="n">
        <v>119960</v>
      </c>
      <c r="F209" t="n">
        <v>532411</v>
      </c>
      <c r="G209" t="inlineStr">
        <is>
          <t>Physician</t>
        </is>
      </c>
      <c r="H209" t="inlineStr">
        <is>
          <t>history-of-present-illness</t>
        </is>
      </c>
      <c r="I209" t="inlineStr">
        <is>
          <t xml:space="preserve">
   In the ED, triage vs were: T 96.3 P 60 BP 107/62 R 16 O2 sat 96% on RA,
   but he was then found to have systolic BP of 83-90s on exam.</t>
        </is>
      </c>
    </row>
    <row r="210">
      <c r="A210" t="inlineStr">
        <is>
          <t>532411-history-of-present-illness-1-1</t>
        </is>
      </c>
      <c r="B210" t="inlineStr"/>
      <c r="C210" t="inlineStr"/>
      <c r="D210">
        <f>HYPERLINK("http://nlpdeep.cs.uic.edu:8080/proofing/t5/532411-history-of-present-illness-1-1.pdf","t5/532411-history-of-present-illness-1-1.pdf")</f>
        <v/>
      </c>
      <c r="E210" t="n">
        <v>119960</v>
      </c>
      <c r="F210" t="n">
        <v>532411</v>
      </c>
      <c r="G210" t="inlineStr">
        <is>
          <t>Physician</t>
        </is>
      </c>
      <c r="H210" t="inlineStr">
        <is>
          <t>history-of-present-illness</t>
        </is>
      </c>
      <c r="I210" t="inlineStr">
        <is>
          <t>He had
   good peripheral pulses.</t>
        </is>
      </c>
    </row>
    <row r="211">
      <c r="A211" t="inlineStr">
        <is>
          <t>532411-history-of-present-illness-1-1</t>
        </is>
      </c>
      <c r="B211" t="inlineStr"/>
      <c r="C211" t="inlineStr"/>
      <c r="D211">
        <f>HYPERLINK("http://nlpdeep.cs.uic.edu:8080/proofing/gsii/532411-history-of-present-illness-1-1.pdf","gsii/532411-history-of-present-illness-1-1.pdf")</f>
        <v/>
      </c>
      <c r="E211" t="n">
        <v>119960</v>
      </c>
      <c r="F211" t="n">
        <v>532411</v>
      </c>
      <c r="G211" t="inlineStr">
        <is>
          <t>Physician</t>
        </is>
      </c>
      <c r="H211" t="inlineStr">
        <is>
          <t>history-of-present-illness</t>
        </is>
      </c>
      <c r="I211" t="inlineStr">
        <is>
          <t>He had
   good peripheral pulses.</t>
        </is>
      </c>
    </row>
    <row r="212">
      <c r="A212" t="inlineStr">
        <is>
          <t>532411-history-of-present-illness-1-2</t>
        </is>
      </c>
      <c r="B212" t="inlineStr"/>
      <c r="C212" t="inlineStr"/>
      <c r="D212">
        <f>HYPERLINK("http://nlpdeep.cs.uic.edu:8080/proofing/t5/532411-history-of-present-illness-1-2.pdf","t5/532411-history-of-present-illness-1-2.pdf")</f>
        <v/>
      </c>
      <c r="E212" t="n">
        <v>119960</v>
      </c>
      <c r="F212" t="n">
        <v>532411</v>
      </c>
      <c r="G212" t="inlineStr">
        <is>
          <t>Physician</t>
        </is>
      </c>
      <c r="H212" t="inlineStr">
        <is>
          <t>history-of-present-illness</t>
        </is>
      </c>
      <c r="I212" t="inlineStr">
        <is>
          <t xml:space="preserve"> He was evaluated for trauma and plain films of
   the left hip and femur were completed, showing multiple comminuted
   fractures for which the patient would need a THR.</t>
        </is>
      </c>
    </row>
    <row r="213">
      <c r="A213" t="inlineStr">
        <is>
          <t>532411-history-of-present-illness-1-2</t>
        </is>
      </c>
      <c r="B213" t="inlineStr"/>
      <c r="C213" t="inlineStr"/>
      <c r="D213">
        <f>HYPERLINK("http://nlpdeep.cs.uic.edu:8080/proofing/gsii/532411-history-of-present-illness-1-2.pdf","gsii/532411-history-of-present-illness-1-2.pdf")</f>
        <v/>
      </c>
      <c r="E213" t="n">
        <v>119960</v>
      </c>
      <c r="F213" t="n">
        <v>532411</v>
      </c>
      <c r="G213" t="inlineStr">
        <is>
          <t>Physician</t>
        </is>
      </c>
      <c r="H213" t="inlineStr">
        <is>
          <t>history-of-present-illness</t>
        </is>
      </c>
      <c r="I213" t="inlineStr">
        <is>
          <t xml:space="preserve"> He was evaluated for trauma and plain films of
   the left hip and femur were completed, showing multiple comminuted
   fractures for which the patient would need a THR.</t>
        </is>
      </c>
    </row>
    <row r="214">
      <c r="A214" t="inlineStr">
        <is>
          <t>532411-history-of-present-illness-1-3</t>
        </is>
      </c>
      <c r="B214" t="inlineStr"/>
      <c r="C214" t="inlineStr"/>
      <c r="D214">
        <f>HYPERLINK("http://nlpdeep.cs.uic.edu:8080/proofing/t5/532411-history-of-present-illness-1-3.pdf","t5/532411-history-of-present-illness-1-3.pdf")</f>
        <v/>
      </c>
      <c r="E214" t="n">
        <v>119960</v>
      </c>
      <c r="F214" t="n">
        <v>532411</v>
      </c>
      <c r="G214" t="inlineStr">
        <is>
          <t>Physician</t>
        </is>
      </c>
      <c r="H214" t="inlineStr">
        <is>
          <t>history-of-present-illness</t>
        </is>
      </c>
      <c r="I214" t="inlineStr">
        <is>
          <t xml:space="preserve"> CT C-spine showed no
   fracture or malalignment, and moderate multilevel degenerative change
   on preliminary read.</t>
        </is>
      </c>
    </row>
    <row r="215">
      <c r="A215" t="inlineStr">
        <is>
          <t>532411-history-of-present-illness-1-3</t>
        </is>
      </c>
      <c r="B215" t="inlineStr"/>
      <c r="C215" t="inlineStr"/>
      <c r="D215">
        <f>HYPERLINK("http://nlpdeep.cs.uic.edu:8080/proofing/gsii/532411-history-of-present-illness-1-3.pdf","gsii/532411-history-of-present-illness-1-3.pdf")</f>
        <v/>
      </c>
      <c r="E215" t="n">
        <v>119960</v>
      </c>
      <c r="F215" t="n">
        <v>532411</v>
      </c>
      <c r="G215" t="inlineStr">
        <is>
          <t>Physician</t>
        </is>
      </c>
      <c r="H215" t="inlineStr">
        <is>
          <t>history-of-present-illness</t>
        </is>
      </c>
      <c r="I215" t="inlineStr">
        <is>
          <t xml:space="preserve"> CT C-spine showed no
   fracture or malalignment, and moderate multilevel degenerative change
   on preliminary read.</t>
        </is>
      </c>
    </row>
    <row r="216">
      <c r="A216" t="inlineStr">
        <is>
          <t>532411-history-of-present-illness-1-4</t>
        </is>
      </c>
      <c r="B216" t="inlineStr"/>
      <c r="C216" t="inlineStr"/>
      <c r="D216">
        <f>HYPERLINK("http://nlpdeep.cs.uic.edu:8080/proofing/t5/532411-history-of-present-illness-1-4.pdf","t5/532411-history-of-present-illness-1-4.pdf")</f>
        <v/>
      </c>
      <c r="E216" t="n">
        <v>119960</v>
      </c>
      <c r="F216" t="n">
        <v>532411</v>
      </c>
      <c r="G216" t="inlineStr">
        <is>
          <t>Physician</t>
        </is>
      </c>
      <c r="H216" t="inlineStr">
        <is>
          <t>history-of-present-illness</t>
        </is>
      </c>
      <c r="I216" t="inlineStr">
        <is>
          <t>CT head without contrast showed no fracture or
   hemorrhage (preliminary read).</t>
        </is>
      </c>
    </row>
    <row r="217">
      <c r="A217" t="inlineStr">
        <is>
          <t>532411-history-of-present-illness-1-4</t>
        </is>
      </c>
      <c r="B217" t="inlineStr"/>
      <c r="C217" t="inlineStr"/>
      <c r="D217">
        <f>HYPERLINK("http://nlpdeep.cs.uic.edu:8080/proofing/gsii/532411-history-of-present-illness-1-4.pdf","gsii/532411-history-of-present-illness-1-4.pdf")</f>
        <v/>
      </c>
      <c r="E217" t="n">
        <v>119960</v>
      </c>
      <c r="F217" t="n">
        <v>532411</v>
      </c>
      <c r="G217" t="inlineStr">
        <is>
          <t>Physician</t>
        </is>
      </c>
      <c r="H217" t="inlineStr">
        <is>
          <t>history-of-present-illness</t>
        </is>
      </c>
      <c r="I217" t="inlineStr">
        <is>
          <t>CT head without contrast showed no fracture or
   hemorrhage (preliminary read).</t>
        </is>
      </c>
    </row>
    <row r="218">
      <c r="A218" t="inlineStr">
        <is>
          <t>532411-history-of-present-illness-2-0</t>
        </is>
      </c>
      <c r="B218" t="inlineStr"/>
      <c r="C218" t="inlineStr"/>
      <c r="D218">
        <f>HYPERLINK("http://nlpdeep.cs.uic.edu:8080/proofing/t5/532411-history-of-present-illness-2-0.pdf","t5/532411-history-of-present-illness-2-0.pdf")</f>
        <v/>
      </c>
      <c r="E218" t="n">
        <v>119960</v>
      </c>
      <c r="F218" t="n">
        <v>532411</v>
      </c>
      <c r="G218" t="inlineStr">
        <is>
          <t>Physician</t>
        </is>
      </c>
      <c r="H218" t="inlineStr">
        <is>
          <t>history-of-present-illness</t>
        </is>
      </c>
      <c r="I218" t="inlineStr">
        <is>
          <t xml:space="preserve">
   The patient was given 1L IVF and fentanyl 100 mcg for pain.</t>
        </is>
      </c>
    </row>
    <row r="219">
      <c r="A219" t="inlineStr">
        <is>
          <t>532411-history-of-present-illness-2-0</t>
        </is>
      </c>
      <c r="B219" t="inlineStr"/>
      <c r="C219" t="inlineStr"/>
      <c r="D219">
        <f>HYPERLINK("http://nlpdeep.cs.uic.edu:8080/proofing/gsii/532411-history-of-present-illness-2-0.pdf","gsii/532411-history-of-present-illness-2-0.pdf")</f>
        <v/>
      </c>
      <c r="E219" t="n">
        <v>119960</v>
      </c>
      <c r="F219" t="n">
        <v>532411</v>
      </c>
      <c r="G219" t="inlineStr">
        <is>
          <t>Physician</t>
        </is>
      </c>
      <c r="H219" t="inlineStr">
        <is>
          <t>history-of-present-illness</t>
        </is>
      </c>
      <c r="I219" t="inlineStr">
        <is>
          <t xml:space="preserve">
   The patient was given 1L IVF and fentanyl 100 mcg for pain.</t>
        </is>
      </c>
    </row>
    <row r="220">
      <c r="A220" t="inlineStr">
        <is>
          <t>532411-history-of-present-illness-2-1</t>
        </is>
      </c>
      <c r="B220" t="inlineStr"/>
      <c r="C220" t="inlineStr"/>
      <c r="D220">
        <f>HYPERLINK("http://nlpdeep.cs.uic.edu:8080/proofing/t5/532411-history-of-present-illness-2-1.pdf","t5/532411-history-of-present-illness-2-1.pdf")</f>
        <v/>
      </c>
      <c r="E220" t="n">
        <v>119960</v>
      </c>
      <c r="F220" t="n">
        <v>532411</v>
      </c>
      <c r="G220" t="inlineStr">
        <is>
          <t>Physician</t>
        </is>
      </c>
      <c r="H220" t="inlineStr">
        <is>
          <t>history-of-present-illness</t>
        </is>
      </c>
      <c r="I220" t="inlineStr">
        <is>
          <t>His SBPs
   persisted in the 80s/90s.</t>
        </is>
      </c>
    </row>
    <row r="221">
      <c r="A221" t="inlineStr">
        <is>
          <t>532411-history-of-present-illness-2-1</t>
        </is>
      </c>
      <c r="B221" t="inlineStr"/>
      <c r="C221" t="inlineStr"/>
      <c r="D221">
        <f>HYPERLINK("http://nlpdeep.cs.uic.edu:8080/proofing/gsii/532411-history-of-present-illness-2-1.pdf","gsii/532411-history-of-present-illness-2-1.pdf")</f>
        <v/>
      </c>
      <c r="E221" t="n">
        <v>119960</v>
      </c>
      <c r="F221" t="n">
        <v>532411</v>
      </c>
      <c r="G221" t="inlineStr">
        <is>
          <t>Physician</t>
        </is>
      </c>
      <c r="H221" t="inlineStr">
        <is>
          <t>history-of-present-illness</t>
        </is>
      </c>
      <c r="I221" t="inlineStr">
        <is>
          <t>His SBPs
   persisted in the 80s/90s.</t>
        </is>
      </c>
    </row>
    <row r="222">
      <c r="A222" t="inlineStr">
        <is>
          <t>532411-history-of-present-illness-2-2</t>
        </is>
      </c>
      <c r="B222" t="inlineStr"/>
      <c r="C222" t="inlineStr"/>
      <c r="D222">
        <f>HYPERLINK("http://nlpdeep.cs.uic.edu:8080/proofing/t5/532411-history-of-present-illness-2-2.pdf","t5/532411-history-of-present-illness-2-2.pdf")</f>
        <v/>
      </c>
      <c r="E222" t="n">
        <v>119960</v>
      </c>
      <c r="F222" t="n">
        <v>532411</v>
      </c>
      <c r="G222" t="inlineStr">
        <is>
          <t>Physician</t>
        </is>
      </c>
      <c r="H222" t="inlineStr">
        <is>
          <t>history-of-present-illness</t>
        </is>
      </c>
      <c r="I222" t="inlineStr">
        <is>
          <t>His Hct was found to be 24, down [**4-3**] points.</t>
        </is>
      </c>
    </row>
    <row r="223">
      <c r="A223" t="inlineStr">
        <is>
          <t>532411-history-of-present-illness-2-2</t>
        </is>
      </c>
      <c r="B223" t="inlineStr"/>
      <c r="C223" t="inlineStr"/>
      <c r="D223">
        <f>HYPERLINK("http://nlpdeep.cs.uic.edu:8080/proofing/gsii/532411-history-of-present-illness-2-2.pdf","gsii/532411-history-of-present-illness-2-2.pdf")</f>
        <v/>
      </c>
      <c r="E223" t="n">
        <v>119960</v>
      </c>
      <c r="F223" t="n">
        <v>532411</v>
      </c>
      <c r="G223" t="inlineStr">
        <is>
          <t>Physician</t>
        </is>
      </c>
      <c r="H223" t="inlineStr">
        <is>
          <t>history-of-present-illness</t>
        </is>
      </c>
      <c r="I223" t="inlineStr">
        <is>
          <t>His Hct was found to be 24, down [**4-3**] points.</t>
        </is>
      </c>
    </row>
    <row r="224">
      <c r="A224" t="inlineStr">
        <is>
          <t>532411-history-of-present-illness-2-3</t>
        </is>
      </c>
      <c r="B224" t="inlineStr"/>
      <c r="C224" t="inlineStr"/>
      <c r="D224">
        <f>HYPERLINK("http://nlpdeep.cs.uic.edu:8080/proofing/t5/532411-history-of-present-illness-2-3.pdf","t5/532411-history-of-present-illness-2-3.pdf")</f>
        <v/>
      </c>
      <c r="E224" t="n">
        <v>119960</v>
      </c>
      <c r="F224" t="n">
        <v>532411</v>
      </c>
      <c r="G224" t="inlineStr">
        <is>
          <t>Physician</t>
        </is>
      </c>
      <c r="H224" t="inlineStr">
        <is>
          <t>history-of-present-illness</t>
        </is>
      </c>
      <c r="I224" t="inlineStr">
        <is>
          <t xml:space="preserve">
   CT ab/pelvis was performed in the setting of the Hct drop, showing left
   hip intertrochanteric fracture, a large retroperitoneal mass likely
   from left adrenal gland (non-urgent MR recommended for further
   evaluation), and no retroperitoneal hematoma on preliminary read.</t>
        </is>
      </c>
    </row>
    <row r="225">
      <c r="A225" t="inlineStr">
        <is>
          <t>532411-history-of-present-illness-2-3</t>
        </is>
      </c>
      <c r="B225" t="inlineStr"/>
      <c r="C225" t="inlineStr"/>
      <c r="D225">
        <f>HYPERLINK("http://nlpdeep.cs.uic.edu:8080/proofing/gsii/532411-history-of-present-illness-2-3.pdf","gsii/532411-history-of-present-illness-2-3.pdf")</f>
        <v/>
      </c>
      <c r="E225" t="n">
        <v>119960</v>
      </c>
      <c r="F225" t="n">
        <v>532411</v>
      </c>
      <c r="G225" t="inlineStr">
        <is>
          <t>Physician</t>
        </is>
      </c>
      <c r="H225" t="inlineStr">
        <is>
          <t>history-of-present-illness</t>
        </is>
      </c>
      <c r="I225" t="inlineStr">
        <is>
          <t xml:space="preserve">
   CT ab/pelvis was performed in the setting of the Hct drop, showing left
   hip intertrochanteric fracture, a large retroperitoneal mass likely
   from left adrenal gland (non-urgent MR recommended for further
   evaluation), and no retroperitoneal hematoma on preliminary read.</t>
        </is>
      </c>
    </row>
    <row r="226">
      <c r="A226" t="inlineStr">
        <is>
          <t>532411-history-of-present-illness-2-4</t>
        </is>
      </c>
      <c r="B226" t="inlineStr"/>
      <c r="C226" t="inlineStr"/>
      <c r="D226">
        <f>HYPERLINK("http://nlpdeep.cs.uic.edu:8080/proofing/t5/532411-history-of-present-illness-2-4.pdf","t5/532411-history-of-present-illness-2-4.pdf")</f>
        <v/>
      </c>
      <c r="E226" t="n">
        <v>119960</v>
      </c>
      <c r="F226" t="n">
        <v>532411</v>
      </c>
      <c r="G226" t="inlineStr">
        <is>
          <t>Physician</t>
        </is>
      </c>
      <c r="H226" t="inlineStr">
        <is>
          <t>history-of-present-illness</t>
        </is>
      </c>
      <c r="I226" t="inlineStr">
        <is>
          <t>He
   was found to be guaiac negative.</t>
        </is>
      </c>
    </row>
    <row r="227">
      <c r="A227" t="inlineStr">
        <is>
          <t>532411-history-of-present-illness-2-4</t>
        </is>
      </c>
      <c r="B227" t="inlineStr"/>
      <c r="C227" t="inlineStr"/>
      <c r="D227">
        <f>HYPERLINK("http://nlpdeep.cs.uic.edu:8080/proofing/gsii/532411-history-of-present-illness-2-4.pdf","gsii/532411-history-of-present-illness-2-4.pdf")</f>
        <v/>
      </c>
      <c r="E227" t="n">
        <v>119960</v>
      </c>
      <c r="F227" t="n">
        <v>532411</v>
      </c>
      <c r="G227" t="inlineStr">
        <is>
          <t>Physician</t>
        </is>
      </c>
      <c r="H227" t="inlineStr">
        <is>
          <t>history-of-present-illness</t>
        </is>
      </c>
      <c r="I227" t="inlineStr">
        <is>
          <t>He
   was found to be guaiac negative.</t>
        </is>
      </c>
    </row>
    <row r="228">
      <c r="A228" t="inlineStr">
        <is>
          <t>532411-history-of-present-illness-2-5</t>
        </is>
      </c>
      <c r="B228" t="inlineStr"/>
      <c r="C228" t="inlineStr"/>
      <c r="D228">
        <f>HYPERLINK("http://nlpdeep.cs.uic.edu:8080/proofing/t5/532411-history-of-present-illness-2-5.pdf","t5/532411-history-of-present-illness-2-5.pdf")</f>
        <v/>
      </c>
      <c r="E228" t="n">
        <v>119960</v>
      </c>
      <c r="F228" t="n">
        <v>532411</v>
      </c>
      <c r="G228" t="inlineStr">
        <is>
          <t>Physician</t>
        </is>
      </c>
      <c r="H228" t="inlineStr">
        <is>
          <t>history-of-present-illness</t>
        </is>
      </c>
      <c r="I228" t="inlineStr">
        <is>
          <t>He continued with HR in 60s and
   systolics in 90s, received an additional 1L IVF (and a second liter was
   begun prior to transfer), and was typed and crossed for 2 units pRBC.</t>
        </is>
      </c>
    </row>
    <row r="229">
      <c r="A229" t="inlineStr">
        <is>
          <t>532411-history-of-present-illness-2-5</t>
        </is>
      </c>
      <c r="B229" t="inlineStr"/>
      <c r="C229" t="inlineStr"/>
      <c r="D229">
        <f>HYPERLINK("http://nlpdeep.cs.uic.edu:8080/proofing/gsii/532411-history-of-present-illness-2-5.pdf","gsii/532411-history-of-present-illness-2-5.pdf")</f>
        <v/>
      </c>
      <c r="E229" t="n">
        <v>119960</v>
      </c>
      <c r="F229" t="n">
        <v>532411</v>
      </c>
      <c r="G229" t="inlineStr">
        <is>
          <t>Physician</t>
        </is>
      </c>
      <c r="H229" t="inlineStr">
        <is>
          <t>history-of-present-illness</t>
        </is>
      </c>
      <c r="I229" t="inlineStr">
        <is>
          <t>He continued with HR in 60s and
   systolics in 90s, received an additional 1L IVF (and a second liter was
   begun prior to transfer), and was typed and crossed for 2 units pRBC.</t>
        </is>
      </c>
    </row>
    <row r="230">
      <c r="A230" t="inlineStr">
        <is>
          <t>532411-history-of-present-illness-2-6</t>
        </is>
      </c>
      <c r="B230" t="inlineStr"/>
      <c r="C230" t="inlineStr"/>
      <c r="D230">
        <f>HYPERLINK("http://nlpdeep.cs.uic.edu:8080/proofing/t5/532411-history-of-present-illness-2-6.pdf","t5/532411-history-of-present-illness-2-6.pdf")</f>
        <v/>
      </c>
      <c r="E230" t="n">
        <v>119960</v>
      </c>
      <c r="F230" t="n">
        <v>532411</v>
      </c>
      <c r="G230" t="inlineStr">
        <is>
          <t>Physician</t>
        </is>
      </c>
      <c r="H230" t="inlineStr">
        <is>
          <t>history-of-present-illness</t>
        </is>
      </c>
      <c r="I230" t="inlineStr">
        <is>
          <t xml:space="preserve">
   CXR showed a retrocardiac opacity and he was given levofloxacin 750 mg
   for empiric pneumonia coverage after a single blood culture was drawn.</t>
        </is>
      </c>
    </row>
    <row r="231">
      <c r="A231" t="inlineStr">
        <is>
          <t>532411-history-of-present-illness-2-6</t>
        </is>
      </c>
      <c r="B231" t="inlineStr"/>
      <c r="C231" t="inlineStr"/>
      <c r="D231">
        <f>HYPERLINK("http://nlpdeep.cs.uic.edu:8080/proofing/gsii/532411-history-of-present-illness-2-6.pdf","gsii/532411-history-of-present-illness-2-6.pdf")</f>
        <v/>
      </c>
      <c r="E231" t="n">
        <v>119960</v>
      </c>
      <c r="F231" t="n">
        <v>532411</v>
      </c>
      <c r="G231" t="inlineStr">
        <is>
          <t>Physician</t>
        </is>
      </c>
      <c r="H231" t="inlineStr">
        <is>
          <t>history-of-present-illness</t>
        </is>
      </c>
      <c r="I231" t="inlineStr">
        <is>
          <t xml:space="preserve">
   CXR showed a retrocardiac opacity and he was given levofloxacin 750 mg
   for empiric pneumonia coverage after a single blood culture was drawn.</t>
        </is>
      </c>
    </row>
    <row r="232">
      <c r="A232" t="inlineStr">
        <is>
          <t>532411-history-of-present-illness-2-7</t>
        </is>
      </c>
      <c r="B232" t="inlineStr"/>
      <c r="C232" t="inlineStr"/>
      <c r="D232">
        <f>HYPERLINK("http://nlpdeep.cs.uic.edu:8080/proofing/t5/532411-history-of-present-illness-2-7.pdf","t5/532411-history-of-present-illness-2-7.pdf")</f>
        <v/>
      </c>
      <c r="E232" t="n">
        <v>119960</v>
      </c>
      <c r="F232" t="n">
        <v>532411</v>
      </c>
      <c r="G232" t="inlineStr">
        <is>
          <t>Physician</t>
        </is>
      </c>
      <c r="H232" t="inlineStr">
        <is>
          <t>history-of-present-illness</t>
        </is>
      </c>
      <c r="I232" t="inlineStr">
        <is>
          <t xml:space="preserve">
   A Foley was placed.</t>
        </is>
      </c>
    </row>
    <row r="233">
      <c r="A233" t="inlineStr">
        <is>
          <t>532411-history-of-present-illness-2-7</t>
        </is>
      </c>
      <c r="B233" t="inlineStr"/>
      <c r="C233" t="inlineStr"/>
      <c r="D233">
        <f>HYPERLINK("http://nlpdeep.cs.uic.edu:8080/proofing/gsii/532411-history-of-present-illness-2-7.pdf","gsii/532411-history-of-present-illness-2-7.pdf")</f>
        <v/>
      </c>
      <c r="E233" t="n">
        <v>119960</v>
      </c>
      <c r="F233" t="n">
        <v>532411</v>
      </c>
      <c r="G233" t="inlineStr">
        <is>
          <t>Physician</t>
        </is>
      </c>
      <c r="H233" t="inlineStr">
        <is>
          <t>history-of-present-illness</t>
        </is>
      </c>
      <c r="I233" t="inlineStr">
        <is>
          <t xml:space="preserve">
   A Foley was placed.</t>
        </is>
      </c>
    </row>
    <row r="234">
      <c r="A234" t="inlineStr">
        <is>
          <t>532411-history-of-present-illness-2-8</t>
        </is>
      </c>
      <c r="B234" t="inlineStr"/>
      <c r="C234" t="inlineStr"/>
      <c r="D234">
        <f>HYPERLINK("http://nlpdeep.cs.uic.edu:8080/proofing/t5/532411-history-of-present-illness-2-8.pdf","t5/532411-history-of-present-illness-2-8.pdf")</f>
        <v/>
      </c>
      <c r="E234" t="n">
        <v>119960</v>
      </c>
      <c r="F234" t="n">
        <v>532411</v>
      </c>
      <c r="G234" t="inlineStr">
        <is>
          <t>Physician</t>
        </is>
      </c>
      <c r="H234" t="inlineStr">
        <is>
          <t>history-of-present-illness</t>
        </is>
      </c>
      <c r="I234" t="inlineStr">
        <is>
          <t>Transfer vitals in the ED were HR 64, RR19 100% on
   4L (desatted after NS to low 90s), 88/48.</t>
        </is>
      </c>
    </row>
    <row r="235">
      <c r="A235" t="inlineStr">
        <is>
          <t>532411-history-of-present-illness-2-8</t>
        </is>
      </c>
      <c r="B235" t="inlineStr"/>
      <c r="C235" t="inlineStr"/>
      <c r="D235">
        <f>HYPERLINK("http://nlpdeep.cs.uic.edu:8080/proofing/gsii/532411-history-of-present-illness-2-8.pdf","gsii/532411-history-of-present-illness-2-8.pdf")</f>
        <v/>
      </c>
      <c r="E235" t="n">
        <v>119960</v>
      </c>
      <c r="F235" t="n">
        <v>532411</v>
      </c>
      <c r="G235" t="inlineStr">
        <is>
          <t>Physician</t>
        </is>
      </c>
      <c r="H235" t="inlineStr">
        <is>
          <t>history-of-present-illness</t>
        </is>
      </c>
      <c r="I235" t="inlineStr">
        <is>
          <t>Transfer vitals in the ED were HR 64, RR19 100% on
   4L (desatted after NS to low 90s), 88/48.</t>
        </is>
      </c>
    </row>
    <row r="236">
      <c r="A236" t="inlineStr">
        <is>
          <t>532411-history-of-present-illness-3-0</t>
        </is>
      </c>
      <c r="B236" t="inlineStr"/>
      <c r="C236" t="inlineStr"/>
      <c r="D236">
        <f>HYPERLINK("http://nlpdeep.cs.uic.edu:8080/proofing/t5/532411-history-of-present-illness-3-0.pdf","t5/532411-history-of-present-illness-3-0.pdf")</f>
        <v/>
      </c>
      <c r="E236" t="n">
        <v>119960</v>
      </c>
      <c r="F236" t="n">
        <v>532411</v>
      </c>
      <c r="G236" t="inlineStr">
        <is>
          <t>Physician</t>
        </is>
      </c>
      <c r="H236" t="inlineStr">
        <is>
          <t>history-of-present-illness</t>
        </is>
      </c>
      <c r="I236" t="inlineStr">
        <is>
          <t xml:space="preserve">
   The patient was admitted to the MICU, where initial vitals were HR 69
   BP 102/63-120/75, RR 32-20, SpO2 100% on 1L NC.</t>
        </is>
      </c>
    </row>
    <row r="237">
      <c r="A237" t="inlineStr">
        <is>
          <t>532411-history-of-present-illness-3-0</t>
        </is>
      </c>
      <c r="B237" t="inlineStr"/>
      <c r="C237" t="inlineStr"/>
      <c r="D237">
        <f>HYPERLINK("http://nlpdeep.cs.uic.edu:8080/proofing/gsii/532411-history-of-present-illness-3-0.pdf","gsii/532411-history-of-present-illness-3-0.pdf")</f>
        <v/>
      </c>
      <c r="E237" t="n">
        <v>119960</v>
      </c>
      <c r="F237" t="n">
        <v>532411</v>
      </c>
      <c r="G237" t="inlineStr">
        <is>
          <t>Physician</t>
        </is>
      </c>
      <c r="H237" t="inlineStr">
        <is>
          <t>history-of-present-illness</t>
        </is>
      </c>
      <c r="I237" t="inlineStr">
        <is>
          <t xml:space="preserve">
   The patient was admitted to the MICU, where initial vitals were HR 69
   BP 102/63-120/75, RR 32-20, SpO2 100% on 1L NC.</t>
        </is>
      </c>
    </row>
    <row r="238">
      <c r="A238" t="inlineStr">
        <is>
          <t>532411-history-of-present-illness-4-0</t>
        </is>
      </c>
      <c r="B238" t="inlineStr"/>
      <c r="C238" t="inlineStr"/>
      <c r="D238">
        <f>HYPERLINK("http://nlpdeep.cs.uic.edu:8080/proofing/t5/532411-history-of-present-illness-4-0.pdf","t5/532411-history-of-present-illness-4-0.pdf")</f>
        <v/>
      </c>
      <c r="E238" t="n">
        <v>119960</v>
      </c>
      <c r="F238" t="n">
        <v>532411</v>
      </c>
      <c r="G238" t="inlineStr">
        <is>
          <t>Physician</t>
        </is>
      </c>
      <c r="H238" t="inlineStr">
        <is>
          <t>history-of-present-illness</t>
        </is>
      </c>
      <c r="I238" t="inlineStr">
        <is>
          <t xml:space="preserve">
   On ROS, the patient denies any LOC, dizziness/lightheadedness, recent
   diarrhea (though had diarrhea in prior admission).</t>
        </is>
      </c>
    </row>
    <row r="239">
      <c r="A239" t="inlineStr">
        <is>
          <t>532411-history-of-present-illness-4-0</t>
        </is>
      </c>
      <c r="B239" t="inlineStr"/>
      <c r="C239" t="inlineStr"/>
      <c r="D239">
        <f>HYPERLINK("http://nlpdeep.cs.uic.edu:8080/proofing/gsii/532411-history-of-present-illness-4-0.pdf","gsii/532411-history-of-present-illness-4-0.pdf")</f>
        <v/>
      </c>
      <c r="E239" t="n">
        <v>119960</v>
      </c>
      <c r="F239" t="n">
        <v>532411</v>
      </c>
      <c r="G239" t="inlineStr">
        <is>
          <t>Physician</t>
        </is>
      </c>
      <c r="H239" t="inlineStr">
        <is>
          <t>history-of-present-illness</t>
        </is>
      </c>
      <c r="I239" t="inlineStr">
        <is>
          <t xml:space="preserve">
   On ROS, the patient denies any LOC, dizziness/lightheadedness, recent
   diarrhea (though had diarrhea in prior admission).</t>
        </is>
      </c>
    </row>
    <row r="240">
      <c r="A240" t="inlineStr">
        <is>
          <t>532411-history-of-present-illness-4-1</t>
        </is>
      </c>
      <c r="B240" t="inlineStr"/>
      <c r="C240" t="inlineStr"/>
      <c r="D240">
        <f>HYPERLINK("http://nlpdeep.cs.uic.edu:8080/proofing/t5/532411-history-of-present-illness-4-1.pdf","t5/532411-history-of-present-illness-4-1.pdf")</f>
        <v/>
      </c>
      <c r="E240" t="n">
        <v>119960</v>
      </c>
      <c r="F240" t="n">
        <v>532411</v>
      </c>
      <c r="G240" t="inlineStr">
        <is>
          <t>Physician</t>
        </is>
      </c>
      <c r="H240" t="inlineStr">
        <is>
          <t>history-of-present-illness</t>
        </is>
      </c>
      <c r="I240" t="inlineStr">
        <is>
          <t>+cough with small
   amounts of yellowish sputum but not in past few days.</t>
        </is>
      </c>
    </row>
    <row r="241">
      <c r="A241" t="inlineStr">
        <is>
          <t>532411-history-of-present-illness-4-1</t>
        </is>
      </c>
      <c r="B241" t="inlineStr"/>
      <c r="C241" t="inlineStr"/>
      <c r="D241">
        <f>HYPERLINK("http://nlpdeep.cs.uic.edu:8080/proofing/gsii/532411-history-of-present-illness-4-1.pdf","gsii/532411-history-of-present-illness-4-1.pdf")</f>
        <v/>
      </c>
      <c r="E241" t="n">
        <v>119960</v>
      </c>
      <c r="F241" t="n">
        <v>532411</v>
      </c>
      <c r="G241" t="inlineStr">
        <is>
          <t>Physician</t>
        </is>
      </c>
      <c r="H241" t="inlineStr">
        <is>
          <t>history-of-present-illness</t>
        </is>
      </c>
      <c r="I241" t="inlineStr">
        <is>
          <t>+cough with small
   amounts of yellowish sputum but not in past few days.</t>
        </is>
      </c>
    </row>
    <row r="242">
      <c r="A242" t="inlineStr">
        <is>
          <t>532411-history-of-present-illness-4-2</t>
        </is>
      </c>
      <c r="B242" t="inlineStr"/>
      <c r="C242" t="inlineStr"/>
      <c r="D242">
        <f>HYPERLINK("http://nlpdeep.cs.uic.edu:8080/proofing/t5/532411-history-of-present-illness-4-2.pdf","t5/532411-history-of-present-illness-4-2.pdf")</f>
        <v/>
      </c>
      <c r="E242" t="n">
        <v>119960</v>
      </c>
      <c r="F242" t="n">
        <v>532411</v>
      </c>
      <c r="G242" t="inlineStr">
        <is>
          <t>Physician</t>
        </is>
      </c>
      <c r="H242" t="inlineStr">
        <is>
          <t>history-of-present-illness</t>
        </is>
      </c>
      <c r="I242" t="inlineStr">
        <is>
          <t>Patient admitted from: [**Hospital1 19**] ER
   History obtained from Patient, Family / F</t>
        </is>
      </c>
    </row>
    <row r="243">
      <c r="A243" t="inlineStr">
        <is>
          <t>532411-history-of-present-illness-4-2</t>
        </is>
      </c>
      <c r="B243" t="inlineStr"/>
      <c r="C243" t="inlineStr"/>
      <c r="D243">
        <f>HYPERLINK("http://nlpdeep.cs.uic.edu:8080/proofing/gsii/532411-history-of-present-illness-4-2.pdf","gsii/532411-history-of-present-illness-4-2.pdf")</f>
        <v/>
      </c>
      <c r="E243" t="n">
        <v>119960</v>
      </c>
      <c r="F243" t="n">
        <v>532411</v>
      </c>
      <c r="G243" t="inlineStr">
        <is>
          <t>Physician</t>
        </is>
      </c>
      <c r="H243" t="inlineStr">
        <is>
          <t>history-of-present-illness</t>
        </is>
      </c>
      <c r="I243" t="inlineStr">
        <is>
          <t>Patient admitted from: [**Hospital1 19**] ER
   History obtained from Patient, Family / F</t>
        </is>
      </c>
    </row>
    <row r="244">
      <c r="A244" t="inlineStr">
        <is>
          <t>532411-allergies-0-0</t>
        </is>
      </c>
      <c r="B244" t="inlineStr"/>
      <c r="C244" t="inlineStr"/>
      <c r="D244">
        <f>HYPERLINK("http://nlpdeep.cs.uic.edu:8080/proofing/t5/532411-allergies-0-0.pdf","t5/532411-allergies-0-0.pdf")</f>
        <v/>
      </c>
      <c r="E244" t="n">
        <v>119960</v>
      </c>
      <c r="F244" t="n">
        <v>532411</v>
      </c>
      <c r="G244" t="inlineStr">
        <is>
          <t>Physician</t>
        </is>
      </c>
      <c r="H244" t="inlineStr">
        <is>
          <t>allergies</t>
        </is>
      </c>
      <c r="I244" t="inlineStr">
        <is>
          <t>Quinidine fever;
   Propranolol Aggitation;
   Zolpidem
   Coumadin
 GIB
   Heparin
 HIT positive, serotonin assay negative, thrombocytopenic on
   [**2141-3-17**] a</t>
        </is>
      </c>
    </row>
    <row r="245">
      <c r="A245" t="inlineStr">
        <is>
          <t>532411-allergies-0-0</t>
        </is>
      </c>
      <c r="B245" t="inlineStr"/>
      <c r="C245" t="inlineStr"/>
      <c r="D245">
        <f>HYPERLINK("http://nlpdeep.cs.uic.edu:8080/proofing/gsii/532411-allergies-0-0.pdf","gsii/532411-allergies-0-0.pdf")</f>
        <v/>
      </c>
      <c r="E245" t="n">
        <v>119960</v>
      </c>
      <c r="F245" t="n">
        <v>532411</v>
      </c>
      <c r="G245" t="inlineStr">
        <is>
          <t>Physician</t>
        </is>
      </c>
      <c r="H245" t="inlineStr">
        <is>
          <t>allergies</t>
        </is>
      </c>
      <c r="I245" t="inlineStr">
        <is>
          <t>Quinidine fever;
   Propranolol Aggitation;
   Zolpidem
   Coumadin
 GIB
   Heparin
 HIT positive, serotonin assay negative, thrombocytopenic on
   [**2141-3-17**] a</t>
        </is>
      </c>
    </row>
    <row r="246">
      <c r="A246" t="inlineStr">
        <is>
          <t>532411-last-dose-of-antibiotics-0-0</t>
        </is>
      </c>
      <c r="B246" t="inlineStr"/>
      <c r="C246" t="inlineStr"/>
      <c r="D246">
        <f>HYPERLINK("http://nlpdeep.cs.uic.edu:8080/proofing/t5/532411-last-dose-of-antibiotics-0-0.pdf","t5/532411-last-dose-of-antibiotics-0-0.pdf")</f>
        <v/>
      </c>
      <c r="E246" t="n">
        <v>119960</v>
      </c>
      <c r="F246" t="n">
        <v>532411</v>
      </c>
      <c r="G246" t="inlineStr">
        <is>
          <t>Physician</t>
        </is>
      </c>
      <c r="H246" t="inlineStr">
        <is>
          <t>last-dose-of-antibiotics</t>
        </is>
      </c>
      <c r="I246" t="inlineStr">
        <is>
          <t>Levofloxacin in E</t>
        </is>
      </c>
    </row>
    <row r="247">
      <c r="A247" t="inlineStr">
        <is>
          <t>532411-last-dose-of-antibiotics-0-0</t>
        </is>
      </c>
      <c r="B247" t="inlineStr"/>
      <c r="C247" t="inlineStr"/>
      <c r="D247">
        <f>HYPERLINK("http://nlpdeep.cs.uic.edu:8080/proofing/gsii/532411-last-dose-of-antibiotics-0-0.pdf","gsii/532411-last-dose-of-antibiotics-0-0.pdf")</f>
        <v/>
      </c>
      <c r="E247" t="n">
        <v>119960</v>
      </c>
      <c r="F247" t="n">
        <v>532411</v>
      </c>
      <c r="G247" t="inlineStr">
        <is>
          <t>Physician</t>
        </is>
      </c>
      <c r="H247" t="inlineStr">
        <is>
          <t>last-dose-of-antibiotics</t>
        </is>
      </c>
      <c r="I247" t="inlineStr">
        <is>
          <t>Levofloxacin in E</t>
        </is>
      </c>
    </row>
    <row r="248">
      <c r="A248" t="inlineStr">
        <is>
          <t>532411-other-medications-0-0</t>
        </is>
      </c>
      <c r="B248" t="inlineStr"/>
      <c r="C248" t="inlineStr"/>
      <c r="D248">
        <f>HYPERLINK("http://nlpdeep.cs.uic.edu:8080/proofing/t5/532411-other-medications-0-0.pdf","t5/532411-other-medications-0-0.pdf")</f>
        <v/>
      </c>
      <c r="E248" t="n">
        <v>119960</v>
      </c>
      <c r="F248" t="n">
        <v>532411</v>
      </c>
      <c r="G248" t="inlineStr">
        <is>
          <t>Physician</t>
        </is>
      </c>
      <c r="H248" t="inlineStr">
        <is>
          <t>other-medications</t>
        </is>
      </c>
      <c r="I248" t="inlineStr">
        <is>
          <t>Morphine Sulfate - [**2141-4-6**] 09:30 PM
   Other medications:
   Meds from rehab:
   -Vicodin 5/500 2 tabs qd
   -Pantoprazole 40 mg Tablet qd
   -Vancomycin 125 mg PO Q6H; taper as follows:
        [**Date range (1) 14476**] 125mg Q6H;
        [**Date range (1) 14477**] 125mg Q12H;
        [**Date range (1) 14478**] 125mg daily;
        [**Date range (1) 14479**] 125mg; every other day
        [**Date range (1) 14480**] 125mg; every third day; then stop.</t>
        </is>
      </c>
    </row>
    <row r="249">
      <c r="A249" t="inlineStr">
        <is>
          <t>532411-other-medications-0-0</t>
        </is>
      </c>
      <c r="B249" t="inlineStr"/>
      <c r="C249" t="inlineStr"/>
      <c r="D249">
        <f>HYPERLINK("http://nlpdeep.cs.uic.edu:8080/proofing/gsii/532411-other-medications-0-0.pdf","gsii/532411-other-medications-0-0.pdf")</f>
        <v/>
      </c>
      <c r="E249" t="n">
        <v>119960</v>
      </c>
      <c r="F249" t="n">
        <v>532411</v>
      </c>
      <c r="G249" t="inlineStr">
        <is>
          <t>Physician</t>
        </is>
      </c>
      <c r="H249" t="inlineStr">
        <is>
          <t>other-medications</t>
        </is>
      </c>
      <c r="I249" t="inlineStr">
        <is>
          <t>Morphine Sulfate - [**2141-4-6**] 09:30 PM
   Other medications:
   Meds from rehab:
   -Vicodin 5/500 2 tabs qd
   -Pantoprazole 40 mg Tablet qd
   -Vancomycin 125 mg PO Q6H; taper as follows:
        [**Date range (1) 14476**] 125mg Q6H;
        [**Date range (1) 14477**] 125mg Q12H;
        [**Date range (1) 14478**] 125mg daily;
        [**Date range (1) 14479**] 125mg; every other day
        [**Date range (1) 14480**] 125mg; every third day; then stop.</t>
        </is>
      </c>
    </row>
    <row r="250">
      <c r="A250" t="inlineStr">
        <is>
          <t>532411-other-medications-0-1</t>
        </is>
      </c>
      <c r="B250" t="inlineStr"/>
      <c r="C250" t="inlineStr"/>
      <c r="D250">
        <f>HYPERLINK("http://nlpdeep.cs.uic.edu:8080/proofing/t5/532411-other-medications-0-1.pdf","t5/532411-other-medications-0-1.pdf")</f>
        <v/>
      </c>
      <c r="E250" t="n">
        <v>119960</v>
      </c>
      <c r="F250" t="n">
        <v>532411</v>
      </c>
      <c r="G250" t="inlineStr">
        <is>
          <t>Physician</t>
        </is>
      </c>
      <c r="H250" t="inlineStr">
        <is>
          <t>other-medications</t>
        </is>
      </c>
      <c r="I250" t="inlineStr">
        <is>
          <t xml:space="preserve">
   -Ativan 0.125 mg tid prn
   -Ammonium Lactate 12% Lotion Topical [**Hospital1 7**]
   -Ipratropium Bromide 0.5 mg Neb Inhalation Q6H PRN SOB/Wheezing.</t>
        </is>
      </c>
    </row>
    <row r="251">
      <c r="A251" t="inlineStr">
        <is>
          <t>532411-other-medications-0-1</t>
        </is>
      </c>
      <c r="B251" t="inlineStr"/>
      <c r="C251" t="inlineStr"/>
      <c r="D251">
        <f>HYPERLINK("http://nlpdeep.cs.uic.edu:8080/proofing/gsii/532411-other-medications-0-1.pdf","gsii/532411-other-medications-0-1.pdf")</f>
        <v/>
      </c>
      <c r="E251" t="n">
        <v>119960</v>
      </c>
      <c r="F251" t="n">
        <v>532411</v>
      </c>
      <c r="G251" t="inlineStr">
        <is>
          <t>Physician</t>
        </is>
      </c>
      <c r="H251" t="inlineStr">
        <is>
          <t>other-medications</t>
        </is>
      </c>
      <c r="I251" t="inlineStr">
        <is>
          <t xml:space="preserve">
   -Ativan 0.125 mg tid prn
   -Ammonium Lactate 12% Lotion Topical [**Hospital1 7**]
   -Ipratropium Bromide 0.5 mg Neb Inhalation Q6H PRN SOB/Wheezing.</t>
        </is>
      </c>
    </row>
    <row r="252">
      <c r="A252" t="inlineStr">
        <is>
          <t>532411-other-medications-0-2</t>
        </is>
      </c>
      <c r="B252" t="inlineStr"/>
      <c r="C252" t="inlineStr"/>
      <c r="D252">
        <f>HYPERLINK("http://nlpdeep.cs.uic.edu:8080/proofing/t5/532411-other-medications-0-2.pdf","t5/532411-other-medications-0-2.pdf")</f>
        <v/>
      </c>
      <c r="E252" t="n">
        <v>119960</v>
      </c>
      <c r="F252" t="n">
        <v>532411</v>
      </c>
      <c r="G252" t="inlineStr">
        <is>
          <t>Physician</t>
        </is>
      </c>
      <c r="H252" t="inlineStr">
        <is>
          <t>other-medications</t>
        </is>
      </c>
      <c r="I252" t="inlineStr">
        <is>
          <t xml:space="preserve">
   -Torsemide 40 mg PO BID (if weight &gt; 160lbs, increase to 80mg in the
   morning and 40mg at night; if weight &lt; 145lbs, decrease torsemide to
   40mg daily)
   -Spironolactone 25 mg Tablet PO DAILY
   -Metoprolol Tartrate 12.5 mg PO BID
   -Simvastatin 40 mg PO qpm
   -Ergocalciferol (Vitamin D2) 5,000 unit po weekly
   -Bisacodyl suppository 10 mg qd prn
   -Senna qd prn
   -Aspirin 81 mg po qd
   -Acetaminophen 325 mg 1-2 Tablets PO Q4H prn pain / fever.</t>
        </is>
      </c>
    </row>
    <row r="253">
      <c r="A253" t="inlineStr">
        <is>
          <t>532411-other-medications-0-2</t>
        </is>
      </c>
      <c r="B253" t="inlineStr"/>
      <c r="C253" t="inlineStr"/>
      <c r="D253">
        <f>HYPERLINK("http://nlpdeep.cs.uic.edu:8080/proofing/gsii/532411-other-medications-0-2.pdf","gsii/532411-other-medications-0-2.pdf")</f>
        <v/>
      </c>
      <c r="E253" t="n">
        <v>119960</v>
      </c>
      <c r="F253" t="n">
        <v>532411</v>
      </c>
      <c r="G253" t="inlineStr">
        <is>
          <t>Physician</t>
        </is>
      </c>
      <c r="H253" t="inlineStr">
        <is>
          <t>other-medications</t>
        </is>
      </c>
      <c r="I253" t="inlineStr">
        <is>
          <t xml:space="preserve">
   -Torsemide 40 mg PO BID (if weight &gt; 160lbs, increase to 80mg in the
   morning and 40mg at night; if weight &lt; 145lbs, decrease torsemide to
   40mg daily)
   -Spironolactone 25 mg Tablet PO DAILY
   -Metoprolol Tartrate 12.5 mg PO BID
   -Simvastatin 40 mg PO qpm
   -Ergocalciferol (Vitamin D2) 5,000 unit po weekly
   -Bisacodyl suppository 10 mg qd prn
   -Senna qd prn
   -Aspirin 81 mg po qd
   -Acetaminophen 325 mg 1-2 Tablets PO Q4H prn pain / fever.</t>
        </is>
      </c>
    </row>
    <row r="254">
      <c r="A254" t="inlineStr">
        <is>
          <t>532411-other-medications-0-3</t>
        </is>
      </c>
      <c r="B254" t="inlineStr"/>
      <c r="C254" t="inlineStr"/>
      <c r="D254">
        <f>HYPERLINK("http://nlpdeep.cs.uic.edu:8080/proofing/t5/532411-other-medications-0-3.pdf","t5/532411-other-medications-0-3.pdf")</f>
        <v/>
      </c>
      <c r="E254" t="n">
        <v>119960</v>
      </c>
      <c r="F254" t="n">
        <v>532411</v>
      </c>
      <c r="G254" t="inlineStr">
        <is>
          <t>Physician</t>
        </is>
      </c>
      <c r="H254" t="inlineStr">
        <is>
          <t>other-medications</t>
        </is>
      </c>
      <c r="I254" t="inlineStr">
        <is>
          <t>-Tums [**Hospital1 **]
   -Cadexomer iodine topical gel q3d topical
   -Dextromethorphan-Guaifenesin 30 mg q12hr p</t>
        </is>
      </c>
    </row>
    <row r="255">
      <c r="A255" t="inlineStr">
        <is>
          <t>532411-other-medications-0-3</t>
        </is>
      </c>
      <c r="B255" t="inlineStr"/>
      <c r="C255" t="inlineStr"/>
      <c r="D255">
        <f>HYPERLINK("http://nlpdeep.cs.uic.edu:8080/proofing/gsii/532411-other-medications-0-3.pdf","gsii/532411-other-medications-0-3.pdf")</f>
        <v/>
      </c>
      <c r="E255" t="n">
        <v>119960</v>
      </c>
      <c r="F255" t="n">
        <v>532411</v>
      </c>
      <c r="G255" t="inlineStr">
        <is>
          <t>Physician</t>
        </is>
      </c>
      <c r="H255" t="inlineStr">
        <is>
          <t>other-medications</t>
        </is>
      </c>
      <c r="I255" t="inlineStr">
        <is>
          <t>-Tums [**Hospital1 **]
   -Cadexomer iodine topical gel q3d topical
   -Dextromethorphan-Guaifenesin 30 mg q12hr p</t>
        </is>
      </c>
    </row>
    <row r="256">
      <c r="A256" t="inlineStr">
        <is>
          <t>532411-past-medical-history-0-0</t>
        </is>
      </c>
      <c r="B256" t="inlineStr"/>
      <c r="C256" t="inlineStr"/>
      <c r="D256">
        <f>HYPERLINK("http://nlpdeep.cs.uic.edu:8080/proofing/t5/532411-past-medical-history-0-0.pdf","t5/532411-past-medical-history-0-0.pdf")</f>
        <v/>
      </c>
      <c r="E256" t="n">
        <v>119960</v>
      </c>
      <c r="F256" t="n">
        <v>532411</v>
      </c>
      <c r="G256" t="inlineStr">
        <is>
          <t>Physician</t>
        </is>
      </c>
      <c r="H256" t="inlineStr">
        <is>
          <t>past-medical-history</t>
        </is>
      </c>
      <c r="I256" t="inlineStr">
        <is>
          <t>-CHF with preserved LVEF (65% 1/10), thought to have L HF leading to R
   HF without primary pulm HTN
   -Chronic Afib, not on warfarin given recent UGIB ([**2-8**])
   -Pulmonary artery HTN (30mmHg + RA [**11-6**])
   -Mild MR, mod TR, mild AI, mild AS (peak 25 mmHg [**11-6**])
   -Mild ascending aortic dilatation (3.7 cm)
   -Left ventricular hypertrophy
   -Prostate enlargement (followed by Dr.</t>
        </is>
      </c>
    </row>
    <row r="257">
      <c r="A257" t="inlineStr">
        <is>
          <t>532411-past-medical-history-0-0</t>
        </is>
      </c>
      <c r="B257" t="inlineStr"/>
      <c r="C257" t="inlineStr"/>
      <c r="D257">
        <f>HYPERLINK("http://nlpdeep.cs.uic.edu:8080/proofing/gsii/532411-past-medical-history-0-0.pdf","gsii/532411-past-medical-history-0-0.pdf")</f>
        <v/>
      </c>
      <c r="E257" t="n">
        <v>119960</v>
      </c>
      <c r="F257" t="n">
        <v>532411</v>
      </c>
      <c r="G257" t="inlineStr">
        <is>
          <t>Physician</t>
        </is>
      </c>
      <c r="H257" t="inlineStr">
        <is>
          <t>past-medical-history</t>
        </is>
      </c>
      <c r="I257" t="inlineStr">
        <is>
          <t>-CHF with preserved LVEF (65% 1/10), thought to have L HF leading to R
   HF without primary pulm HTN
   -Chronic Afib, not on warfarin given recent UGIB ([**2-8**])
   -Pulmonary artery HTN (30mmHg + RA [**11-6**])
   -Mild MR, mod TR, mild AI, mild AS (peak 25 mmHg [**11-6**])
   -Mild ascending aortic dilatation (3.7 cm)
   -Left ventricular hypertrophy
   -Prostate enlargement (followed by Dr.</t>
        </is>
      </c>
    </row>
    <row r="258">
      <c r="A258" t="inlineStr">
        <is>
          <t>532411-past-medical-history-0-1</t>
        </is>
      </c>
      <c r="B258" t="inlineStr"/>
      <c r="C258" t="inlineStr"/>
      <c r="D258">
        <f>HYPERLINK("http://nlpdeep.cs.uic.edu:8080/proofing/t5/532411-past-medical-history-0-1.pdf","t5/532411-past-medical-history-0-1.pdf")</f>
        <v/>
      </c>
      <c r="E258" t="n">
        <v>119960</v>
      </c>
      <c r="F258" t="n">
        <v>532411</v>
      </c>
      <c r="G258" t="inlineStr">
        <is>
          <t>Physician</t>
        </is>
      </c>
      <c r="H258" t="inlineStr">
        <is>
          <t>past-medical-history</t>
        </is>
      </c>
      <c r="I258" t="inlineStr">
        <is>
          <t>[**Last Name (STitle) **] [**Last Name (STitle) **])
   -Hypertension
   -Hypercholesterolemia
   -Severe essential tremor, since [**2076**] (WWII)
   -Venous stasis, followed by Dr.</t>
        </is>
      </c>
    </row>
    <row r="259">
      <c r="A259" t="inlineStr">
        <is>
          <t>532411-past-medical-history-0-1</t>
        </is>
      </c>
      <c r="B259" t="inlineStr"/>
      <c r="C259" t="inlineStr"/>
      <c r="D259">
        <f>HYPERLINK("http://nlpdeep.cs.uic.edu:8080/proofing/gsii/532411-past-medical-history-0-1.pdf","gsii/532411-past-medical-history-0-1.pdf")</f>
        <v/>
      </c>
      <c r="E259" t="n">
        <v>119960</v>
      </c>
      <c r="F259" t="n">
        <v>532411</v>
      </c>
      <c r="G259" t="inlineStr">
        <is>
          <t>Physician</t>
        </is>
      </c>
      <c r="H259" t="inlineStr">
        <is>
          <t>past-medical-history</t>
        </is>
      </c>
      <c r="I259" t="inlineStr">
        <is>
          <t>[**Last Name (STitle) **] [**Last Name (STitle) **])
   -Hypertension
   -Hypercholesterolemia
   -Severe essential tremor, since [**2076**] (WWII)
   -Venous stasis, followed by Dr.</t>
        </is>
      </c>
    </row>
    <row r="260">
      <c r="A260" t="inlineStr">
        <is>
          <t>532411-past-medical-history-0-2</t>
        </is>
      </c>
      <c r="B260" t="inlineStr"/>
      <c r="C260" t="inlineStr"/>
      <c r="D260">
        <f>HYPERLINK("http://nlpdeep.cs.uic.edu:8080/proofing/t5/532411-past-medical-history-0-2.pdf","t5/532411-past-medical-history-0-2.pdf")</f>
        <v/>
      </c>
      <c r="E260" t="n">
        <v>119960</v>
      </c>
      <c r="F260" t="n">
        <v>532411</v>
      </c>
      <c r="G260" t="inlineStr">
        <is>
          <t>Physician</t>
        </is>
      </c>
      <c r="H260" t="inlineStr">
        <is>
          <t>past-medical-history</t>
        </is>
      </c>
      <c r="I260" t="inlineStr">
        <is>
          <t>[**Last Name (STitle) 14061**]
   [**Name (STitle) 14062**] hernia repair
   -Anemia, multifactorial (chronic illness, CKD, recent GIB)
   -Hemorrhoid repair
   -History of MRSA cellulitis ([**2-7**])
   -Chronic Renal Failure [**1-31**] poor forward flow from CHF: Stage IV with
   eGFR of 24 ml/min (MDRD).</t>
        </is>
      </c>
    </row>
    <row r="261">
      <c r="A261" t="inlineStr">
        <is>
          <t>532411-past-medical-history-0-2</t>
        </is>
      </c>
      <c r="B261" t="inlineStr"/>
      <c r="C261" t="inlineStr"/>
      <c r="D261">
        <f>HYPERLINK("http://nlpdeep.cs.uic.edu:8080/proofing/gsii/532411-past-medical-history-0-2.pdf","gsii/532411-past-medical-history-0-2.pdf")</f>
        <v/>
      </c>
      <c r="E261" t="n">
        <v>119960</v>
      </c>
      <c r="F261" t="n">
        <v>532411</v>
      </c>
      <c r="G261" t="inlineStr">
        <is>
          <t>Physician</t>
        </is>
      </c>
      <c r="H261" t="inlineStr">
        <is>
          <t>past-medical-history</t>
        </is>
      </c>
      <c r="I261" t="inlineStr">
        <is>
          <t>[**Last Name (STitle) 14061**]
   [**Name (STitle) 14062**] hernia repair
   -Anemia, multifactorial (chronic illness, CKD, recent GIB)
   -Hemorrhoid repair
   -History of MRSA cellulitis ([**2-7**])
   -Chronic Renal Failure [**1-31**] poor forward flow from CHF: Stage IV with
   eGFR of 24 ml/min (MDRD).</t>
        </is>
      </c>
    </row>
    <row r="262">
      <c r="A262" t="inlineStr">
        <is>
          <t>532411-past-medical-history-0-3</t>
        </is>
      </c>
      <c r="B262" t="inlineStr"/>
      <c r="C262" t="inlineStr"/>
      <c r="D262">
        <f>HYPERLINK("http://nlpdeep.cs.uic.edu:8080/proofing/t5/532411-past-medical-history-0-3.pdf","t5/532411-past-medical-history-0-3.pdf")</f>
        <v/>
      </c>
      <c r="E262" t="n">
        <v>119960</v>
      </c>
      <c r="F262" t="n">
        <v>532411</v>
      </c>
      <c r="G262" t="inlineStr">
        <is>
          <t>Physician</t>
        </is>
      </c>
      <c r="H262" t="inlineStr">
        <is>
          <t>past-medical-history</t>
        </is>
      </c>
      <c r="I262" t="inlineStr">
        <is>
          <t>Near dialysis.</t>
        </is>
      </c>
    </row>
    <row r="263">
      <c r="A263" t="inlineStr">
        <is>
          <t>532411-past-medical-history-0-3</t>
        </is>
      </c>
      <c r="B263" t="inlineStr"/>
      <c r="C263" t="inlineStr"/>
      <c r="D263">
        <f>HYPERLINK("http://nlpdeep.cs.uic.edu:8080/proofing/gsii/532411-past-medical-history-0-3.pdf","gsii/532411-past-medical-history-0-3.pdf")</f>
        <v/>
      </c>
      <c r="E263" t="n">
        <v>119960</v>
      </c>
      <c r="F263" t="n">
        <v>532411</v>
      </c>
      <c r="G263" t="inlineStr">
        <is>
          <t>Physician</t>
        </is>
      </c>
      <c r="H263" t="inlineStr">
        <is>
          <t>past-medical-history</t>
        </is>
      </c>
      <c r="I263" t="inlineStr">
        <is>
          <t>Near dialysis.</t>
        </is>
      </c>
    </row>
    <row r="264">
      <c r="A264" t="inlineStr">
        <is>
          <t>532411-past-medical-history-0-4</t>
        </is>
      </c>
      <c r="B264" t="inlineStr"/>
      <c r="C264" t="inlineStr"/>
      <c r="D264">
        <f>HYPERLINK("http://nlpdeep.cs.uic.edu:8080/proofing/t5/532411-past-medical-history-0-4.pdf","t5/532411-past-medical-history-0-4.pdf")</f>
        <v/>
      </c>
      <c r="E264" t="n">
        <v>119960</v>
      </c>
      <c r="F264" t="n">
        <v>532411</v>
      </c>
      <c r="G264" t="inlineStr">
        <is>
          <t>Physician</t>
        </is>
      </c>
      <c r="H264" t="inlineStr">
        <is>
          <t>past-medical-history</t>
        </is>
      </c>
      <c r="I264" t="inlineStr">
        <is>
          <t xml:space="preserve">
   -Left foot abscess s/p I&amp;D
   -C.</t>
        </is>
      </c>
    </row>
    <row r="265">
      <c r="A265" t="inlineStr">
        <is>
          <t>532411-past-medical-history-0-4</t>
        </is>
      </c>
      <c r="B265" t="inlineStr"/>
      <c r="C265" t="inlineStr"/>
      <c r="D265">
        <f>HYPERLINK("http://nlpdeep.cs.uic.edu:8080/proofing/gsii/532411-past-medical-history-0-4.pdf","gsii/532411-past-medical-history-0-4.pdf")</f>
        <v/>
      </c>
      <c r="E265" t="n">
        <v>119960</v>
      </c>
      <c r="F265" t="n">
        <v>532411</v>
      </c>
      <c r="G265" t="inlineStr">
        <is>
          <t>Physician</t>
        </is>
      </c>
      <c r="H265" t="inlineStr">
        <is>
          <t>past-medical-history</t>
        </is>
      </c>
      <c r="I265" t="inlineStr">
        <is>
          <t xml:space="preserve">
   -Left foot abscess s/p I&amp;D
   -C.</t>
        </is>
      </c>
    </row>
    <row r="266">
      <c r="A266" t="inlineStr">
        <is>
          <t>532411-past-medical-history-0-5</t>
        </is>
      </c>
      <c r="B266" t="inlineStr"/>
      <c r="C266" t="inlineStr"/>
      <c r="D266">
        <f>HYPERLINK("http://nlpdeep.cs.uic.edu:8080/proofing/t5/532411-past-medical-history-0-5.pdf","t5/532411-past-medical-history-0-5.pdf")</f>
        <v/>
      </c>
      <c r="E266" t="n">
        <v>119960</v>
      </c>
      <c r="F266" t="n">
        <v>532411</v>
      </c>
      <c r="G266" t="inlineStr">
        <is>
          <t>Physician</t>
        </is>
      </c>
      <c r="H266" t="inlineStr">
        <is>
          <t>past-medical-history</t>
        </is>
      </c>
      <c r="I266" t="inlineStr"/>
    </row>
    <row r="267">
      <c r="A267" t="inlineStr">
        <is>
          <t>532411-past-medical-history-0-5</t>
        </is>
      </c>
      <c r="B267" t="inlineStr"/>
      <c r="C267" t="inlineStr"/>
      <c r="D267">
        <f>HYPERLINK("http://nlpdeep.cs.uic.edu:8080/proofing/gsii/532411-past-medical-history-0-5.pdf","gsii/532411-past-medical-history-0-5.pdf")</f>
        <v/>
      </c>
      <c r="E267" t="n">
        <v>119960</v>
      </c>
      <c r="F267" t="n">
        <v>532411</v>
      </c>
      <c r="G267" t="inlineStr">
        <is>
          <t>Physician</t>
        </is>
      </c>
      <c r="H267" t="inlineStr">
        <is>
          <t>past-medical-history</t>
        </is>
      </c>
      <c r="I267" t="inlineStr"/>
    </row>
    <row r="268">
      <c r="A268" t="inlineStr">
        <is>
          <t>532411-past-medical-history-1-0</t>
        </is>
      </c>
      <c r="B268" t="inlineStr"/>
      <c r="C268" t="inlineStr"/>
      <c r="D268">
        <f>HYPERLINK("http://nlpdeep.cs.uic.edu:8080/proofing/t5/532411-past-medical-history-1-0.pdf","t5/532411-past-medical-history-1-0.pdf")</f>
        <v/>
      </c>
      <c r="E268" t="n">
        <v>119960</v>
      </c>
      <c r="F268" t="n">
        <v>532411</v>
      </c>
      <c r="G268" t="inlineStr">
        <is>
          <t>Physician</t>
        </is>
      </c>
      <c r="H268" t="inlineStr">
        <is>
          <t>past-medical-history</t>
        </is>
      </c>
      <c r="I268" t="inlineStr"/>
    </row>
    <row r="269">
      <c r="A269" t="inlineStr">
        <is>
          <t>532411-past-medical-history-1-0</t>
        </is>
      </c>
      <c r="B269" t="inlineStr"/>
      <c r="C269" t="inlineStr"/>
      <c r="D269">
        <f>HYPERLINK("http://nlpdeep.cs.uic.edu:8080/proofing/gsii/532411-past-medical-history-1-0.pdf","gsii/532411-past-medical-history-1-0.pdf")</f>
        <v/>
      </c>
      <c r="E269" t="n">
        <v>119960</v>
      </c>
      <c r="F269" t="n">
        <v>532411</v>
      </c>
      <c r="G269" t="inlineStr">
        <is>
          <t>Physician</t>
        </is>
      </c>
      <c r="H269" t="inlineStr">
        <is>
          <t>past-medical-history</t>
        </is>
      </c>
      <c r="I269" t="inlineStr"/>
    </row>
    <row r="270">
      <c r="A270" t="inlineStr">
        <is>
          <t>532411-past-medical-history-2-0</t>
        </is>
      </c>
      <c r="B270" t="inlineStr"/>
      <c r="C270" t="inlineStr"/>
      <c r="D270">
        <f>HYPERLINK("http://nlpdeep.cs.uic.edu:8080/proofing/t5/532411-past-medical-history-2-0.pdf","t5/532411-past-medical-history-2-0.pdf")</f>
        <v/>
      </c>
      <c r="E270" t="n">
        <v>119960</v>
      </c>
      <c r="F270" t="n">
        <v>532411</v>
      </c>
      <c r="G270" t="inlineStr">
        <is>
          <t>Physician</t>
        </is>
      </c>
      <c r="H270" t="inlineStr">
        <is>
          <t>past-medical-history</t>
        </is>
      </c>
      <c r="I270" t="inlineStr">
        <is>
          <t xml:space="preserve">
   [**2141-1-31**] to [**2141-2-15**]
   -- also for CHF exacerbation, given lasix ggt and metolazone
   -- supratherapeutic INR on admission, complicated by epistaxis and
   melena (GI followed but endoscopy was deferred)
   -- C diff colitis treated with ?</t>
        </is>
      </c>
    </row>
    <row r="271">
      <c r="A271" t="inlineStr">
        <is>
          <t>532411-past-medical-history-2-0</t>
        </is>
      </c>
      <c r="B271" t="inlineStr"/>
      <c r="C271" t="inlineStr"/>
      <c r="D271">
        <f>HYPERLINK("http://nlpdeep.cs.uic.edu:8080/proofing/gsii/532411-past-medical-history-2-0.pdf","gsii/532411-past-medical-history-2-0.pdf")</f>
        <v/>
      </c>
      <c r="E271" t="n">
        <v>119960</v>
      </c>
      <c r="F271" t="n">
        <v>532411</v>
      </c>
      <c r="G271" t="inlineStr">
        <is>
          <t>Physician</t>
        </is>
      </c>
      <c r="H271" t="inlineStr">
        <is>
          <t>past-medical-history</t>
        </is>
      </c>
      <c r="I271" t="inlineStr">
        <is>
          <t xml:space="preserve">
   [**2141-1-31**] to [**2141-2-15**]
   -- also for CHF exacerbation, given lasix ggt and metolazone
   -- supratherapeutic INR on admission, complicated by epistaxis and
   melena (GI followed but endoscopy was deferred)
   -- C diff colitis treated with ?</t>
        </is>
      </c>
    </row>
    <row r="272">
      <c r="A272" t="inlineStr">
        <is>
          <t>532411-past-medical-history-2-1</t>
        </is>
      </c>
      <c r="B272" t="inlineStr"/>
      <c r="C272" t="inlineStr"/>
      <c r="D272">
        <f>HYPERLINK("http://nlpdeep.cs.uic.edu:8080/proofing/t5/532411-past-medical-history-2-1.pdf","t5/532411-past-medical-history-2-1.pdf")</f>
        <v/>
      </c>
      <c r="E272" t="n">
        <v>119960</v>
      </c>
      <c r="F272" t="n">
        <v>532411</v>
      </c>
      <c r="G272" t="inlineStr">
        <is>
          <t>Physician</t>
        </is>
      </c>
      <c r="H272" t="inlineStr">
        <is>
          <t>past-medical-history</t>
        </is>
      </c>
      <c r="I272" t="inlineStr"/>
    </row>
    <row r="273">
      <c r="A273" t="inlineStr">
        <is>
          <t>532411-past-medical-history-2-1</t>
        </is>
      </c>
      <c r="B273" t="inlineStr"/>
      <c r="C273" t="inlineStr"/>
      <c r="D273">
        <f>HYPERLINK("http://nlpdeep.cs.uic.edu:8080/proofing/gsii/532411-past-medical-history-2-1.pdf","gsii/532411-past-medical-history-2-1.pdf")</f>
        <v/>
      </c>
      <c r="E273" t="n">
        <v>119960</v>
      </c>
      <c r="F273" t="n">
        <v>532411</v>
      </c>
      <c r="G273" t="inlineStr">
        <is>
          <t>Physician</t>
        </is>
      </c>
      <c r="H273" t="inlineStr">
        <is>
          <t>past-medical-history</t>
        </is>
      </c>
      <c r="I273" t="inlineStr"/>
    </row>
    <row r="274">
      <c r="A274" t="inlineStr">
        <is>
          <t>532411-past-medical-history-3-0</t>
        </is>
      </c>
      <c r="B274" t="inlineStr"/>
      <c r="C274" t="inlineStr"/>
      <c r="D274">
        <f>HYPERLINK("http://nlpdeep.cs.uic.edu:8080/proofing/t5/532411-past-medical-history-3-0.pdf","t5/532411-past-medical-history-3-0.pdf")</f>
        <v/>
      </c>
      <c r="E274" t="n">
        <v>119960</v>
      </c>
      <c r="F274" t="n">
        <v>532411</v>
      </c>
      <c r="G274" t="inlineStr">
        <is>
          <t>Physician</t>
        </is>
      </c>
      <c r="H274" t="inlineStr">
        <is>
          <t>past-medical-history</t>
        </is>
      </c>
      <c r="I274" t="inlineStr"/>
    </row>
    <row r="275">
      <c r="A275" t="inlineStr">
        <is>
          <t>532411-past-medical-history-3-0</t>
        </is>
      </c>
      <c r="B275" t="inlineStr"/>
      <c r="C275" t="inlineStr"/>
      <c r="D275">
        <f>HYPERLINK("http://nlpdeep.cs.uic.edu:8080/proofing/gsii/532411-past-medical-history-3-0.pdf","gsii/532411-past-medical-history-3-0.pdf")</f>
        <v/>
      </c>
      <c r="E275" t="n">
        <v>119960</v>
      </c>
      <c r="F275" t="n">
        <v>532411</v>
      </c>
      <c r="G275" t="inlineStr">
        <is>
          <t>Physician</t>
        </is>
      </c>
      <c r="H275" t="inlineStr">
        <is>
          <t>past-medical-history</t>
        </is>
      </c>
      <c r="I275" t="inlineStr"/>
    </row>
    <row r="276">
      <c r="A276" t="inlineStr">
        <is>
          <t>532411-past-medical-history-4-0</t>
        </is>
      </c>
      <c r="B276" t="inlineStr"/>
      <c r="C276" t="inlineStr"/>
      <c r="D276">
        <f>HYPERLINK("http://nlpdeep.cs.uic.edu:8080/proofing/t5/532411-past-medical-history-4-0.pdf","t5/532411-past-medical-history-4-0.pdf")</f>
        <v/>
      </c>
      <c r="E276" t="n">
        <v>119960</v>
      </c>
      <c r="F276" t="n">
        <v>532411</v>
      </c>
      <c r="G276" t="inlineStr">
        <is>
          <t>Physician</t>
        </is>
      </c>
      <c r="H276" t="inlineStr">
        <is>
          <t>past-medical-history</t>
        </is>
      </c>
      <c r="I276" t="inlineStr">
        <is>
          <t xml:space="preserve">
   [**2141-3-17**] to [**2141-3-31**]
   -- Sent in by rehab for sleepiness, low Hct, weight gain, cough.</t>
        </is>
      </c>
    </row>
    <row r="277">
      <c r="A277" t="inlineStr">
        <is>
          <t>532411-past-medical-history-4-0</t>
        </is>
      </c>
      <c r="B277" t="inlineStr"/>
      <c r="C277" t="inlineStr"/>
      <c r="D277">
        <f>HYPERLINK("http://nlpdeep.cs.uic.edu:8080/proofing/gsii/532411-past-medical-history-4-0.pdf","gsii/532411-past-medical-history-4-0.pdf")</f>
        <v/>
      </c>
      <c r="E277" t="n">
        <v>119960</v>
      </c>
      <c r="F277" t="n">
        <v>532411</v>
      </c>
      <c r="G277" t="inlineStr">
        <is>
          <t>Physician</t>
        </is>
      </c>
      <c r="H277" t="inlineStr">
        <is>
          <t>past-medical-history</t>
        </is>
      </c>
      <c r="I277" t="inlineStr">
        <is>
          <t xml:space="preserve">
   [**2141-3-17**] to [**2141-3-31**]
   -- Sent in by rehab for sleepiness, low Hct, weight gain, cough.</t>
        </is>
      </c>
    </row>
    <row r="278">
      <c r="A278" t="inlineStr">
        <is>
          <t>532411-past-medical-history-4-1</t>
        </is>
      </c>
      <c r="B278" t="inlineStr"/>
      <c r="C278" t="inlineStr"/>
      <c r="D278">
        <f>HYPERLINK("http://nlpdeep.cs.uic.edu:8080/proofing/t5/532411-past-medical-history-4-1.pdf","t5/532411-past-medical-history-4-1.pdf")</f>
        <v/>
      </c>
      <c r="E278" t="n">
        <v>119960</v>
      </c>
      <c r="F278" t="n">
        <v>532411</v>
      </c>
      <c r="G278" t="inlineStr">
        <is>
          <t>Physician</t>
        </is>
      </c>
      <c r="H278" t="inlineStr">
        <is>
          <t>past-medical-history</t>
        </is>
      </c>
      <c r="I278" t="inlineStr">
        <is>
          <t xml:space="preserve">
   -- C.</t>
        </is>
      </c>
    </row>
    <row r="279">
      <c r="A279" t="inlineStr">
        <is>
          <t>532411-past-medical-history-4-1</t>
        </is>
      </c>
      <c r="B279" t="inlineStr"/>
      <c r="C279" t="inlineStr"/>
      <c r="D279">
        <f>HYPERLINK("http://nlpdeep.cs.uic.edu:8080/proofing/gsii/532411-past-medical-history-4-1.pdf","gsii/532411-past-medical-history-4-1.pdf")</f>
        <v/>
      </c>
      <c r="E279" t="n">
        <v>119960</v>
      </c>
      <c r="F279" t="n">
        <v>532411</v>
      </c>
      <c r="G279" t="inlineStr">
        <is>
          <t>Physician</t>
        </is>
      </c>
      <c r="H279" t="inlineStr">
        <is>
          <t>past-medical-history</t>
        </is>
      </c>
      <c r="I279" t="inlineStr">
        <is>
          <t xml:space="preserve">
   -- C.</t>
        </is>
      </c>
    </row>
    <row r="280">
      <c r="A280" t="inlineStr">
        <is>
          <t>532411-past-medical-history-4-2</t>
        </is>
      </c>
      <c r="B280" t="inlineStr"/>
      <c r="C280" t="inlineStr"/>
      <c r="D280">
        <f>HYPERLINK("http://nlpdeep.cs.uic.edu:8080/proofing/t5/532411-past-medical-history-4-2.pdf","t5/532411-past-medical-history-4-2.pdf")</f>
        <v/>
      </c>
      <c r="E280" t="n">
        <v>119960</v>
      </c>
      <c r="F280" t="n">
        <v>532411</v>
      </c>
      <c r="G280" t="inlineStr">
        <is>
          <t>Physician</t>
        </is>
      </c>
      <c r="H280" t="inlineStr">
        <is>
          <t>past-medical-history</t>
        </is>
      </c>
      <c r="I280" t="inlineStr">
        <is>
          <t>Diff colitis
   -- GIB (Guaiac positive,</t>
        </is>
      </c>
    </row>
    <row r="281">
      <c r="A281" t="inlineStr">
        <is>
          <t>532411-past-medical-history-4-2</t>
        </is>
      </c>
      <c r="B281" t="inlineStr"/>
      <c r="C281" t="inlineStr"/>
      <c r="D281">
        <f>HYPERLINK("http://nlpdeep.cs.uic.edu:8080/proofing/gsii/532411-past-medical-history-4-2.pdf","gsii/532411-past-medical-history-4-2.pdf")</f>
        <v/>
      </c>
      <c r="E281" t="n">
        <v>119960</v>
      </c>
      <c r="F281" t="n">
        <v>532411</v>
      </c>
      <c r="G281" t="inlineStr">
        <is>
          <t>Physician</t>
        </is>
      </c>
      <c r="H281" t="inlineStr">
        <is>
          <t>past-medical-history</t>
        </is>
      </c>
      <c r="I281" t="inlineStr">
        <is>
          <t>Diff colitis
   -- GIB (Guaiac positive,</t>
        </is>
      </c>
    </row>
    <row r="282">
      <c r="A282" t="inlineStr">
        <is>
          <t>532411-past-medical-history-4-3</t>
        </is>
      </c>
      <c r="B282" t="inlineStr"/>
      <c r="C282" t="inlineStr"/>
      <c r="D282">
        <f>HYPERLINK("http://nlpdeep.cs.uic.edu:8080/proofing/t5/532411-past-medical-history-4-3.pdf","t5/532411-past-medical-history-4-3.pdf")</f>
        <v/>
      </c>
      <c r="E282" t="n">
        <v>119960</v>
      </c>
      <c r="F282" t="n">
        <v>532411</v>
      </c>
      <c r="G282" t="inlineStr">
        <is>
          <t>Physician</t>
        </is>
      </c>
      <c r="H282" t="inlineStr">
        <is>
          <t>past-medical-history</t>
        </is>
      </c>
      <c r="I282" t="inlineStr">
        <is>
          <t>had been on coumadin until [**Month (only) 2299**] when had
   presumed UGIB requiring 1U pRBC); transfused for Hct 23.5 (but near
   baseline of 24)
   -- Hypotension to the 70s systolic (baseline 90-100s)
   -- CHF
   -- UTI
   -- Acute on chronic kidney disease
   -- Pancytopenia: found to be HIT antibody positive but serotonin assay
   negative so not likely HIT; nonetheless heparin products were avoided.</t>
        </is>
      </c>
    </row>
    <row r="283">
      <c r="A283" t="inlineStr">
        <is>
          <t>532411-past-medical-history-4-3</t>
        </is>
      </c>
      <c r="B283" t="inlineStr"/>
      <c r="C283" t="inlineStr"/>
      <c r="D283">
        <f>HYPERLINK("http://nlpdeep.cs.uic.edu:8080/proofing/gsii/532411-past-medical-history-4-3.pdf","gsii/532411-past-medical-history-4-3.pdf")</f>
        <v/>
      </c>
      <c r="E283" t="n">
        <v>119960</v>
      </c>
      <c r="F283" t="n">
        <v>532411</v>
      </c>
      <c r="G283" t="inlineStr">
        <is>
          <t>Physician</t>
        </is>
      </c>
      <c r="H283" t="inlineStr">
        <is>
          <t>past-medical-history</t>
        </is>
      </c>
      <c r="I283" t="inlineStr">
        <is>
          <t>had been on coumadin until [**Month (only) 2299**] when had
   presumed UGIB requiring 1U pRBC); transfused for Hct 23.5 (but near
   baseline of 24)
   -- Hypotension to the 70s systolic (baseline 90-100s)
   -- CHF
   -- UTI
   -- Acute on chronic kidney disease
   -- Pancytopenia: found to be HIT antibody positive but serotonin assay
   negative so not likely HIT; nonetheless heparin products were avoided.</t>
        </is>
      </c>
    </row>
    <row r="284">
      <c r="A284" t="inlineStr">
        <is>
          <t>532411-past-medical-history-4-4</t>
        </is>
      </c>
      <c r="B284" t="inlineStr"/>
      <c r="C284" t="inlineStr"/>
      <c r="D284">
        <f>HYPERLINK("http://nlpdeep.cs.uic.edu:8080/proofing/t5/532411-past-medical-history-4-4.pdf","t5/532411-past-medical-history-4-4.pdf")</f>
        <v/>
      </c>
      <c r="E284" t="n">
        <v>119960</v>
      </c>
      <c r="F284" t="n">
        <v>532411</v>
      </c>
      <c r="G284" t="inlineStr">
        <is>
          <t>Physician</t>
        </is>
      </c>
      <c r="H284" t="inlineStr">
        <is>
          <t>past-medical-history</t>
        </is>
      </c>
      <c r="I284" t="inlineStr">
        <is>
          <t xml:space="preserve">
   Pancytopenia improved over hospital course; thought to be infection
   related.</t>
        </is>
      </c>
    </row>
    <row r="285">
      <c r="A285" t="inlineStr">
        <is>
          <t>532411-past-medical-history-4-4</t>
        </is>
      </c>
      <c r="B285" t="inlineStr"/>
      <c r="C285" t="inlineStr"/>
      <c r="D285">
        <f>HYPERLINK("http://nlpdeep.cs.uic.edu:8080/proofing/gsii/532411-past-medical-history-4-4.pdf","gsii/532411-past-medical-history-4-4.pdf")</f>
        <v/>
      </c>
      <c r="E285" t="n">
        <v>119960</v>
      </c>
      <c r="F285" t="n">
        <v>532411</v>
      </c>
      <c r="G285" t="inlineStr">
        <is>
          <t>Physician</t>
        </is>
      </c>
      <c r="H285" t="inlineStr">
        <is>
          <t>past-medical-history</t>
        </is>
      </c>
      <c r="I285" t="inlineStr">
        <is>
          <t xml:space="preserve">
   Pancytopenia improved over hospital course; thought to be infection
   related.</t>
        </is>
      </c>
    </row>
    <row r="286">
      <c r="A286" t="inlineStr">
        <is>
          <t>532411-past-medical-history-4-5</t>
        </is>
      </c>
      <c r="B286" t="inlineStr"/>
      <c r="C286" t="inlineStr"/>
      <c r="D286">
        <f>HYPERLINK("http://nlpdeep.cs.uic.edu:8080/proofing/t5/532411-past-medical-history-4-5.pdf","t5/532411-past-medical-history-4-5.pdf")</f>
        <v/>
      </c>
      <c r="E286" t="n">
        <v>119960</v>
      </c>
      <c r="F286" t="n">
        <v>532411</v>
      </c>
      <c r="G286" t="inlineStr">
        <is>
          <t>Physician</t>
        </is>
      </c>
      <c r="H286" t="inlineStr">
        <is>
          <t>past-medical-history</t>
        </is>
      </c>
      <c r="I286" t="inlineStr">
        <is>
          <t xml:space="preserve">
   -- Increased AP and GGT with elevated lipase and an abnormality on
   ultrasound suggestive of a pancreatic mass.</t>
        </is>
      </c>
    </row>
    <row r="287">
      <c r="A287" t="inlineStr">
        <is>
          <t>532411-past-medical-history-4-5</t>
        </is>
      </c>
      <c r="B287" t="inlineStr"/>
      <c r="C287" t="inlineStr"/>
      <c r="D287">
        <f>HYPERLINK("http://nlpdeep.cs.uic.edu:8080/proofing/gsii/532411-past-medical-history-4-5.pdf","gsii/532411-past-medical-history-4-5.pdf")</f>
        <v/>
      </c>
      <c r="E287" t="n">
        <v>119960</v>
      </c>
      <c r="F287" t="n">
        <v>532411</v>
      </c>
      <c r="G287" t="inlineStr">
        <is>
          <t>Physician</t>
        </is>
      </c>
      <c r="H287" t="inlineStr">
        <is>
          <t>past-medical-history</t>
        </is>
      </c>
      <c r="I287" t="inlineStr">
        <is>
          <t xml:space="preserve">
   -- Increased AP and GGT with elevated lipase and an abnormality on
   ultrasound suggestive of a pancreatic mass.</t>
        </is>
      </c>
    </row>
    <row r="288">
      <c r="A288" t="inlineStr">
        <is>
          <t>532411-past-medical-history-4-6</t>
        </is>
      </c>
      <c r="B288" t="inlineStr"/>
      <c r="C288" t="inlineStr"/>
      <c r="D288">
        <f>HYPERLINK("http://nlpdeep.cs.uic.edu:8080/proofing/t5/532411-past-medical-history-4-6.pdf","t5/532411-past-medical-history-4-6.pdf")</f>
        <v/>
      </c>
      <c r="E288" t="n">
        <v>119960</v>
      </c>
      <c r="F288" t="n">
        <v>532411</v>
      </c>
      <c r="G288" t="inlineStr">
        <is>
          <t>Physician</t>
        </is>
      </c>
      <c r="H288" t="inlineStr">
        <is>
          <t>past-medical-history</t>
        </is>
      </c>
      <c r="I288" t="inlineStr">
        <is>
          <t>GI was consulted and
   recommended an outpatient MRCP.</t>
        </is>
      </c>
    </row>
    <row r="289">
      <c r="A289" t="inlineStr">
        <is>
          <t>532411-past-medical-history-4-6</t>
        </is>
      </c>
      <c r="B289" t="inlineStr"/>
      <c r="C289" t="inlineStr"/>
      <c r="D289">
        <f>HYPERLINK("http://nlpdeep.cs.uic.edu:8080/proofing/gsii/532411-past-medical-history-4-6.pdf","gsii/532411-past-medical-history-4-6.pdf")</f>
        <v/>
      </c>
      <c r="E289" t="n">
        <v>119960</v>
      </c>
      <c r="F289" t="n">
        <v>532411</v>
      </c>
      <c r="G289" t="inlineStr">
        <is>
          <t>Physician</t>
        </is>
      </c>
      <c r="H289" t="inlineStr">
        <is>
          <t>past-medical-history</t>
        </is>
      </c>
      <c r="I289" t="inlineStr">
        <is>
          <t>GI was consulted and
   recommended an outpatient MRCP.</t>
        </is>
      </c>
    </row>
    <row r="290">
      <c r="A290" t="inlineStr">
        <is>
          <t>532411-family-history-0-0</t>
        </is>
      </c>
      <c r="B290" t="inlineStr"/>
      <c r="C290" t="inlineStr"/>
      <c r="D290">
        <f>HYPERLINK("http://nlpdeep.cs.uic.edu:8080/proofing/t5/532411-family-history-0-0.pdf","t5/532411-family-history-0-0.pdf")</f>
        <v/>
      </c>
      <c r="E290" t="n">
        <v>119960</v>
      </c>
      <c r="F290" t="n">
        <v>532411</v>
      </c>
      <c r="G290" t="inlineStr">
        <is>
          <t>Physician</t>
        </is>
      </c>
      <c r="H290" t="inlineStr">
        <is>
          <t>family-history</t>
        </is>
      </c>
      <c r="I290" t="inlineStr">
        <is>
          <t xml:space="preserve">
   Parents are both deceased.</t>
        </is>
      </c>
    </row>
    <row r="291">
      <c r="A291" t="inlineStr">
        <is>
          <t>532411-family-history-0-0</t>
        </is>
      </c>
      <c r="B291" t="inlineStr"/>
      <c r="C291" t="inlineStr"/>
      <c r="D291">
        <f>HYPERLINK("http://nlpdeep.cs.uic.edu:8080/proofing/gsii/532411-family-history-0-0.pdf","gsii/532411-family-history-0-0.pdf")</f>
        <v/>
      </c>
      <c r="E291" t="n">
        <v>119960</v>
      </c>
      <c r="F291" t="n">
        <v>532411</v>
      </c>
      <c r="G291" t="inlineStr">
        <is>
          <t>Physician</t>
        </is>
      </c>
      <c r="H291" t="inlineStr">
        <is>
          <t>family-history</t>
        </is>
      </c>
      <c r="I291" t="inlineStr">
        <is>
          <t xml:space="preserve">
   Parents are both deceased.</t>
        </is>
      </c>
    </row>
    <row r="292">
      <c r="A292" t="inlineStr">
        <is>
          <t>532411-family-history-0-1</t>
        </is>
      </c>
      <c r="B292" t="inlineStr"/>
      <c r="C292" t="inlineStr"/>
      <c r="D292">
        <f>HYPERLINK("http://nlpdeep.cs.uic.edu:8080/proofing/t5/532411-family-history-0-1.pdf","t5/532411-family-history-0-1.pdf")</f>
        <v/>
      </c>
      <c r="E292" t="n">
        <v>119960</v>
      </c>
      <c r="F292" t="n">
        <v>532411</v>
      </c>
      <c r="G292" t="inlineStr">
        <is>
          <t>Physician</t>
        </is>
      </c>
      <c r="H292" t="inlineStr">
        <is>
          <t>family-history</t>
        </is>
      </c>
      <c r="I292" t="inlineStr">
        <is>
          <t>Father (73 years; "heart" disease); Mother
   (48 years; stomach cancer).</t>
        </is>
      </c>
    </row>
    <row r="293">
      <c r="A293" t="inlineStr">
        <is>
          <t>532411-family-history-0-1</t>
        </is>
      </c>
      <c r="B293" t="inlineStr"/>
      <c r="C293" t="inlineStr"/>
      <c r="D293">
        <f>HYPERLINK("http://nlpdeep.cs.uic.edu:8080/proofing/gsii/532411-family-history-0-1.pdf","gsii/532411-family-history-0-1.pdf")</f>
        <v/>
      </c>
      <c r="E293" t="n">
        <v>119960</v>
      </c>
      <c r="F293" t="n">
        <v>532411</v>
      </c>
      <c r="G293" t="inlineStr">
        <is>
          <t>Physician</t>
        </is>
      </c>
      <c r="H293" t="inlineStr">
        <is>
          <t>family-history</t>
        </is>
      </c>
      <c r="I293" t="inlineStr">
        <is>
          <t>Father (73 years; "heart" disease); Mother
   (48 years; stomach cancer).</t>
        </is>
      </c>
    </row>
    <row r="294">
      <c r="A294" t="inlineStr">
        <is>
          <t>532411-family-history-0-2</t>
        </is>
      </c>
      <c r="B294" t="inlineStr"/>
      <c r="C294" t="inlineStr"/>
      <c r="D294">
        <f>HYPERLINK("http://nlpdeep.cs.uic.edu:8080/proofing/t5/532411-family-history-0-2.pdf","t5/532411-family-history-0-2.pdf")</f>
        <v/>
      </c>
      <c r="E294" t="n">
        <v>119960</v>
      </c>
      <c r="F294" t="n">
        <v>532411</v>
      </c>
      <c r="G294" t="inlineStr">
        <is>
          <t>Physician</t>
        </is>
      </c>
      <c r="H294" t="inlineStr">
        <is>
          <t>family-history</t>
        </is>
      </c>
      <c r="I294" t="inlineStr">
        <is>
          <t>He has 2 siblings (80- breast cancer,
   brother with ? abdominal cancer).</t>
        </is>
      </c>
    </row>
    <row r="295">
      <c r="A295" t="inlineStr">
        <is>
          <t>532411-family-history-0-2</t>
        </is>
      </c>
      <c r="B295" t="inlineStr"/>
      <c r="C295" t="inlineStr"/>
      <c r="D295">
        <f>HYPERLINK("http://nlpdeep.cs.uic.edu:8080/proofing/gsii/532411-family-history-0-2.pdf","gsii/532411-family-history-0-2.pdf")</f>
        <v/>
      </c>
      <c r="E295" t="n">
        <v>119960</v>
      </c>
      <c r="F295" t="n">
        <v>532411</v>
      </c>
      <c r="G295" t="inlineStr">
        <is>
          <t>Physician</t>
        </is>
      </c>
      <c r="H295" t="inlineStr">
        <is>
          <t>family-history</t>
        </is>
      </c>
      <c r="I295" t="inlineStr">
        <is>
          <t>He has 2 siblings (80- breast cancer,
   brother with ? abdominal cancer).</t>
        </is>
      </c>
    </row>
    <row r="296">
      <c r="A296" t="inlineStr">
        <is>
          <t>532411-family-history-0-3</t>
        </is>
      </c>
      <c r="B296" t="inlineStr"/>
      <c r="C296" t="inlineStr"/>
      <c r="D296">
        <f>HYPERLINK("http://nlpdeep.cs.uic.edu:8080/proofing/t5/532411-family-history-0-3.pdf","t5/532411-family-history-0-3.pdf")</f>
        <v/>
      </c>
      <c r="E296" t="n">
        <v>119960</v>
      </c>
      <c r="F296" t="n">
        <v>532411</v>
      </c>
      <c r="G296" t="inlineStr">
        <is>
          <t>Physician</t>
        </is>
      </c>
      <c r="H296" t="inlineStr">
        <is>
          <t>family-history</t>
        </is>
      </c>
      <c r="I296" t="inlineStr">
        <is>
          <t>He has 3 children (55, 53, 49 years;
   all well).</t>
        </is>
      </c>
    </row>
    <row r="297">
      <c r="A297" t="inlineStr">
        <is>
          <t>532411-family-history-0-3</t>
        </is>
      </c>
      <c r="B297" t="inlineStr"/>
      <c r="C297" t="inlineStr"/>
      <c r="D297">
        <f>HYPERLINK("http://nlpdeep.cs.uic.edu:8080/proofing/gsii/532411-family-history-0-3.pdf","gsii/532411-family-history-0-3.pdf")</f>
        <v/>
      </c>
      <c r="E297" t="n">
        <v>119960</v>
      </c>
      <c r="F297" t="n">
        <v>532411</v>
      </c>
      <c r="G297" t="inlineStr">
        <is>
          <t>Physician</t>
        </is>
      </c>
      <c r="H297" t="inlineStr">
        <is>
          <t>family-history</t>
        </is>
      </c>
      <c r="I297" t="inlineStr">
        <is>
          <t>He has 3 children (55, 53, 49 years;
   all well).</t>
        </is>
      </c>
    </row>
    <row r="298">
      <c r="A298" t="inlineStr">
        <is>
          <t>532411-family-history-0-4</t>
        </is>
      </c>
      <c r="B298" t="inlineStr"/>
      <c r="C298" t="inlineStr"/>
      <c r="D298">
        <f>HYPERLINK("http://nlpdeep.cs.uic.edu:8080/proofing/t5/532411-family-history-0-4.pdf","t5/532411-family-history-0-4.pdf")</f>
        <v/>
      </c>
      <c r="E298" t="n">
        <v>119960</v>
      </c>
      <c r="F298" t="n">
        <v>532411</v>
      </c>
      <c r="G298" t="inlineStr">
        <is>
          <t>Physician</t>
        </is>
      </c>
      <c r="H298" t="inlineStr">
        <is>
          <t>family-history</t>
        </is>
      </c>
      <c r="I298" t="inlineStr">
        <is>
          <t>A son [**Doctor Last Name 20**] has atrial fibrillation.</t>
        </is>
      </c>
    </row>
    <row r="299">
      <c r="A299" t="inlineStr">
        <is>
          <t>532411-family-history-0-4</t>
        </is>
      </c>
      <c r="B299" t="inlineStr"/>
      <c r="C299" t="inlineStr"/>
      <c r="D299">
        <f>HYPERLINK("http://nlpdeep.cs.uic.edu:8080/proofing/gsii/532411-family-history-0-4.pdf","gsii/532411-family-history-0-4.pdf")</f>
        <v/>
      </c>
      <c r="E299" t="n">
        <v>119960</v>
      </c>
      <c r="F299" t="n">
        <v>532411</v>
      </c>
      <c r="G299" t="inlineStr">
        <is>
          <t>Physician</t>
        </is>
      </c>
      <c r="H299" t="inlineStr">
        <is>
          <t>family-history</t>
        </is>
      </c>
      <c r="I299" t="inlineStr">
        <is>
          <t>A son [**Doctor Last Name 20**] has atrial fibrillation.</t>
        </is>
      </c>
    </row>
    <row r="300">
      <c r="A300" t="inlineStr">
        <is>
          <t>532411-social-history-0-0</t>
        </is>
      </c>
      <c r="B300" t="inlineStr"/>
      <c r="C300" t="inlineStr"/>
      <c r="D300">
        <f>HYPERLINK("http://nlpdeep.cs.uic.edu:8080/proofing/t5/532411-social-history-0-0.pdf","t5/532411-social-history-0-0.pdf")</f>
        <v/>
      </c>
      <c r="E300" t="n">
        <v>119960</v>
      </c>
      <c r="F300" t="n">
        <v>532411</v>
      </c>
      <c r="G300" t="inlineStr">
        <is>
          <t>Physician</t>
        </is>
      </c>
      <c r="H300" t="inlineStr">
        <is>
          <t>social-history</t>
        </is>
      </c>
      <c r="I300" t="inlineStr">
        <is>
          <t xml:space="preserve">
   Occupation:
   Drugs:
   Tobacco:
   Alcohol:
   Other: Usually lives with wife, married for &gt;50yrs, currently at [**Hospital 328**]
   Rehab.</t>
        </is>
      </c>
    </row>
    <row r="301">
      <c r="A301" t="inlineStr">
        <is>
          <t>532411-social-history-0-0</t>
        </is>
      </c>
      <c r="B301" t="inlineStr"/>
      <c r="C301" t="inlineStr"/>
      <c r="D301">
        <f>HYPERLINK("http://nlpdeep.cs.uic.edu:8080/proofing/gsii/532411-social-history-0-0.pdf","gsii/532411-social-history-0-0.pdf")</f>
        <v/>
      </c>
      <c r="E301" t="n">
        <v>119960</v>
      </c>
      <c r="F301" t="n">
        <v>532411</v>
      </c>
      <c r="G301" t="inlineStr">
        <is>
          <t>Physician</t>
        </is>
      </c>
      <c r="H301" t="inlineStr">
        <is>
          <t>social-history</t>
        </is>
      </c>
      <c r="I301" t="inlineStr">
        <is>
          <t xml:space="preserve">
   Occupation:
   Drugs:
   Tobacco:
   Alcohol:
   Other: Usually lives with wife, married for &gt;50yrs, currently at [**Hospital 328**]
   Rehab.</t>
        </is>
      </c>
    </row>
    <row r="302">
      <c r="A302" t="inlineStr">
        <is>
          <t>532411-social-history-0-1</t>
        </is>
      </c>
      <c r="B302" t="inlineStr"/>
      <c r="C302" t="inlineStr"/>
      <c r="D302">
        <f>HYPERLINK("http://nlpdeep.cs.uic.edu:8080/proofing/t5/532411-social-history-0-1.pdf","t5/532411-social-history-0-1.pdf")</f>
        <v/>
      </c>
      <c r="E302" t="n">
        <v>119960</v>
      </c>
      <c r="F302" t="n">
        <v>532411</v>
      </c>
      <c r="G302" t="inlineStr">
        <is>
          <t>Physician</t>
        </is>
      </c>
      <c r="H302" t="inlineStr">
        <is>
          <t>social-history</t>
        </is>
      </c>
      <c r="I302" t="inlineStr">
        <is>
          <t>3 children.</t>
        </is>
      </c>
    </row>
    <row r="303">
      <c r="A303" t="inlineStr">
        <is>
          <t>532411-social-history-0-1</t>
        </is>
      </c>
      <c r="B303" t="inlineStr"/>
      <c r="C303" t="inlineStr"/>
      <c r="D303">
        <f>HYPERLINK("http://nlpdeep.cs.uic.edu:8080/proofing/gsii/532411-social-history-0-1.pdf","gsii/532411-social-history-0-1.pdf")</f>
        <v/>
      </c>
      <c r="E303" t="n">
        <v>119960</v>
      </c>
      <c r="F303" t="n">
        <v>532411</v>
      </c>
      <c r="G303" t="inlineStr">
        <is>
          <t>Physician</t>
        </is>
      </c>
      <c r="H303" t="inlineStr">
        <is>
          <t>social-history</t>
        </is>
      </c>
      <c r="I303" t="inlineStr">
        <is>
          <t>3 children.</t>
        </is>
      </c>
    </row>
    <row r="304">
      <c r="A304" t="inlineStr">
        <is>
          <t>532411-social-history-0-2</t>
        </is>
      </c>
      <c r="B304" t="inlineStr"/>
      <c r="C304" t="inlineStr"/>
      <c r="D304">
        <f>HYPERLINK("http://nlpdeep.cs.uic.edu:8080/proofing/t5/532411-social-history-0-2.pdf","t5/532411-social-history-0-2.pdf")</f>
        <v/>
      </c>
      <c r="E304" t="n">
        <v>119960</v>
      </c>
      <c r="F304" t="n">
        <v>532411</v>
      </c>
      <c r="G304" t="inlineStr">
        <is>
          <t>Physician</t>
        </is>
      </c>
      <c r="H304" t="inlineStr">
        <is>
          <t>social-history</t>
        </is>
      </c>
      <c r="I304" t="inlineStr">
        <is>
          <t>No tobacco, EtOH, IVDU.</t>
        </is>
      </c>
    </row>
    <row r="305">
      <c r="A305" t="inlineStr">
        <is>
          <t>532411-social-history-0-2</t>
        </is>
      </c>
      <c r="B305" t="inlineStr"/>
      <c r="C305" t="inlineStr"/>
      <c r="D305">
        <f>HYPERLINK("http://nlpdeep.cs.uic.edu:8080/proofing/gsii/532411-social-history-0-2.pdf","gsii/532411-social-history-0-2.pdf")</f>
        <v/>
      </c>
      <c r="E305" t="n">
        <v>119960</v>
      </c>
      <c r="F305" t="n">
        <v>532411</v>
      </c>
      <c r="G305" t="inlineStr">
        <is>
          <t>Physician</t>
        </is>
      </c>
      <c r="H305" t="inlineStr">
        <is>
          <t>social-history</t>
        </is>
      </c>
      <c r="I305" t="inlineStr">
        <is>
          <t>No tobacco, EtOH, IVDU.</t>
        </is>
      </c>
    </row>
    <row r="306">
      <c r="A306" t="inlineStr">
        <is>
          <t>532411-social-history-0-3</t>
        </is>
      </c>
      <c r="B306" t="inlineStr"/>
      <c r="C306" t="inlineStr"/>
      <c r="D306">
        <f>HYPERLINK("http://nlpdeep.cs.uic.edu:8080/proofing/t5/532411-social-history-0-3.pdf","t5/532411-social-history-0-3.pdf")</f>
        <v/>
      </c>
      <c r="E306" t="n">
        <v>119960</v>
      </c>
      <c r="F306" t="n">
        <v>532411</v>
      </c>
      <c r="G306" t="inlineStr">
        <is>
          <t>Physician</t>
        </is>
      </c>
      <c r="H306" t="inlineStr">
        <is>
          <t>social-history</t>
        </is>
      </c>
      <c r="I306" t="inlineStr">
        <is>
          <t>Retired, formerly worked
   manufacturing and distributing batteries.</t>
        </is>
      </c>
    </row>
    <row r="307">
      <c r="A307" t="inlineStr">
        <is>
          <t>532411-social-history-0-3</t>
        </is>
      </c>
      <c r="B307" t="inlineStr"/>
      <c r="C307" t="inlineStr"/>
      <c r="D307">
        <f>HYPERLINK("http://nlpdeep.cs.uic.edu:8080/proofing/gsii/532411-social-history-0-3.pdf","gsii/532411-social-history-0-3.pdf")</f>
        <v/>
      </c>
      <c r="E307" t="n">
        <v>119960</v>
      </c>
      <c r="F307" t="n">
        <v>532411</v>
      </c>
      <c r="G307" t="inlineStr">
        <is>
          <t>Physician</t>
        </is>
      </c>
      <c r="H307" t="inlineStr">
        <is>
          <t>social-history</t>
        </is>
      </c>
      <c r="I307" t="inlineStr">
        <is>
          <t>Retired, formerly worked
   manufacturing and distributing batteries.</t>
        </is>
      </c>
    </row>
    <row r="308">
      <c r="A308" t="inlineStr">
        <is>
          <t>532411-social-history-0-4</t>
        </is>
      </c>
      <c r="B308" t="inlineStr"/>
      <c r="C308" t="inlineStr"/>
      <c r="D308">
        <f>HYPERLINK("http://nlpdeep.cs.uic.edu:8080/proofing/t5/532411-social-history-0-4.pdf","t5/532411-social-history-0-4.pdf")</f>
        <v/>
      </c>
      <c r="E308" t="n">
        <v>119960</v>
      </c>
      <c r="F308" t="n">
        <v>532411</v>
      </c>
      <c r="G308" t="inlineStr">
        <is>
          <t>Physician</t>
        </is>
      </c>
      <c r="H308" t="inlineStr">
        <is>
          <t>social-history</t>
        </is>
      </c>
      <c r="I308" t="inlineStr">
        <is>
          <t>He smoked cigars for [**2-1**]
   years and quit &gt;45 years ago.</t>
        </is>
      </c>
    </row>
    <row r="309">
      <c r="A309" t="inlineStr">
        <is>
          <t>532411-social-history-0-4</t>
        </is>
      </c>
      <c r="B309" t="inlineStr"/>
      <c r="C309" t="inlineStr"/>
      <c r="D309">
        <f>HYPERLINK("http://nlpdeep.cs.uic.edu:8080/proofing/gsii/532411-social-history-0-4.pdf","gsii/532411-social-history-0-4.pdf")</f>
        <v/>
      </c>
      <c r="E309" t="n">
        <v>119960</v>
      </c>
      <c r="F309" t="n">
        <v>532411</v>
      </c>
      <c r="G309" t="inlineStr">
        <is>
          <t>Physician</t>
        </is>
      </c>
      <c r="H309" t="inlineStr">
        <is>
          <t>social-history</t>
        </is>
      </c>
      <c r="I309" t="inlineStr">
        <is>
          <t>He smoked cigars for [**2-1**]
   years and quit &gt;45 years ago.</t>
        </is>
      </c>
    </row>
    <row r="310">
      <c r="A310" t="inlineStr">
        <is>
          <t>532411-social-history-0-5</t>
        </is>
      </c>
      <c r="B310" t="inlineStr"/>
      <c r="C310" t="inlineStr"/>
      <c r="D310">
        <f>HYPERLINK("http://nlpdeep.cs.uic.edu:8080/proofing/t5/532411-social-history-0-5.pdf","t5/532411-social-history-0-5.pdf")</f>
        <v/>
      </c>
      <c r="E310" t="n">
        <v>119960</v>
      </c>
      <c r="F310" t="n">
        <v>532411</v>
      </c>
      <c r="G310" t="inlineStr">
        <is>
          <t>Physician</t>
        </is>
      </c>
      <c r="H310" t="inlineStr">
        <is>
          <t>social-history</t>
        </is>
      </c>
      <c r="I310" t="inlineStr">
        <is>
          <t>He has not smoked cigarettes.</t>
        </is>
      </c>
    </row>
    <row r="311">
      <c r="A311" t="inlineStr">
        <is>
          <t>532411-social-history-0-5</t>
        </is>
      </c>
      <c r="B311" t="inlineStr"/>
      <c r="C311" t="inlineStr"/>
      <c r="D311">
        <f>HYPERLINK("http://nlpdeep.cs.uic.edu:8080/proofing/gsii/532411-social-history-0-5.pdf","gsii/532411-social-history-0-5.pdf")</f>
        <v/>
      </c>
      <c r="E311" t="n">
        <v>119960</v>
      </c>
      <c r="F311" t="n">
        <v>532411</v>
      </c>
      <c r="G311" t="inlineStr">
        <is>
          <t>Physician</t>
        </is>
      </c>
      <c r="H311" t="inlineStr">
        <is>
          <t>social-history</t>
        </is>
      </c>
      <c r="I311" t="inlineStr">
        <is>
          <t>He has not smoked cigarettes.</t>
        </is>
      </c>
    </row>
    <row r="312">
      <c r="A312" t="inlineStr">
        <is>
          <t>532411-social-history-0-6</t>
        </is>
      </c>
      <c r="B312" t="inlineStr"/>
      <c r="C312" t="inlineStr"/>
      <c r="D312">
        <f>HYPERLINK("http://nlpdeep.cs.uic.edu:8080/proofing/t5/532411-social-history-0-6.pdf","t5/532411-social-history-0-6.pdf")</f>
        <v/>
      </c>
      <c r="E312" t="n">
        <v>119960</v>
      </c>
      <c r="F312" t="n">
        <v>532411</v>
      </c>
      <c r="G312" t="inlineStr">
        <is>
          <t>Physician</t>
        </is>
      </c>
      <c r="H312" t="inlineStr">
        <is>
          <t>social-history</t>
        </is>
      </c>
      <c r="I312" t="inlineStr">
        <is>
          <t>He does not
   drink alcohol on a regular basis.</t>
        </is>
      </c>
    </row>
    <row r="313">
      <c r="A313" t="inlineStr">
        <is>
          <t>532411-social-history-0-6</t>
        </is>
      </c>
      <c r="B313" t="inlineStr"/>
      <c r="C313" t="inlineStr"/>
      <c r="D313">
        <f>HYPERLINK("http://nlpdeep.cs.uic.edu:8080/proofing/gsii/532411-social-history-0-6.pdf","gsii/532411-social-history-0-6.pdf")</f>
        <v/>
      </c>
      <c r="E313" t="n">
        <v>119960</v>
      </c>
      <c r="F313" t="n">
        <v>532411</v>
      </c>
      <c r="G313" t="inlineStr">
        <is>
          <t>Physician</t>
        </is>
      </c>
      <c r="H313" t="inlineStr">
        <is>
          <t>social-history</t>
        </is>
      </c>
      <c r="I313" t="inlineStr">
        <is>
          <t>He does not
   drink alcohol on a regular basis.</t>
        </is>
      </c>
    </row>
    <row r="314">
      <c r="A314" t="inlineStr">
        <is>
          <t>532411-social-history-0-7</t>
        </is>
      </c>
      <c r="B314" t="inlineStr"/>
      <c r="C314" t="inlineStr"/>
      <c r="D314">
        <f>HYPERLINK("http://nlpdeep.cs.uic.edu:8080/proofing/t5/532411-social-history-0-7.pdf","t5/532411-social-history-0-7.pdf")</f>
        <v/>
      </c>
      <c r="E314" t="n">
        <v>119960</v>
      </c>
      <c r="F314" t="n">
        <v>532411</v>
      </c>
      <c r="G314" t="inlineStr">
        <is>
          <t>Physician</t>
        </is>
      </c>
      <c r="H314" t="inlineStr">
        <is>
          <t>social-history</t>
        </is>
      </c>
      <c r="I314" t="inlineStr">
        <is>
          <t>Denies IV, illicit, or herbal drug
   use.</t>
        </is>
      </c>
    </row>
    <row r="315">
      <c r="A315" t="inlineStr">
        <is>
          <t>532411-social-history-0-7</t>
        </is>
      </c>
      <c r="B315" t="inlineStr"/>
      <c r="C315" t="inlineStr"/>
      <c r="D315">
        <f>HYPERLINK("http://nlpdeep.cs.uic.edu:8080/proofing/gsii/532411-social-history-0-7.pdf","gsii/532411-social-history-0-7.pdf")</f>
        <v/>
      </c>
      <c r="E315" t="n">
        <v>119960</v>
      </c>
      <c r="F315" t="n">
        <v>532411</v>
      </c>
      <c r="G315" t="inlineStr">
        <is>
          <t>Physician</t>
        </is>
      </c>
      <c r="H315" t="inlineStr">
        <is>
          <t>social-history</t>
        </is>
      </c>
      <c r="I315" t="inlineStr">
        <is>
          <t>Denies IV, illicit, or herbal drug
   use.</t>
        </is>
      </c>
    </row>
    <row r="316">
      <c r="A316" t="inlineStr">
        <is>
          <t>532411-flowsheet-data-vitals-0-0</t>
        </is>
      </c>
      <c r="B316" t="inlineStr"/>
      <c r="C316" t="inlineStr"/>
      <c r="D316">
        <f>HYPERLINK("http://nlpdeep.cs.uic.edu:8080/proofing/t5/532411-flowsheet-data-vitals-0-0.pdf","t5/532411-flowsheet-data-vitals-0-0.pdf")</f>
        <v/>
      </c>
      <c r="E316" t="n">
        <v>119960</v>
      </c>
      <c r="F316" t="n">
        <v>532411</v>
      </c>
      <c r="G316" t="inlineStr">
        <is>
          <t>Physician</t>
        </is>
      </c>
      <c r="H316" t="inlineStr">
        <is>
          <t>flowsheet-data-vitals</t>
        </is>
      </c>
      <c r="I316" t="inlineStr">
        <is>
          <t>Vital Signs
   Hemodynamic monitoring
   Fluid Balance
                                                                  24 hours
                                                               Since [**42**] AM
   Tmax: 32.9
C (91.2
   Tcurrent: 32.9
C (91.2
   HR: 65 (65 - 71) bpm
   BP: 96/63(70) {96/63(70) - 151/105(169)} mmHg
   RR: 13 (13 - 32) insp/min
   SpO2: 98%
   Heart rhythm: AF (Atrial Fibrillation)
             Total In:
             26 mL
   PO:
             TF:
   IVF:
   26 mL
   Blood products:
   Total out:
                                                                      0 mL
                                                                    400 mL
   Urine:
   NG:
   Stool:
   Drains:
   Balance:
                                                                      0 mL
                                                                   -375 mL
   Respiratory
   O2 Delivery Device: Nasal cannula
   SpO2: 98%</t>
        </is>
      </c>
    </row>
    <row r="317">
      <c r="A317" t="inlineStr">
        <is>
          <t>532411-flowsheet-data-vitals-0-0</t>
        </is>
      </c>
      <c r="B317" t="inlineStr"/>
      <c r="C317" t="inlineStr"/>
      <c r="D317">
        <f>HYPERLINK("http://nlpdeep.cs.uic.edu:8080/proofing/gsii/532411-flowsheet-data-vitals-0-0.pdf","gsii/532411-flowsheet-data-vitals-0-0.pdf")</f>
        <v/>
      </c>
      <c r="E317" t="n">
        <v>119960</v>
      </c>
      <c r="F317" t="n">
        <v>532411</v>
      </c>
      <c r="G317" t="inlineStr">
        <is>
          <t>Physician</t>
        </is>
      </c>
      <c r="H317" t="inlineStr">
        <is>
          <t>flowsheet-data-vitals</t>
        </is>
      </c>
      <c r="I317" t="inlineStr">
        <is>
          <t>Vital Signs
   Hemodynamic monitoring
   Fluid Balance
                                                                  24 hours
                                                               Since [**42**] AM
   Tmax: 32.9
C (91.2
   Tcurrent: 32.9
C (91.2
   HR: 65 (65 - 71) bpm
   BP: 96/63(70) {96/63(70) - 151/105(169)} mmHg
   RR: 13 (13 - 32) insp/min
   SpO2: 98%
   Heart rhythm: AF (Atrial Fibrillation)
             Total In:
             26 mL
   PO:
             TF:
   IVF:
   26 mL
   Blood products:
   Total out:
                                                                      0 mL
                                                                    400 mL
   Urine:
   NG:
   Stool:
   Drains:
   Balance:
                                                                      0 mL
                                                                   -375 mL
   Respiratory
   O2 Delivery Device: Nasal cannula
   SpO2: 98%</t>
        </is>
      </c>
    </row>
    <row r="318">
      <c r="A318" t="inlineStr">
        <is>
          <t>532411-physical-examination-0-0</t>
        </is>
      </c>
      <c r="B318" t="inlineStr"/>
      <c r="C318" t="inlineStr"/>
      <c r="D318">
        <f>HYPERLINK("http://nlpdeep.cs.uic.edu:8080/proofing/t5/532411-physical-examination-0-0.pdf","t5/532411-physical-examination-0-0.pdf")</f>
        <v/>
      </c>
      <c r="E318" t="n">
        <v>119960</v>
      </c>
      <c r="F318" t="n">
        <v>532411</v>
      </c>
      <c r="G318" t="inlineStr">
        <is>
          <t>Physician</t>
        </is>
      </c>
      <c r="H318" t="inlineStr">
        <is>
          <t>physical-examination</t>
        </is>
      </c>
      <c r="I318" t="inlineStr">
        <is>
          <t>General: Alert, oriented, breathing heavily and appears in pain
   HEENT: Sclera anicteric, MMM
   Neck: supple, JVP 11 cm
   Lungs: Clear to auscultation bilaterally anteriorly but difficult to
   assess with much transmitted upper airway sounds, no wheezes, rales,
   ronchi
   CV: Irregularly irregular rhythm, normal rate, distant heart sounds, no
   murmurs, rubs, gallops
   Abdomen:  soft, non-tender, non-distended, bowel sounds present, no
   rebound tenderness or guarding
   GU: foley
   Ext: cool, 2+ DP pulses bilaterally, no clubbing.</t>
        </is>
      </c>
    </row>
    <row r="319">
      <c r="A319" t="inlineStr">
        <is>
          <t>532411-physical-examination-0-0</t>
        </is>
      </c>
      <c r="B319" t="inlineStr"/>
      <c r="C319" t="inlineStr"/>
      <c r="D319">
        <f>HYPERLINK("http://nlpdeep.cs.uic.edu:8080/proofing/gsii/532411-physical-examination-0-0.pdf","gsii/532411-physical-examination-0-0.pdf")</f>
        <v/>
      </c>
      <c r="E319" t="n">
        <v>119960</v>
      </c>
      <c r="F319" t="n">
        <v>532411</v>
      </c>
      <c r="G319" t="inlineStr">
        <is>
          <t>Physician</t>
        </is>
      </c>
      <c r="H319" t="inlineStr">
        <is>
          <t>physical-examination</t>
        </is>
      </c>
      <c r="I319" t="inlineStr">
        <is>
          <t>General: Alert, oriented, breathing heavily and appears in pain
   HEENT: Sclera anicteric, MMM
   Neck: supple, JVP 11 cm
   Lungs: Clear to auscultation bilaterally anteriorly but difficult to
   assess with much transmitted upper airway sounds, no wheezes, rales,
   ronchi
   CV: Irregularly irregular rhythm, normal rate, distant heart sounds, no
   murmurs, rubs, gallops
   Abdomen:  soft, non-tender, non-distended, bowel sounds present, no
   rebound tenderness or guarding
   GU: foley
   Ext: cool, 2+ DP pulses bilaterally, no clubbing.</t>
        </is>
      </c>
    </row>
    <row r="320">
      <c r="A320" t="inlineStr">
        <is>
          <t>532411-physical-examination-0-1</t>
        </is>
      </c>
      <c r="B320" t="inlineStr"/>
      <c r="C320" t="inlineStr"/>
      <c r="D320">
        <f>HYPERLINK("http://nlpdeep.cs.uic.edu:8080/proofing/t5/532411-physical-examination-0-1.pdf","t5/532411-physical-examination-0-1.pdf")</f>
        <v/>
      </c>
      <c r="E320" t="n">
        <v>119960</v>
      </c>
      <c r="F320" t="n">
        <v>532411</v>
      </c>
      <c r="G320" t="inlineStr">
        <is>
          <t>Physician</t>
        </is>
      </c>
      <c r="H320" t="inlineStr">
        <is>
          <t>physical-examination</t>
        </is>
      </c>
      <c r="I320" t="inlineStr">
        <is>
          <t>[**2-1**]+ pitting edema
   bilaterally; lower legs wrapped in ACE bandages.</t>
        </is>
      </c>
    </row>
    <row r="321">
      <c r="A321" t="inlineStr">
        <is>
          <t>532411-physical-examination-0-1</t>
        </is>
      </c>
      <c r="B321" t="inlineStr"/>
      <c r="C321" t="inlineStr"/>
      <c r="D321">
        <f>HYPERLINK("http://nlpdeep.cs.uic.edu:8080/proofing/gsii/532411-physical-examination-0-1.pdf","gsii/532411-physical-examination-0-1.pdf")</f>
        <v/>
      </c>
      <c r="E321" t="n">
        <v>119960</v>
      </c>
      <c r="F321" t="n">
        <v>532411</v>
      </c>
      <c r="G321" t="inlineStr">
        <is>
          <t>Physician</t>
        </is>
      </c>
      <c r="H321" t="inlineStr">
        <is>
          <t>physical-examination</t>
        </is>
      </c>
      <c r="I321" t="inlineStr">
        <is>
          <t>[**2-1**]+ pitting edema
   bilaterally; lower legs wrapped in ACE bandages.</t>
        </is>
      </c>
    </row>
    <row r="322">
      <c r="A322" t="inlineStr">
        <is>
          <t>532411-physical-examination-0-2</t>
        </is>
      </c>
      <c r="B322" t="inlineStr"/>
      <c r="C322" t="inlineStr"/>
      <c r="D322">
        <f>HYPERLINK("http://nlpdeep.cs.uic.edu:8080/proofing/t5/532411-physical-examination-0-2.pdf","t5/532411-physical-examination-0-2.pdf")</f>
        <v/>
      </c>
      <c r="E322" t="n">
        <v>119960</v>
      </c>
      <c r="F322" t="n">
        <v>532411</v>
      </c>
      <c r="G322" t="inlineStr">
        <is>
          <t>Physician</t>
        </is>
      </c>
      <c r="H322" t="inlineStr">
        <is>
          <t>physical-examination</t>
        </is>
      </c>
      <c r="I322" t="inlineStr">
        <is>
          <t>Multiple small
   ecchymoses on UE bilaterally.</t>
        </is>
      </c>
    </row>
    <row r="323">
      <c r="A323" t="inlineStr">
        <is>
          <t>532411-physical-examination-0-2</t>
        </is>
      </c>
      <c r="B323" t="inlineStr"/>
      <c r="C323" t="inlineStr"/>
      <c r="D323">
        <f>HYPERLINK("http://nlpdeep.cs.uic.edu:8080/proofing/gsii/532411-physical-examination-0-2.pdf","gsii/532411-physical-examination-0-2.pdf")</f>
        <v/>
      </c>
      <c r="E323" t="n">
        <v>119960</v>
      </c>
      <c r="F323" t="n">
        <v>532411</v>
      </c>
      <c r="G323" t="inlineStr">
        <is>
          <t>Physician</t>
        </is>
      </c>
      <c r="H323" t="inlineStr">
        <is>
          <t>physical-examination</t>
        </is>
      </c>
      <c r="I323" t="inlineStr">
        <is>
          <t>Multiple small
   ecchymoses on UE bilaterally.</t>
        </is>
      </c>
    </row>
    <row r="324">
      <c r="A324" t="inlineStr">
        <is>
          <t>532411-physical-examination-0-3</t>
        </is>
      </c>
      <c r="B324" t="inlineStr"/>
      <c r="C324" t="inlineStr"/>
      <c r="D324">
        <f>HYPERLINK("http://nlpdeep.cs.uic.edu:8080/proofing/t5/532411-physical-examination-0-3.pdf","t5/532411-physical-examination-0-3.pdf")</f>
        <v/>
      </c>
      <c r="E324" t="n">
        <v>119960</v>
      </c>
      <c r="F324" t="n">
        <v>532411</v>
      </c>
      <c r="G324" t="inlineStr">
        <is>
          <t>Physician</t>
        </is>
      </c>
      <c r="H324" t="inlineStr">
        <is>
          <t>physical-examination</t>
        </is>
      </c>
      <c r="I324" t="inlineStr">
        <is>
          <t>Left leg externally rotated and
   shortened, with ecchymosis noted on lateral hip area.</t>
        </is>
      </c>
    </row>
    <row r="325">
      <c r="A325" t="inlineStr">
        <is>
          <t>532411-physical-examination-0-3</t>
        </is>
      </c>
      <c r="B325" t="inlineStr"/>
      <c r="C325" t="inlineStr"/>
      <c r="D325">
        <f>HYPERLINK("http://nlpdeep.cs.uic.edu:8080/proofing/gsii/532411-physical-examination-0-3.pdf","gsii/532411-physical-examination-0-3.pdf")</f>
        <v/>
      </c>
      <c r="E325" t="n">
        <v>119960</v>
      </c>
      <c r="F325" t="n">
        <v>532411</v>
      </c>
      <c r="G325" t="inlineStr">
        <is>
          <t>Physician</t>
        </is>
      </c>
      <c r="H325" t="inlineStr">
        <is>
          <t>physical-examination</t>
        </is>
      </c>
      <c r="I325" t="inlineStr">
        <is>
          <t>Left leg externally rotated and
   shortened, with ecchymosis noted on lateral hip area.</t>
        </is>
      </c>
    </row>
    <row r="326">
      <c r="A326" t="inlineStr">
        <is>
          <t>532411-labs-imaging-0-0</t>
        </is>
      </c>
      <c r="B326" t="inlineStr"/>
      <c r="C326" t="inlineStr"/>
      <c r="D326">
        <f>HYPERLINK("http://nlpdeep.cs.uic.edu:8080/proofing/t5/532411-labs-imaging-0-0.pdf","t5/532411-labs-imaging-0-0.pdf")</f>
        <v/>
      </c>
      <c r="E326" t="n">
        <v>119960</v>
      </c>
      <c r="F326" t="n">
        <v>532411</v>
      </c>
      <c r="G326" t="inlineStr">
        <is>
          <t>Physician</t>
        </is>
      </c>
      <c r="H326" t="inlineStr">
        <is>
          <t>labs-imaging</t>
        </is>
      </c>
      <c r="I326" t="inlineStr">
        <is>
          <t>128 K/uL
   7.8 g/dL
   101 mEq/L
   5.1 mEq/L
   140 mEq/L
   22.8 %
   8.2 K/uL
        [image002.jpg]
                                  [**2136-12-31**]
                          2:33 A4/8/[**2140**]  08:20 PM
                                  [**2137-1-4**]
                                   10:20 P
                                  [**2137-1-5**]
                                   1:20 P
                                  [**2137-1-6**]
                                   11:50 P
                                  [**2137-1-7**]
                                   1:20 A
                                  [**2137-1-8**]
                                   7:20 P
                                  1//11/006
                                   1:23 P
                                  [**2137-1-31**]
                                   1:20 P
                                  [**2137-1-31**]
                                   11:20 P
                                  [**2137-1-31**]
                                   4:20 P
   WBC
                                     8.2
   Hct
                                    22.8
   Plt
                                     128
   Other labs: Lactic Acid:0.9 mmol/L, Mg++:2.1 mg/dL, PO4:5.0 mg/dL
   Micro: blood cx
 pending
   [**4-6**] CT Ab/pelvis w/o contrast: 1.</t>
        </is>
      </c>
    </row>
    <row r="327">
      <c r="A327" t="inlineStr">
        <is>
          <t>532411-labs-imaging-0-0</t>
        </is>
      </c>
      <c r="B327" t="inlineStr"/>
      <c r="C327" t="inlineStr"/>
      <c r="D327">
        <f>HYPERLINK("http://nlpdeep.cs.uic.edu:8080/proofing/gsii/532411-labs-imaging-0-0.pdf","gsii/532411-labs-imaging-0-0.pdf")</f>
        <v/>
      </c>
      <c r="E327" t="n">
        <v>119960</v>
      </c>
      <c r="F327" t="n">
        <v>532411</v>
      </c>
      <c r="G327" t="inlineStr">
        <is>
          <t>Physician</t>
        </is>
      </c>
      <c r="H327" t="inlineStr">
        <is>
          <t>labs-imaging</t>
        </is>
      </c>
      <c r="I327" t="inlineStr">
        <is>
          <t>128 K/uL
   7.8 g/dL
   101 mEq/L
   5.1 mEq/L
   140 mEq/L
   22.8 %
   8.2 K/uL
        [image002.jpg]
                                  [**2136-12-31**]
                          2:33 A4/8/[**2140**]  08:20 PM
                                  [**2137-1-4**]
                                   10:20 P
                                  [**2137-1-5**]
                                   1:20 P
                                  [**2137-1-6**]
                                   11:50 P
                                  [**2137-1-7**]
                                   1:20 A
                                  [**2137-1-8**]
                                   7:20 P
                                  1//11/006
                                   1:23 P
                                  [**2137-1-31**]
                                   1:20 P
                                  [**2137-1-31**]
                                   11:20 P
                                  [**2137-1-31**]
                                   4:20 P
   WBC
                                     8.2
   Hct
                                    22.8
   Plt
                                     128
   Other labs: Lactic Acid:0.9 mmol/L, Mg++:2.1 mg/dL, PO4:5.0 mg/dL
   Micro: blood cx
 pending
   [**4-6**] CT Ab/pelvis w/o contrast: 1.</t>
        </is>
      </c>
    </row>
    <row r="328">
      <c r="A328" t="inlineStr">
        <is>
          <t>532411-labs-imaging-0-1</t>
        </is>
      </c>
      <c r="B328" t="inlineStr"/>
      <c r="C328" t="inlineStr"/>
      <c r="D328">
        <f>HYPERLINK("http://nlpdeep.cs.uic.edu:8080/proofing/t5/532411-labs-imaging-0-1.pdf","t5/532411-labs-imaging-0-1.pdf")</f>
        <v/>
      </c>
      <c r="E328" t="n">
        <v>119960</v>
      </c>
      <c r="F328" t="n">
        <v>532411</v>
      </c>
      <c r="G328" t="inlineStr">
        <is>
          <t>Physician</t>
        </is>
      </c>
      <c r="H328" t="inlineStr">
        <is>
          <t>labs-imaging</t>
        </is>
      </c>
      <c r="I328" t="inlineStr">
        <is>
          <t>Left intertrochanteric hip fracture.</t>
        </is>
      </c>
    </row>
    <row r="329">
      <c r="A329" t="inlineStr">
        <is>
          <t>532411-labs-imaging-0-1</t>
        </is>
      </c>
      <c r="B329" t="inlineStr"/>
      <c r="C329" t="inlineStr"/>
      <c r="D329">
        <f>HYPERLINK("http://nlpdeep.cs.uic.edu:8080/proofing/gsii/532411-labs-imaging-0-1.pdf","gsii/532411-labs-imaging-0-1.pdf")</f>
        <v/>
      </c>
      <c r="E329" t="n">
        <v>119960</v>
      </c>
      <c r="F329" t="n">
        <v>532411</v>
      </c>
      <c r="G329" t="inlineStr">
        <is>
          <t>Physician</t>
        </is>
      </c>
      <c r="H329" t="inlineStr">
        <is>
          <t>labs-imaging</t>
        </is>
      </c>
      <c r="I329" t="inlineStr">
        <is>
          <t>Left intertrochanteric hip fracture.</t>
        </is>
      </c>
    </row>
    <row r="330">
      <c r="A330" t="inlineStr">
        <is>
          <t>532411-labs-imaging-0-2</t>
        </is>
      </c>
      <c r="B330" t="inlineStr"/>
      <c r="C330" t="inlineStr"/>
      <c r="D330">
        <f>HYPERLINK("http://nlpdeep.cs.uic.edu:8080/proofing/t5/532411-labs-imaging-0-2.pdf","t5/532411-labs-imaging-0-2.pdf")</f>
        <v/>
      </c>
      <c r="E330" t="n">
        <v>119960</v>
      </c>
      <c r="F330" t="n">
        <v>532411</v>
      </c>
      <c r="G330" t="inlineStr">
        <is>
          <t>Physician</t>
        </is>
      </c>
      <c r="H330" t="inlineStr">
        <is>
          <t>labs-imaging</t>
        </is>
      </c>
      <c r="I330" t="inlineStr">
        <is>
          <t>Large left adrenal mass, which is not characterized on non-contrast
   examination.</t>
        </is>
      </c>
    </row>
    <row r="331">
      <c r="A331" t="inlineStr">
        <is>
          <t>532411-labs-imaging-0-2</t>
        </is>
      </c>
      <c r="B331" t="inlineStr"/>
      <c r="C331" t="inlineStr"/>
      <c r="D331">
        <f>HYPERLINK("http://nlpdeep.cs.uic.edu:8080/proofing/gsii/532411-labs-imaging-0-2.pdf","gsii/532411-labs-imaging-0-2.pdf")</f>
        <v/>
      </c>
      <c r="E331" t="n">
        <v>119960</v>
      </c>
      <c r="F331" t="n">
        <v>532411</v>
      </c>
      <c r="G331" t="inlineStr">
        <is>
          <t>Physician</t>
        </is>
      </c>
      <c r="H331" t="inlineStr">
        <is>
          <t>labs-imaging</t>
        </is>
      </c>
      <c r="I331" t="inlineStr">
        <is>
          <t>Large left adrenal mass, which is not characterized on non-contrast
   examination.</t>
        </is>
      </c>
    </row>
    <row r="332">
      <c r="A332" t="inlineStr">
        <is>
          <t>532411-labs-imaging-0-3</t>
        </is>
      </c>
      <c r="B332" t="inlineStr"/>
      <c r="C332" t="inlineStr"/>
      <c r="D332">
        <f>HYPERLINK("http://nlpdeep.cs.uic.edu:8080/proofing/t5/532411-labs-imaging-0-3.pdf","t5/532411-labs-imaging-0-3.pdf")</f>
        <v/>
      </c>
      <c r="E332" t="n">
        <v>119960</v>
      </c>
      <c r="F332" t="n">
        <v>532411</v>
      </c>
      <c r="G332" t="inlineStr">
        <is>
          <t>Physician</t>
        </is>
      </c>
      <c r="H332" t="inlineStr">
        <is>
          <t>labs-imaging</t>
        </is>
      </c>
      <c r="I332" t="inlineStr">
        <is>
          <t>However, the imaging features are not consistent with an
   adrenal hematoma.</t>
        </is>
      </c>
    </row>
    <row r="333">
      <c r="A333" t="inlineStr">
        <is>
          <t>532411-labs-imaging-0-3</t>
        </is>
      </c>
      <c r="B333" t="inlineStr"/>
      <c r="C333" t="inlineStr"/>
      <c r="D333">
        <f>HYPERLINK("http://nlpdeep.cs.uic.edu:8080/proofing/gsii/532411-labs-imaging-0-3.pdf","gsii/532411-labs-imaging-0-3.pdf")</f>
        <v/>
      </c>
      <c r="E333" t="n">
        <v>119960</v>
      </c>
      <c r="F333" t="n">
        <v>532411</v>
      </c>
      <c r="G333" t="inlineStr">
        <is>
          <t>Physician</t>
        </is>
      </c>
      <c r="H333" t="inlineStr">
        <is>
          <t>labs-imaging</t>
        </is>
      </c>
      <c r="I333" t="inlineStr">
        <is>
          <t>However, the imaging features are not consistent with an
   adrenal hematoma.</t>
        </is>
      </c>
    </row>
    <row r="334">
      <c r="A334" t="inlineStr">
        <is>
          <t>532411-labs-imaging-0-4</t>
        </is>
      </c>
      <c r="B334" t="inlineStr"/>
      <c r="C334" t="inlineStr"/>
      <c r="D334">
        <f>HYPERLINK("http://nlpdeep.cs.uic.edu:8080/proofing/t5/532411-labs-imaging-0-4.pdf","t5/532411-labs-imaging-0-4.pdf")</f>
        <v/>
      </c>
      <c r="E334" t="n">
        <v>119960</v>
      </c>
      <c r="F334" t="n">
        <v>532411</v>
      </c>
      <c r="G334" t="inlineStr">
        <is>
          <t>Physician</t>
        </is>
      </c>
      <c r="H334" t="inlineStr">
        <is>
          <t>labs-imaging</t>
        </is>
      </c>
      <c r="I334" t="inlineStr">
        <is>
          <t>A nonurgent adrenal MR recommended for further
   characterization.</t>
        </is>
      </c>
    </row>
    <row r="335">
      <c r="A335" t="inlineStr">
        <is>
          <t>532411-labs-imaging-0-4</t>
        </is>
      </c>
      <c r="B335" t="inlineStr"/>
      <c r="C335" t="inlineStr"/>
      <c r="D335">
        <f>HYPERLINK("http://nlpdeep.cs.uic.edu:8080/proofing/gsii/532411-labs-imaging-0-4.pdf","gsii/532411-labs-imaging-0-4.pdf")</f>
        <v/>
      </c>
      <c r="E335" t="n">
        <v>119960</v>
      </c>
      <c r="F335" t="n">
        <v>532411</v>
      </c>
      <c r="G335" t="inlineStr">
        <is>
          <t>Physician</t>
        </is>
      </c>
      <c r="H335" t="inlineStr">
        <is>
          <t>labs-imaging</t>
        </is>
      </c>
      <c r="I335" t="inlineStr">
        <is>
          <t>A nonurgent adrenal MR recommended for further
   characterization.</t>
        </is>
      </c>
    </row>
    <row r="336">
      <c r="A336" t="inlineStr">
        <is>
          <t>532411-labs-imaging-0-5</t>
        </is>
      </c>
      <c r="B336" t="inlineStr"/>
      <c r="C336" t="inlineStr"/>
      <c r="D336">
        <f>HYPERLINK("http://nlpdeep.cs.uic.edu:8080/proofing/t5/532411-labs-imaging-0-5.pdf","t5/532411-labs-imaging-0-5.pdf")</f>
        <v/>
      </c>
      <c r="E336" t="n">
        <v>119960</v>
      </c>
      <c r="F336" t="n">
        <v>532411</v>
      </c>
      <c r="G336" t="inlineStr">
        <is>
          <t>Physician</t>
        </is>
      </c>
      <c r="H336" t="inlineStr">
        <is>
          <t>labs-imaging</t>
        </is>
      </c>
      <c r="I336" t="inlineStr">
        <is>
          <t>Cholelithiasis.</t>
        </is>
      </c>
    </row>
    <row r="337">
      <c r="A337" t="inlineStr">
        <is>
          <t>532411-labs-imaging-0-5</t>
        </is>
      </c>
      <c r="B337" t="inlineStr"/>
      <c r="C337" t="inlineStr"/>
      <c r="D337">
        <f>HYPERLINK("http://nlpdeep.cs.uic.edu:8080/proofing/gsii/532411-labs-imaging-0-5.pdf","gsii/532411-labs-imaging-0-5.pdf")</f>
        <v/>
      </c>
      <c r="E337" t="n">
        <v>119960</v>
      </c>
      <c r="F337" t="n">
        <v>532411</v>
      </c>
      <c r="G337" t="inlineStr">
        <is>
          <t>Physician</t>
        </is>
      </c>
      <c r="H337" t="inlineStr">
        <is>
          <t>labs-imaging</t>
        </is>
      </c>
      <c r="I337" t="inlineStr">
        <is>
          <t>Cholelithiasis.</t>
        </is>
      </c>
    </row>
    <row r="338">
      <c r="A338" t="inlineStr">
        <is>
          <t>532411-labs-imaging-0-6</t>
        </is>
      </c>
      <c r="B338" t="inlineStr"/>
      <c r="C338" t="inlineStr"/>
      <c r="D338">
        <f>HYPERLINK("http://nlpdeep.cs.uic.edu:8080/proofing/t5/532411-labs-imaging-0-6.pdf","t5/532411-labs-imaging-0-6.pdf")</f>
        <v/>
      </c>
      <c r="E338" t="n">
        <v>119960</v>
      </c>
      <c r="F338" t="n">
        <v>532411</v>
      </c>
      <c r="G338" t="inlineStr">
        <is>
          <t>Physician</t>
        </is>
      </c>
      <c r="H338" t="inlineStr">
        <is>
          <t>labs-imaging</t>
        </is>
      </c>
      <c r="I338" t="inlineStr">
        <is>
          <t>Atherosclerotic calcification
   of the abdominal aorta and its branches.</t>
        </is>
      </c>
    </row>
    <row r="339">
      <c r="A339" t="inlineStr">
        <is>
          <t>532411-labs-imaging-0-6</t>
        </is>
      </c>
      <c r="B339" t="inlineStr"/>
      <c r="C339" t="inlineStr"/>
      <c r="D339">
        <f>HYPERLINK("http://nlpdeep.cs.uic.edu:8080/proofing/gsii/532411-labs-imaging-0-6.pdf","gsii/532411-labs-imaging-0-6.pdf")</f>
        <v/>
      </c>
      <c r="E339" t="n">
        <v>119960</v>
      </c>
      <c r="F339" t="n">
        <v>532411</v>
      </c>
      <c r="G339" t="inlineStr">
        <is>
          <t>Physician</t>
        </is>
      </c>
      <c r="H339" t="inlineStr">
        <is>
          <t>labs-imaging</t>
        </is>
      </c>
      <c r="I339" t="inlineStr">
        <is>
          <t>Atherosclerotic calcification
   of the abdominal aorta and its branches.</t>
        </is>
      </c>
    </row>
    <row r="340">
      <c r="A340" t="inlineStr">
        <is>
          <t>532411-labs-imaging-0-7</t>
        </is>
      </c>
      <c r="B340" t="inlineStr"/>
      <c r="C340" t="inlineStr"/>
      <c r="D340">
        <f>HYPERLINK("http://nlpdeep.cs.uic.edu:8080/proofing/t5/532411-labs-imaging-0-7.pdf","t5/532411-labs-imaging-0-7.pdf")</f>
        <v/>
      </c>
      <c r="E340" t="n">
        <v>119960</v>
      </c>
      <c r="F340" t="n">
        <v>532411</v>
      </c>
      <c r="G340" t="inlineStr">
        <is>
          <t>Physician</t>
        </is>
      </c>
      <c r="H340" t="inlineStr">
        <is>
          <t>labs-imaging</t>
        </is>
      </c>
      <c r="I340" t="inlineStr">
        <is>
          <t>No evidence of
   retroperitoneal hematoma.</t>
        </is>
      </c>
    </row>
    <row r="341">
      <c r="A341" t="inlineStr">
        <is>
          <t>532411-labs-imaging-0-7</t>
        </is>
      </c>
      <c r="B341" t="inlineStr"/>
      <c r="C341" t="inlineStr"/>
      <c r="D341">
        <f>HYPERLINK("http://nlpdeep.cs.uic.edu:8080/proofing/gsii/532411-labs-imaging-0-7.pdf","gsii/532411-labs-imaging-0-7.pdf")</f>
        <v/>
      </c>
      <c r="E341" t="n">
        <v>119960</v>
      </c>
      <c r="F341" t="n">
        <v>532411</v>
      </c>
      <c r="G341" t="inlineStr">
        <is>
          <t>Physician</t>
        </is>
      </c>
      <c r="H341" t="inlineStr">
        <is>
          <t>labs-imaging</t>
        </is>
      </c>
      <c r="I341" t="inlineStr">
        <is>
          <t>No evidence of
   retroperitoneal hematoma.</t>
        </is>
      </c>
    </row>
    <row r="342">
      <c r="A342" t="inlineStr">
        <is>
          <t>532411-labs-imaging-0-8</t>
        </is>
      </c>
      <c r="B342" t="inlineStr"/>
      <c r="C342" t="inlineStr"/>
      <c r="D342">
        <f>HYPERLINK("http://nlpdeep.cs.uic.edu:8080/proofing/t5/532411-labs-imaging-0-8.pdf","t5/532411-labs-imaging-0-8.pdf")</f>
        <v/>
      </c>
      <c r="E342" t="n">
        <v>119960</v>
      </c>
      <c r="F342" t="n">
        <v>532411</v>
      </c>
      <c r="G342" t="inlineStr">
        <is>
          <t>Physician</t>
        </is>
      </c>
      <c r="H342" t="inlineStr">
        <is>
          <t>labs-imaging</t>
        </is>
      </c>
      <c r="I342" t="inlineStr">
        <is>
          <t>Prostatic enlargement.</t>
        </is>
      </c>
    </row>
    <row r="343">
      <c r="A343" t="inlineStr">
        <is>
          <t>532411-labs-imaging-0-8</t>
        </is>
      </c>
      <c r="B343" t="inlineStr"/>
      <c r="C343" t="inlineStr"/>
      <c r="D343">
        <f>HYPERLINK("http://nlpdeep.cs.uic.edu:8080/proofing/gsii/532411-labs-imaging-0-8.pdf","gsii/532411-labs-imaging-0-8.pdf")</f>
        <v/>
      </c>
      <c r="E343" t="n">
        <v>119960</v>
      </c>
      <c r="F343" t="n">
        <v>532411</v>
      </c>
      <c r="G343" t="inlineStr">
        <is>
          <t>Physician</t>
        </is>
      </c>
      <c r="H343" t="inlineStr">
        <is>
          <t>labs-imaging</t>
        </is>
      </c>
      <c r="I343" t="inlineStr">
        <is>
          <t>Prostatic enlargement.</t>
        </is>
      </c>
    </row>
    <row r="344">
      <c r="A344" t="inlineStr">
        <is>
          <t>532411-labs-imaging-1-0</t>
        </is>
      </c>
      <c r="B344" t="inlineStr"/>
      <c r="C344" t="inlineStr"/>
      <c r="D344">
        <f>HYPERLINK("http://nlpdeep.cs.uic.edu:8080/proofing/t5/532411-labs-imaging-1-0.pdf","t5/532411-labs-imaging-1-0.pdf")</f>
        <v/>
      </c>
      <c r="E344" t="n">
        <v>119960</v>
      </c>
      <c r="F344" t="n">
        <v>532411</v>
      </c>
      <c r="G344" t="inlineStr">
        <is>
          <t>Physician</t>
        </is>
      </c>
      <c r="H344" t="inlineStr">
        <is>
          <t>labs-imaging</t>
        </is>
      </c>
      <c r="I344" t="inlineStr"/>
    </row>
    <row r="345">
      <c r="A345" t="inlineStr">
        <is>
          <t>532411-labs-imaging-1-0</t>
        </is>
      </c>
      <c r="B345" t="inlineStr"/>
      <c r="C345" t="inlineStr"/>
      <c r="D345">
        <f>HYPERLINK("http://nlpdeep.cs.uic.edu:8080/proofing/gsii/532411-labs-imaging-1-0.pdf","gsii/532411-labs-imaging-1-0.pdf")</f>
        <v/>
      </c>
      <c r="E345" t="n">
        <v>119960</v>
      </c>
      <c r="F345" t="n">
        <v>532411</v>
      </c>
      <c r="G345" t="inlineStr">
        <is>
          <t>Physician</t>
        </is>
      </c>
      <c r="H345" t="inlineStr">
        <is>
          <t>labs-imaging</t>
        </is>
      </c>
      <c r="I345" t="inlineStr"/>
    </row>
    <row r="346">
      <c r="A346" t="inlineStr">
        <is>
          <t>532411-labs-imaging-2-0</t>
        </is>
      </c>
      <c r="B346" t="inlineStr"/>
      <c r="C346" t="inlineStr"/>
      <c r="D346">
        <f>HYPERLINK("http://nlpdeep.cs.uic.edu:8080/proofing/t5/532411-labs-imaging-2-0.pdf","t5/532411-labs-imaging-2-0.pdf")</f>
        <v/>
      </c>
      <c r="E346" t="n">
        <v>119960</v>
      </c>
      <c r="F346" t="n">
        <v>532411</v>
      </c>
      <c r="G346" t="inlineStr">
        <is>
          <t>Physician</t>
        </is>
      </c>
      <c r="H346" t="inlineStr">
        <is>
          <t>labs-imaging</t>
        </is>
      </c>
      <c r="I346" t="inlineStr"/>
    </row>
    <row r="347">
      <c r="A347" t="inlineStr">
        <is>
          <t>532411-labs-imaging-2-0</t>
        </is>
      </c>
      <c r="B347" t="inlineStr"/>
      <c r="C347" t="inlineStr"/>
      <c r="D347">
        <f>HYPERLINK("http://nlpdeep.cs.uic.edu:8080/proofing/gsii/532411-labs-imaging-2-0.pdf","gsii/532411-labs-imaging-2-0.pdf")</f>
        <v/>
      </c>
      <c r="E347" t="n">
        <v>119960</v>
      </c>
      <c r="F347" t="n">
        <v>532411</v>
      </c>
      <c r="G347" t="inlineStr">
        <is>
          <t>Physician</t>
        </is>
      </c>
      <c r="H347" t="inlineStr">
        <is>
          <t>labs-imaging</t>
        </is>
      </c>
      <c r="I347" t="inlineStr"/>
    </row>
    <row r="348">
      <c r="A348" t="inlineStr">
        <is>
          <t>532411-labs-imaging-3-0</t>
        </is>
      </c>
      <c r="B348" t="inlineStr"/>
      <c r="C348" t="inlineStr"/>
      <c r="D348">
        <f>HYPERLINK("http://nlpdeep.cs.uic.edu:8080/proofing/t5/532411-labs-imaging-3-0.pdf","t5/532411-labs-imaging-3-0.pdf")</f>
        <v/>
      </c>
      <c r="E348" t="n">
        <v>119960</v>
      </c>
      <c r="F348" t="n">
        <v>532411</v>
      </c>
      <c r="G348" t="inlineStr">
        <is>
          <t>Physician</t>
        </is>
      </c>
      <c r="H348" t="inlineStr">
        <is>
          <t>labs-imaging</t>
        </is>
      </c>
      <c r="I348" t="inlineStr"/>
    </row>
    <row r="349">
      <c r="A349" t="inlineStr">
        <is>
          <t>532411-labs-imaging-3-0</t>
        </is>
      </c>
      <c r="B349" t="inlineStr"/>
      <c r="C349" t="inlineStr"/>
      <c r="D349">
        <f>HYPERLINK("http://nlpdeep.cs.uic.edu:8080/proofing/gsii/532411-labs-imaging-3-0.pdf","gsii/532411-labs-imaging-3-0.pdf")</f>
        <v/>
      </c>
      <c r="E349" t="n">
        <v>119960</v>
      </c>
      <c r="F349" t="n">
        <v>532411</v>
      </c>
      <c r="G349" t="inlineStr">
        <is>
          <t>Physician</t>
        </is>
      </c>
      <c r="H349" t="inlineStr">
        <is>
          <t>labs-imaging</t>
        </is>
      </c>
      <c r="I349" t="inlineStr"/>
    </row>
    <row r="350">
      <c r="A350" t="inlineStr">
        <is>
          <t>532411-labs-imaging-4-0</t>
        </is>
      </c>
      <c r="B350" t="inlineStr"/>
      <c r="C350" t="inlineStr"/>
      <c r="D350">
        <f>HYPERLINK("http://nlpdeep.cs.uic.edu:8080/proofing/t5/532411-labs-imaging-4-0.pdf","t5/532411-labs-imaging-4-0.pdf")</f>
        <v/>
      </c>
      <c r="E350" t="n">
        <v>119960</v>
      </c>
      <c r="F350" t="n">
        <v>532411</v>
      </c>
      <c r="G350" t="inlineStr">
        <is>
          <t>Physician</t>
        </is>
      </c>
      <c r="H350" t="inlineStr">
        <is>
          <t>labs-imaging</t>
        </is>
      </c>
      <c r="I350" t="inlineStr">
        <is>
          <t xml:space="preserve">
   [**4-6**] CT C-spine w/o contrast - 1.</t>
        </is>
      </c>
    </row>
    <row r="351">
      <c r="A351" t="inlineStr">
        <is>
          <t>532411-labs-imaging-4-0</t>
        </is>
      </c>
      <c r="B351" t="inlineStr"/>
      <c r="C351" t="inlineStr"/>
      <c r="D351">
        <f>HYPERLINK("http://nlpdeep.cs.uic.edu:8080/proofing/gsii/532411-labs-imaging-4-0.pdf","gsii/532411-labs-imaging-4-0.pdf")</f>
        <v/>
      </c>
      <c r="E351" t="n">
        <v>119960</v>
      </c>
      <c r="F351" t="n">
        <v>532411</v>
      </c>
      <c r="G351" t="inlineStr">
        <is>
          <t>Physician</t>
        </is>
      </c>
      <c r="H351" t="inlineStr">
        <is>
          <t>labs-imaging</t>
        </is>
      </c>
      <c r="I351" t="inlineStr">
        <is>
          <t xml:space="preserve">
   [**4-6**] CT C-spine w/o contrast - 1.</t>
        </is>
      </c>
    </row>
    <row r="352">
      <c r="A352" t="inlineStr">
        <is>
          <t>532411-labs-imaging-4-1</t>
        </is>
      </c>
      <c r="B352" t="inlineStr"/>
      <c r="C352" t="inlineStr"/>
      <c r="D352">
        <f>HYPERLINK("http://nlpdeep.cs.uic.edu:8080/proofing/t5/532411-labs-imaging-4-1.pdf","t5/532411-labs-imaging-4-1.pdf")</f>
        <v/>
      </c>
      <c r="E352" t="n">
        <v>119960</v>
      </c>
      <c r="F352" t="n">
        <v>532411</v>
      </c>
      <c r="G352" t="inlineStr">
        <is>
          <t>Physician</t>
        </is>
      </c>
      <c r="H352" t="inlineStr">
        <is>
          <t>labs-imaging</t>
        </is>
      </c>
      <c r="I352" t="inlineStr">
        <is>
          <t>No fracture.</t>
        </is>
      </c>
    </row>
    <row r="353">
      <c r="A353" t="inlineStr">
        <is>
          <t>532411-labs-imaging-4-1</t>
        </is>
      </c>
      <c r="B353" t="inlineStr"/>
      <c r="C353" t="inlineStr"/>
      <c r="D353">
        <f>HYPERLINK("http://nlpdeep.cs.uic.edu:8080/proofing/gsii/532411-labs-imaging-4-1.pdf","gsii/532411-labs-imaging-4-1.pdf")</f>
        <v/>
      </c>
      <c r="E353" t="n">
        <v>119960</v>
      </c>
      <c r="F353" t="n">
        <v>532411</v>
      </c>
      <c r="G353" t="inlineStr">
        <is>
          <t>Physician</t>
        </is>
      </c>
      <c r="H353" t="inlineStr">
        <is>
          <t>labs-imaging</t>
        </is>
      </c>
      <c r="I353" t="inlineStr">
        <is>
          <t>No fracture.</t>
        </is>
      </c>
    </row>
    <row r="354">
      <c r="A354" t="inlineStr">
        <is>
          <t>532411-labs-imaging-4-2</t>
        </is>
      </c>
      <c r="B354" t="inlineStr"/>
      <c r="C354" t="inlineStr"/>
      <c r="D354">
        <f>HYPERLINK("http://nlpdeep.cs.uic.edu:8080/proofing/t5/532411-labs-imaging-4-2.pdf","t5/532411-labs-imaging-4-2.pdf")</f>
        <v/>
      </c>
      <c r="E354" t="n">
        <v>119960</v>
      </c>
      <c r="F354" t="n">
        <v>532411</v>
      </c>
      <c r="G354" t="inlineStr">
        <is>
          <t>Physician</t>
        </is>
      </c>
      <c r="H354" t="inlineStr">
        <is>
          <t>labs-imaging</t>
        </is>
      </c>
      <c r="I354" t="inlineStr">
        <is>
          <t>Multilevel
   degenerative change.</t>
        </is>
      </c>
    </row>
    <row r="355">
      <c r="A355" t="inlineStr">
        <is>
          <t>532411-labs-imaging-4-2</t>
        </is>
      </c>
      <c r="B355" t="inlineStr"/>
      <c r="C355" t="inlineStr"/>
      <c r="D355">
        <f>HYPERLINK("http://nlpdeep.cs.uic.edu:8080/proofing/gsii/532411-labs-imaging-4-2.pdf","gsii/532411-labs-imaging-4-2.pdf")</f>
        <v/>
      </c>
      <c r="E355" t="n">
        <v>119960</v>
      </c>
      <c r="F355" t="n">
        <v>532411</v>
      </c>
      <c r="G355" t="inlineStr">
        <is>
          <t>Physician</t>
        </is>
      </c>
      <c r="H355" t="inlineStr">
        <is>
          <t>labs-imaging</t>
        </is>
      </c>
      <c r="I355" t="inlineStr">
        <is>
          <t>Multilevel
   degenerative change.</t>
        </is>
      </c>
    </row>
    <row r="356">
      <c r="A356" t="inlineStr">
        <is>
          <t>532411-labs-imaging-4-3</t>
        </is>
      </c>
      <c r="B356" t="inlineStr"/>
      <c r="C356" t="inlineStr"/>
      <c r="D356">
        <f>HYPERLINK("http://nlpdeep.cs.uic.edu:8080/proofing/t5/532411-labs-imaging-4-3.pdf","t5/532411-labs-imaging-4-3.pdf")</f>
        <v/>
      </c>
      <c r="E356" t="n">
        <v>119960</v>
      </c>
      <c r="F356" t="n">
        <v>532411</v>
      </c>
      <c r="G356" t="inlineStr">
        <is>
          <t>Physician</t>
        </is>
      </c>
      <c r="H356" t="inlineStr">
        <is>
          <t>labs-imaging</t>
        </is>
      </c>
      <c r="I356" t="inlineStr">
        <is>
          <t>Grade I anterolisthesis of C7 on T1 and T1 on
   T2, presumably degenerative in nature.</t>
        </is>
      </c>
    </row>
    <row r="357">
      <c r="A357" t="inlineStr">
        <is>
          <t>532411-labs-imaging-4-3</t>
        </is>
      </c>
      <c r="B357" t="inlineStr"/>
      <c r="C357" t="inlineStr"/>
      <c r="D357">
        <f>HYPERLINK("http://nlpdeep.cs.uic.edu:8080/proofing/gsii/532411-labs-imaging-4-3.pdf","gsii/532411-labs-imaging-4-3.pdf")</f>
        <v/>
      </c>
      <c r="E357" t="n">
        <v>119960</v>
      </c>
      <c r="F357" t="n">
        <v>532411</v>
      </c>
      <c r="G357" t="inlineStr">
        <is>
          <t>Physician</t>
        </is>
      </c>
      <c r="H357" t="inlineStr">
        <is>
          <t>labs-imaging</t>
        </is>
      </c>
      <c r="I357" t="inlineStr">
        <is>
          <t>Grade I anterolisthesis of C7 on T1 and T1 on
   T2, presumably degenerative in nature.</t>
        </is>
      </c>
    </row>
    <row r="358">
      <c r="A358" t="inlineStr">
        <is>
          <t>532411-labs-imaging-5-0</t>
        </is>
      </c>
      <c r="B358" t="inlineStr"/>
      <c r="C358" t="inlineStr"/>
      <c r="D358">
        <f>HYPERLINK("http://nlpdeep.cs.uic.edu:8080/proofing/t5/532411-labs-imaging-5-0.pdf","t5/532411-labs-imaging-5-0.pdf")</f>
        <v/>
      </c>
      <c r="E358" t="n">
        <v>119960</v>
      </c>
      <c r="F358" t="n">
        <v>532411</v>
      </c>
      <c r="G358" t="inlineStr">
        <is>
          <t>Physician</t>
        </is>
      </c>
      <c r="H358" t="inlineStr">
        <is>
          <t>labs-imaging</t>
        </is>
      </c>
      <c r="I358" t="inlineStr">
        <is>
          <t xml:space="preserve">
   [**4-6**] CT head w/o contrast - There is no hemorrhage, edema, mass effect,
   shift of midline structures, or evidence of major vascular territorial
   infarction.</t>
        </is>
      </c>
    </row>
    <row r="359">
      <c r="A359" t="inlineStr">
        <is>
          <t>532411-labs-imaging-5-0</t>
        </is>
      </c>
      <c r="B359" t="inlineStr"/>
      <c r="C359" t="inlineStr"/>
      <c r="D359">
        <f>HYPERLINK("http://nlpdeep.cs.uic.edu:8080/proofing/gsii/532411-labs-imaging-5-0.pdf","gsii/532411-labs-imaging-5-0.pdf")</f>
        <v/>
      </c>
      <c r="E359" t="n">
        <v>119960</v>
      </c>
      <c r="F359" t="n">
        <v>532411</v>
      </c>
      <c r="G359" t="inlineStr">
        <is>
          <t>Physician</t>
        </is>
      </c>
      <c r="H359" t="inlineStr">
        <is>
          <t>labs-imaging</t>
        </is>
      </c>
      <c r="I359" t="inlineStr">
        <is>
          <t xml:space="preserve">
   [**4-6**] CT head w/o contrast - There is no hemorrhage, edema, mass effect,
   shift of midline structures, or evidence of major vascular territorial
   infarction.</t>
        </is>
      </c>
    </row>
    <row r="360">
      <c r="A360" t="inlineStr">
        <is>
          <t>532411-labs-imaging-5-1</t>
        </is>
      </c>
      <c r="B360" t="inlineStr"/>
      <c r="C360" t="inlineStr"/>
      <c r="D360">
        <f>HYPERLINK("http://nlpdeep.cs.uic.edu:8080/proofing/t5/532411-labs-imaging-5-1.pdf","t5/532411-labs-imaging-5-1.pdf")</f>
        <v/>
      </c>
      <c r="E360" t="n">
        <v>119960</v>
      </c>
      <c r="F360" t="n">
        <v>532411</v>
      </c>
      <c r="G360" t="inlineStr">
        <is>
          <t>Physician</t>
        </is>
      </c>
      <c r="H360" t="inlineStr">
        <is>
          <t>labs-imaging</t>
        </is>
      </c>
      <c r="I360" t="inlineStr">
        <is>
          <t>There is no acute fracture.</t>
        </is>
      </c>
    </row>
    <row r="361">
      <c r="A361" t="inlineStr">
        <is>
          <t>532411-labs-imaging-5-1</t>
        </is>
      </c>
      <c r="B361" t="inlineStr"/>
      <c r="C361" t="inlineStr"/>
      <c r="D361">
        <f>HYPERLINK("http://nlpdeep.cs.uic.edu:8080/proofing/gsii/532411-labs-imaging-5-1.pdf","gsii/532411-labs-imaging-5-1.pdf")</f>
        <v/>
      </c>
      <c r="E361" t="n">
        <v>119960</v>
      </c>
      <c r="F361" t="n">
        <v>532411</v>
      </c>
      <c r="G361" t="inlineStr">
        <is>
          <t>Physician</t>
        </is>
      </c>
      <c r="H361" t="inlineStr">
        <is>
          <t>labs-imaging</t>
        </is>
      </c>
      <c r="I361" t="inlineStr">
        <is>
          <t>There is no acute fracture.</t>
        </is>
      </c>
    </row>
    <row r="362">
      <c r="A362" t="inlineStr">
        <is>
          <t>532411-labs-imaging-5-2</t>
        </is>
      </c>
      <c r="B362" t="inlineStr"/>
      <c r="C362" t="inlineStr"/>
      <c r="D362">
        <f>HYPERLINK("http://nlpdeep.cs.uic.edu:8080/proofing/t5/532411-labs-imaging-5-2.pdf","t5/532411-labs-imaging-5-2.pdf")</f>
        <v/>
      </c>
      <c r="E362" t="n">
        <v>119960</v>
      </c>
      <c r="F362" t="n">
        <v>532411</v>
      </c>
      <c r="G362" t="inlineStr">
        <is>
          <t>Physician</t>
        </is>
      </c>
      <c r="H362" t="inlineStr">
        <is>
          <t>labs-imaging</t>
        </is>
      </c>
      <c r="I362" t="inlineStr">
        <is>
          <t>There is prominence of
   ventricles and sulci consistent with age-related parenchymal
   involutional change.</t>
        </is>
      </c>
    </row>
    <row r="363">
      <c r="A363" t="inlineStr">
        <is>
          <t>532411-labs-imaging-5-2</t>
        </is>
      </c>
      <c r="B363" t="inlineStr"/>
      <c r="C363" t="inlineStr"/>
      <c r="D363">
        <f>HYPERLINK("http://nlpdeep.cs.uic.edu:8080/proofing/gsii/532411-labs-imaging-5-2.pdf","gsii/532411-labs-imaging-5-2.pdf")</f>
        <v/>
      </c>
      <c r="E363" t="n">
        <v>119960</v>
      </c>
      <c r="F363" t="n">
        <v>532411</v>
      </c>
      <c r="G363" t="inlineStr">
        <is>
          <t>Physician</t>
        </is>
      </c>
      <c r="H363" t="inlineStr">
        <is>
          <t>labs-imaging</t>
        </is>
      </c>
      <c r="I363" t="inlineStr">
        <is>
          <t>There is prominence of
   ventricles and sulci consistent with age-related parenchymal
   involutional change.</t>
        </is>
      </c>
    </row>
    <row r="364">
      <c r="A364" t="inlineStr">
        <is>
          <t>532411-labs-imaging-5-3</t>
        </is>
      </c>
      <c r="B364" t="inlineStr"/>
      <c r="C364" t="inlineStr"/>
      <c r="D364">
        <f>HYPERLINK("http://nlpdeep.cs.uic.edu:8080/proofing/t5/532411-labs-imaging-5-3.pdf","t5/532411-labs-imaging-5-3.pdf")</f>
        <v/>
      </c>
      <c r="E364" t="n">
        <v>119960</v>
      </c>
      <c r="F364" t="n">
        <v>532411</v>
      </c>
      <c r="G364" t="inlineStr">
        <is>
          <t>Physician</t>
        </is>
      </c>
      <c r="H364" t="inlineStr">
        <is>
          <t>labs-imaging</t>
        </is>
      </c>
      <c r="I364" t="inlineStr">
        <is>
          <t>There is periventricular hypodensity consistent
   with chronic small vessel ischemic change.</t>
        </is>
      </c>
    </row>
    <row r="365">
      <c r="A365" t="inlineStr">
        <is>
          <t>532411-labs-imaging-5-3</t>
        </is>
      </c>
      <c r="B365" t="inlineStr"/>
      <c r="C365" t="inlineStr"/>
      <c r="D365">
        <f>HYPERLINK("http://nlpdeep.cs.uic.edu:8080/proofing/gsii/532411-labs-imaging-5-3.pdf","gsii/532411-labs-imaging-5-3.pdf")</f>
        <v/>
      </c>
      <c r="E365" t="n">
        <v>119960</v>
      </c>
      <c r="F365" t="n">
        <v>532411</v>
      </c>
      <c r="G365" t="inlineStr">
        <is>
          <t>Physician</t>
        </is>
      </c>
      <c r="H365" t="inlineStr">
        <is>
          <t>labs-imaging</t>
        </is>
      </c>
      <c r="I365" t="inlineStr">
        <is>
          <t>There is periventricular hypodensity consistent
   with chronic small vessel ischemic change.</t>
        </is>
      </c>
    </row>
    <row r="366">
      <c r="A366" t="inlineStr">
        <is>
          <t>532411-labs-imaging-5-4</t>
        </is>
      </c>
      <c r="B366" t="inlineStr"/>
      <c r="C366" t="inlineStr"/>
      <c r="D366">
        <f>HYPERLINK("http://nlpdeep.cs.uic.edu:8080/proofing/t5/532411-labs-imaging-5-4.pdf","t5/532411-labs-imaging-5-4.pdf")</f>
        <v/>
      </c>
      <c r="E366" t="n">
        <v>119960</v>
      </c>
      <c r="F366" t="n">
        <v>532411</v>
      </c>
      <c r="G366" t="inlineStr">
        <is>
          <t>Physician</t>
        </is>
      </c>
      <c r="H366" t="inlineStr">
        <is>
          <t>labs-imaging</t>
        </is>
      </c>
      <c r="I366" t="inlineStr">
        <is>
          <t>There is a subcentimeter
   right frontal sinus osteoma (2:16).</t>
        </is>
      </c>
    </row>
    <row r="367">
      <c r="A367" t="inlineStr">
        <is>
          <t>532411-labs-imaging-5-4</t>
        </is>
      </c>
      <c r="B367" t="inlineStr"/>
      <c r="C367" t="inlineStr"/>
      <c r="D367">
        <f>HYPERLINK("http://nlpdeep.cs.uic.edu:8080/proofing/gsii/532411-labs-imaging-5-4.pdf","gsii/532411-labs-imaging-5-4.pdf")</f>
        <v/>
      </c>
      <c r="E367" t="n">
        <v>119960</v>
      </c>
      <c r="F367" t="n">
        <v>532411</v>
      </c>
      <c r="G367" t="inlineStr">
        <is>
          <t>Physician</t>
        </is>
      </c>
      <c r="H367" t="inlineStr">
        <is>
          <t>labs-imaging</t>
        </is>
      </c>
      <c r="I367" t="inlineStr">
        <is>
          <t>There is a subcentimeter
   right frontal sinus osteoma (2:16).</t>
        </is>
      </c>
    </row>
    <row r="368">
      <c r="A368" t="inlineStr">
        <is>
          <t>532411-labs-imaging-6-0</t>
        </is>
      </c>
      <c r="B368" t="inlineStr"/>
      <c r="C368" t="inlineStr"/>
      <c r="D368">
        <f>HYPERLINK("http://nlpdeep.cs.uic.edu:8080/proofing/t5/532411-labs-imaging-6-0.pdf","t5/532411-labs-imaging-6-0.pdf")</f>
        <v/>
      </c>
      <c r="E368" t="n">
        <v>119960</v>
      </c>
      <c r="F368" t="n">
        <v>532411</v>
      </c>
      <c r="G368" t="inlineStr">
        <is>
          <t>Physician</t>
        </is>
      </c>
      <c r="H368" t="inlineStr">
        <is>
          <t>labs-imaging</t>
        </is>
      </c>
      <c r="I368" t="inlineStr">
        <is>
          <t xml:space="preserve">
   EKG: HR 60, QRS 134, QTc 494.</t>
        </is>
      </c>
    </row>
    <row r="369">
      <c r="A369" t="inlineStr">
        <is>
          <t>532411-labs-imaging-6-0</t>
        </is>
      </c>
      <c r="B369" t="inlineStr"/>
      <c r="C369" t="inlineStr"/>
      <c r="D369">
        <f>HYPERLINK("http://nlpdeep.cs.uic.edu:8080/proofing/gsii/532411-labs-imaging-6-0.pdf","gsii/532411-labs-imaging-6-0.pdf")</f>
        <v/>
      </c>
      <c r="E369" t="n">
        <v>119960</v>
      </c>
      <c r="F369" t="n">
        <v>532411</v>
      </c>
      <c r="G369" t="inlineStr">
        <is>
          <t>Physician</t>
        </is>
      </c>
      <c r="H369" t="inlineStr">
        <is>
          <t>labs-imaging</t>
        </is>
      </c>
      <c r="I369" t="inlineStr">
        <is>
          <t xml:space="preserve">
   EKG: HR 60, QRS 134, QTc 494.</t>
        </is>
      </c>
    </row>
    <row r="370">
      <c r="A370" t="inlineStr">
        <is>
          <t>532411-labs-imaging-6-1</t>
        </is>
      </c>
      <c r="B370" t="inlineStr"/>
      <c r="C370" t="inlineStr"/>
      <c r="D370">
        <f>HYPERLINK("http://nlpdeep.cs.uic.edu:8080/proofing/t5/532411-labs-imaging-6-1.pdf","t5/532411-labs-imaging-6-1.pdf")</f>
        <v/>
      </c>
      <c r="E370" t="n">
        <v>119960</v>
      </c>
      <c r="F370" t="n">
        <v>532411</v>
      </c>
      <c r="G370" t="inlineStr">
        <is>
          <t>Physician</t>
        </is>
      </c>
      <c r="H370" t="inlineStr">
        <is>
          <t>labs-imaging</t>
        </is>
      </c>
      <c r="I370" t="inlineStr">
        <is>
          <t>Atrial fibrillation.</t>
        </is>
      </c>
    </row>
    <row r="371">
      <c r="A371" t="inlineStr">
        <is>
          <t>532411-labs-imaging-6-1</t>
        </is>
      </c>
      <c r="B371" t="inlineStr"/>
      <c r="C371" t="inlineStr"/>
      <c r="D371">
        <f>HYPERLINK("http://nlpdeep.cs.uic.edu:8080/proofing/gsii/532411-labs-imaging-6-1.pdf","gsii/532411-labs-imaging-6-1.pdf")</f>
        <v/>
      </c>
      <c r="E371" t="n">
        <v>119960</v>
      </c>
      <c r="F371" t="n">
        <v>532411</v>
      </c>
      <c r="G371" t="inlineStr">
        <is>
          <t>Physician</t>
        </is>
      </c>
      <c r="H371" t="inlineStr">
        <is>
          <t>labs-imaging</t>
        </is>
      </c>
      <c r="I371" t="inlineStr">
        <is>
          <t>Atrial fibrillation.</t>
        </is>
      </c>
    </row>
    <row r="372">
      <c r="A372" t="inlineStr">
        <is>
          <t>532411-labs-imaging-6-2</t>
        </is>
      </c>
      <c r="B372" t="inlineStr"/>
      <c r="C372" t="inlineStr"/>
      <c r="D372">
        <f>HYPERLINK("http://nlpdeep.cs.uic.edu:8080/proofing/t5/532411-labs-imaging-6-2.pdf","t5/532411-labs-imaging-6-2.pdf")</f>
        <v/>
      </c>
      <c r="E372" t="n">
        <v>119960</v>
      </c>
      <c r="F372" t="n">
        <v>532411</v>
      </c>
      <c r="G372" t="inlineStr">
        <is>
          <t>Physician</t>
        </is>
      </c>
      <c r="H372" t="inlineStr">
        <is>
          <t>labs-imaging</t>
        </is>
      </c>
      <c r="I372" t="inlineStr">
        <is>
          <t>RBBB.</t>
        </is>
      </c>
    </row>
    <row r="373">
      <c r="A373" t="inlineStr">
        <is>
          <t>532411-labs-imaging-6-2</t>
        </is>
      </c>
      <c r="B373" t="inlineStr"/>
      <c r="C373" t="inlineStr"/>
      <c r="D373">
        <f>HYPERLINK("http://nlpdeep.cs.uic.edu:8080/proofing/gsii/532411-labs-imaging-6-2.pdf","gsii/532411-labs-imaging-6-2.pdf")</f>
        <v/>
      </c>
      <c r="E373" t="n">
        <v>119960</v>
      </c>
      <c r="F373" t="n">
        <v>532411</v>
      </c>
      <c r="G373" t="inlineStr">
        <is>
          <t>Physician</t>
        </is>
      </c>
      <c r="H373" t="inlineStr">
        <is>
          <t>labs-imaging</t>
        </is>
      </c>
      <c r="I373" t="inlineStr">
        <is>
          <t>RBBB.</t>
        </is>
      </c>
    </row>
    <row r="374">
      <c r="A374" t="inlineStr">
        <is>
          <t>532411-labs-imaging-6-3</t>
        </is>
      </c>
      <c r="B374" t="inlineStr"/>
      <c r="C374" t="inlineStr"/>
      <c r="D374">
        <f>HYPERLINK("http://nlpdeep.cs.uic.edu:8080/proofing/t5/532411-labs-imaging-6-3.pdf","t5/532411-labs-imaging-6-3.pdf")</f>
        <v/>
      </c>
      <c r="E374" t="n">
        <v>119960</v>
      </c>
      <c r="F374" t="n">
        <v>532411</v>
      </c>
      <c r="G374" t="inlineStr">
        <is>
          <t>Physician</t>
        </is>
      </c>
      <c r="H374" t="inlineStr">
        <is>
          <t>labs-imaging</t>
        </is>
      </c>
      <c r="I374" t="inlineStr">
        <is>
          <t>ST depression
   in V3 (unchanged from previous comparison, [**2141-3-17**])</t>
        </is>
      </c>
    </row>
    <row r="375">
      <c r="A375" t="inlineStr">
        <is>
          <t>532411-labs-imaging-6-3</t>
        </is>
      </c>
      <c r="B375" t="inlineStr"/>
      <c r="C375" t="inlineStr"/>
      <c r="D375">
        <f>HYPERLINK("http://nlpdeep.cs.uic.edu:8080/proofing/gsii/532411-labs-imaging-6-3.pdf","gsii/532411-labs-imaging-6-3.pdf")</f>
        <v/>
      </c>
      <c r="E375" t="n">
        <v>119960</v>
      </c>
      <c r="F375" t="n">
        <v>532411</v>
      </c>
      <c r="G375" t="inlineStr">
        <is>
          <t>Physician</t>
        </is>
      </c>
      <c r="H375" t="inlineStr">
        <is>
          <t>labs-imaging</t>
        </is>
      </c>
      <c r="I375" t="inlineStr">
        <is>
          <t>ST depression
   in V3 (unchanged from previous comparison, [**2141-3-17**])</t>
        </is>
      </c>
    </row>
    <row r="376">
      <c r="A376" t="inlineStr">
        <is>
          <t>532411-assessment-and-plan-0-0</t>
        </is>
      </c>
      <c r="B376" t="inlineStr"/>
      <c r="C376" t="inlineStr"/>
      <c r="D376">
        <f>HYPERLINK("http://nlpdeep.cs.uic.edu:8080/proofing/t5/532411-assessment-and-plan-0-0.pdf","t5/532411-assessment-and-plan-0-0.pdf")</f>
        <v/>
      </c>
      <c r="E376" t="n">
        <v>119960</v>
      </c>
      <c r="F376" t="n">
        <v>532411</v>
      </c>
      <c r="G376" t="inlineStr">
        <is>
          <t>Physician</t>
        </is>
      </c>
      <c r="H376" t="inlineStr">
        <is>
          <t>assessment-and-plan</t>
        </is>
      </c>
      <c r="I376" t="inlineStr">
        <is>
          <t>ICU Care
   Nutrition:
   Glycemic Control:
   Lines:
   18 Gauge - [**2141-4-6**] 08:30 PM
   Prophylaxis:
   DVT:
   Stress ulcer:
   VAP:
   Comments:
   Communication:  Comments:
   Code status:
   Disposition:</t>
        </is>
      </c>
    </row>
    <row r="377">
      <c r="A377" t="inlineStr">
        <is>
          <t>532411-assessment-and-plan-0-0</t>
        </is>
      </c>
      <c r="B377" t="inlineStr"/>
      <c r="C377" t="inlineStr"/>
      <c r="D377">
        <f>HYPERLINK("http://nlpdeep.cs.uic.edu:8080/proofing/gsii/532411-assessment-and-plan-0-0.pdf","gsii/532411-assessment-and-plan-0-0.pdf")</f>
        <v/>
      </c>
      <c r="E377" t="n">
        <v>119960</v>
      </c>
      <c r="F377" t="n">
        <v>532411</v>
      </c>
      <c r="G377" t="inlineStr">
        <is>
          <t>Physician</t>
        </is>
      </c>
      <c r="H377" t="inlineStr">
        <is>
          <t>assessment-and-plan</t>
        </is>
      </c>
      <c r="I377" t="inlineStr">
        <is>
          <t>ICU Care
   Nutrition:
   Glycemic Control:
   Lines:
   18 Gauge - [**2141-4-6**] 08:30 PM
   Prophylaxis:
   DVT:
   Stress ulcer:
   VAP:
   Comments:
   Communication:  Comments:
   Code status:
   Disposition:</t>
        </is>
      </c>
    </row>
    <row r="378">
      <c r="A378" t="inlineStr">
        <is>
          <t>532411-communication-0-0</t>
        </is>
      </c>
      <c r="B378" t="inlineStr"/>
      <c r="C378" t="inlineStr"/>
      <c r="D378">
        <f>HYPERLINK("http://nlpdeep.cs.uic.edu:8080/proofing/t5/532411-communication-0-0.pdf","t5/532411-communication-0-0.pdf")</f>
        <v/>
      </c>
      <c r="E378" t="n">
        <v>119960</v>
      </c>
      <c r="F378" t="n">
        <v>532411</v>
      </c>
      <c r="G378" t="inlineStr">
        <is>
          <t>Physician</t>
        </is>
      </c>
      <c r="H378" t="inlineStr">
        <is>
          <t>communication</t>
        </is>
      </c>
      <c r="I378" t="inlineStr">
        <is>
          <t>Patient, wife [**Name (NI) **] [**Name (NI) 14481**] [</t>
        </is>
      </c>
    </row>
    <row r="379">
      <c r="A379" t="inlineStr">
        <is>
          <t>532411-communication-0-0</t>
        </is>
      </c>
      <c r="B379" t="inlineStr"/>
      <c r="C379" t="inlineStr"/>
      <c r="D379">
        <f>HYPERLINK("http://nlpdeep.cs.uic.edu:8080/proofing/gsii/532411-communication-0-0.pdf","gsii/532411-communication-0-0.pdf")</f>
        <v/>
      </c>
      <c r="E379" t="n">
        <v>119960</v>
      </c>
      <c r="F379" t="n">
        <v>532411</v>
      </c>
      <c r="G379" t="inlineStr">
        <is>
          <t>Physician</t>
        </is>
      </c>
      <c r="H379" t="inlineStr">
        <is>
          <t>communication</t>
        </is>
      </c>
      <c r="I379" t="inlineStr">
        <is>
          <t>Patient, wife [**Name (NI) **] [**Name (NI) 14481**] [</t>
        </is>
      </c>
    </row>
    <row r="380">
      <c r="A380" t="inlineStr">
        <is>
          <t>532411-code-status-0-0</t>
        </is>
      </c>
      <c r="B380" t="inlineStr"/>
      <c r="C380" t="inlineStr"/>
      <c r="D380">
        <f>HYPERLINK("http://nlpdeep.cs.uic.edu:8080/proofing/t5/532411-code-status-0-0.pdf","t5/532411-code-status-0-0.pdf")</f>
        <v/>
      </c>
      <c r="E380" t="n">
        <v>119960</v>
      </c>
      <c r="F380" t="n">
        <v>532411</v>
      </c>
      <c r="G380" t="inlineStr">
        <is>
          <t>Physician</t>
        </is>
      </c>
      <c r="H380" t="inlineStr">
        <is>
          <t>code-status</t>
        </is>
      </c>
      <c r="I380" t="inlineStr">
        <is>
          <t>Full code for acute situations and OR but does not wish to be
   chronically vented (discussed with patient and wife)</t>
        </is>
      </c>
    </row>
    <row r="381">
      <c r="A381" t="inlineStr">
        <is>
          <t>532411-code-status-0-0</t>
        </is>
      </c>
      <c r="B381" t="inlineStr"/>
      <c r="C381" t="inlineStr"/>
      <c r="D381">
        <f>HYPERLINK("http://nlpdeep.cs.uic.edu:8080/proofing/gsii/532411-code-status-0-0.pdf","gsii/532411-code-status-0-0.pdf")</f>
        <v/>
      </c>
      <c r="E381" t="n">
        <v>119960</v>
      </c>
      <c r="F381" t="n">
        <v>532411</v>
      </c>
      <c r="G381" t="inlineStr">
        <is>
          <t>Physician</t>
        </is>
      </c>
      <c r="H381" t="inlineStr">
        <is>
          <t>code-status</t>
        </is>
      </c>
      <c r="I381" t="inlineStr">
        <is>
          <t>Full code for acute situations and OR but does not wish to be
   chronically vented (discussed with patient and wife)</t>
        </is>
      </c>
    </row>
    <row r="382">
      <c r="A382" t="inlineStr">
        <is>
          <t>532411-disposition-0-0</t>
        </is>
      </c>
      <c r="B382" t="inlineStr"/>
      <c r="C382" t="inlineStr"/>
      <c r="D382">
        <f>HYPERLINK("http://nlpdeep.cs.uic.edu:8080/proofing/t5/532411-disposition-0-0.pdf","t5/532411-disposition-0-0.pdf")</f>
        <v/>
      </c>
      <c r="E382" t="n">
        <v>119960</v>
      </c>
      <c r="F382" t="n">
        <v>532411</v>
      </c>
      <c r="G382" t="inlineStr">
        <is>
          <t>Physician</t>
        </is>
      </c>
      <c r="H382" t="inlineStr">
        <is>
          <t>disposition</t>
        </is>
      </c>
      <c r="I382" t="inlineStr">
        <is>
          <t>ICU pending clinical i</t>
        </is>
      </c>
    </row>
    <row r="383">
      <c r="A383" t="inlineStr">
        <is>
          <t>532411-disposition-0-0</t>
        </is>
      </c>
      <c r="B383" t="inlineStr"/>
      <c r="C383" t="inlineStr"/>
      <c r="D383">
        <f>HYPERLINK("http://nlpdeep.cs.uic.edu:8080/proofing/gsii/532411-disposition-0-0.pdf","gsii/532411-disposition-0-0.pdf")</f>
        <v/>
      </c>
      <c r="E383" t="n">
        <v>119960</v>
      </c>
      <c r="F383" t="n">
        <v>532411</v>
      </c>
      <c r="G383" t="inlineStr">
        <is>
          <t>Physician</t>
        </is>
      </c>
      <c r="H383" t="inlineStr">
        <is>
          <t>disposition</t>
        </is>
      </c>
      <c r="I383" t="inlineStr">
        <is>
          <t>ICU pending clinical i</t>
        </is>
      </c>
    </row>
    <row r="384">
      <c r="A384" t="inlineStr">
        <is>
          <t>532481-chief-complaint-0-0</t>
        </is>
      </c>
      <c r="B384" t="inlineStr"/>
      <c r="C384" t="inlineStr"/>
      <c r="D384">
        <f>HYPERLINK("http://nlpdeep.cs.uic.edu:8080/proofing/t5/532481-chief-complaint-0-0.pdf","t5/532481-chief-complaint-0-0.pdf")</f>
        <v/>
      </c>
      <c r="E384" t="n">
        <v>119960</v>
      </c>
      <c r="F384" t="n">
        <v>532481</v>
      </c>
      <c r="G384" t="inlineStr">
        <is>
          <t>Consult</t>
        </is>
      </c>
      <c r="H384" t="inlineStr">
        <is>
          <t>chief-complaint</t>
        </is>
      </c>
      <c r="I384" t="inlineStr">
        <is>
          <t>Patient is seen in consultation today at the request
   of Dr. [**Last Name (STitle) 775**].</t>
        </is>
      </c>
    </row>
    <row r="385">
      <c r="A385" t="inlineStr">
        <is>
          <t>532481-chief-complaint-0-0</t>
        </is>
      </c>
      <c r="B385" t="inlineStr"/>
      <c r="C385" t="inlineStr"/>
      <c r="D385">
        <f>HYPERLINK("http://nlpdeep.cs.uic.edu:8080/proofing/gsii/532481-chief-complaint-0-0.pdf","gsii/532481-chief-complaint-0-0.pdf")</f>
        <v/>
      </c>
      <c r="E385" t="n">
        <v>119960</v>
      </c>
      <c r="F385" t="n">
        <v>532481</v>
      </c>
      <c r="G385" t="inlineStr">
        <is>
          <t>Consult</t>
        </is>
      </c>
      <c r="H385" t="inlineStr">
        <is>
          <t>chief-complaint</t>
        </is>
      </c>
      <c r="I385" t="inlineStr">
        <is>
          <t>Patient is seen in consultation today at the request
   of Dr. [**Last Name (STitle) 775**].</t>
        </is>
      </c>
    </row>
    <row r="386">
      <c r="A386" t="inlineStr">
        <is>
          <t>532481-chief-complaint-0-1</t>
        </is>
      </c>
      <c r="B386" t="inlineStr"/>
      <c r="C386" t="inlineStr"/>
      <c r="D386">
        <f>HYPERLINK("http://nlpdeep.cs.uic.edu:8080/proofing/t5/532481-chief-complaint-0-1.pdf","t5/532481-chief-complaint-0-1.pdf")</f>
        <v/>
      </c>
      <c r="E386" t="n">
        <v>119960</v>
      </c>
      <c r="F386" t="n">
        <v>532481</v>
      </c>
      <c r="G386" t="inlineStr">
        <is>
          <t>Consult</t>
        </is>
      </c>
      <c r="H386" t="inlineStr">
        <is>
          <t>chief-complaint</t>
        </is>
      </c>
      <c r="I386" t="inlineStr">
        <is>
          <t>We are asked to give consultative advice regarding
   evaluation and management of pre-operative assessment.</t>
        </is>
      </c>
    </row>
    <row r="387">
      <c r="A387" t="inlineStr">
        <is>
          <t>532481-chief-complaint-0-1</t>
        </is>
      </c>
      <c r="B387" t="inlineStr"/>
      <c r="C387" t="inlineStr"/>
      <c r="D387">
        <f>HYPERLINK("http://nlpdeep.cs.uic.edu:8080/proofing/gsii/532481-chief-complaint-0-1.pdf","gsii/532481-chief-complaint-0-1.pdf")</f>
        <v/>
      </c>
      <c r="E387" t="n">
        <v>119960</v>
      </c>
      <c r="F387" t="n">
        <v>532481</v>
      </c>
      <c r="G387" t="inlineStr">
        <is>
          <t>Consult</t>
        </is>
      </c>
      <c r="H387" t="inlineStr">
        <is>
          <t>chief-complaint</t>
        </is>
      </c>
      <c r="I387" t="inlineStr">
        <is>
          <t>We are asked to give consultative advice regarding
   evaluation and management of pre-operative assessment.</t>
        </is>
      </c>
    </row>
    <row r="388">
      <c r="A388" t="inlineStr">
        <is>
          <t>532481-history-of-present-illness-0-0</t>
        </is>
      </c>
      <c r="B388" t="inlineStr"/>
      <c r="C388" t="inlineStr"/>
      <c r="D388">
        <f>HYPERLINK("http://nlpdeep.cs.uic.edu:8080/proofing/t5/532481-history-of-present-illness-0-0.pdf","t5/532481-history-of-present-illness-0-0.pdf")</f>
        <v/>
      </c>
      <c r="E388" t="n">
        <v>119960</v>
      </c>
      <c r="F388" t="n">
        <v>532481</v>
      </c>
      <c r="G388" t="inlineStr">
        <is>
          <t>Consult</t>
        </is>
      </c>
      <c r="H388" t="inlineStr">
        <is>
          <t>history-of-present-illness</t>
        </is>
      </c>
      <c r="I388" t="inlineStr">
        <is>
          <t>87M HTN, diastolic CHF (EF 65% 1/10), AFib not on Coumadin, and mild
   AS, Stage IV CKD, multiple admissions in the recent past including GI
   bleed/melena, epistaxis, and iliopsoas hemorrhage on coumadin with
   supratherapeutic INR, CHF exacerbations, CDiff colitis, who had several
   falls at his nursing home in the past few days, and now presents with a
   left intertrochanteric hip fracture, needing cardiology evaluation
   prior to surgical correction.</t>
        </is>
      </c>
    </row>
    <row r="389">
      <c r="A389" t="inlineStr">
        <is>
          <t>532481-history-of-present-illness-0-0</t>
        </is>
      </c>
      <c r="B389" t="inlineStr"/>
      <c r="C389" t="inlineStr"/>
      <c r="D389">
        <f>HYPERLINK("http://nlpdeep.cs.uic.edu:8080/proofing/gsii/532481-history-of-present-illness-0-0.pdf","gsii/532481-history-of-present-illness-0-0.pdf")</f>
        <v/>
      </c>
      <c r="E389" t="n">
        <v>119960</v>
      </c>
      <c r="F389" t="n">
        <v>532481</v>
      </c>
      <c r="G389" t="inlineStr">
        <is>
          <t>Consult</t>
        </is>
      </c>
      <c r="H389" t="inlineStr">
        <is>
          <t>history-of-present-illness</t>
        </is>
      </c>
      <c r="I389" t="inlineStr">
        <is>
          <t>87M HTN, diastolic CHF (EF 65% 1/10), AFib not on Coumadin, and mild
   AS, Stage IV CKD, multiple admissions in the recent past including GI
   bleed/melena, epistaxis, and iliopsoas hemorrhage on coumadin with
   supratherapeutic INR, CHF exacerbations, CDiff colitis, who had several
   falls at his nursing home in the past few days, and now presents with a
   left intertrochanteric hip fracture, needing cardiology evaluation
   prior to surgical correction.</t>
        </is>
      </c>
    </row>
    <row r="390">
      <c r="A390" t="inlineStr">
        <is>
          <t>532481-history-of-present-illness-0-1</t>
        </is>
      </c>
      <c r="B390" t="inlineStr"/>
      <c r="C390" t="inlineStr"/>
      <c r="D390">
        <f>HYPERLINK("http://nlpdeep.cs.uic.edu:8080/proofing/t5/532481-history-of-present-illness-0-1.pdf","t5/532481-history-of-present-illness-0-1.pdf")</f>
        <v/>
      </c>
      <c r="E390" t="n">
        <v>119960</v>
      </c>
      <c r="F390" t="n">
        <v>532481</v>
      </c>
      <c r="G390" t="inlineStr">
        <is>
          <t>Consult</t>
        </is>
      </c>
      <c r="H390" t="inlineStr">
        <is>
          <t>history-of-present-illness</t>
        </is>
      </c>
      <c r="I390" t="inlineStr">
        <is>
          <t xml:space="preserve"> Per reports, he was in his usual state
   of health, when he was reaching onto a shelf for batteries when he
   turned too quickly and twisted his left foot under him, falling on his
   left side and left arm.</t>
        </is>
      </c>
    </row>
    <row r="391">
      <c r="A391" t="inlineStr">
        <is>
          <t>532481-history-of-present-illness-0-1</t>
        </is>
      </c>
      <c r="B391" t="inlineStr"/>
      <c r="C391" t="inlineStr"/>
      <c r="D391">
        <f>HYPERLINK("http://nlpdeep.cs.uic.edu:8080/proofing/gsii/532481-history-of-present-illness-0-1.pdf","gsii/532481-history-of-present-illness-0-1.pdf")</f>
        <v/>
      </c>
      <c r="E391" t="n">
        <v>119960</v>
      </c>
      <c r="F391" t="n">
        <v>532481</v>
      </c>
      <c r="G391" t="inlineStr">
        <is>
          <t>Consult</t>
        </is>
      </c>
      <c r="H391" t="inlineStr">
        <is>
          <t>history-of-present-illness</t>
        </is>
      </c>
      <c r="I391" t="inlineStr">
        <is>
          <t xml:space="preserve"> Per reports, he was in his usual state
   of health, when he was reaching onto a shelf for batteries when he
   turned too quickly and twisted his left foot under him, falling on his
   left side and left arm.</t>
        </is>
      </c>
    </row>
    <row r="392">
      <c r="A392" t="inlineStr">
        <is>
          <t>532481-history-of-present-illness-0-2</t>
        </is>
      </c>
      <c r="B392" t="inlineStr"/>
      <c r="C392" t="inlineStr"/>
      <c r="D392">
        <f>HYPERLINK("http://nlpdeep.cs.uic.edu:8080/proofing/t5/532481-history-of-present-illness-0-2.pdf","t5/532481-history-of-present-illness-0-2.pdf")</f>
        <v/>
      </c>
      <c r="E392" t="n">
        <v>119960</v>
      </c>
      <c r="F392" t="n">
        <v>532481</v>
      </c>
      <c r="G392" t="inlineStr">
        <is>
          <t>Consult</t>
        </is>
      </c>
      <c r="H392" t="inlineStr">
        <is>
          <t>history-of-present-illness</t>
        </is>
      </c>
      <c r="I392" t="inlineStr">
        <is>
          <t xml:space="preserve"> He was found on exam to have his left hip
   externally rotated and shortened.</t>
        </is>
      </c>
    </row>
    <row r="393">
      <c r="A393" t="inlineStr">
        <is>
          <t>532481-history-of-present-illness-0-2</t>
        </is>
      </c>
      <c r="B393" t="inlineStr"/>
      <c r="C393" t="inlineStr"/>
      <c r="D393">
        <f>HYPERLINK("http://nlpdeep.cs.uic.edu:8080/proofing/gsii/532481-history-of-present-illness-0-2.pdf","gsii/532481-history-of-present-illness-0-2.pdf")</f>
        <v/>
      </c>
      <c r="E393" t="n">
        <v>119960</v>
      </c>
      <c r="F393" t="n">
        <v>532481</v>
      </c>
      <c r="G393" t="inlineStr">
        <is>
          <t>Consult</t>
        </is>
      </c>
      <c r="H393" t="inlineStr">
        <is>
          <t>history-of-present-illness</t>
        </is>
      </c>
      <c r="I393" t="inlineStr">
        <is>
          <t xml:space="preserve"> He was found on exam to have his left hip
   externally rotated and shortened.</t>
        </is>
      </c>
    </row>
    <row r="394">
      <c r="A394" t="inlineStr">
        <is>
          <t>532481-history-of-present-illness-0-3</t>
        </is>
      </c>
      <c r="B394" t="inlineStr"/>
      <c r="C394" t="inlineStr"/>
      <c r="D394">
        <f>HYPERLINK("http://nlpdeep.cs.uic.edu:8080/proofing/t5/532481-history-of-present-illness-0-3.pdf","t5/532481-history-of-present-illness-0-3.pdf")</f>
        <v/>
      </c>
      <c r="E394" t="n">
        <v>119960</v>
      </c>
      <c r="F394" t="n">
        <v>532481</v>
      </c>
      <c r="G394" t="inlineStr">
        <is>
          <t>Consult</t>
        </is>
      </c>
      <c r="H394" t="inlineStr">
        <is>
          <t>history-of-present-illness</t>
        </is>
      </c>
      <c r="I394" t="inlineStr">
        <is>
          <t xml:space="preserve"> He had no other complaints and
   denied loss of consciousness or hitting his head on the fall.</t>
        </is>
      </c>
    </row>
    <row r="395">
      <c r="A395" t="inlineStr">
        <is>
          <t>532481-history-of-present-illness-0-3</t>
        </is>
      </c>
      <c r="B395" t="inlineStr"/>
      <c r="C395" t="inlineStr"/>
      <c r="D395">
        <f>HYPERLINK("http://nlpdeep.cs.uic.edu:8080/proofing/gsii/532481-history-of-present-illness-0-3.pdf","gsii/532481-history-of-present-illness-0-3.pdf")</f>
        <v/>
      </c>
      <c r="E395" t="n">
        <v>119960</v>
      </c>
      <c r="F395" t="n">
        <v>532481</v>
      </c>
      <c r="G395" t="inlineStr">
        <is>
          <t>Consult</t>
        </is>
      </c>
      <c r="H395" t="inlineStr">
        <is>
          <t>history-of-present-illness</t>
        </is>
      </c>
      <c r="I395" t="inlineStr">
        <is>
          <t xml:space="preserve"> He had no other complaints and
   denied loss of consciousness or hitting his head on the fall.</t>
        </is>
      </c>
    </row>
    <row r="396">
      <c r="A396" t="inlineStr">
        <is>
          <t>532481-history-of-present-illness-0-4</t>
        </is>
      </c>
      <c r="B396" t="inlineStr"/>
      <c r="C396" t="inlineStr"/>
      <c r="D396">
        <f>HYPERLINK("http://nlpdeep.cs.uic.edu:8080/proofing/t5/532481-history-of-present-illness-0-4.pdf","t5/532481-history-of-present-illness-0-4.pdf")</f>
        <v/>
      </c>
      <c r="E396" t="n">
        <v>119960</v>
      </c>
      <c r="F396" t="n">
        <v>532481</v>
      </c>
      <c r="G396" t="inlineStr">
        <is>
          <t>Consult</t>
        </is>
      </c>
      <c r="H396" t="inlineStr">
        <is>
          <t>history-of-present-illness</t>
        </is>
      </c>
      <c r="I396" t="inlineStr">
        <is>
          <t>He was
   treated with high dose narcotics for pain control, and was found to
   have somewhat low blood pressures in the ED, which were treated with
   IVFs and transfer to the MICU.</t>
        </is>
      </c>
    </row>
    <row r="397">
      <c r="A397" t="inlineStr">
        <is>
          <t>532481-history-of-present-illness-0-4</t>
        </is>
      </c>
      <c r="B397" t="inlineStr"/>
      <c r="C397" t="inlineStr"/>
      <c r="D397">
        <f>HYPERLINK("http://nlpdeep.cs.uic.edu:8080/proofing/gsii/532481-history-of-present-illness-0-4.pdf","gsii/532481-history-of-present-illness-0-4.pdf")</f>
        <v/>
      </c>
      <c r="E397" t="n">
        <v>119960</v>
      </c>
      <c r="F397" t="n">
        <v>532481</v>
      </c>
      <c r="G397" t="inlineStr">
        <is>
          <t>Consult</t>
        </is>
      </c>
      <c r="H397" t="inlineStr">
        <is>
          <t>history-of-present-illness</t>
        </is>
      </c>
      <c r="I397" t="inlineStr">
        <is>
          <t>He was
   treated with high dose narcotics for pain control, and was found to
   have somewhat low blood pressures in the ED, which were treated with
   IVFs and transfer to the MICU.</t>
        </is>
      </c>
    </row>
    <row r="398">
      <c r="A398" t="inlineStr">
        <is>
          <t>532481-history-of-present-illness-0-5</t>
        </is>
      </c>
      <c r="B398" t="inlineStr"/>
      <c r="C398" t="inlineStr"/>
      <c r="D398">
        <f>HYPERLINK("http://nlpdeep.cs.uic.edu:8080/proofing/t5/532481-history-of-present-illness-0-5.pdf","t5/532481-history-of-present-illness-0-5.pdf")</f>
        <v/>
      </c>
      <c r="E398" t="n">
        <v>119960</v>
      </c>
      <c r="F398" t="n">
        <v>532481</v>
      </c>
      <c r="G398" t="inlineStr">
        <is>
          <t>Consult</t>
        </is>
      </c>
      <c r="H398" t="inlineStr">
        <is>
          <t>history-of-present-illness</t>
        </is>
      </c>
      <c r="I398" t="inlineStr">
        <is>
          <t xml:space="preserve"> He is currently planned for surgical
   repair later today.</t>
        </is>
      </c>
    </row>
    <row r="399">
      <c r="A399" t="inlineStr">
        <is>
          <t>532481-history-of-present-illness-0-5</t>
        </is>
      </c>
      <c r="B399" t="inlineStr"/>
      <c r="C399" t="inlineStr"/>
      <c r="D399">
        <f>HYPERLINK("http://nlpdeep.cs.uic.edu:8080/proofing/gsii/532481-history-of-present-illness-0-5.pdf","gsii/532481-history-of-present-illness-0-5.pdf")</f>
        <v/>
      </c>
      <c r="E399" t="n">
        <v>119960</v>
      </c>
      <c r="F399" t="n">
        <v>532481</v>
      </c>
      <c r="G399" t="inlineStr">
        <is>
          <t>Consult</t>
        </is>
      </c>
      <c r="H399" t="inlineStr">
        <is>
          <t>history-of-present-illness</t>
        </is>
      </c>
      <c r="I399" t="inlineStr">
        <is>
          <t xml:space="preserve"> He is currently planned for surgical
   repair later today.</t>
        </is>
      </c>
    </row>
    <row r="400">
      <c r="A400" t="inlineStr">
        <is>
          <t>532481-history-of-present-illness-0-6</t>
        </is>
      </c>
      <c r="B400" t="inlineStr"/>
      <c r="C400" t="inlineStr"/>
      <c r="D400">
        <f>HYPERLINK("http://nlpdeep.cs.uic.edu:8080/proofing/t5/532481-history-of-present-illness-0-6.pdf","t5/532481-history-of-present-illness-0-6.pdf")</f>
        <v/>
      </c>
      <c r="E400" t="n">
        <v>119960</v>
      </c>
      <c r="F400" t="n">
        <v>532481</v>
      </c>
      <c r="G400" t="inlineStr">
        <is>
          <t>Consult</t>
        </is>
      </c>
      <c r="H400" t="inlineStr">
        <is>
          <t>history-of-present-illness</t>
        </is>
      </c>
      <c r="I400" t="inlineStr">
        <is>
          <t xml:space="preserve"> Primary cardiologist is Dr.</t>
        </is>
      </c>
    </row>
    <row r="401">
      <c r="A401" t="inlineStr">
        <is>
          <t>532481-history-of-present-illness-0-6</t>
        </is>
      </c>
      <c r="B401" t="inlineStr"/>
      <c r="C401" t="inlineStr"/>
      <c r="D401">
        <f>HYPERLINK("http://nlpdeep.cs.uic.edu:8080/proofing/gsii/532481-history-of-present-illness-0-6.pdf","gsii/532481-history-of-present-illness-0-6.pdf")</f>
        <v/>
      </c>
      <c r="E401" t="n">
        <v>119960</v>
      </c>
      <c r="F401" t="n">
        <v>532481</v>
      </c>
      <c r="G401" t="inlineStr">
        <is>
          <t>Consult</t>
        </is>
      </c>
      <c r="H401" t="inlineStr">
        <is>
          <t>history-of-present-illness</t>
        </is>
      </c>
      <c r="I401" t="inlineStr">
        <is>
          <t xml:space="preserve"> Primary cardiologist is Dr.</t>
        </is>
      </c>
    </row>
    <row r="402">
      <c r="A402" t="inlineStr">
        <is>
          <t>532481-history-of-present-illness-0-7</t>
        </is>
      </c>
      <c r="B402" t="inlineStr"/>
      <c r="C402" t="inlineStr"/>
      <c r="D402">
        <f>HYPERLINK("http://nlpdeep.cs.uic.edu:8080/proofing/t5/532481-history-of-present-illness-0-7.pdf","t5/532481-history-of-present-illness-0-7.pdf")</f>
        <v/>
      </c>
      <c r="E402" t="n">
        <v>119960</v>
      </c>
      <c r="F402" t="n">
        <v>532481</v>
      </c>
      <c r="G402" t="inlineStr">
        <is>
          <t>Consult</t>
        </is>
      </c>
      <c r="H402" t="inlineStr">
        <is>
          <t>history-of-present-illness</t>
        </is>
      </c>
      <c r="I402" t="inlineStr">
        <is>
          <t>[**First Name8 (NamePattern2) **] [**Last Name (NamePattern1) 3014**].</t>
        </is>
      </c>
    </row>
    <row r="403">
      <c r="A403" t="inlineStr">
        <is>
          <t>532481-history-of-present-illness-0-7</t>
        </is>
      </c>
      <c r="B403" t="inlineStr"/>
      <c r="C403" t="inlineStr"/>
      <c r="D403">
        <f>HYPERLINK("http://nlpdeep.cs.uic.edu:8080/proofing/gsii/532481-history-of-present-illness-0-7.pdf","gsii/532481-history-of-present-illness-0-7.pdf")</f>
        <v/>
      </c>
      <c r="E403" t="n">
        <v>119960</v>
      </c>
      <c r="F403" t="n">
        <v>532481</v>
      </c>
      <c r="G403" t="inlineStr">
        <is>
          <t>Consult</t>
        </is>
      </c>
      <c r="H403" t="inlineStr">
        <is>
          <t>history-of-present-illness</t>
        </is>
      </c>
      <c r="I403" t="inlineStr">
        <is>
          <t>[**First Name8 (NamePattern2) **] [**Last Name (NamePattern1) 3014**].</t>
        </is>
      </c>
    </row>
    <row r="404">
      <c r="A404" t="inlineStr">
        <is>
          <t>532481-history-of-present-illness-0-8</t>
        </is>
      </c>
      <c r="B404" t="inlineStr"/>
      <c r="C404" t="inlineStr"/>
      <c r="D404">
        <f>HYPERLINK("http://nlpdeep.cs.uic.edu:8080/proofing/t5/532481-history-of-present-illness-0-8.pdf","t5/532481-history-of-present-illness-0-8.pdf")</f>
        <v/>
      </c>
      <c r="E404" t="n">
        <v>119960</v>
      </c>
      <c r="F404" t="n">
        <v>532481</v>
      </c>
      <c r="G404" t="inlineStr">
        <is>
          <t>Consult</t>
        </is>
      </c>
      <c r="H404" t="inlineStr">
        <is>
          <t>history-of-present-illness</t>
        </is>
      </c>
      <c r="I404" t="inlineStr">
        <is>
          <t xml:space="preserve">
   On cardiac review of symptoms, prior to the event, the patient denies
   any chest pain or anginal equivalent, shortness of breath, dysnpea on
   exertion, orthopnea, PND, palpitations, syncope or presyncope, or
   claudication-type symptoms.</t>
        </is>
      </c>
    </row>
    <row r="405">
      <c r="A405" t="inlineStr">
        <is>
          <t>532481-history-of-present-illness-0-8</t>
        </is>
      </c>
      <c r="B405" t="inlineStr"/>
      <c r="C405" t="inlineStr"/>
      <c r="D405">
        <f>HYPERLINK("http://nlpdeep.cs.uic.edu:8080/proofing/gsii/532481-history-of-present-illness-0-8.pdf","gsii/532481-history-of-present-illness-0-8.pdf")</f>
        <v/>
      </c>
      <c r="E405" t="n">
        <v>119960</v>
      </c>
      <c r="F405" t="n">
        <v>532481</v>
      </c>
      <c r="G405" t="inlineStr">
        <is>
          <t>Consult</t>
        </is>
      </c>
      <c r="H405" t="inlineStr">
        <is>
          <t>history-of-present-illness</t>
        </is>
      </c>
      <c r="I405" t="inlineStr">
        <is>
          <t xml:space="preserve">
   On cardiac review of symptoms, prior to the event, the patient denies
   any chest pain or anginal equivalent, shortness of breath, dysnpea on
   exertion, orthopnea, PND, palpitations, syncope or presyncope, or
   claudication-type symptoms.</t>
        </is>
      </c>
    </row>
    <row r="406">
      <c r="A406" t="inlineStr">
        <is>
          <t>532481-past-medical-history-0-0</t>
        </is>
      </c>
      <c r="B406" t="inlineStr"/>
      <c r="C406" t="inlineStr"/>
      <c r="D406">
        <f>HYPERLINK("http://nlpdeep.cs.uic.edu:8080/proofing/t5/532481-past-medical-history-0-0.pdf","t5/532481-past-medical-history-0-0.pdf")</f>
        <v/>
      </c>
      <c r="E406" t="n">
        <v>119960</v>
      </c>
      <c r="F406" t="n">
        <v>532481</v>
      </c>
      <c r="G406" t="inlineStr">
        <is>
          <t>Consult</t>
        </is>
      </c>
      <c r="H406" t="inlineStr">
        <is>
          <t>past-medical-history</t>
        </is>
      </c>
      <c r="I406" t="inlineStr">
        <is>
          <t>-Congestive heart failure with preserved LVEF (65% 1/10) --&gt; per
   DCS from [**2-8**], thought to have left HF leading to right HF
   without primary pulm HTN
   -Chronic Atrial fibrillation, not on warfarin given recent UGIB
   ([**2-8**])
   -Mild aortic stenosis (peak 25 mmHg [**11-6**])
   -Pulmonary artery hypertension (30mmHg + RA [**11-6**])
   -Mild mitral regurgitation
   -Moderate tricuspid regurgitation
   -Mild aortic insufficiency
   -Mild ascending aortic dilatation (3.7 cm)
   -Left ventricular hypertrophy
   -Prostate enlargement (followed by Dr.</t>
        </is>
      </c>
    </row>
    <row r="407">
      <c r="A407" t="inlineStr">
        <is>
          <t>532481-past-medical-history-0-0</t>
        </is>
      </c>
      <c r="B407" t="inlineStr"/>
      <c r="C407" t="inlineStr"/>
      <c r="D407">
        <f>HYPERLINK("http://nlpdeep.cs.uic.edu:8080/proofing/gsii/532481-past-medical-history-0-0.pdf","gsii/532481-past-medical-history-0-0.pdf")</f>
        <v/>
      </c>
      <c r="E407" t="n">
        <v>119960</v>
      </c>
      <c r="F407" t="n">
        <v>532481</v>
      </c>
      <c r="G407" t="inlineStr">
        <is>
          <t>Consult</t>
        </is>
      </c>
      <c r="H407" t="inlineStr">
        <is>
          <t>past-medical-history</t>
        </is>
      </c>
      <c r="I407" t="inlineStr">
        <is>
          <t>-Congestive heart failure with preserved LVEF (65% 1/10) --&gt; per
   DCS from [**2-8**], thought to have left HF leading to right HF
   without primary pulm HTN
   -Chronic Atrial fibrillation, not on warfarin given recent UGIB
   ([**2-8**])
   -Mild aortic stenosis (peak 25 mmHg [**11-6**])
   -Pulmonary artery hypertension (30mmHg + RA [**11-6**])
   -Mild mitral regurgitation
   -Moderate tricuspid regurgitation
   -Mild aortic insufficiency
   -Mild ascending aortic dilatation (3.7 cm)
   -Left ventricular hypertrophy
   -Prostate enlargement (followed by Dr.</t>
        </is>
      </c>
    </row>
    <row r="408">
      <c r="A408" t="inlineStr">
        <is>
          <t>532481-past-medical-history-0-1</t>
        </is>
      </c>
      <c r="B408" t="inlineStr"/>
      <c r="C408" t="inlineStr"/>
      <c r="D408">
        <f>HYPERLINK("http://nlpdeep.cs.uic.edu:8080/proofing/t5/532481-past-medical-history-0-1.pdf","t5/532481-past-medical-history-0-1.pdf")</f>
        <v/>
      </c>
      <c r="E408" t="n">
        <v>119960</v>
      </c>
      <c r="F408" t="n">
        <v>532481</v>
      </c>
      <c r="G408" t="inlineStr">
        <is>
          <t>Consult</t>
        </is>
      </c>
      <c r="H408" t="inlineStr">
        <is>
          <t>past-medical-history</t>
        </is>
      </c>
      <c r="I408" t="inlineStr">
        <is>
          <t>[**Last Name (STitle) **] [**Last Name (STitle) **])
   -Hypertension
   -Hypercholesterolemia
   -Severe essential tremor, since [**2076**] (WWII)
   -Venous stasis, followed by Dr.</t>
        </is>
      </c>
    </row>
    <row r="409">
      <c r="A409" t="inlineStr">
        <is>
          <t>532481-past-medical-history-0-1</t>
        </is>
      </c>
      <c r="B409" t="inlineStr"/>
      <c r="C409" t="inlineStr"/>
      <c r="D409">
        <f>HYPERLINK("http://nlpdeep.cs.uic.edu:8080/proofing/gsii/532481-past-medical-history-0-1.pdf","gsii/532481-past-medical-history-0-1.pdf")</f>
        <v/>
      </c>
      <c r="E409" t="n">
        <v>119960</v>
      </c>
      <c r="F409" t="n">
        <v>532481</v>
      </c>
      <c r="G409" t="inlineStr">
        <is>
          <t>Consult</t>
        </is>
      </c>
      <c r="H409" t="inlineStr">
        <is>
          <t>past-medical-history</t>
        </is>
      </c>
      <c r="I409" t="inlineStr">
        <is>
          <t>[**Last Name (STitle) **] [**Last Name (STitle) **])
   -Hypertension
   -Hypercholesterolemia
   -Severe essential tremor, since [**2076**] (WWII)
   -Venous stasis, followed by Dr.</t>
        </is>
      </c>
    </row>
    <row r="410">
      <c r="A410" t="inlineStr">
        <is>
          <t>532481-past-medical-history-0-2</t>
        </is>
      </c>
      <c r="B410" t="inlineStr"/>
      <c r="C410" t="inlineStr"/>
      <c r="D410">
        <f>HYPERLINK("http://nlpdeep.cs.uic.edu:8080/proofing/t5/532481-past-medical-history-0-2.pdf","t5/532481-past-medical-history-0-2.pdf")</f>
        <v/>
      </c>
      <c r="E410" t="n">
        <v>119960</v>
      </c>
      <c r="F410" t="n">
        <v>532481</v>
      </c>
      <c r="G410" t="inlineStr">
        <is>
          <t>Consult</t>
        </is>
      </c>
      <c r="H410" t="inlineStr">
        <is>
          <t>past-medical-history</t>
        </is>
      </c>
      <c r="I410" t="inlineStr">
        <is>
          <t>[**Last Name (STitle) 14061**]
   [**Name (STitle) 14062**] hernia repair
   -Hemorrhoid repair
   -History of MRSA cellulitis ([**2-7**])
   -Chronic Renal Failure: Stage IV with eGFR of 24 ml/min (MDRD).</t>
        </is>
      </c>
    </row>
    <row r="411">
      <c r="A411" t="inlineStr">
        <is>
          <t>532481-past-medical-history-0-2</t>
        </is>
      </c>
      <c r="B411" t="inlineStr"/>
      <c r="C411" t="inlineStr"/>
      <c r="D411">
        <f>HYPERLINK("http://nlpdeep.cs.uic.edu:8080/proofing/gsii/532481-past-medical-history-0-2.pdf","gsii/532481-past-medical-history-0-2.pdf")</f>
        <v/>
      </c>
      <c r="E411" t="n">
        <v>119960</v>
      </c>
      <c r="F411" t="n">
        <v>532481</v>
      </c>
      <c r="G411" t="inlineStr">
        <is>
          <t>Consult</t>
        </is>
      </c>
      <c r="H411" t="inlineStr">
        <is>
          <t>past-medical-history</t>
        </is>
      </c>
      <c r="I411" t="inlineStr">
        <is>
          <t>[**Last Name (STitle) 14061**]
   [**Name (STitle) 14062**] hernia repair
   -Hemorrhoid repair
   -History of MRSA cellulitis ([**2-7**])
   -Chronic Renal Failure: Stage IV with eGFR of 24 ml/min (MDRD).</t>
        </is>
      </c>
    </row>
    <row r="412">
      <c r="A412" t="inlineStr">
        <is>
          <t>532481-past-medical-history-0-3</t>
        </is>
      </c>
      <c r="B412" t="inlineStr"/>
      <c r="C412" t="inlineStr"/>
      <c r="D412">
        <f>HYPERLINK("http://nlpdeep.cs.uic.edu:8080/proofing/t5/532481-past-medical-history-0-3.pdf","t5/532481-past-medical-history-0-3.pdf")</f>
        <v/>
      </c>
      <c r="E412" t="n">
        <v>119960</v>
      </c>
      <c r="F412" t="n">
        <v>532481</v>
      </c>
      <c r="G412" t="inlineStr">
        <is>
          <t>Consult</t>
        </is>
      </c>
      <c r="H412" t="inlineStr">
        <is>
          <t>past-medical-history</t>
        </is>
      </c>
      <c r="I412" t="inlineStr">
        <is>
          <t xml:space="preserve">
   Recommend to check PTH every 3 months with target of 70-110
   Cardiac Risk Factors include dyslipidemia, hypertension, tobacco use.</t>
        </is>
      </c>
    </row>
    <row r="413">
      <c r="A413" t="inlineStr">
        <is>
          <t>532481-past-medical-history-0-3</t>
        </is>
      </c>
      <c r="B413" t="inlineStr"/>
      <c r="C413" t="inlineStr"/>
      <c r="D413">
        <f>HYPERLINK("http://nlpdeep.cs.uic.edu:8080/proofing/gsii/532481-past-medical-history-0-3.pdf","gsii/532481-past-medical-history-0-3.pdf")</f>
        <v/>
      </c>
      <c r="E413" t="n">
        <v>119960</v>
      </c>
      <c r="F413" t="n">
        <v>532481</v>
      </c>
      <c r="G413" t="inlineStr">
        <is>
          <t>Consult</t>
        </is>
      </c>
      <c r="H413" t="inlineStr">
        <is>
          <t>past-medical-history</t>
        </is>
      </c>
      <c r="I413" t="inlineStr">
        <is>
          <t xml:space="preserve">
   Recommend to check PTH every 3 months with target of 70-110
   Cardiac Risk Factors include dyslipidemia, hypertension, tobacco use.</t>
        </is>
      </c>
    </row>
    <row r="414">
      <c r="A414" t="inlineStr">
        <is>
          <t>532481-medication-history-0-0</t>
        </is>
      </c>
      <c r="B414" t="inlineStr"/>
      <c r="C414" t="inlineStr"/>
      <c r="D414">
        <f>HYPERLINK("http://nlpdeep.cs.uic.edu:8080/proofing/t5/532481-medication-history-0-0.pdf","t5/532481-medication-history-0-0.pdf")</f>
        <v/>
      </c>
      <c r="E414" t="n">
        <v>119960</v>
      </c>
      <c r="F414" t="n">
        <v>532481</v>
      </c>
      <c r="G414" t="inlineStr">
        <is>
          <t>Consult</t>
        </is>
      </c>
      <c r="H414" t="inlineStr">
        <is>
          <t>medication-history</t>
        </is>
      </c>
      <c r="I414" t="inlineStr">
        <is>
          <t>Pantoprazole 40 mg Tablet, Delayed Release (E.C.) Sig: One
   (1) Tablet, Delayed Release (E.C.) PO twice a day.</t>
        </is>
      </c>
    </row>
    <row r="415">
      <c r="A415" t="inlineStr">
        <is>
          <t>532481-medication-history-0-0</t>
        </is>
      </c>
      <c r="B415" t="inlineStr"/>
      <c r="C415" t="inlineStr"/>
      <c r="D415">
        <f>HYPERLINK("http://nlpdeep.cs.uic.edu:8080/proofing/gsii/532481-medication-history-0-0.pdf","gsii/532481-medication-history-0-0.pdf")</f>
        <v/>
      </c>
      <c r="E415" t="n">
        <v>119960</v>
      </c>
      <c r="F415" t="n">
        <v>532481</v>
      </c>
      <c r="G415" t="inlineStr">
        <is>
          <t>Consult</t>
        </is>
      </c>
      <c r="H415" t="inlineStr">
        <is>
          <t>medication-history</t>
        </is>
      </c>
      <c r="I415" t="inlineStr">
        <is>
          <t>Pantoprazole 40 mg Tablet, Delayed Release (E.C.) Sig: One
   (1) Tablet, Delayed Release (E.C.) PO twice a day.</t>
        </is>
      </c>
    </row>
    <row r="416">
      <c r="A416" t="inlineStr">
        <is>
          <t>532481-medication-history-0-1</t>
        </is>
      </c>
      <c r="B416" t="inlineStr"/>
      <c r="C416" t="inlineStr"/>
      <c r="D416">
        <f>HYPERLINK("http://nlpdeep.cs.uic.edu:8080/proofing/t5/532481-medication-history-0-1.pdf","t5/532481-medication-history-0-1.pdf")</f>
        <v/>
      </c>
      <c r="E416" t="n">
        <v>119960</v>
      </c>
      <c r="F416" t="n">
        <v>532481</v>
      </c>
      <c r="G416" t="inlineStr">
        <is>
          <t>Consult</t>
        </is>
      </c>
      <c r="H416" t="inlineStr">
        <is>
          <t>medication-history</t>
        </is>
      </c>
      <c r="I416" t="inlineStr">
        <is>
          <t>Vancomycin 125 mg Capsule Sig: One (1) Capsule PO Q6H (every
   6 hours): Please taper:
   [**Date range (1) 14485**] 125mg Q6H;
   [**Date range (1) 14486**] 125mg Q12H;
   [**Date range (1) 7130**] 125mg daily;
   [**Date range (1) 14487**] 125mg; every other day
   [**Date range (1) 14488**] 125mg; every third day;
   then stop.</t>
        </is>
      </c>
    </row>
    <row r="417">
      <c r="A417" t="inlineStr">
        <is>
          <t>532481-medication-history-0-1</t>
        </is>
      </c>
      <c r="B417" t="inlineStr"/>
      <c r="C417" t="inlineStr"/>
      <c r="D417">
        <f>HYPERLINK("http://nlpdeep.cs.uic.edu:8080/proofing/gsii/532481-medication-history-0-1.pdf","gsii/532481-medication-history-0-1.pdf")</f>
        <v/>
      </c>
      <c r="E417" t="n">
        <v>119960</v>
      </c>
      <c r="F417" t="n">
        <v>532481</v>
      </c>
      <c r="G417" t="inlineStr">
        <is>
          <t>Consult</t>
        </is>
      </c>
      <c r="H417" t="inlineStr">
        <is>
          <t>medication-history</t>
        </is>
      </c>
      <c r="I417" t="inlineStr">
        <is>
          <t>Vancomycin 125 mg Capsule Sig: One (1) Capsule PO Q6H (every
   6 hours): Please taper:
   [**Date range (1) 14485**] 125mg Q6H;
   [**Date range (1) 14486**] 125mg Q12H;
   [**Date range (1) 7130**] 125mg daily;
   [**Date range (1) 14487**] 125mg; every other day
   [**Date range (1) 14488**] 125mg; every third day;
   then stop.</t>
        </is>
      </c>
    </row>
    <row r="418">
      <c r="A418" t="inlineStr">
        <is>
          <t>532481-medication-history-0-2</t>
        </is>
      </c>
      <c r="B418" t="inlineStr"/>
      <c r="C418" t="inlineStr"/>
      <c r="D418">
        <f>HYPERLINK("http://nlpdeep.cs.uic.edu:8080/proofing/t5/532481-medication-history-0-2.pdf","t5/532481-medication-history-0-2.pdf")</f>
        <v/>
      </c>
      <c r="E418" t="n">
        <v>119960</v>
      </c>
      <c r="F418" t="n">
        <v>532481</v>
      </c>
      <c r="G418" t="inlineStr">
        <is>
          <t>Consult</t>
        </is>
      </c>
      <c r="H418" t="inlineStr">
        <is>
          <t>medication-history</t>
        </is>
      </c>
      <c r="I418" t="inlineStr">
        <is>
          <t>Ammonium Lactate 12 % Lotion Sig: One (1) Appl Topical [**Hospital1 7**] (2
   times a day).</t>
        </is>
      </c>
    </row>
    <row r="419">
      <c r="A419" t="inlineStr">
        <is>
          <t>532481-medication-history-0-2</t>
        </is>
      </c>
      <c r="B419" t="inlineStr"/>
      <c r="C419" t="inlineStr"/>
      <c r="D419">
        <f>HYPERLINK("http://nlpdeep.cs.uic.edu:8080/proofing/gsii/532481-medication-history-0-2.pdf","gsii/532481-medication-history-0-2.pdf")</f>
        <v/>
      </c>
      <c r="E419" t="n">
        <v>119960</v>
      </c>
      <c r="F419" t="n">
        <v>532481</v>
      </c>
      <c r="G419" t="inlineStr">
        <is>
          <t>Consult</t>
        </is>
      </c>
      <c r="H419" t="inlineStr">
        <is>
          <t>medication-history</t>
        </is>
      </c>
      <c r="I419" t="inlineStr">
        <is>
          <t>Ammonium Lactate 12 % Lotion Sig: One (1) Appl Topical [**Hospital1 7**] (2
   times a day).</t>
        </is>
      </c>
    </row>
    <row r="420">
      <c r="A420" t="inlineStr">
        <is>
          <t>532481-medication-history-0-3</t>
        </is>
      </c>
      <c r="B420" t="inlineStr"/>
      <c r="C420" t="inlineStr"/>
      <c r="D420">
        <f>HYPERLINK("http://nlpdeep.cs.uic.edu:8080/proofing/t5/532481-medication-history-0-3.pdf","t5/532481-medication-history-0-3.pdf")</f>
        <v/>
      </c>
      <c r="E420" t="n">
        <v>119960</v>
      </c>
      <c r="F420" t="n">
        <v>532481</v>
      </c>
      <c r="G420" t="inlineStr">
        <is>
          <t>Consult</t>
        </is>
      </c>
      <c r="H420" t="inlineStr">
        <is>
          <t>medication-history</t>
        </is>
      </c>
      <c r="I420" t="inlineStr">
        <is>
          <t>Ipratropium Bromide 0.02 % Solution Sig: [**12-31**] Neb Inhalation
   Q6H (every 6 hours) as needed for SOB / Wheezing.</t>
        </is>
      </c>
    </row>
    <row r="421">
      <c r="A421" t="inlineStr">
        <is>
          <t>532481-medication-history-0-3</t>
        </is>
      </c>
      <c r="B421" t="inlineStr"/>
      <c r="C421" t="inlineStr"/>
      <c r="D421">
        <f>HYPERLINK("http://nlpdeep.cs.uic.edu:8080/proofing/gsii/532481-medication-history-0-3.pdf","gsii/532481-medication-history-0-3.pdf")</f>
        <v/>
      </c>
      <c r="E421" t="n">
        <v>119960</v>
      </c>
      <c r="F421" t="n">
        <v>532481</v>
      </c>
      <c r="G421" t="inlineStr">
        <is>
          <t>Consult</t>
        </is>
      </c>
      <c r="H421" t="inlineStr">
        <is>
          <t>medication-history</t>
        </is>
      </c>
      <c r="I421" t="inlineStr">
        <is>
          <t>Ipratropium Bromide 0.02 % Solution Sig: [**12-31**] Neb Inhalation
   Q6H (every 6 hours) as needed for SOB / Wheezing.</t>
        </is>
      </c>
    </row>
    <row r="422">
      <c r="A422" t="inlineStr">
        <is>
          <t>532481-medication-history-0-4</t>
        </is>
      </c>
      <c r="B422" t="inlineStr"/>
      <c r="C422" t="inlineStr"/>
      <c r="D422">
        <f>HYPERLINK("http://nlpdeep.cs.uic.edu:8080/proofing/t5/532481-medication-history-0-4.pdf","t5/532481-medication-history-0-4.pdf")</f>
        <v/>
      </c>
      <c r="E422" t="n">
        <v>119960</v>
      </c>
      <c r="F422" t="n">
        <v>532481</v>
      </c>
      <c r="G422" t="inlineStr">
        <is>
          <t>Consult</t>
        </is>
      </c>
      <c r="H422" t="inlineStr">
        <is>
          <t>medication-history</t>
        </is>
      </c>
      <c r="I422" t="inlineStr">
        <is>
          <t>Torsemide 20 mg Tablet Sig: Two (2) Tablet PO BID (2 times a
   day): If weight &gt; 165lbs, increase to 80mg in the morning and
   40mg at night; if weight &lt; 145lbs, decrease torsemide to 40mg
   daily.</t>
        </is>
      </c>
    </row>
    <row r="423">
      <c r="A423" t="inlineStr">
        <is>
          <t>532481-medication-history-0-4</t>
        </is>
      </c>
      <c r="B423" t="inlineStr"/>
      <c r="C423" t="inlineStr"/>
      <c r="D423">
        <f>HYPERLINK("http://nlpdeep.cs.uic.edu:8080/proofing/gsii/532481-medication-history-0-4.pdf","gsii/532481-medication-history-0-4.pdf")</f>
        <v/>
      </c>
      <c r="E423" t="n">
        <v>119960</v>
      </c>
      <c r="F423" t="n">
        <v>532481</v>
      </c>
      <c r="G423" t="inlineStr">
        <is>
          <t>Consult</t>
        </is>
      </c>
      <c r="H423" t="inlineStr">
        <is>
          <t>medication-history</t>
        </is>
      </c>
      <c r="I423" t="inlineStr">
        <is>
          <t>Torsemide 20 mg Tablet Sig: Two (2) Tablet PO BID (2 times a
   day): If weight &gt; 165lbs, increase to 80mg in the morning and
   40mg at night; if weight &lt; 145lbs, decrease torsemide to 40mg
   daily.</t>
        </is>
      </c>
    </row>
    <row r="424">
      <c r="A424" t="inlineStr">
        <is>
          <t>532481-medication-history-0-5</t>
        </is>
      </c>
      <c r="B424" t="inlineStr"/>
      <c r="C424" t="inlineStr"/>
      <c r="D424">
        <f>HYPERLINK("http://nlpdeep.cs.uic.edu:8080/proofing/t5/532481-medication-history-0-5.pdf","t5/532481-medication-history-0-5.pdf")</f>
        <v/>
      </c>
      <c r="E424" t="n">
        <v>119960</v>
      </c>
      <c r="F424" t="n">
        <v>532481</v>
      </c>
      <c r="G424" t="inlineStr">
        <is>
          <t>Consult</t>
        </is>
      </c>
      <c r="H424" t="inlineStr">
        <is>
          <t>medication-history</t>
        </is>
      </c>
      <c r="I424" t="inlineStr">
        <is>
          <t>Spironolactone 25 mg Tablet Sig: One (1) Tablet PO DAILY
   (Daily).</t>
        </is>
      </c>
    </row>
    <row r="425">
      <c r="A425" t="inlineStr">
        <is>
          <t>532481-medication-history-0-5</t>
        </is>
      </c>
      <c r="B425" t="inlineStr"/>
      <c r="C425" t="inlineStr"/>
      <c r="D425">
        <f>HYPERLINK("http://nlpdeep.cs.uic.edu:8080/proofing/gsii/532481-medication-history-0-5.pdf","gsii/532481-medication-history-0-5.pdf")</f>
        <v/>
      </c>
      <c r="E425" t="n">
        <v>119960</v>
      </c>
      <c r="F425" t="n">
        <v>532481</v>
      </c>
      <c r="G425" t="inlineStr">
        <is>
          <t>Consult</t>
        </is>
      </c>
      <c r="H425" t="inlineStr">
        <is>
          <t>medication-history</t>
        </is>
      </c>
      <c r="I425" t="inlineStr">
        <is>
          <t>Spironolactone 25 mg Tablet Sig: One (1) Tablet PO DAILY
   (Daily).</t>
        </is>
      </c>
    </row>
    <row r="426">
      <c r="A426" t="inlineStr">
        <is>
          <t>532481-medication-history-0-6</t>
        </is>
      </c>
      <c r="B426" t="inlineStr"/>
      <c r="C426" t="inlineStr"/>
      <c r="D426">
        <f>HYPERLINK("http://nlpdeep.cs.uic.edu:8080/proofing/t5/532481-medication-history-0-6.pdf","t5/532481-medication-history-0-6.pdf")</f>
        <v/>
      </c>
      <c r="E426" t="n">
        <v>119960</v>
      </c>
      <c r="F426" t="n">
        <v>532481</v>
      </c>
      <c r="G426" t="inlineStr">
        <is>
          <t>Consult</t>
        </is>
      </c>
      <c r="H426" t="inlineStr">
        <is>
          <t>medication-history</t>
        </is>
      </c>
      <c r="I426" t="inlineStr">
        <is>
          <t>Metoprolol Tartrate 25 mg Tablet Sig: 0.5 Tablet PO BID (2
   times a day).</t>
        </is>
      </c>
    </row>
    <row r="427">
      <c r="A427" t="inlineStr">
        <is>
          <t>532481-medication-history-0-6</t>
        </is>
      </c>
      <c r="B427" t="inlineStr"/>
      <c r="C427" t="inlineStr"/>
      <c r="D427">
        <f>HYPERLINK("http://nlpdeep.cs.uic.edu:8080/proofing/gsii/532481-medication-history-0-6.pdf","gsii/532481-medication-history-0-6.pdf")</f>
        <v/>
      </c>
      <c r="E427" t="n">
        <v>119960</v>
      </c>
      <c r="F427" t="n">
        <v>532481</v>
      </c>
      <c r="G427" t="inlineStr">
        <is>
          <t>Consult</t>
        </is>
      </c>
      <c r="H427" t="inlineStr">
        <is>
          <t>medication-history</t>
        </is>
      </c>
      <c r="I427" t="inlineStr">
        <is>
          <t>Metoprolol Tartrate 25 mg Tablet Sig: 0.5 Tablet PO BID (2
   times a day).</t>
        </is>
      </c>
    </row>
    <row r="428">
      <c r="A428" t="inlineStr">
        <is>
          <t>532481-medication-history-0-7</t>
        </is>
      </c>
      <c r="B428" t="inlineStr"/>
      <c r="C428" t="inlineStr"/>
      <c r="D428">
        <f>HYPERLINK("http://nlpdeep.cs.uic.edu:8080/proofing/t5/532481-medication-history-0-7.pdf","t5/532481-medication-history-0-7.pdf")</f>
        <v/>
      </c>
      <c r="E428" t="n">
        <v>119960</v>
      </c>
      <c r="F428" t="n">
        <v>532481</v>
      </c>
      <c r="G428" t="inlineStr">
        <is>
          <t>Consult</t>
        </is>
      </c>
      <c r="H428" t="inlineStr">
        <is>
          <t>medication-history</t>
        </is>
      </c>
      <c r="I428" t="inlineStr">
        <is>
          <t>Simvastatin 40 mg Tablet Sig: One (1) Tablet PO DAILY
   (Daily).</t>
        </is>
      </c>
    </row>
    <row r="429">
      <c r="A429" t="inlineStr">
        <is>
          <t>532481-medication-history-0-7</t>
        </is>
      </c>
      <c r="B429" t="inlineStr"/>
      <c r="C429" t="inlineStr"/>
      <c r="D429">
        <f>HYPERLINK("http://nlpdeep.cs.uic.edu:8080/proofing/gsii/532481-medication-history-0-7.pdf","gsii/532481-medication-history-0-7.pdf")</f>
        <v/>
      </c>
      <c r="E429" t="n">
        <v>119960</v>
      </c>
      <c r="F429" t="n">
        <v>532481</v>
      </c>
      <c r="G429" t="inlineStr">
        <is>
          <t>Consult</t>
        </is>
      </c>
      <c r="H429" t="inlineStr">
        <is>
          <t>medication-history</t>
        </is>
      </c>
      <c r="I429" t="inlineStr">
        <is>
          <t>Simvastatin 40 mg Tablet Sig: One (1) Tablet PO DAILY
   (Daily).</t>
        </is>
      </c>
    </row>
    <row r="430">
      <c r="A430" t="inlineStr">
        <is>
          <t>532481-medication-history-0-8</t>
        </is>
      </c>
      <c r="B430" t="inlineStr"/>
      <c r="C430" t="inlineStr"/>
      <c r="D430">
        <f>HYPERLINK("http://nlpdeep.cs.uic.edu:8080/proofing/t5/532481-medication-history-0-8.pdf","t5/532481-medication-history-0-8.pdf")</f>
        <v/>
      </c>
      <c r="E430" t="n">
        <v>119960</v>
      </c>
      <c r="F430" t="n">
        <v>532481</v>
      </c>
      <c r="G430" t="inlineStr">
        <is>
          <t>Consult</t>
        </is>
      </c>
      <c r="H430" t="inlineStr">
        <is>
          <t>medication-history</t>
        </is>
      </c>
      <c r="I430" t="inlineStr">
        <is>
          <t>Cholecalciferol (Vitamin D3) 1,000 unit Tablet Sig: One (1)
   Tablet PO once a day.</t>
        </is>
      </c>
    </row>
    <row r="431">
      <c r="A431" t="inlineStr">
        <is>
          <t>532481-medication-history-0-8</t>
        </is>
      </c>
      <c r="B431" t="inlineStr"/>
      <c r="C431" t="inlineStr"/>
      <c r="D431">
        <f>HYPERLINK("http://nlpdeep.cs.uic.edu:8080/proofing/gsii/532481-medication-history-0-8.pdf","gsii/532481-medication-history-0-8.pdf")</f>
        <v/>
      </c>
      <c r="E431" t="n">
        <v>119960</v>
      </c>
      <c r="F431" t="n">
        <v>532481</v>
      </c>
      <c r="G431" t="inlineStr">
        <is>
          <t>Consult</t>
        </is>
      </c>
      <c r="H431" t="inlineStr">
        <is>
          <t>medication-history</t>
        </is>
      </c>
      <c r="I431" t="inlineStr">
        <is>
          <t>Cholecalciferol (Vitamin D3) 1,000 unit Tablet Sig: One (1)
   Tablet PO once a day.</t>
        </is>
      </c>
    </row>
    <row r="432">
      <c r="A432" t="inlineStr">
        <is>
          <t>532481-medication-history-0-9</t>
        </is>
      </c>
      <c r="B432" t="inlineStr"/>
      <c r="C432" t="inlineStr"/>
      <c r="D432">
        <f>HYPERLINK("http://nlpdeep.cs.uic.edu:8080/proofing/t5/532481-medication-history-0-9.pdf","t5/532481-medication-history-0-9.pdf")</f>
        <v/>
      </c>
      <c r="E432" t="n">
        <v>119960</v>
      </c>
      <c r="F432" t="n">
        <v>532481</v>
      </c>
      <c r="G432" t="inlineStr">
        <is>
          <t>Consult</t>
        </is>
      </c>
      <c r="H432" t="inlineStr">
        <is>
          <t>medication-history</t>
        </is>
      </c>
      <c r="I432" t="inlineStr">
        <is>
          <t>Aspirin 81 mg Tablet Sig: One (1) Tablet PO once a day.</t>
        </is>
      </c>
    </row>
    <row r="433">
      <c r="A433" t="inlineStr">
        <is>
          <t>532481-medication-history-0-9</t>
        </is>
      </c>
      <c r="B433" t="inlineStr"/>
      <c r="C433" t="inlineStr"/>
      <c r="D433">
        <f>HYPERLINK("http://nlpdeep.cs.uic.edu:8080/proofing/gsii/532481-medication-history-0-9.pdf","gsii/532481-medication-history-0-9.pdf")</f>
        <v/>
      </c>
      <c r="E433" t="n">
        <v>119960</v>
      </c>
      <c r="F433" t="n">
        <v>532481</v>
      </c>
      <c r="G433" t="inlineStr">
        <is>
          <t>Consult</t>
        </is>
      </c>
      <c r="H433" t="inlineStr">
        <is>
          <t>medication-history</t>
        </is>
      </c>
      <c r="I433" t="inlineStr">
        <is>
          <t>Aspirin 81 mg Tablet Sig: One (1) Tablet PO once a day.</t>
        </is>
      </c>
    </row>
    <row r="434">
      <c r="A434" t="inlineStr">
        <is>
          <t>532481-medication-history-0-10</t>
        </is>
      </c>
      <c r="B434" t="inlineStr"/>
      <c r="C434" t="inlineStr"/>
      <c r="D434">
        <f>HYPERLINK("http://nlpdeep.cs.uic.edu:8080/proofing/t5/532481-medication-history-0-10.pdf","t5/532481-medication-history-0-10.pdf")</f>
        <v/>
      </c>
      <c r="E434" t="n">
        <v>119960</v>
      </c>
      <c r="F434" t="n">
        <v>532481</v>
      </c>
      <c r="G434" t="inlineStr">
        <is>
          <t>Consult</t>
        </is>
      </c>
      <c r="H434" t="inlineStr">
        <is>
          <t>medication-history</t>
        </is>
      </c>
      <c r="I434" t="inlineStr">
        <is>
          <t>Acetaminophen 325 mg Tablet Sig: 1-2 Tablets PO Q6H (every 6
   hours) as needed for Pain / fever.</t>
        </is>
      </c>
    </row>
    <row r="435">
      <c r="A435" t="inlineStr">
        <is>
          <t>532481-medication-history-0-10</t>
        </is>
      </c>
      <c r="B435" t="inlineStr"/>
      <c r="C435" t="inlineStr"/>
      <c r="D435">
        <f>HYPERLINK("http://nlpdeep.cs.uic.edu:8080/proofing/gsii/532481-medication-history-0-10.pdf","gsii/532481-medication-history-0-10.pdf")</f>
        <v/>
      </c>
      <c r="E435" t="n">
        <v>119960</v>
      </c>
      <c r="F435" t="n">
        <v>532481</v>
      </c>
      <c r="G435" t="inlineStr">
        <is>
          <t>Consult</t>
        </is>
      </c>
      <c r="H435" t="inlineStr">
        <is>
          <t>medication-history</t>
        </is>
      </c>
      <c r="I435" t="inlineStr">
        <is>
          <t>Acetaminophen 325 mg Tablet Sig: 1-2 Tablets PO Q6H (every 6
   hours) as needed for Pain / fever.</t>
        </is>
      </c>
    </row>
    <row r="436">
      <c r="A436" t="inlineStr">
        <is>
          <t>532481-medication-history-0-11</t>
        </is>
      </c>
      <c r="B436" t="inlineStr"/>
      <c r="C436" t="inlineStr"/>
      <c r="D436">
        <f>HYPERLINK("http://nlpdeep.cs.uic.edu:8080/proofing/t5/532481-medication-history-0-11.pdf","t5/532481-medication-history-0-11.pdf")</f>
        <v/>
      </c>
      <c r="E436" t="n">
        <v>119960</v>
      </c>
      <c r="F436" t="n">
        <v>532481</v>
      </c>
      <c r="G436" t="inlineStr">
        <is>
          <t>Consult</t>
        </is>
      </c>
      <c r="H436" t="inlineStr">
        <is>
          <t>medication-history</t>
        </is>
      </c>
      <c r="I436" t="inlineStr">
        <is>
          <t>Sodium Chloride 0.9 % 0.9 % Syringe Sig: Ten (10) ML
   Injection PRN (as needed) as needed for line flush.</t>
        </is>
      </c>
    </row>
    <row r="437">
      <c r="A437" t="inlineStr">
        <is>
          <t>532481-medication-history-0-11</t>
        </is>
      </c>
      <c r="B437" t="inlineStr"/>
      <c r="C437" t="inlineStr"/>
      <c r="D437">
        <f>HYPERLINK("http://nlpdeep.cs.uic.edu:8080/proofing/gsii/532481-medication-history-0-11.pdf","gsii/532481-medication-history-0-11.pdf")</f>
        <v/>
      </c>
      <c r="E437" t="n">
        <v>119960</v>
      </c>
      <c r="F437" t="n">
        <v>532481</v>
      </c>
      <c r="G437" t="inlineStr">
        <is>
          <t>Consult</t>
        </is>
      </c>
      <c r="H437" t="inlineStr">
        <is>
          <t>medication-history</t>
        </is>
      </c>
      <c r="I437" t="inlineStr">
        <is>
          <t>Sodium Chloride 0.9 % 0.9 % Syringe Sig: Ten (10) ML
   Injection PRN (as needed) as needed for line flush.</t>
        </is>
      </c>
    </row>
    <row r="438">
      <c r="A438" t="inlineStr">
        <is>
          <t>532481-medication-history-0-12</t>
        </is>
      </c>
      <c r="B438" t="inlineStr"/>
      <c r="C438" t="inlineStr"/>
      <c r="D438">
        <f>HYPERLINK("http://nlpdeep.cs.uic.edu:8080/proofing/t5/532481-medication-history-0-12.pdf","t5/532481-medication-history-0-12.pdf")</f>
        <v/>
      </c>
      <c r="E438" t="n">
        <v>119960</v>
      </c>
      <c r="F438" t="n">
        <v>532481</v>
      </c>
      <c r="G438" t="inlineStr">
        <is>
          <t>Consult</t>
        </is>
      </c>
      <c r="H438" t="inlineStr">
        <is>
          <t>medication-history</t>
        </is>
      </c>
      <c r="I438" t="inlineStr">
        <is>
          <t>Dextromethorphan-Guaifenesin 10-100 mg/5 mL Syrup Sig: [**5-8**]
   MLs PO Q6H (every 6 hours) as needed for cough.</t>
        </is>
      </c>
    </row>
    <row r="439">
      <c r="A439" t="inlineStr">
        <is>
          <t>532481-medication-history-0-12</t>
        </is>
      </c>
      <c r="B439" t="inlineStr"/>
      <c r="C439" t="inlineStr"/>
      <c r="D439">
        <f>HYPERLINK("http://nlpdeep.cs.uic.edu:8080/proofing/gsii/532481-medication-history-0-12.pdf","gsii/532481-medication-history-0-12.pdf")</f>
        <v/>
      </c>
      <c r="E439" t="n">
        <v>119960</v>
      </c>
      <c r="F439" t="n">
        <v>532481</v>
      </c>
      <c r="G439" t="inlineStr">
        <is>
          <t>Consult</t>
        </is>
      </c>
      <c r="H439" t="inlineStr">
        <is>
          <t>medication-history</t>
        </is>
      </c>
      <c r="I439" t="inlineStr">
        <is>
          <t>Dextromethorphan-Guaifenesin 10-100 mg/5 mL Syrup Sig: [**5-8**]
   MLs PO Q6H (every 6 hours) as needed for cough.</t>
        </is>
      </c>
    </row>
    <row r="440">
      <c r="A440" t="inlineStr">
        <is>
          <t>532481-medication-history-0-13</t>
        </is>
      </c>
      <c r="B440" t="inlineStr"/>
      <c r="C440" t="inlineStr"/>
      <c r="D440">
        <f>HYPERLINK("http://nlpdeep.cs.uic.edu:8080/proofing/t5/532481-medication-history-0-13.pdf","t5/532481-medication-history-0-13.pdf")</f>
        <v/>
      </c>
      <c r="E440" t="n">
        <v>119960</v>
      </c>
      <c r="F440" t="n">
        <v>532481</v>
      </c>
      <c r="G440" t="inlineStr">
        <is>
          <t>Consult</t>
        </is>
      </c>
      <c r="H440" t="inlineStr">
        <is>
          <t>medication-history</t>
        </is>
      </c>
      <c r="I440" t="inlineStr">
        <is>
          <t>Potassium Chloride 20 mEq Packet Sig: [**1-2**] packets PO once a
   day as needed for h</t>
        </is>
      </c>
    </row>
    <row r="441">
      <c r="A441" t="inlineStr">
        <is>
          <t>532481-medication-history-0-13</t>
        </is>
      </c>
      <c r="B441" t="inlineStr"/>
      <c r="C441" t="inlineStr"/>
      <c r="D441">
        <f>HYPERLINK("http://nlpdeep.cs.uic.edu:8080/proofing/gsii/532481-medication-history-0-13.pdf","gsii/532481-medication-history-0-13.pdf")</f>
        <v/>
      </c>
      <c r="E441" t="n">
        <v>119960</v>
      </c>
      <c r="F441" t="n">
        <v>532481</v>
      </c>
      <c r="G441" t="inlineStr">
        <is>
          <t>Consult</t>
        </is>
      </c>
      <c r="H441" t="inlineStr">
        <is>
          <t>medication-history</t>
        </is>
      </c>
      <c r="I441" t="inlineStr">
        <is>
          <t>Potassium Chloride 20 mEq Packet Sig: [**1-2**] packets PO once a
   day as needed for h</t>
        </is>
      </c>
    </row>
    <row r="442">
      <c r="A442" t="inlineStr">
        <is>
          <t>532481-current-medications-0-0</t>
        </is>
      </c>
      <c r="B442" t="inlineStr"/>
      <c r="C442" t="inlineStr"/>
      <c r="D442">
        <f>HYPERLINK("http://nlpdeep.cs.uic.edu:8080/proofing/t5/532481-current-medications-0-0.pdf","t5/532481-current-medications-0-0.pdf")</f>
        <v/>
      </c>
      <c r="E442" t="n">
        <v>119960</v>
      </c>
      <c r="F442" t="n">
        <v>532481</v>
      </c>
      <c r="G442" t="inlineStr">
        <is>
          <t>Consult</t>
        </is>
      </c>
      <c r="H442" t="inlineStr">
        <is>
          <t>current-medications</t>
        </is>
      </c>
      <c r="I442" t="inlineStr">
        <is>
          <t>Vancomycin Oral Liquid 125 mg PO/NG Once
   Metoprolol Tartrate 12.5 mg PO/NG [**Hospital1 7**]
   Vancomycin Oral Liquid 125 mg PO/NG Q6H
   Simvastatin 40 mg PO/NG DAILY
   Bowel meds
   Pantoprazole 40 mg PO Q24H
   Morphine Sulfate 1-2 mg IV Q4H:PRN pain
   Ipratropium Bromide Neb [**12-31**] NEB IH Q6H:PRN SOB/w</t>
        </is>
      </c>
    </row>
    <row r="443">
      <c r="A443" t="inlineStr">
        <is>
          <t>532481-current-medications-0-0</t>
        </is>
      </c>
      <c r="B443" t="inlineStr"/>
      <c r="C443" t="inlineStr"/>
      <c r="D443">
        <f>HYPERLINK("http://nlpdeep.cs.uic.edu:8080/proofing/gsii/532481-current-medications-0-0.pdf","gsii/532481-current-medications-0-0.pdf")</f>
        <v/>
      </c>
      <c r="E443" t="n">
        <v>119960</v>
      </c>
      <c r="F443" t="n">
        <v>532481</v>
      </c>
      <c r="G443" t="inlineStr">
        <is>
          <t>Consult</t>
        </is>
      </c>
      <c r="H443" t="inlineStr">
        <is>
          <t>current-medications</t>
        </is>
      </c>
      <c r="I443" t="inlineStr">
        <is>
          <t>Vancomycin Oral Liquid 125 mg PO/NG Once
   Metoprolol Tartrate 12.5 mg PO/NG [**Hospital1 7**]
   Vancomycin Oral Liquid 125 mg PO/NG Q6H
   Simvastatin 40 mg PO/NG DAILY
   Bowel meds
   Pantoprazole 40 mg PO Q24H
   Morphine Sulfate 1-2 mg IV Q4H:PRN pain
   Ipratropium Bromide Neb [**12-31**] NEB IH Q6H:PRN SOB/w</t>
        </is>
      </c>
    </row>
    <row r="444">
      <c r="A444" t="inlineStr">
        <is>
          <t>532481-allergies-0-0</t>
        </is>
      </c>
      <c r="B444" t="inlineStr"/>
      <c r="C444" t="inlineStr"/>
      <c r="D444">
        <f>HYPERLINK("http://nlpdeep.cs.uic.edu:8080/proofing/t5/532481-allergies-0-0.pdf","t5/532481-allergies-0-0.pdf")</f>
        <v/>
      </c>
      <c r="E444" t="n">
        <v>119960</v>
      </c>
      <c r="F444" t="n">
        <v>532481</v>
      </c>
      <c r="G444" t="inlineStr">
        <is>
          <t>Consult</t>
        </is>
      </c>
      <c r="H444" t="inlineStr">
        <is>
          <t>allergies</t>
        </is>
      </c>
      <c r="I444" t="inlineStr">
        <is>
          <t>Quinidine / Propranolol, heparin/coumadin given recent
   b</t>
        </is>
      </c>
    </row>
    <row r="445">
      <c r="A445" t="inlineStr">
        <is>
          <t>532481-allergies-0-0</t>
        </is>
      </c>
      <c r="B445" t="inlineStr"/>
      <c r="C445" t="inlineStr"/>
      <c r="D445">
        <f>HYPERLINK("http://nlpdeep.cs.uic.edu:8080/proofing/gsii/532481-allergies-0-0.pdf","gsii/532481-allergies-0-0.pdf")</f>
        <v/>
      </c>
      <c r="E445" t="n">
        <v>119960</v>
      </c>
      <c r="F445" t="n">
        <v>532481</v>
      </c>
      <c r="G445" t="inlineStr">
        <is>
          <t>Consult</t>
        </is>
      </c>
      <c r="H445" t="inlineStr">
        <is>
          <t>allergies</t>
        </is>
      </c>
      <c r="I445" t="inlineStr">
        <is>
          <t>Quinidine / Propranolol, heparin/coumadin given recent
   b</t>
        </is>
      </c>
    </row>
    <row r="446">
      <c r="A446" t="inlineStr">
        <is>
          <t>532481-social-history-0-0</t>
        </is>
      </c>
      <c r="B446" t="inlineStr"/>
      <c r="C446" t="inlineStr"/>
      <c r="D446">
        <f>HYPERLINK("http://nlpdeep.cs.uic.edu:8080/proofing/t5/532481-social-history-0-0.pdf","t5/532481-social-history-0-0.pdf")</f>
        <v/>
      </c>
      <c r="E446" t="n">
        <v>119960</v>
      </c>
      <c r="F446" t="n">
        <v>532481</v>
      </c>
      <c r="G446" t="inlineStr">
        <is>
          <t>Consult</t>
        </is>
      </c>
      <c r="H446" t="inlineStr">
        <is>
          <t>social-history</t>
        </is>
      </c>
      <c r="I446" t="inlineStr">
        <is>
          <t>Usually lives with wife, married for &gt;50yrs, currently at [**Hospital 328**]
   Rehab.</t>
        </is>
      </c>
    </row>
    <row r="447">
      <c r="A447" t="inlineStr">
        <is>
          <t>532481-social-history-0-0</t>
        </is>
      </c>
      <c r="B447" t="inlineStr"/>
      <c r="C447" t="inlineStr"/>
      <c r="D447">
        <f>HYPERLINK("http://nlpdeep.cs.uic.edu:8080/proofing/gsii/532481-social-history-0-0.pdf","gsii/532481-social-history-0-0.pdf")</f>
        <v/>
      </c>
      <c r="E447" t="n">
        <v>119960</v>
      </c>
      <c r="F447" t="n">
        <v>532481</v>
      </c>
      <c r="G447" t="inlineStr">
        <is>
          <t>Consult</t>
        </is>
      </c>
      <c r="H447" t="inlineStr">
        <is>
          <t>social-history</t>
        </is>
      </c>
      <c r="I447" t="inlineStr">
        <is>
          <t>Usually lives with wife, married for &gt;50yrs, currently at [**Hospital 328**]
   Rehab.</t>
        </is>
      </c>
    </row>
    <row r="448">
      <c r="A448" t="inlineStr">
        <is>
          <t>532481-social-history-0-1</t>
        </is>
      </c>
      <c r="B448" t="inlineStr"/>
      <c r="C448" t="inlineStr"/>
      <c r="D448">
        <f>HYPERLINK("http://nlpdeep.cs.uic.edu:8080/proofing/t5/532481-social-history-0-1.pdf","t5/532481-social-history-0-1.pdf")</f>
        <v/>
      </c>
      <c r="E448" t="n">
        <v>119960</v>
      </c>
      <c r="F448" t="n">
        <v>532481</v>
      </c>
      <c r="G448" t="inlineStr">
        <is>
          <t>Consult</t>
        </is>
      </c>
      <c r="H448" t="inlineStr">
        <is>
          <t>social-history</t>
        </is>
      </c>
      <c r="I448" t="inlineStr">
        <is>
          <t>3 children.</t>
        </is>
      </c>
    </row>
    <row r="449">
      <c r="A449" t="inlineStr">
        <is>
          <t>532481-social-history-0-1</t>
        </is>
      </c>
      <c r="B449" t="inlineStr"/>
      <c r="C449" t="inlineStr"/>
      <c r="D449">
        <f>HYPERLINK("http://nlpdeep.cs.uic.edu:8080/proofing/gsii/532481-social-history-0-1.pdf","gsii/532481-social-history-0-1.pdf")</f>
        <v/>
      </c>
      <c r="E449" t="n">
        <v>119960</v>
      </c>
      <c r="F449" t="n">
        <v>532481</v>
      </c>
      <c r="G449" t="inlineStr">
        <is>
          <t>Consult</t>
        </is>
      </c>
      <c r="H449" t="inlineStr">
        <is>
          <t>social-history</t>
        </is>
      </c>
      <c r="I449" t="inlineStr">
        <is>
          <t>3 children.</t>
        </is>
      </c>
    </row>
    <row r="450">
      <c r="A450" t="inlineStr">
        <is>
          <t>532481-social-history-0-2</t>
        </is>
      </c>
      <c r="B450" t="inlineStr"/>
      <c r="C450" t="inlineStr"/>
      <c r="D450">
        <f>HYPERLINK("http://nlpdeep.cs.uic.edu:8080/proofing/t5/532481-social-history-0-2.pdf","t5/532481-social-history-0-2.pdf")</f>
        <v/>
      </c>
      <c r="E450" t="n">
        <v>119960</v>
      </c>
      <c r="F450" t="n">
        <v>532481</v>
      </c>
      <c r="G450" t="inlineStr">
        <is>
          <t>Consult</t>
        </is>
      </c>
      <c r="H450" t="inlineStr">
        <is>
          <t>social-history</t>
        </is>
      </c>
      <c r="I450" t="inlineStr">
        <is>
          <t>No tobacco, EtOH, IVDU.</t>
        </is>
      </c>
    </row>
    <row r="451">
      <c r="A451" t="inlineStr">
        <is>
          <t>532481-social-history-0-2</t>
        </is>
      </c>
      <c r="B451" t="inlineStr"/>
      <c r="C451" t="inlineStr"/>
      <c r="D451">
        <f>HYPERLINK("http://nlpdeep.cs.uic.edu:8080/proofing/gsii/532481-social-history-0-2.pdf","gsii/532481-social-history-0-2.pdf")</f>
        <v/>
      </c>
      <c r="E451" t="n">
        <v>119960</v>
      </c>
      <c r="F451" t="n">
        <v>532481</v>
      </c>
      <c r="G451" t="inlineStr">
        <is>
          <t>Consult</t>
        </is>
      </c>
      <c r="H451" t="inlineStr">
        <is>
          <t>social-history</t>
        </is>
      </c>
      <c r="I451" t="inlineStr">
        <is>
          <t>No tobacco, EtOH, IVDU.</t>
        </is>
      </c>
    </row>
    <row r="452">
      <c r="A452" t="inlineStr">
        <is>
          <t>532481-social-history-0-3</t>
        </is>
      </c>
      <c r="B452" t="inlineStr"/>
      <c r="C452" t="inlineStr"/>
      <c r="D452">
        <f>HYPERLINK("http://nlpdeep.cs.uic.edu:8080/proofing/t5/532481-social-history-0-3.pdf","t5/532481-social-history-0-3.pdf")</f>
        <v/>
      </c>
      <c r="E452" t="n">
        <v>119960</v>
      </c>
      <c r="F452" t="n">
        <v>532481</v>
      </c>
      <c r="G452" t="inlineStr">
        <is>
          <t>Consult</t>
        </is>
      </c>
      <c r="H452" t="inlineStr">
        <is>
          <t>social-history</t>
        </is>
      </c>
      <c r="I452" t="inlineStr">
        <is>
          <t>Retired, formerly
   worked manufacturing and distributing batteries.</t>
        </is>
      </c>
    </row>
    <row r="453">
      <c r="A453" t="inlineStr">
        <is>
          <t>532481-social-history-0-3</t>
        </is>
      </c>
      <c r="B453" t="inlineStr"/>
      <c r="C453" t="inlineStr"/>
      <c r="D453">
        <f>HYPERLINK("http://nlpdeep.cs.uic.edu:8080/proofing/gsii/532481-social-history-0-3.pdf","gsii/532481-social-history-0-3.pdf")</f>
        <v/>
      </c>
      <c r="E453" t="n">
        <v>119960</v>
      </c>
      <c r="F453" t="n">
        <v>532481</v>
      </c>
      <c r="G453" t="inlineStr">
        <is>
          <t>Consult</t>
        </is>
      </c>
      <c r="H453" t="inlineStr">
        <is>
          <t>social-history</t>
        </is>
      </c>
      <c r="I453" t="inlineStr">
        <is>
          <t>Retired, formerly
   worked manufacturing and distributing batteries.</t>
        </is>
      </c>
    </row>
    <row r="454">
      <c r="A454" t="inlineStr">
        <is>
          <t>532481-social-history-0-4</t>
        </is>
      </c>
      <c r="B454" t="inlineStr"/>
      <c r="C454" t="inlineStr"/>
      <c r="D454">
        <f>HYPERLINK("http://nlpdeep.cs.uic.edu:8080/proofing/t5/532481-social-history-0-4.pdf","t5/532481-social-history-0-4.pdf")</f>
        <v/>
      </c>
      <c r="E454" t="n">
        <v>119960</v>
      </c>
      <c r="F454" t="n">
        <v>532481</v>
      </c>
      <c r="G454" t="inlineStr">
        <is>
          <t>Consult</t>
        </is>
      </c>
      <c r="H454" t="inlineStr">
        <is>
          <t>social-history</t>
        </is>
      </c>
      <c r="I454" t="inlineStr">
        <is>
          <t>He smoked
   cigars for 2-3 years and quit &gt;45 years ago.</t>
        </is>
      </c>
    </row>
    <row r="455">
      <c r="A455" t="inlineStr">
        <is>
          <t>532481-social-history-0-4</t>
        </is>
      </c>
      <c r="B455" t="inlineStr"/>
      <c r="C455" t="inlineStr"/>
      <c r="D455">
        <f>HYPERLINK("http://nlpdeep.cs.uic.edu:8080/proofing/gsii/532481-social-history-0-4.pdf","gsii/532481-social-history-0-4.pdf")</f>
        <v/>
      </c>
      <c r="E455" t="n">
        <v>119960</v>
      </c>
      <c r="F455" t="n">
        <v>532481</v>
      </c>
      <c r="G455" t="inlineStr">
        <is>
          <t>Consult</t>
        </is>
      </c>
      <c r="H455" t="inlineStr">
        <is>
          <t>social-history</t>
        </is>
      </c>
      <c r="I455" t="inlineStr">
        <is>
          <t>He smoked
   cigars for 2-3 years and quit &gt;45 years ago.</t>
        </is>
      </c>
    </row>
    <row r="456">
      <c r="A456" t="inlineStr">
        <is>
          <t>532481-social-history-0-5</t>
        </is>
      </c>
      <c r="B456" t="inlineStr"/>
      <c r="C456" t="inlineStr"/>
      <c r="D456">
        <f>HYPERLINK("http://nlpdeep.cs.uic.edu:8080/proofing/t5/532481-social-history-0-5.pdf","t5/532481-social-history-0-5.pdf")</f>
        <v/>
      </c>
      <c r="E456" t="n">
        <v>119960</v>
      </c>
      <c r="F456" t="n">
        <v>532481</v>
      </c>
      <c r="G456" t="inlineStr">
        <is>
          <t>Consult</t>
        </is>
      </c>
      <c r="H456" t="inlineStr">
        <is>
          <t>social-history</t>
        </is>
      </c>
      <c r="I456" t="inlineStr">
        <is>
          <t>He has not smoked
   cigarettes.</t>
        </is>
      </c>
    </row>
    <row r="457">
      <c r="A457" t="inlineStr">
        <is>
          <t>532481-social-history-0-5</t>
        </is>
      </c>
      <c r="B457" t="inlineStr"/>
      <c r="C457" t="inlineStr"/>
      <c r="D457">
        <f>HYPERLINK("http://nlpdeep.cs.uic.edu:8080/proofing/gsii/532481-social-history-0-5.pdf","gsii/532481-social-history-0-5.pdf")</f>
        <v/>
      </c>
      <c r="E457" t="n">
        <v>119960</v>
      </c>
      <c r="F457" t="n">
        <v>532481</v>
      </c>
      <c r="G457" t="inlineStr">
        <is>
          <t>Consult</t>
        </is>
      </c>
      <c r="H457" t="inlineStr">
        <is>
          <t>social-history</t>
        </is>
      </c>
      <c r="I457" t="inlineStr">
        <is>
          <t>He has not smoked
   cigarettes.</t>
        </is>
      </c>
    </row>
    <row r="458">
      <c r="A458" t="inlineStr">
        <is>
          <t>532481-social-history-0-6</t>
        </is>
      </c>
      <c r="B458" t="inlineStr"/>
      <c r="C458" t="inlineStr"/>
      <c r="D458">
        <f>HYPERLINK("http://nlpdeep.cs.uic.edu:8080/proofing/t5/532481-social-history-0-6.pdf","t5/532481-social-history-0-6.pdf")</f>
        <v/>
      </c>
      <c r="E458" t="n">
        <v>119960</v>
      </c>
      <c r="F458" t="n">
        <v>532481</v>
      </c>
      <c r="G458" t="inlineStr">
        <is>
          <t>Consult</t>
        </is>
      </c>
      <c r="H458" t="inlineStr">
        <is>
          <t>social-history</t>
        </is>
      </c>
      <c r="I458" t="inlineStr">
        <is>
          <t>He does not drink alcohol on a regular basis.</t>
        </is>
      </c>
    </row>
    <row r="459">
      <c r="A459" t="inlineStr">
        <is>
          <t>532481-social-history-0-6</t>
        </is>
      </c>
      <c r="B459" t="inlineStr"/>
      <c r="C459" t="inlineStr"/>
      <c r="D459">
        <f>HYPERLINK("http://nlpdeep.cs.uic.edu:8080/proofing/gsii/532481-social-history-0-6.pdf","gsii/532481-social-history-0-6.pdf")</f>
        <v/>
      </c>
      <c r="E459" t="n">
        <v>119960</v>
      </c>
      <c r="F459" t="n">
        <v>532481</v>
      </c>
      <c r="G459" t="inlineStr">
        <is>
          <t>Consult</t>
        </is>
      </c>
      <c r="H459" t="inlineStr">
        <is>
          <t>social-history</t>
        </is>
      </c>
      <c r="I459" t="inlineStr">
        <is>
          <t>He does not drink alcohol on a regular basis.</t>
        </is>
      </c>
    </row>
    <row r="460">
      <c r="A460" t="inlineStr">
        <is>
          <t>532481-social-history-0-7</t>
        </is>
      </c>
      <c r="B460" t="inlineStr"/>
      <c r="C460" t="inlineStr"/>
      <c r="D460">
        <f>HYPERLINK("http://nlpdeep.cs.uic.edu:8080/proofing/t5/532481-social-history-0-7.pdf","t5/532481-social-history-0-7.pdf")</f>
        <v/>
      </c>
      <c r="E460" t="n">
        <v>119960</v>
      </c>
      <c r="F460" t="n">
        <v>532481</v>
      </c>
      <c r="G460" t="inlineStr">
        <is>
          <t>Consult</t>
        </is>
      </c>
      <c r="H460" t="inlineStr">
        <is>
          <t>social-history</t>
        </is>
      </c>
      <c r="I460" t="inlineStr">
        <is>
          <t>Denies
   IV, illicit, or herbal drug use.</t>
        </is>
      </c>
    </row>
    <row r="461">
      <c r="A461" t="inlineStr">
        <is>
          <t>532481-social-history-0-7</t>
        </is>
      </c>
      <c r="B461" t="inlineStr"/>
      <c r="C461" t="inlineStr"/>
      <c r="D461">
        <f>HYPERLINK("http://nlpdeep.cs.uic.edu:8080/proofing/gsii/532481-social-history-0-7.pdf","gsii/532481-social-history-0-7.pdf")</f>
        <v/>
      </c>
      <c r="E461" t="n">
        <v>119960</v>
      </c>
      <c r="F461" t="n">
        <v>532481</v>
      </c>
      <c r="G461" t="inlineStr">
        <is>
          <t>Consult</t>
        </is>
      </c>
      <c r="H461" t="inlineStr">
        <is>
          <t>social-history</t>
        </is>
      </c>
      <c r="I461" t="inlineStr">
        <is>
          <t>Denies
   IV, illicit, or herbal drug use.</t>
        </is>
      </c>
    </row>
    <row r="462">
      <c r="A462" t="inlineStr">
        <is>
          <t>532481-family-history-0-0</t>
        </is>
      </c>
      <c r="B462" t="inlineStr"/>
      <c r="C462" t="inlineStr"/>
      <c r="D462">
        <f>HYPERLINK("http://nlpdeep.cs.uic.edu:8080/proofing/t5/532481-family-history-0-0.pdf","t5/532481-family-history-0-0.pdf")</f>
        <v/>
      </c>
      <c r="E462" t="n">
        <v>119960</v>
      </c>
      <c r="F462" t="n">
        <v>532481</v>
      </c>
      <c r="G462" t="inlineStr">
        <is>
          <t>Consult</t>
        </is>
      </c>
      <c r="H462" t="inlineStr">
        <is>
          <t>family-history</t>
        </is>
      </c>
      <c r="I462" t="inlineStr">
        <is>
          <t>Parents are both deceased.</t>
        </is>
      </c>
    </row>
    <row r="463">
      <c r="A463" t="inlineStr">
        <is>
          <t>532481-family-history-0-0</t>
        </is>
      </c>
      <c r="B463" t="inlineStr"/>
      <c r="C463" t="inlineStr"/>
      <c r="D463">
        <f>HYPERLINK("http://nlpdeep.cs.uic.edu:8080/proofing/gsii/532481-family-history-0-0.pdf","gsii/532481-family-history-0-0.pdf")</f>
        <v/>
      </c>
      <c r="E463" t="n">
        <v>119960</v>
      </c>
      <c r="F463" t="n">
        <v>532481</v>
      </c>
      <c r="G463" t="inlineStr">
        <is>
          <t>Consult</t>
        </is>
      </c>
      <c r="H463" t="inlineStr">
        <is>
          <t>family-history</t>
        </is>
      </c>
      <c r="I463" t="inlineStr">
        <is>
          <t>Parents are both deceased.</t>
        </is>
      </c>
    </row>
    <row r="464">
      <c r="A464" t="inlineStr">
        <is>
          <t>532481-family-history-0-1</t>
        </is>
      </c>
      <c r="B464" t="inlineStr"/>
      <c r="C464" t="inlineStr"/>
      <c r="D464">
        <f>HYPERLINK("http://nlpdeep.cs.uic.edu:8080/proofing/t5/532481-family-history-0-1.pdf","t5/532481-family-history-0-1.pdf")</f>
        <v/>
      </c>
      <c r="E464" t="n">
        <v>119960</v>
      </c>
      <c r="F464" t="n">
        <v>532481</v>
      </c>
      <c r="G464" t="inlineStr">
        <is>
          <t>Consult</t>
        </is>
      </c>
      <c r="H464" t="inlineStr">
        <is>
          <t>family-history</t>
        </is>
      </c>
      <c r="I464" t="inlineStr">
        <is>
          <t>Father (73 years; "heart" disease);
   Mother (48 years; stomach cancer).</t>
        </is>
      </c>
    </row>
    <row r="465">
      <c r="A465" t="inlineStr">
        <is>
          <t>532481-family-history-0-1</t>
        </is>
      </c>
      <c r="B465" t="inlineStr"/>
      <c r="C465" t="inlineStr"/>
      <c r="D465">
        <f>HYPERLINK("http://nlpdeep.cs.uic.edu:8080/proofing/gsii/532481-family-history-0-1.pdf","gsii/532481-family-history-0-1.pdf")</f>
        <v/>
      </c>
      <c r="E465" t="n">
        <v>119960</v>
      </c>
      <c r="F465" t="n">
        <v>532481</v>
      </c>
      <c r="G465" t="inlineStr">
        <is>
          <t>Consult</t>
        </is>
      </c>
      <c r="H465" t="inlineStr">
        <is>
          <t>family-history</t>
        </is>
      </c>
      <c r="I465" t="inlineStr">
        <is>
          <t>Father (73 years; "heart" disease);
   Mother (48 years; stomach cancer).</t>
        </is>
      </c>
    </row>
    <row r="466">
      <c r="A466" t="inlineStr">
        <is>
          <t>532481-family-history-0-2</t>
        </is>
      </c>
      <c r="B466" t="inlineStr"/>
      <c r="C466" t="inlineStr"/>
      <c r="D466">
        <f>HYPERLINK("http://nlpdeep.cs.uic.edu:8080/proofing/t5/532481-family-history-0-2.pdf","t5/532481-family-history-0-2.pdf")</f>
        <v/>
      </c>
      <c r="E466" t="n">
        <v>119960</v>
      </c>
      <c r="F466" t="n">
        <v>532481</v>
      </c>
      <c r="G466" t="inlineStr">
        <is>
          <t>Consult</t>
        </is>
      </c>
      <c r="H466" t="inlineStr">
        <is>
          <t>family-history</t>
        </is>
      </c>
      <c r="I466" t="inlineStr">
        <is>
          <t>He has 2 siblings (80- breast
   cancer, brother with ? abdominal cancer).</t>
        </is>
      </c>
    </row>
    <row r="467">
      <c r="A467" t="inlineStr">
        <is>
          <t>532481-family-history-0-2</t>
        </is>
      </c>
      <c r="B467" t="inlineStr"/>
      <c r="C467" t="inlineStr"/>
      <c r="D467">
        <f>HYPERLINK("http://nlpdeep.cs.uic.edu:8080/proofing/gsii/532481-family-history-0-2.pdf","gsii/532481-family-history-0-2.pdf")</f>
        <v/>
      </c>
      <c r="E467" t="n">
        <v>119960</v>
      </c>
      <c r="F467" t="n">
        <v>532481</v>
      </c>
      <c r="G467" t="inlineStr">
        <is>
          <t>Consult</t>
        </is>
      </c>
      <c r="H467" t="inlineStr">
        <is>
          <t>family-history</t>
        </is>
      </c>
      <c r="I467" t="inlineStr">
        <is>
          <t>He has 2 siblings (80- breast
   cancer, brother with ? abdominal cancer).</t>
        </is>
      </c>
    </row>
    <row r="468">
      <c r="A468" t="inlineStr">
        <is>
          <t>532481-family-history-0-3</t>
        </is>
      </c>
      <c r="B468" t="inlineStr"/>
      <c r="C468" t="inlineStr"/>
      <c r="D468">
        <f>HYPERLINK("http://nlpdeep.cs.uic.edu:8080/proofing/t5/532481-family-history-0-3.pdf","t5/532481-family-history-0-3.pdf")</f>
        <v/>
      </c>
      <c r="E468" t="n">
        <v>119960</v>
      </c>
      <c r="F468" t="n">
        <v>532481</v>
      </c>
      <c r="G468" t="inlineStr">
        <is>
          <t>Consult</t>
        </is>
      </c>
      <c r="H468" t="inlineStr">
        <is>
          <t>family-history</t>
        </is>
      </c>
      <c r="I468" t="inlineStr">
        <is>
          <t>He has 3 children (55,
   53, 49 years; all well).</t>
        </is>
      </c>
    </row>
    <row r="469">
      <c r="A469" t="inlineStr">
        <is>
          <t>532481-family-history-0-3</t>
        </is>
      </c>
      <c r="B469" t="inlineStr"/>
      <c r="C469" t="inlineStr"/>
      <c r="D469">
        <f>HYPERLINK("http://nlpdeep.cs.uic.edu:8080/proofing/gsii/532481-family-history-0-3.pdf","gsii/532481-family-history-0-3.pdf")</f>
        <v/>
      </c>
      <c r="E469" t="n">
        <v>119960</v>
      </c>
      <c r="F469" t="n">
        <v>532481</v>
      </c>
      <c r="G469" t="inlineStr">
        <is>
          <t>Consult</t>
        </is>
      </c>
      <c r="H469" t="inlineStr">
        <is>
          <t>family-history</t>
        </is>
      </c>
      <c r="I469" t="inlineStr">
        <is>
          <t>He has 3 children (55,
   53, 49 years; all well).</t>
        </is>
      </c>
    </row>
    <row r="470">
      <c r="A470" t="inlineStr">
        <is>
          <t>532481-family-history-0-4</t>
        </is>
      </c>
      <c r="B470" t="inlineStr"/>
      <c r="C470" t="inlineStr"/>
      <c r="D470">
        <f>HYPERLINK("http://nlpdeep.cs.uic.edu:8080/proofing/t5/532481-family-history-0-4.pdf","t5/532481-family-history-0-4.pdf")</f>
        <v/>
      </c>
      <c r="E470" t="n">
        <v>119960</v>
      </c>
      <c r="F470" t="n">
        <v>532481</v>
      </c>
      <c r="G470" t="inlineStr">
        <is>
          <t>Consult</t>
        </is>
      </c>
      <c r="H470" t="inlineStr">
        <is>
          <t>family-history</t>
        </is>
      </c>
      <c r="I470" t="inlineStr">
        <is>
          <t>A son [**Doctor Last Name 20**] has atrial fibrillation.</t>
        </is>
      </c>
    </row>
    <row r="471">
      <c r="A471" t="inlineStr">
        <is>
          <t>532481-family-history-0-4</t>
        </is>
      </c>
      <c r="B471" t="inlineStr"/>
      <c r="C471" t="inlineStr"/>
      <c r="D471">
        <f>HYPERLINK("http://nlpdeep.cs.uic.edu:8080/proofing/gsii/532481-family-history-0-4.pdf","gsii/532481-family-history-0-4.pdf")</f>
        <v/>
      </c>
      <c r="E471" t="n">
        <v>119960</v>
      </c>
      <c r="F471" t="n">
        <v>532481</v>
      </c>
      <c r="G471" t="inlineStr">
        <is>
          <t>Consult</t>
        </is>
      </c>
      <c r="H471" t="inlineStr">
        <is>
          <t>family-history</t>
        </is>
      </c>
      <c r="I471" t="inlineStr">
        <is>
          <t>A son [**Doctor Last Name 20**] has atrial fibrillation.</t>
        </is>
      </c>
    </row>
    <row r="472">
      <c r="A472" t="inlineStr">
        <is>
          <t>532481-review-of-systems-0-0</t>
        </is>
      </c>
      <c r="B472" t="inlineStr"/>
      <c r="C472" t="inlineStr"/>
      <c r="D472">
        <f>HYPERLINK("http://nlpdeep.cs.uic.edu:8080/proofing/t5/532481-review-of-systems-0-0.pdf","t5/532481-review-of-systems-0-0.pdf")</f>
        <v/>
      </c>
      <c r="E472" t="n">
        <v>119960</v>
      </c>
      <c r="F472" t="n">
        <v>532481</v>
      </c>
      <c r="G472" t="inlineStr">
        <is>
          <t>Consult</t>
        </is>
      </c>
      <c r="H472" t="inlineStr">
        <is>
          <t>review-of-systems</t>
        </is>
      </c>
      <c r="I472" t="inlineStr">
        <is>
          <t>Constitutional: No fevers, chills, nightsweats, unintentional weight
   change, or fatigue.</t>
        </is>
      </c>
    </row>
    <row r="473">
      <c r="A473" t="inlineStr">
        <is>
          <t>532481-review-of-systems-0-0</t>
        </is>
      </c>
      <c r="B473" t="inlineStr"/>
      <c r="C473" t="inlineStr"/>
      <c r="D473">
        <f>HYPERLINK("http://nlpdeep.cs.uic.edu:8080/proofing/gsii/532481-review-of-systems-0-0.pdf","gsii/532481-review-of-systems-0-0.pdf")</f>
        <v/>
      </c>
      <c r="E473" t="n">
        <v>119960</v>
      </c>
      <c r="F473" t="n">
        <v>532481</v>
      </c>
      <c r="G473" t="inlineStr">
        <is>
          <t>Consult</t>
        </is>
      </c>
      <c r="H473" t="inlineStr">
        <is>
          <t>review-of-systems</t>
        </is>
      </c>
      <c r="I473" t="inlineStr">
        <is>
          <t>Constitutional: No fevers, chills, nightsweats, unintentional weight
   change, or fatigue.</t>
        </is>
      </c>
    </row>
    <row r="474">
      <c r="A474" t="inlineStr">
        <is>
          <t>532481-review-of-systems-0-1</t>
        </is>
      </c>
      <c r="B474" t="inlineStr"/>
      <c r="C474" t="inlineStr"/>
      <c r="D474">
        <f>HYPERLINK("http://nlpdeep.cs.uic.edu:8080/proofing/t5/532481-review-of-systems-0-1.pdf","t5/532481-review-of-systems-0-1.pdf")</f>
        <v/>
      </c>
      <c r="E474" t="n">
        <v>119960</v>
      </c>
      <c r="F474" t="n">
        <v>532481</v>
      </c>
      <c r="G474" t="inlineStr">
        <is>
          <t>Consult</t>
        </is>
      </c>
      <c r="H474" t="inlineStr">
        <is>
          <t>review-of-systems</t>
        </is>
      </c>
      <c r="I474" t="inlineStr">
        <is>
          <t xml:space="preserve">
   Eyes: No blurry vision, double vision, or loss of vision.</t>
        </is>
      </c>
    </row>
    <row r="475">
      <c r="A475" t="inlineStr">
        <is>
          <t>532481-review-of-systems-0-1</t>
        </is>
      </c>
      <c r="B475" t="inlineStr"/>
      <c r="C475" t="inlineStr"/>
      <c r="D475">
        <f>HYPERLINK("http://nlpdeep.cs.uic.edu:8080/proofing/gsii/532481-review-of-systems-0-1.pdf","gsii/532481-review-of-systems-0-1.pdf")</f>
        <v/>
      </c>
      <c r="E475" t="n">
        <v>119960</v>
      </c>
      <c r="F475" t="n">
        <v>532481</v>
      </c>
      <c r="G475" t="inlineStr">
        <is>
          <t>Consult</t>
        </is>
      </c>
      <c r="H475" t="inlineStr">
        <is>
          <t>review-of-systems</t>
        </is>
      </c>
      <c r="I475" t="inlineStr">
        <is>
          <t xml:space="preserve">
   Eyes: No blurry vision, double vision, or loss of vision.</t>
        </is>
      </c>
    </row>
    <row r="476">
      <c r="A476" t="inlineStr">
        <is>
          <t>532481-review-of-systems-0-2</t>
        </is>
      </c>
      <c r="B476" t="inlineStr"/>
      <c r="C476" t="inlineStr"/>
      <c r="D476">
        <f>HYPERLINK("http://nlpdeep.cs.uic.edu:8080/proofing/t5/532481-review-of-systems-0-2.pdf","t5/532481-review-of-systems-0-2.pdf")</f>
        <v/>
      </c>
      <c r="E476" t="n">
        <v>119960</v>
      </c>
      <c r="F476" t="n">
        <v>532481</v>
      </c>
      <c r="G476" t="inlineStr">
        <is>
          <t>Consult</t>
        </is>
      </c>
      <c r="H476" t="inlineStr">
        <is>
          <t>review-of-systems</t>
        </is>
      </c>
      <c r="I476" t="inlineStr">
        <is>
          <t xml:space="preserve">
   ENT: No bleeding from the nose or gums, nasal drainage or discharge,
   dry mouth, or oral ulcers.</t>
        </is>
      </c>
    </row>
    <row r="477">
      <c r="A477" t="inlineStr">
        <is>
          <t>532481-review-of-systems-0-2</t>
        </is>
      </c>
      <c r="B477" t="inlineStr"/>
      <c r="C477" t="inlineStr"/>
      <c r="D477">
        <f>HYPERLINK("http://nlpdeep.cs.uic.edu:8080/proofing/gsii/532481-review-of-systems-0-2.pdf","gsii/532481-review-of-systems-0-2.pdf")</f>
        <v/>
      </c>
      <c r="E477" t="n">
        <v>119960</v>
      </c>
      <c r="F477" t="n">
        <v>532481</v>
      </c>
      <c r="G477" t="inlineStr">
        <is>
          <t>Consult</t>
        </is>
      </c>
      <c r="H477" t="inlineStr">
        <is>
          <t>review-of-systems</t>
        </is>
      </c>
      <c r="I477" t="inlineStr">
        <is>
          <t xml:space="preserve">
   ENT: No bleeding from the nose or gums, nasal drainage or discharge,
   dry mouth, or oral ulcers.</t>
        </is>
      </c>
    </row>
    <row r="478">
      <c r="A478" t="inlineStr">
        <is>
          <t>532481-review-of-systems-0-3</t>
        </is>
      </c>
      <c r="B478" t="inlineStr"/>
      <c r="C478" t="inlineStr"/>
      <c r="D478">
        <f>HYPERLINK("http://nlpdeep.cs.uic.edu:8080/proofing/t5/532481-review-of-systems-0-3.pdf","t5/532481-review-of-systems-0-3.pdf")</f>
        <v/>
      </c>
      <c r="E478" t="n">
        <v>119960</v>
      </c>
      <c r="F478" t="n">
        <v>532481</v>
      </c>
      <c r="G478" t="inlineStr">
        <is>
          <t>Consult</t>
        </is>
      </c>
      <c r="H478" t="inlineStr">
        <is>
          <t>review-of-systems</t>
        </is>
      </c>
      <c r="I478" t="inlineStr">
        <is>
          <t xml:space="preserve">
   Heme/Lymph: History of bleeding on coumadin.</t>
        </is>
      </c>
    </row>
    <row r="479">
      <c r="A479" t="inlineStr">
        <is>
          <t>532481-review-of-systems-0-3</t>
        </is>
      </c>
      <c r="B479" t="inlineStr"/>
      <c r="C479" t="inlineStr"/>
      <c r="D479">
        <f>HYPERLINK("http://nlpdeep.cs.uic.edu:8080/proofing/gsii/532481-review-of-systems-0-3.pdf","gsii/532481-review-of-systems-0-3.pdf")</f>
        <v/>
      </c>
      <c r="E479" t="n">
        <v>119960</v>
      </c>
      <c r="F479" t="n">
        <v>532481</v>
      </c>
      <c r="G479" t="inlineStr">
        <is>
          <t>Consult</t>
        </is>
      </c>
      <c r="H479" t="inlineStr">
        <is>
          <t>review-of-systems</t>
        </is>
      </c>
      <c r="I479" t="inlineStr">
        <is>
          <t xml:space="preserve">
   Heme/Lymph: History of bleeding on coumadin.</t>
        </is>
      </c>
    </row>
    <row r="480">
      <c r="A480" t="inlineStr">
        <is>
          <t>532481-review-of-systems-0-4</t>
        </is>
      </c>
      <c r="B480" t="inlineStr"/>
      <c r="C480" t="inlineStr"/>
      <c r="D480">
        <f>HYPERLINK("http://nlpdeep.cs.uic.edu:8080/proofing/t5/532481-review-of-systems-0-4.pdf","t5/532481-review-of-systems-0-4.pdf")</f>
        <v/>
      </c>
      <c r="E480" t="n">
        <v>119960</v>
      </c>
      <c r="F480" t="n">
        <v>532481</v>
      </c>
      <c r="G480" t="inlineStr">
        <is>
          <t>Consult</t>
        </is>
      </c>
      <c r="H480" t="inlineStr">
        <is>
          <t>review-of-systems</t>
        </is>
      </c>
      <c r="I480" t="inlineStr">
        <is>
          <t>No recurrent infections.</t>
        </is>
      </c>
    </row>
    <row r="481">
      <c r="A481" t="inlineStr">
        <is>
          <t>532481-review-of-systems-0-4</t>
        </is>
      </c>
      <c r="B481" t="inlineStr"/>
      <c r="C481" t="inlineStr"/>
      <c r="D481">
        <f>HYPERLINK("http://nlpdeep.cs.uic.edu:8080/proofing/gsii/532481-review-of-systems-0-4.pdf","gsii/532481-review-of-systems-0-4.pdf")</f>
        <v/>
      </c>
      <c r="E481" t="n">
        <v>119960</v>
      </c>
      <c r="F481" t="n">
        <v>532481</v>
      </c>
      <c r="G481" t="inlineStr">
        <is>
          <t>Consult</t>
        </is>
      </c>
      <c r="H481" t="inlineStr">
        <is>
          <t>review-of-systems</t>
        </is>
      </c>
      <c r="I481" t="inlineStr">
        <is>
          <t>No recurrent infections.</t>
        </is>
      </c>
    </row>
    <row r="482">
      <c r="A482" t="inlineStr">
        <is>
          <t>532481-review-of-systems-0-5</t>
        </is>
      </c>
      <c r="B482" t="inlineStr"/>
      <c r="C482" t="inlineStr"/>
      <c r="D482">
        <f>HYPERLINK("http://nlpdeep.cs.uic.edu:8080/proofing/t5/532481-review-of-systems-0-5.pdf","t5/532481-review-of-systems-0-5.pdf")</f>
        <v/>
      </c>
      <c r="E482" t="n">
        <v>119960</v>
      </c>
      <c r="F482" t="n">
        <v>532481</v>
      </c>
      <c r="G482" t="inlineStr">
        <is>
          <t>Consult</t>
        </is>
      </c>
      <c r="H482" t="inlineStr">
        <is>
          <t>review-of-systems</t>
        </is>
      </c>
      <c r="I482" t="inlineStr">
        <is>
          <t xml:space="preserve">
   Respiratory: No hemoptysis, wheezing, cough, or shortness of breath.</t>
        </is>
      </c>
    </row>
    <row r="483">
      <c r="A483" t="inlineStr">
        <is>
          <t>532481-review-of-systems-0-5</t>
        </is>
      </c>
      <c r="B483" t="inlineStr"/>
      <c r="C483" t="inlineStr"/>
      <c r="D483">
        <f>HYPERLINK("http://nlpdeep.cs.uic.edu:8080/proofing/gsii/532481-review-of-systems-0-5.pdf","gsii/532481-review-of-systems-0-5.pdf")</f>
        <v/>
      </c>
      <c r="E483" t="n">
        <v>119960</v>
      </c>
      <c r="F483" t="n">
        <v>532481</v>
      </c>
      <c r="G483" t="inlineStr">
        <is>
          <t>Consult</t>
        </is>
      </c>
      <c r="H483" t="inlineStr">
        <is>
          <t>review-of-systems</t>
        </is>
      </c>
      <c r="I483" t="inlineStr">
        <is>
          <t xml:space="preserve">
   Respiratory: No hemoptysis, wheezing, cough, or shortness of breath.</t>
        </is>
      </c>
    </row>
    <row r="484">
      <c r="A484" t="inlineStr">
        <is>
          <t>532481-review-of-systems-0-6</t>
        </is>
      </c>
      <c r="B484" t="inlineStr"/>
      <c r="C484" t="inlineStr"/>
      <c r="D484">
        <f>HYPERLINK("http://nlpdeep.cs.uic.edu:8080/proofing/t5/532481-review-of-systems-0-6.pdf","t5/532481-review-of-systems-0-6.pdf")</f>
        <v/>
      </c>
      <c r="E484" t="n">
        <v>119960</v>
      </c>
      <c r="F484" t="n">
        <v>532481</v>
      </c>
      <c r="G484" t="inlineStr">
        <is>
          <t>Consult</t>
        </is>
      </c>
      <c r="H484" t="inlineStr">
        <is>
          <t>review-of-systems</t>
        </is>
      </c>
      <c r="I484" t="inlineStr">
        <is>
          <t xml:space="preserve">
   Gastrointestinal: No abdominal pain, diarrhea, constipation,
   hematochezia, melena, nausea, vomiting, or abdominal pain.</t>
        </is>
      </c>
    </row>
    <row r="485">
      <c r="A485" t="inlineStr">
        <is>
          <t>532481-review-of-systems-0-6</t>
        </is>
      </c>
      <c r="B485" t="inlineStr"/>
      <c r="C485" t="inlineStr"/>
      <c r="D485">
        <f>HYPERLINK("http://nlpdeep.cs.uic.edu:8080/proofing/gsii/532481-review-of-systems-0-6.pdf","gsii/532481-review-of-systems-0-6.pdf")</f>
        <v/>
      </c>
      <c r="E485" t="n">
        <v>119960</v>
      </c>
      <c r="F485" t="n">
        <v>532481</v>
      </c>
      <c r="G485" t="inlineStr">
        <is>
          <t>Consult</t>
        </is>
      </c>
      <c r="H485" t="inlineStr">
        <is>
          <t>review-of-systems</t>
        </is>
      </c>
      <c r="I485" t="inlineStr">
        <is>
          <t xml:space="preserve">
   Gastrointestinal: No abdominal pain, diarrhea, constipation,
   hematochezia, melena, nausea, vomiting, or abdominal pain.</t>
        </is>
      </c>
    </row>
    <row r="486">
      <c r="A486" t="inlineStr">
        <is>
          <t>532481-review-of-systems-0-7</t>
        </is>
      </c>
      <c r="B486" t="inlineStr"/>
      <c r="C486" t="inlineStr"/>
      <c r="D486">
        <f>HYPERLINK("http://nlpdeep.cs.uic.edu:8080/proofing/t5/532481-review-of-systems-0-7.pdf","t5/532481-review-of-systems-0-7.pdf")</f>
        <v/>
      </c>
      <c r="E486" t="n">
        <v>119960</v>
      </c>
      <c r="F486" t="n">
        <v>532481</v>
      </c>
      <c r="G486" t="inlineStr">
        <is>
          <t>Consult</t>
        </is>
      </c>
      <c r="H486" t="inlineStr">
        <is>
          <t>review-of-systems</t>
        </is>
      </c>
      <c r="I486" t="inlineStr">
        <is>
          <t xml:space="preserve">
   Integumentary: No rashes, petichiae, ecchymoses, or ulcers.</t>
        </is>
      </c>
    </row>
    <row r="487">
      <c r="A487" t="inlineStr">
        <is>
          <t>532481-review-of-systems-0-7</t>
        </is>
      </c>
      <c r="B487" t="inlineStr"/>
      <c r="C487" t="inlineStr"/>
      <c r="D487">
        <f>HYPERLINK("http://nlpdeep.cs.uic.edu:8080/proofing/gsii/532481-review-of-systems-0-7.pdf","gsii/532481-review-of-systems-0-7.pdf")</f>
        <v/>
      </c>
      <c r="E487" t="n">
        <v>119960</v>
      </c>
      <c r="F487" t="n">
        <v>532481</v>
      </c>
      <c r="G487" t="inlineStr">
        <is>
          <t>Consult</t>
        </is>
      </c>
      <c r="H487" t="inlineStr">
        <is>
          <t>review-of-systems</t>
        </is>
      </c>
      <c r="I487" t="inlineStr">
        <is>
          <t xml:space="preserve">
   Integumentary: No rashes, petichiae, ecchymoses, or ulcers.</t>
        </is>
      </c>
    </row>
    <row r="488">
      <c r="A488" t="inlineStr">
        <is>
          <t>532481-review-of-systems-0-8</t>
        </is>
      </c>
      <c r="B488" t="inlineStr"/>
      <c r="C488" t="inlineStr"/>
      <c r="D488">
        <f>HYPERLINK("http://nlpdeep.cs.uic.edu:8080/proofing/t5/532481-review-of-systems-0-8.pdf","t5/532481-review-of-systems-0-8.pdf")</f>
        <v/>
      </c>
      <c r="E488" t="n">
        <v>119960</v>
      </c>
      <c r="F488" t="n">
        <v>532481</v>
      </c>
      <c r="G488" t="inlineStr">
        <is>
          <t>Consult</t>
        </is>
      </c>
      <c r="H488" t="inlineStr">
        <is>
          <t>review-of-systems</t>
        </is>
      </c>
      <c r="I488" t="inlineStr">
        <is>
          <t xml:space="preserve">
   Allergic/Immunology: No allergic reactions or immunosuppression.</t>
        </is>
      </c>
    </row>
    <row r="489">
      <c r="A489" t="inlineStr">
        <is>
          <t>532481-review-of-systems-0-8</t>
        </is>
      </c>
      <c r="B489" t="inlineStr"/>
      <c r="C489" t="inlineStr"/>
      <c r="D489">
        <f>HYPERLINK("http://nlpdeep.cs.uic.edu:8080/proofing/gsii/532481-review-of-systems-0-8.pdf","gsii/532481-review-of-systems-0-8.pdf")</f>
        <v/>
      </c>
      <c r="E489" t="n">
        <v>119960</v>
      </c>
      <c r="F489" t="n">
        <v>532481</v>
      </c>
      <c r="G489" t="inlineStr">
        <is>
          <t>Consult</t>
        </is>
      </c>
      <c r="H489" t="inlineStr">
        <is>
          <t>review-of-systems</t>
        </is>
      </c>
      <c r="I489" t="inlineStr">
        <is>
          <t xml:space="preserve">
   Allergic/Immunology: No allergic reactions or immunosuppression.</t>
        </is>
      </c>
    </row>
    <row r="490">
      <c r="A490" t="inlineStr">
        <is>
          <t>532481-review-of-systems-0-9</t>
        </is>
      </c>
      <c r="B490" t="inlineStr"/>
      <c r="C490" t="inlineStr"/>
      <c r="D490">
        <f>HYPERLINK("http://nlpdeep.cs.uic.edu:8080/proofing/t5/532481-review-of-systems-0-9.pdf","t5/532481-review-of-systems-0-9.pdf")</f>
        <v/>
      </c>
      <c r="E490" t="n">
        <v>119960</v>
      </c>
      <c r="F490" t="n">
        <v>532481</v>
      </c>
      <c r="G490" t="inlineStr">
        <is>
          <t>Consult</t>
        </is>
      </c>
      <c r="H490" t="inlineStr">
        <is>
          <t>review-of-systems</t>
        </is>
      </c>
      <c r="I490" t="inlineStr">
        <is>
          <t xml:space="preserve">
   Psychiatric: No confusion, delusions, hallucinations, depression.</t>
        </is>
      </c>
    </row>
    <row r="491">
      <c r="A491" t="inlineStr">
        <is>
          <t>532481-review-of-systems-0-9</t>
        </is>
      </c>
      <c r="B491" t="inlineStr"/>
      <c r="C491" t="inlineStr"/>
      <c r="D491">
        <f>HYPERLINK("http://nlpdeep.cs.uic.edu:8080/proofing/gsii/532481-review-of-systems-0-9.pdf","gsii/532481-review-of-systems-0-9.pdf")</f>
        <v/>
      </c>
      <c r="E491" t="n">
        <v>119960</v>
      </c>
      <c r="F491" t="n">
        <v>532481</v>
      </c>
      <c r="G491" t="inlineStr">
        <is>
          <t>Consult</t>
        </is>
      </c>
      <c r="H491" t="inlineStr">
        <is>
          <t>review-of-systems</t>
        </is>
      </c>
      <c r="I491" t="inlineStr">
        <is>
          <t xml:space="preserve">
   Psychiatric: No confusion, delusions, hallucinations, depression.</t>
        </is>
      </c>
    </row>
    <row r="492">
      <c r="A492" t="inlineStr">
        <is>
          <t>532481-review-of-systems-0-10</t>
        </is>
      </c>
      <c r="B492" t="inlineStr"/>
      <c r="C492" t="inlineStr"/>
      <c r="D492">
        <f>HYPERLINK("http://nlpdeep.cs.uic.edu:8080/proofing/t5/532481-review-of-systems-0-10.pdf","t5/532481-review-of-systems-0-10.pdf")</f>
        <v/>
      </c>
      <c r="E492" t="n">
        <v>119960</v>
      </c>
      <c r="F492" t="n">
        <v>532481</v>
      </c>
      <c r="G492" t="inlineStr">
        <is>
          <t>Consult</t>
        </is>
      </c>
      <c r="H492" t="inlineStr">
        <is>
          <t>review-of-systems</t>
        </is>
      </c>
      <c r="I492" t="inlineStr">
        <is>
          <t xml:space="preserve">
   Genitourinary: No dysuria, hematuria, dark urine, cloudy urine.</t>
        </is>
      </c>
    </row>
    <row r="493">
      <c r="A493" t="inlineStr">
        <is>
          <t>532481-review-of-systems-0-10</t>
        </is>
      </c>
      <c r="B493" t="inlineStr"/>
      <c r="C493" t="inlineStr"/>
      <c r="D493">
        <f>HYPERLINK("http://nlpdeep.cs.uic.edu:8080/proofing/gsii/532481-review-of-systems-0-10.pdf","gsii/532481-review-of-systems-0-10.pdf")</f>
        <v/>
      </c>
      <c r="E493" t="n">
        <v>119960</v>
      </c>
      <c r="F493" t="n">
        <v>532481</v>
      </c>
      <c r="G493" t="inlineStr">
        <is>
          <t>Consult</t>
        </is>
      </c>
      <c r="H493" t="inlineStr">
        <is>
          <t>review-of-systems</t>
        </is>
      </c>
      <c r="I493" t="inlineStr">
        <is>
          <t xml:space="preserve">
   Genitourinary: No dysuria, hematuria, dark urine, cloudy urine.</t>
        </is>
      </c>
    </row>
    <row r="494">
      <c r="A494" t="inlineStr">
        <is>
          <t>532481-review-of-systems-0-11</t>
        </is>
      </c>
      <c r="B494" t="inlineStr"/>
      <c r="C494" t="inlineStr"/>
      <c r="D494">
        <f>HYPERLINK("http://nlpdeep.cs.uic.edu:8080/proofing/t5/532481-review-of-systems-0-11.pdf","t5/532481-review-of-systems-0-11.pdf")</f>
        <v/>
      </c>
      <c r="E494" t="n">
        <v>119960</v>
      </c>
      <c r="F494" t="n">
        <v>532481</v>
      </c>
      <c r="G494" t="inlineStr">
        <is>
          <t>Consult</t>
        </is>
      </c>
      <c r="H494" t="inlineStr">
        <is>
          <t>review-of-systems</t>
        </is>
      </c>
      <c r="I494" t="inlineStr">
        <is>
          <t xml:space="preserve">
   Neurological: No numbness, tingling, loss of sensation, weakness,
   headache, or abnormal movements.</t>
        </is>
      </c>
    </row>
    <row r="495">
      <c r="A495" t="inlineStr">
        <is>
          <t>532481-review-of-systems-0-11</t>
        </is>
      </c>
      <c r="B495" t="inlineStr"/>
      <c r="C495" t="inlineStr"/>
      <c r="D495">
        <f>HYPERLINK("http://nlpdeep.cs.uic.edu:8080/proofing/gsii/532481-review-of-systems-0-11.pdf","gsii/532481-review-of-systems-0-11.pdf")</f>
        <v/>
      </c>
      <c r="E495" t="n">
        <v>119960</v>
      </c>
      <c r="F495" t="n">
        <v>532481</v>
      </c>
      <c r="G495" t="inlineStr">
        <is>
          <t>Consult</t>
        </is>
      </c>
      <c r="H495" t="inlineStr">
        <is>
          <t>review-of-systems</t>
        </is>
      </c>
      <c r="I495" t="inlineStr">
        <is>
          <t xml:space="preserve">
   Neurological: No numbness, tingling, loss of sensation, weakness,
   headache, or abnormal movements.</t>
        </is>
      </c>
    </row>
    <row r="496">
      <c r="A496" t="inlineStr">
        <is>
          <t>532481-review-of-systems-0-12</t>
        </is>
      </c>
      <c r="B496" t="inlineStr"/>
      <c r="C496" t="inlineStr"/>
      <c r="D496">
        <f>HYPERLINK("http://nlpdeep.cs.uic.edu:8080/proofing/t5/532481-review-of-systems-0-12.pdf","t5/532481-review-of-systems-0-12.pdf")</f>
        <v/>
      </c>
      <c r="E496" t="n">
        <v>119960</v>
      </c>
      <c r="F496" t="n">
        <v>532481</v>
      </c>
      <c r="G496" t="inlineStr">
        <is>
          <t>Consult</t>
        </is>
      </c>
      <c r="H496" t="inlineStr">
        <is>
          <t>review-of-systems</t>
        </is>
      </c>
      <c r="I496" t="inlineStr">
        <is>
          <t xml:space="preserve">
   Musculoskeletal: Hip pain, currently treated with medication.</t>
        </is>
      </c>
    </row>
    <row r="497">
      <c r="A497" t="inlineStr">
        <is>
          <t>532481-review-of-systems-0-12</t>
        </is>
      </c>
      <c r="B497" t="inlineStr"/>
      <c r="C497" t="inlineStr"/>
      <c r="D497">
        <f>HYPERLINK("http://nlpdeep.cs.uic.edu:8080/proofing/gsii/532481-review-of-systems-0-12.pdf","gsii/532481-review-of-systems-0-12.pdf")</f>
        <v/>
      </c>
      <c r="E497" t="n">
        <v>119960</v>
      </c>
      <c r="F497" t="n">
        <v>532481</v>
      </c>
      <c r="G497" t="inlineStr">
        <is>
          <t>Consult</t>
        </is>
      </c>
      <c r="H497" t="inlineStr">
        <is>
          <t>review-of-systems</t>
        </is>
      </c>
      <c r="I497" t="inlineStr">
        <is>
          <t xml:space="preserve">
   Musculoskeletal: Hip pain, currently treated with medication.</t>
        </is>
      </c>
    </row>
    <row r="498">
      <c r="A498" t="inlineStr">
        <is>
          <t>532481-review-of-systems-0-13</t>
        </is>
      </c>
      <c r="B498" t="inlineStr"/>
      <c r="C498" t="inlineStr"/>
      <c r="D498">
        <f>HYPERLINK("http://nlpdeep.cs.uic.edu:8080/proofing/t5/532481-review-of-systems-0-13.pdf","t5/532481-review-of-systems-0-13.pdf")</f>
        <v/>
      </c>
      <c r="E498" t="n">
        <v>119960</v>
      </c>
      <c r="F498" t="n">
        <v>532481</v>
      </c>
      <c r="G498" t="inlineStr">
        <is>
          <t>Consult</t>
        </is>
      </c>
      <c r="H498" t="inlineStr">
        <is>
          <t>review-of-systems</t>
        </is>
      </c>
      <c r="I498" t="inlineStr">
        <is>
          <t xml:space="preserve">
   Endocrine: No excessive sweating, dry skin or hair, hot, or cold
   intolerance.</t>
        </is>
      </c>
    </row>
    <row r="499">
      <c r="A499" t="inlineStr">
        <is>
          <t>532481-review-of-systems-0-13</t>
        </is>
      </c>
      <c r="B499" t="inlineStr"/>
      <c r="C499" t="inlineStr"/>
      <c r="D499">
        <f>HYPERLINK("http://nlpdeep.cs.uic.edu:8080/proofing/gsii/532481-review-of-systems-0-13.pdf","gsii/532481-review-of-systems-0-13.pdf")</f>
        <v/>
      </c>
      <c r="E499" t="n">
        <v>119960</v>
      </c>
      <c r="F499" t="n">
        <v>532481</v>
      </c>
      <c r="G499" t="inlineStr">
        <is>
          <t>Consult</t>
        </is>
      </c>
      <c r="H499" t="inlineStr">
        <is>
          <t>review-of-systems</t>
        </is>
      </c>
      <c r="I499" t="inlineStr">
        <is>
          <t xml:space="preserve">
   Endocrine: No excessive sweating, dry skin or hair, hot, or cold
   intolerance.</t>
        </is>
      </c>
    </row>
    <row r="500">
      <c r="A500" t="inlineStr">
        <is>
          <t>532481-review-of-systems-0-14</t>
        </is>
      </c>
      <c r="B500" t="inlineStr"/>
      <c r="C500" t="inlineStr"/>
      <c r="D500">
        <f>HYPERLINK("http://nlpdeep.cs.uic.edu:8080/proofing/t5/532481-review-of-systems-0-14.pdf","t5/532481-review-of-systems-0-14.pdf")</f>
        <v/>
      </c>
      <c r="E500" t="n">
        <v>119960</v>
      </c>
      <c r="F500" t="n">
        <v>532481</v>
      </c>
      <c r="G500" t="inlineStr">
        <is>
          <t>Consult</t>
        </is>
      </c>
      <c r="H500" t="inlineStr">
        <is>
          <t>review-of-systems</t>
        </is>
      </c>
      <c r="I500" t="inlineStr">
        <is>
          <t>Pain: 0/10(Scale = 0 (none) to 10 (severe))
   ALL OTHER SYSTEMS NEGATIVE EXCEPT AS NOTED A</t>
        </is>
      </c>
    </row>
    <row r="501">
      <c r="A501" t="inlineStr">
        <is>
          <t>532481-review-of-systems-0-14</t>
        </is>
      </c>
      <c r="B501" t="inlineStr"/>
      <c r="C501" t="inlineStr"/>
      <c r="D501">
        <f>HYPERLINK("http://nlpdeep.cs.uic.edu:8080/proofing/gsii/532481-review-of-systems-0-14.pdf","gsii/532481-review-of-systems-0-14.pdf")</f>
        <v/>
      </c>
      <c r="E501" t="n">
        <v>119960</v>
      </c>
      <c r="F501" t="n">
        <v>532481</v>
      </c>
      <c r="G501" t="inlineStr">
        <is>
          <t>Consult</t>
        </is>
      </c>
      <c r="H501" t="inlineStr">
        <is>
          <t>review-of-systems</t>
        </is>
      </c>
      <c r="I501" t="inlineStr">
        <is>
          <t>Pain: 0/10(Scale = 0 (none) to 10 (severe))
   ALL OTHER SYSTEMS NEGATIVE EXCEPT AS NOTED A</t>
        </is>
      </c>
    </row>
    <row r="502">
      <c r="A502" t="inlineStr">
        <is>
          <t>532481-physical-examination-0-0</t>
        </is>
      </c>
      <c r="B502" t="inlineStr"/>
      <c r="C502" t="inlineStr"/>
      <c r="D502">
        <f>HYPERLINK("http://nlpdeep.cs.uic.edu:8080/proofing/t5/532481-physical-examination-0-0.pdf","t5/532481-physical-examination-0-0.pdf")</f>
        <v/>
      </c>
      <c r="E502" t="n">
        <v>119960</v>
      </c>
      <c r="F502" t="n">
        <v>532481</v>
      </c>
      <c r="G502" t="inlineStr">
        <is>
          <t>Consult</t>
        </is>
      </c>
      <c r="H502" t="inlineStr">
        <is>
          <t>physical-examination</t>
        </is>
      </c>
      <c r="I502" t="inlineStr">
        <is>
          <t>Vitals: T: 94.3 degrees Farenheit, BP: 121/76  mmHg supine, HR 89 bpm,
   RR 20 bpm, O2: 96 % on 2LNC.</t>
        </is>
      </c>
    </row>
    <row r="503">
      <c r="A503" t="inlineStr">
        <is>
          <t>532481-physical-examination-0-0</t>
        </is>
      </c>
      <c r="B503" t="inlineStr"/>
      <c r="C503" t="inlineStr"/>
      <c r="D503">
        <f>HYPERLINK("http://nlpdeep.cs.uic.edu:8080/proofing/gsii/532481-physical-examination-0-0.pdf","gsii/532481-physical-examination-0-0.pdf")</f>
        <v/>
      </c>
      <c r="E503" t="n">
        <v>119960</v>
      </c>
      <c r="F503" t="n">
        <v>532481</v>
      </c>
      <c r="G503" t="inlineStr">
        <is>
          <t>Consult</t>
        </is>
      </c>
      <c r="H503" t="inlineStr">
        <is>
          <t>physical-examination</t>
        </is>
      </c>
      <c r="I503" t="inlineStr">
        <is>
          <t>Vitals: T: 94.3 degrees Farenheit, BP: 121/76  mmHg supine, HR 89 bpm,
   RR 20 bpm, O2: 96 % on 2LNC.</t>
        </is>
      </c>
    </row>
    <row r="504">
      <c r="A504" t="inlineStr">
        <is>
          <t>532481-physical-examination-0-1</t>
        </is>
      </c>
      <c r="B504" t="inlineStr"/>
      <c r="C504" t="inlineStr"/>
      <c r="D504">
        <f>HYPERLINK("http://nlpdeep.cs.uic.edu:8080/proofing/t5/532481-physical-examination-0-1.pdf","t5/532481-physical-examination-0-1.pdf")</f>
        <v/>
      </c>
      <c r="E504" t="n">
        <v>119960</v>
      </c>
      <c r="F504" t="n">
        <v>532481</v>
      </c>
      <c r="G504" t="inlineStr">
        <is>
          <t>Consult</t>
        </is>
      </c>
      <c r="H504" t="inlineStr">
        <is>
          <t>physical-examination</t>
        </is>
      </c>
      <c r="I504" t="inlineStr">
        <is>
          <t xml:space="preserve">
   CONSTITUTIONAL: Mildly sleepy, but arousable.</t>
        </is>
      </c>
    </row>
    <row r="505">
      <c r="A505" t="inlineStr">
        <is>
          <t>532481-physical-examination-0-1</t>
        </is>
      </c>
      <c r="B505" t="inlineStr"/>
      <c r="C505" t="inlineStr"/>
      <c r="D505">
        <f>HYPERLINK("http://nlpdeep.cs.uic.edu:8080/proofing/gsii/532481-physical-examination-0-1.pdf","gsii/532481-physical-examination-0-1.pdf")</f>
        <v/>
      </c>
      <c r="E505" t="n">
        <v>119960</v>
      </c>
      <c r="F505" t="n">
        <v>532481</v>
      </c>
      <c r="G505" t="inlineStr">
        <is>
          <t>Consult</t>
        </is>
      </c>
      <c r="H505" t="inlineStr">
        <is>
          <t>physical-examination</t>
        </is>
      </c>
      <c r="I505" t="inlineStr">
        <is>
          <t xml:space="preserve">
   CONSTITUTIONAL: Mildly sleepy, but arousable.</t>
        </is>
      </c>
    </row>
    <row r="506">
      <c r="A506" t="inlineStr">
        <is>
          <t>532481-physical-examination-0-2</t>
        </is>
      </c>
      <c r="B506" t="inlineStr"/>
      <c r="C506" t="inlineStr"/>
      <c r="D506">
        <f>HYPERLINK("http://nlpdeep.cs.uic.edu:8080/proofing/t5/532481-physical-examination-0-2.pdf","t5/532481-physical-examination-0-2.pdf")</f>
        <v/>
      </c>
      <c r="E506" t="n">
        <v>119960</v>
      </c>
      <c r="F506" t="n">
        <v>532481</v>
      </c>
      <c r="G506" t="inlineStr">
        <is>
          <t>Consult</t>
        </is>
      </c>
      <c r="H506" t="inlineStr">
        <is>
          <t>physical-examination</t>
        </is>
      </c>
      <c r="I506" t="inlineStr">
        <is>
          <t>No acute distress.</t>
        </is>
      </c>
    </row>
    <row r="507">
      <c r="A507" t="inlineStr">
        <is>
          <t>532481-physical-examination-0-2</t>
        </is>
      </c>
      <c r="B507" t="inlineStr"/>
      <c r="C507" t="inlineStr"/>
      <c r="D507">
        <f>HYPERLINK("http://nlpdeep.cs.uic.edu:8080/proofing/gsii/532481-physical-examination-0-2.pdf","gsii/532481-physical-examination-0-2.pdf")</f>
        <v/>
      </c>
      <c r="E507" t="n">
        <v>119960</v>
      </c>
      <c r="F507" t="n">
        <v>532481</v>
      </c>
      <c r="G507" t="inlineStr">
        <is>
          <t>Consult</t>
        </is>
      </c>
      <c r="H507" t="inlineStr">
        <is>
          <t>physical-examination</t>
        </is>
      </c>
      <c r="I507" t="inlineStr">
        <is>
          <t>No acute distress.</t>
        </is>
      </c>
    </row>
    <row r="508">
      <c r="A508" t="inlineStr">
        <is>
          <t>532481-physical-examination-0-3</t>
        </is>
      </c>
      <c r="B508" t="inlineStr"/>
      <c r="C508" t="inlineStr"/>
      <c r="D508">
        <f>HYPERLINK("http://nlpdeep.cs.uic.edu:8080/proofing/t5/532481-physical-examination-0-3.pdf","t5/532481-physical-examination-0-3.pdf")</f>
        <v/>
      </c>
      <c r="E508" t="n">
        <v>119960</v>
      </c>
      <c r="F508" t="n">
        <v>532481</v>
      </c>
      <c r="G508" t="inlineStr">
        <is>
          <t>Consult</t>
        </is>
      </c>
      <c r="H508" t="inlineStr">
        <is>
          <t>physical-examination</t>
        </is>
      </c>
      <c r="I508" t="inlineStr">
        <is>
          <t xml:space="preserve">
   EYES: No conjunctival pallor.</t>
        </is>
      </c>
    </row>
    <row r="509">
      <c r="A509" t="inlineStr">
        <is>
          <t>532481-physical-examination-0-3</t>
        </is>
      </c>
      <c r="B509" t="inlineStr"/>
      <c r="C509" t="inlineStr"/>
      <c r="D509">
        <f>HYPERLINK("http://nlpdeep.cs.uic.edu:8080/proofing/gsii/532481-physical-examination-0-3.pdf","gsii/532481-physical-examination-0-3.pdf")</f>
        <v/>
      </c>
      <c r="E509" t="n">
        <v>119960</v>
      </c>
      <c r="F509" t="n">
        <v>532481</v>
      </c>
      <c r="G509" t="inlineStr">
        <is>
          <t>Consult</t>
        </is>
      </c>
      <c r="H509" t="inlineStr">
        <is>
          <t>physical-examination</t>
        </is>
      </c>
      <c r="I509" t="inlineStr">
        <is>
          <t xml:space="preserve">
   EYES: No conjunctival pallor.</t>
        </is>
      </c>
    </row>
    <row r="510">
      <c r="A510" t="inlineStr">
        <is>
          <t>532481-physical-examination-0-4</t>
        </is>
      </c>
      <c r="B510" t="inlineStr"/>
      <c r="C510" t="inlineStr"/>
      <c r="D510">
        <f>HYPERLINK("http://nlpdeep.cs.uic.edu:8080/proofing/t5/532481-physical-examination-0-4.pdf","t5/532481-physical-examination-0-4.pdf")</f>
        <v/>
      </c>
      <c r="E510" t="n">
        <v>119960</v>
      </c>
      <c r="F510" t="n">
        <v>532481</v>
      </c>
      <c r="G510" t="inlineStr">
        <is>
          <t>Consult</t>
        </is>
      </c>
      <c r="H510" t="inlineStr">
        <is>
          <t>physical-examination</t>
        </is>
      </c>
      <c r="I510" t="inlineStr">
        <is>
          <t>No icterus.</t>
        </is>
      </c>
    </row>
    <row r="511">
      <c r="A511" t="inlineStr">
        <is>
          <t>532481-physical-examination-0-4</t>
        </is>
      </c>
      <c r="B511" t="inlineStr"/>
      <c r="C511" t="inlineStr"/>
      <c r="D511">
        <f>HYPERLINK("http://nlpdeep.cs.uic.edu:8080/proofing/gsii/532481-physical-examination-0-4.pdf","gsii/532481-physical-examination-0-4.pdf")</f>
        <v/>
      </c>
      <c r="E511" t="n">
        <v>119960</v>
      </c>
      <c r="F511" t="n">
        <v>532481</v>
      </c>
      <c r="G511" t="inlineStr">
        <is>
          <t>Consult</t>
        </is>
      </c>
      <c r="H511" t="inlineStr">
        <is>
          <t>physical-examination</t>
        </is>
      </c>
      <c r="I511" t="inlineStr">
        <is>
          <t>No icterus.</t>
        </is>
      </c>
    </row>
    <row r="512">
      <c r="A512" t="inlineStr">
        <is>
          <t>532481-physical-examination-0-5</t>
        </is>
      </c>
      <c r="B512" t="inlineStr"/>
      <c r="C512" t="inlineStr"/>
      <c r="D512">
        <f>HYPERLINK("http://nlpdeep.cs.uic.edu:8080/proofing/t5/532481-physical-examination-0-5.pdf","t5/532481-physical-examination-0-5.pdf")</f>
        <v/>
      </c>
      <c r="E512" t="n">
        <v>119960</v>
      </c>
      <c r="F512" t="n">
        <v>532481</v>
      </c>
      <c r="G512" t="inlineStr">
        <is>
          <t>Consult</t>
        </is>
      </c>
      <c r="H512" t="inlineStr">
        <is>
          <t>physical-examination</t>
        </is>
      </c>
      <c r="I512" t="inlineStr">
        <is>
          <t xml:space="preserve">
   ENT/Mouth: MMM.</t>
        </is>
      </c>
    </row>
    <row r="513">
      <c r="A513" t="inlineStr">
        <is>
          <t>532481-physical-examination-0-5</t>
        </is>
      </c>
      <c r="B513" t="inlineStr"/>
      <c r="C513" t="inlineStr"/>
      <c r="D513">
        <f>HYPERLINK("http://nlpdeep.cs.uic.edu:8080/proofing/gsii/532481-physical-examination-0-5.pdf","gsii/532481-physical-examination-0-5.pdf")</f>
        <v/>
      </c>
      <c r="E513" t="n">
        <v>119960</v>
      </c>
      <c r="F513" t="n">
        <v>532481</v>
      </c>
      <c r="G513" t="inlineStr">
        <is>
          <t>Consult</t>
        </is>
      </c>
      <c r="H513" t="inlineStr">
        <is>
          <t>physical-examination</t>
        </is>
      </c>
      <c r="I513" t="inlineStr">
        <is>
          <t xml:space="preserve">
   ENT/Mouth: MMM.</t>
        </is>
      </c>
    </row>
    <row r="514">
      <c r="A514" t="inlineStr">
        <is>
          <t>532481-physical-examination-0-6</t>
        </is>
      </c>
      <c r="B514" t="inlineStr"/>
      <c r="C514" t="inlineStr"/>
      <c r="D514">
        <f>HYPERLINK("http://nlpdeep.cs.uic.edu:8080/proofing/t5/532481-physical-examination-0-6.pdf","t5/532481-physical-examination-0-6.pdf")</f>
        <v/>
      </c>
      <c r="E514" t="n">
        <v>119960</v>
      </c>
      <c r="F514" t="n">
        <v>532481</v>
      </c>
      <c r="G514" t="inlineStr">
        <is>
          <t>Consult</t>
        </is>
      </c>
      <c r="H514" t="inlineStr">
        <is>
          <t>physical-examination</t>
        </is>
      </c>
      <c r="I514" t="inlineStr">
        <is>
          <t>OP clear.</t>
        </is>
      </c>
    </row>
    <row r="515">
      <c r="A515" t="inlineStr">
        <is>
          <t>532481-physical-examination-0-6</t>
        </is>
      </c>
      <c r="B515" t="inlineStr"/>
      <c r="C515" t="inlineStr"/>
      <c r="D515">
        <f>HYPERLINK("http://nlpdeep.cs.uic.edu:8080/proofing/gsii/532481-physical-examination-0-6.pdf","gsii/532481-physical-examination-0-6.pdf")</f>
        <v/>
      </c>
      <c r="E515" t="n">
        <v>119960</v>
      </c>
      <c r="F515" t="n">
        <v>532481</v>
      </c>
      <c r="G515" t="inlineStr">
        <is>
          <t>Consult</t>
        </is>
      </c>
      <c r="H515" t="inlineStr">
        <is>
          <t>physical-examination</t>
        </is>
      </c>
      <c r="I515" t="inlineStr">
        <is>
          <t>OP clear.</t>
        </is>
      </c>
    </row>
    <row r="516">
      <c r="A516" t="inlineStr">
        <is>
          <t>532481-physical-examination-0-7</t>
        </is>
      </c>
      <c r="B516" t="inlineStr"/>
      <c r="C516" t="inlineStr"/>
      <c r="D516">
        <f>HYPERLINK("http://nlpdeep.cs.uic.edu:8080/proofing/t5/532481-physical-examination-0-7.pdf","t5/532481-physical-examination-0-7.pdf")</f>
        <v/>
      </c>
      <c r="E516" t="n">
        <v>119960</v>
      </c>
      <c r="F516" t="n">
        <v>532481</v>
      </c>
      <c r="G516" t="inlineStr">
        <is>
          <t>Consult</t>
        </is>
      </c>
      <c r="H516" t="inlineStr">
        <is>
          <t>physical-examination</t>
        </is>
      </c>
      <c r="I516" t="inlineStr">
        <is>
          <t xml:space="preserve">
   THYROID: No thyromegaly or thyroid nodules.</t>
        </is>
      </c>
    </row>
    <row r="517">
      <c r="A517" t="inlineStr">
        <is>
          <t>532481-physical-examination-0-7</t>
        </is>
      </c>
      <c r="B517" t="inlineStr"/>
      <c r="C517" t="inlineStr"/>
      <c r="D517">
        <f>HYPERLINK("http://nlpdeep.cs.uic.edu:8080/proofing/gsii/532481-physical-examination-0-7.pdf","gsii/532481-physical-examination-0-7.pdf")</f>
        <v/>
      </c>
      <c r="E517" t="n">
        <v>119960</v>
      </c>
      <c r="F517" t="n">
        <v>532481</v>
      </c>
      <c r="G517" t="inlineStr">
        <is>
          <t>Consult</t>
        </is>
      </c>
      <c r="H517" t="inlineStr">
        <is>
          <t>physical-examination</t>
        </is>
      </c>
      <c r="I517" t="inlineStr">
        <is>
          <t xml:space="preserve">
   THYROID: No thyromegaly or thyroid nodules.</t>
        </is>
      </c>
    </row>
    <row r="518">
      <c r="A518" t="inlineStr">
        <is>
          <t>532481-physical-examination-0-8</t>
        </is>
      </c>
      <c r="B518" t="inlineStr"/>
      <c r="C518" t="inlineStr"/>
      <c r="D518">
        <f>HYPERLINK("http://nlpdeep.cs.uic.edu:8080/proofing/t5/532481-physical-examination-0-8.pdf","t5/532481-physical-examination-0-8.pdf")</f>
        <v/>
      </c>
      <c r="E518" t="n">
        <v>119960</v>
      </c>
      <c r="F518" t="n">
        <v>532481</v>
      </c>
      <c r="G518" t="inlineStr">
        <is>
          <t>Consult</t>
        </is>
      </c>
      <c r="H518" t="inlineStr">
        <is>
          <t>physical-examination</t>
        </is>
      </c>
      <c r="I518" t="inlineStr">
        <is>
          <t xml:space="preserve">
   CV: Nondisplaced PMI.</t>
        </is>
      </c>
    </row>
    <row r="519">
      <c r="A519" t="inlineStr">
        <is>
          <t>532481-physical-examination-0-8</t>
        </is>
      </c>
      <c r="B519" t="inlineStr"/>
      <c r="C519" t="inlineStr"/>
      <c r="D519">
        <f>HYPERLINK("http://nlpdeep.cs.uic.edu:8080/proofing/gsii/532481-physical-examination-0-8.pdf","gsii/532481-physical-examination-0-8.pdf")</f>
        <v/>
      </c>
      <c r="E519" t="n">
        <v>119960</v>
      </c>
      <c r="F519" t="n">
        <v>532481</v>
      </c>
      <c r="G519" t="inlineStr">
        <is>
          <t>Consult</t>
        </is>
      </c>
      <c r="H519" t="inlineStr">
        <is>
          <t>physical-examination</t>
        </is>
      </c>
      <c r="I519" t="inlineStr">
        <is>
          <t xml:space="preserve">
   CV: Nondisplaced PMI.</t>
        </is>
      </c>
    </row>
    <row r="520">
      <c r="A520" t="inlineStr">
        <is>
          <t>532481-physical-examination-0-9</t>
        </is>
      </c>
      <c r="B520" t="inlineStr"/>
      <c r="C520" t="inlineStr"/>
      <c r="D520">
        <f>HYPERLINK("http://nlpdeep.cs.uic.edu:8080/proofing/t5/532481-physical-examination-0-9.pdf","t5/532481-physical-examination-0-9.pdf")</f>
        <v/>
      </c>
      <c r="E520" t="n">
        <v>119960</v>
      </c>
      <c r="F520" t="n">
        <v>532481</v>
      </c>
      <c r="G520" t="inlineStr">
        <is>
          <t>Consult</t>
        </is>
      </c>
      <c r="H520" t="inlineStr">
        <is>
          <t>physical-examination</t>
        </is>
      </c>
      <c r="I520" t="inlineStr">
        <is>
          <t>Normal rate.</t>
        </is>
      </c>
    </row>
    <row r="521">
      <c r="A521" t="inlineStr">
        <is>
          <t>532481-physical-examination-0-9</t>
        </is>
      </c>
      <c r="B521" t="inlineStr"/>
      <c r="C521" t="inlineStr"/>
      <c r="D521">
        <f>HYPERLINK("http://nlpdeep.cs.uic.edu:8080/proofing/gsii/532481-physical-examination-0-9.pdf","gsii/532481-physical-examination-0-9.pdf")</f>
        <v/>
      </c>
      <c r="E521" t="n">
        <v>119960</v>
      </c>
      <c r="F521" t="n">
        <v>532481</v>
      </c>
      <c r="G521" t="inlineStr">
        <is>
          <t>Consult</t>
        </is>
      </c>
      <c r="H521" t="inlineStr">
        <is>
          <t>physical-examination</t>
        </is>
      </c>
      <c r="I521" t="inlineStr">
        <is>
          <t>Normal rate.</t>
        </is>
      </c>
    </row>
    <row r="522">
      <c r="A522" t="inlineStr">
        <is>
          <t>532481-physical-examination-0-10</t>
        </is>
      </c>
      <c r="B522" t="inlineStr"/>
      <c r="C522" t="inlineStr"/>
      <c r="D522">
        <f>HYPERLINK("http://nlpdeep.cs.uic.edu:8080/proofing/t5/532481-physical-examination-0-10.pdf","t5/532481-physical-examination-0-10.pdf")</f>
        <v/>
      </c>
      <c r="E522" t="n">
        <v>119960</v>
      </c>
      <c r="F522" t="n">
        <v>532481</v>
      </c>
      <c r="G522" t="inlineStr">
        <is>
          <t>Consult</t>
        </is>
      </c>
      <c r="H522" t="inlineStr">
        <is>
          <t>physical-examination</t>
        </is>
      </c>
      <c r="I522" t="inlineStr">
        <is>
          <t>irregular rhythm.</t>
        </is>
      </c>
    </row>
    <row r="523">
      <c r="A523" t="inlineStr">
        <is>
          <t>532481-physical-examination-0-10</t>
        </is>
      </c>
      <c r="B523" t="inlineStr"/>
      <c r="C523" t="inlineStr"/>
      <c r="D523">
        <f>HYPERLINK("http://nlpdeep.cs.uic.edu:8080/proofing/gsii/532481-physical-examination-0-10.pdf","gsii/532481-physical-examination-0-10.pdf")</f>
        <v/>
      </c>
      <c r="E523" t="n">
        <v>119960</v>
      </c>
      <c r="F523" t="n">
        <v>532481</v>
      </c>
      <c r="G523" t="inlineStr">
        <is>
          <t>Consult</t>
        </is>
      </c>
      <c r="H523" t="inlineStr">
        <is>
          <t>physical-examination</t>
        </is>
      </c>
      <c r="I523" t="inlineStr">
        <is>
          <t>irregular rhythm.</t>
        </is>
      </c>
    </row>
    <row r="524">
      <c r="A524" t="inlineStr">
        <is>
          <t>532481-physical-examination-0-11</t>
        </is>
      </c>
      <c r="B524" t="inlineStr"/>
      <c r="C524" t="inlineStr"/>
      <c r="D524">
        <f>HYPERLINK("http://nlpdeep.cs.uic.edu:8080/proofing/t5/532481-physical-examination-0-11.pdf","t5/532481-physical-examination-0-11.pdf")</f>
        <v/>
      </c>
      <c r="E524" t="n">
        <v>119960</v>
      </c>
      <c r="F524" t="n">
        <v>532481</v>
      </c>
      <c r="G524" t="inlineStr">
        <is>
          <t>Consult</t>
        </is>
      </c>
      <c r="H524" t="inlineStr">
        <is>
          <t>physical-examination</t>
        </is>
      </c>
      <c r="I524" t="inlineStr">
        <is>
          <t>nl S1, S2.</t>
        </is>
      </c>
    </row>
    <row r="525">
      <c r="A525" t="inlineStr">
        <is>
          <t>532481-physical-examination-0-11</t>
        </is>
      </c>
      <c r="B525" t="inlineStr"/>
      <c r="C525" t="inlineStr"/>
      <c r="D525">
        <f>HYPERLINK("http://nlpdeep.cs.uic.edu:8080/proofing/gsii/532481-physical-examination-0-11.pdf","gsii/532481-physical-examination-0-11.pdf")</f>
        <v/>
      </c>
      <c r="E525" t="n">
        <v>119960</v>
      </c>
      <c r="F525" t="n">
        <v>532481</v>
      </c>
      <c r="G525" t="inlineStr">
        <is>
          <t>Consult</t>
        </is>
      </c>
      <c r="H525" t="inlineStr">
        <is>
          <t>physical-examination</t>
        </is>
      </c>
      <c r="I525" t="inlineStr">
        <is>
          <t>nl S1, S2.</t>
        </is>
      </c>
    </row>
    <row r="526">
      <c r="A526" t="inlineStr">
        <is>
          <t>532481-physical-examination-0-12</t>
        </is>
      </c>
      <c r="B526" t="inlineStr"/>
      <c r="C526" t="inlineStr"/>
      <c r="D526">
        <f>HYPERLINK("http://nlpdeep.cs.uic.edu:8080/proofing/t5/532481-physical-examination-0-12.pdf","t5/532481-physical-examination-0-12.pdf")</f>
        <v/>
      </c>
      <c r="E526" t="n">
        <v>119960</v>
      </c>
      <c r="F526" t="n">
        <v>532481</v>
      </c>
      <c r="G526" t="inlineStr">
        <is>
          <t>Consult</t>
        </is>
      </c>
      <c r="H526" t="inlineStr">
        <is>
          <t>physical-examination</t>
        </is>
      </c>
      <c r="I526" t="inlineStr">
        <is>
          <t>No
   extra heart sounds appreciated.</t>
        </is>
      </c>
    </row>
    <row r="527">
      <c r="A527" t="inlineStr">
        <is>
          <t>532481-physical-examination-0-12</t>
        </is>
      </c>
      <c r="B527" t="inlineStr"/>
      <c r="C527" t="inlineStr"/>
      <c r="D527">
        <f>HYPERLINK("http://nlpdeep.cs.uic.edu:8080/proofing/gsii/532481-physical-examination-0-12.pdf","gsii/532481-physical-examination-0-12.pdf")</f>
        <v/>
      </c>
      <c r="E527" t="n">
        <v>119960</v>
      </c>
      <c r="F527" t="n">
        <v>532481</v>
      </c>
      <c r="G527" t="inlineStr">
        <is>
          <t>Consult</t>
        </is>
      </c>
      <c r="H527" t="inlineStr">
        <is>
          <t>physical-examination</t>
        </is>
      </c>
      <c r="I527" t="inlineStr">
        <is>
          <t>No
   extra heart sounds appreciated.</t>
        </is>
      </c>
    </row>
    <row r="528">
      <c r="A528" t="inlineStr">
        <is>
          <t>532481-physical-examination-0-13</t>
        </is>
      </c>
      <c r="B528" t="inlineStr"/>
      <c r="C528" t="inlineStr"/>
      <c r="D528">
        <f>HYPERLINK("http://nlpdeep.cs.uic.edu:8080/proofing/t5/532481-physical-examination-0-13.pdf","t5/532481-physical-examination-0-13.pdf")</f>
        <v/>
      </c>
      <c r="E528" t="n">
        <v>119960</v>
      </c>
      <c r="F528" t="n">
        <v>532481</v>
      </c>
      <c r="G528" t="inlineStr">
        <is>
          <t>Consult</t>
        </is>
      </c>
      <c r="H528" t="inlineStr">
        <is>
          <t>physical-examination</t>
        </is>
      </c>
      <c r="I528" t="inlineStr">
        <is>
          <t>2/6 systolic ejection murmur at LUSB.</t>
        </is>
      </c>
    </row>
    <row r="529">
      <c r="A529" t="inlineStr">
        <is>
          <t>532481-physical-examination-0-13</t>
        </is>
      </c>
      <c r="B529" t="inlineStr"/>
      <c r="C529" t="inlineStr"/>
      <c r="D529">
        <f>HYPERLINK("http://nlpdeep.cs.uic.edu:8080/proofing/gsii/532481-physical-examination-0-13.pdf","gsii/532481-physical-examination-0-13.pdf")</f>
        <v/>
      </c>
      <c r="E529" t="n">
        <v>119960</v>
      </c>
      <c r="F529" t="n">
        <v>532481</v>
      </c>
      <c r="G529" t="inlineStr">
        <is>
          <t>Consult</t>
        </is>
      </c>
      <c r="H529" t="inlineStr">
        <is>
          <t>physical-examination</t>
        </is>
      </c>
      <c r="I529" t="inlineStr">
        <is>
          <t>2/6 systolic ejection murmur at LUSB.</t>
        </is>
      </c>
    </row>
    <row r="530">
      <c r="A530" t="inlineStr">
        <is>
          <t>532481-physical-examination-0-14</t>
        </is>
      </c>
      <c r="B530" t="inlineStr"/>
      <c r="C530" t="inlineStr"/>
      <c r="D530">
        <f>HYPERLINK("http://nlpdeep.cs.uic.edu:8080/proofing/t5/532481-physical-examination-0-14.pdf","t5/532481-physical-examination-0-14.pdf")</f>
        <v/>
      </c>
      <c r="E530" t="n">
        <v>119960</v>
      </c>
      <c r="F530" t="n">
        <v>532481</v>
      </c>
      <c r="G530" t="inlineStr">
        <is>
          <t>Consult</t>
        </is>
      </c>
      <c r="H530" t="inlineStr">
        <is>
          <t>physical-examination</t>
        </is>
      </c>
      <c r="I530" t="inlineStr">
        <is>
          <t xml:space="preserve">
   No JVD.</t>
        </is>
      </c>
    </row>
    <row r="531">
      <c r="A531" t="inlineStr">
        <is>
          <t>532481-physical-examination-0-14</t>
        </is>
      </c>
      <c r="B531" t="inlineStr"/>
      <c r="C531" t="inlineStr"/>
      <c r="D531">
        <f>HYPERLINK("http://nlpdeep.cs.uic.edu:8080/proofing/gsii/532481-physical-examination-0-14.pdf","gsii/532481-physical-examination-0-14.pdf")</f>
        <v/>
      </c>
      <c r="E531" t="n">
        <v>119960</v>
      </c>
      <c r="F531" t="n">
        <v>532481</v>
      </c>
      <c r="G531" t="inlineStr">
        <is>
          <t>Consult</t>
        </is>
      </c>
      <c r="H531" t="inlineStr">
        <is>
          <t>physical-examination</t>
        </is>
      </c>
      <c r="I531" t="inlineStr">
        <is>
          <t xml:space="preserve">
   No JVD.</t>
        </is>
      </c>
    </row>
    <row r="532">
      <c r="A532" t="inlineStr">
        <is>
          <t>532481-physical-examination-0-15</t>
        </is>
      </c>
      <c r="B532" t="inlineStr"/>
      <c r="C532" t="inlineStr"/>
      <c r="D532">
        <f>HYPERLINK("http://nlpdeep.cs.uic.edu:8080/proofing/t5/532481-physical-examination-0-15.pdf","t5/532481-physical-examination-0-15.pdf")</f>
        <v/>
      </c>
      <c r="E532" t="n">
        <v>119960</v>
      </c>
      <c r="F532" t="n">
        <v>532481</v>
      </c>
      <c r="G532" t="inlineStr">
        <is>
          <t>Consult</t>
        </is>
      </c>
      <c r="H532" t="inlineStr">
        <is>
          <t>physical-examination</t>
        </is>
      </c>
      <c r="I532" t="inlineStr">
        <is>
          <t>Normal carotid upstroke without bruits.</t>
        </is>
      </c>
    </row>
    <row r="533">
      <c r="A533" t="inlineStr">
        <is>
          <t>532481-physical-examination-0-15</t>
        </is>
      </c>
      <c r="B533" t="inlineStr"/>
      <c r="C533" t="inlineStr"/>
      <c r="D533">
        <f>HYPERLINK("http://nlpdeep.cs.uic.edu:8080/proofing/gsii/532481-physical-examination-0-15.pdf","gsii/532481-physical-examination-0-15.pdf")</f>
        <v/>
      </c>
      <c r="E533" t="n">
        <v>119960</v>
      </c>
      <c r="F533" t="n">
        <v>532481</v>
      </c>
      <c r="G533" t="inlineStr">
        <is>
          <t>Consult</t>
        </is>
      </c>
      <c r="H533" t="inlineStr">
        <is>
          <t>physical-examination</t>
        </is>
      </c>
      <c r="I533" t="inlineStr">
        <is>
          <t>Normal carotid upstroke without bruits.</t>
        </is>
      </c>
    </row>
    <row r="534">
      <c r="A534" t="inlineStr">
        <is>
          <t>532481-physical-examination-0-16</t>
        </is>
      </c>
      <c r="B534" t="inlineStr"/>
      <c r="C534" t="inlineStr"/>
      <c r="D534">
        <f>HYPERLINK("http://nlpdeep.cs.uic.edu:8080/proofing/t5/532481-physical-examination-0-16.pdf","t5/532481-physical-examination-0-16.pdf")</f>
        <v/>
      </c>
      <c r="E534" t="n">
        <v>119960</v>
      </c>
      <c r="F534" t="n">
        <v>532481</v>
      </c>
      <c r="G534" t="inlineStr">
        <is>
          <t>Consult</t>
        </is>
      </c>
      <c r="H534" t="inlineStr">
        <is>
          <t>physical-examination</t>
        </is>
      </c>
      <c r="I534" t="inlineStr">
        <is>
          <t xml:space="preserve">
   LUNGS: Breath sounds bilaterally.</t>
        </is>
      </c>
    </row>
    <row r="535">
      <c r="A535" t="inlineStr">
        <is>
          <t>532481-physical-examination-0-16</t>
        </is>
      </c>
      <c r="B535" t="inlineStr"/>
      <c r="C535" t="inlineStr"/>
      <c r="D535">
        <f>HYPERLINK("http://nlpdeep.cs.uic.edu:8080/proofing/gsii/532481-physical-examination-0-16.pdf","gsii/532481-physical-examination-0-16.pdf")</f>
        <v/>
      </c>
      <c r="E535" t="n">
        <v>119960</v>
      </c>
      <c r="F535" t="n">
        <v>532481</v>
      </c>
      <c r="G535" t="inlineStr">
        <is>
          <t>Consult</t>
        </is>
      </c>
      <c r="H535" t="inlineStr">
        <is>
          <t>physical-examination</t>
        </is>
      </c>
      <c r="I535" t="inlineStr">
        <is>
          <t xml:space="preserve">
   LUNGS: Breath sounds bilaterally.</t>
        </is>
      </c>
    </row>
    <row r="536">
      <c r="A536" t="inlineStr">
        <is>
          <t>532481-physical-examination-0-17</t>
        </is>
      </c>
      <c r="B536" t="inlineStr"/>
      <c r="C536" t="inlineStr"/>
      <c r="D536">
        <f>HYPERLINK("http://nlpdeep.cs.uic.edu:8080/proofing/t5/532481-physical-examination-0-17.pdf","t5/532481-physical-examination-0-17.pdf")</f>
        <v/>
      </c>
      <c r="E536" t="n">
        <v>119960</v>
      </c>
      <c r="F536" t="n">
        <v>532481</v>
      </c>
      <c r="G536" t="inlineStr">
        <is>
          <t>Consult</t>
        </is>
      </c>
      <c r="H536" t="inlineStr">
        <is>
          <t>physical-examination</t>
        </is>
      </c>
      <c r="I536" t="inlineStr">
        <is>
          <t>No crackles, wheezes or rhonchi.</t>
        </is>
      </c>
    </row>
    <row r="537">
      <c r="A537" t="inlineStr">
        <is>
          <t>532481-physical-examination-0-17</t>
        </is>
      </c>
      <c r="B537" t="inlineStr"/>
      <c r="C537" t="inlineStr"/>
      <c r="D537">
        <f>HYPERLINK("http://nlpdeep.cs.uic.edu:8080/proofing/gsii/532481-physical-examination-0-17.pdf","gsii/532481-physical-examination-0-17.pdf")</f>
        <v/>
      </c>
      <c r="E537" t="n">
        <v>119960</v>
      </c>
      <c r="F537" t="n">
        <v>532481</v>
      </c>
      <c r="G537" t="inlineStr">
        <is>
          <t>Consult</t>
        </is>
      </c>
      <c r="H537" t="inlineStr">
        <is>
          <t>physical-examination</t>
        </is>
      </c>
      <c r="I537" t="inlineStr">
        <is>
          <t>No crackles, wheezes or rhonchi.</t>
        </is>
      </c>
    </row>
    <row r="538">
      <c r="A538" t="inlineStr">
        <is>
          <t>532481-physical-examination-0-18</t>
        </is>
      </c>
      <c r="B538" t="inlineStr"/>
      <c r="C538" t="inlineStr"/>
      <c r="D538">
        <f>HYPERLINK("http://nlpdeep.cs.uic.edu:8080/proofing/t5/532481-physical-examination-0-18.pdf","t5/532481-physical-examination-0-18.pdf")</f>
        <v/>
      </c>
      <c r="E538" t="n">
        <v>119960</v>
      </c>
      <c r="F538" t="n">
        <v>532481</v>
      </c>
      <c r="G538" t="inlineStr">
        <is>
          <t>Consult</t>
        </is>
      </c>
      <c r="H538" t="inlineStr">
        <is>
          <t>physical-examination</t>
        </is>
      </c>
      <c r="I538" t="inlineStr">
        <is>
          <t xml:space="preserve">
   GI: NABS.</t>
        </is>
      </c>
    </row>
    <row r="539">
      <c r="A539" t="inlineStr">
        <is>
          <t>532481-physical-examination-0-18</t>
        </is>
      </c>
      <c r="B539" t="inlineStr"/>
      <c r="C539" t="inlineStr"/>
      <c r="D539">
        <f>HYPERLINK("http://nlpdeep.cs.uic.edu:8080/proofing/gsii/532481-physical-examination-0-18.pdf","gsii/532481-physical-examination-0-18.pdf")</f>
        <v/>
      </c>
      <c r="E539" t="n">
        <v>119960</v>
      </c>
      <c r="F539" t="n">
        <v>532481</v>
      </c>
      <c r="G539" t="inlineStr">
        <is>
          <t>Consult</t>
        </is>
      </c>
      <c r="H539" t="inlineStr">
        <is>
          <t>physical-examination</t>
        </is>
      </c>
      <c r="I539" t="inlineStr">
        <is>
          <t xml:space="preserve">
   GI: NABS.</t>
        </is>
      </c>
    </row>
    <row r="540">
      <c r="A540" t="inlineStr">
        <is>
          <t>532481-physical-examination-0-19</t>
        </is>
      </c>
      <c r="B540" t="inlineStr"/>
      <c r="C540" t="inlineStr"/>
      <c r="D540">
        <f>HYPERLINK("http://nlpdeep.cs.uic.edu:8080/proofing/t5/532481-physical-examination-0-19.pdf","t5/532481-physical-examination-0-19.pdf")</f>
        <v/>
      </c>
      <c r="E540" t="n">
        <v>119960</v>
      </c>
      <c r="F540" t="n">
        <v>532481</v>
      </c>
      <c r="G540" t="inlineStr">
        <is>
          <t>Consult</t>
        </is>
      </c>
      <c r="H540" t="inlineStr">
        <is>
          <t>physical-examination</t>
        </is>
      </c>
      <c r="I540" t="inlineStr">
        <is>
          <t>Soft, NT, ND.</t>
        </is>
      </c>
    </row>
    <row r="541">
      <c r="A541" t="inlineStr">
        <is>
          <t>532481-physical-examination-0-19</t>
        </is>
      </c>
      <c r="B541" t="inlineStr"/>
      <c r="C541" t="inlineStr"/>
      <c r="D541">
        <f>HYPERLINK("http://nlpdeep.cs.uic.edu:8080/proofing/gsii/532481-physical-examination-0-19.pdf","gsii/532481-physical-examination-0-19.pdf")</f>
        <v/>
      </c>
      <c r="E541" t="n">
        <v>119960</v>
      </c>
      <c r="F541" t="n">
        <v>532481</v>
      </c>
      <c r="G541" t="inlineStr">
        <is>
          <t>Consult</t>
        </is>
      </c>
      <c r="H541" t="inlineStr">
        <is>
          <t>physical-examination</t>
        </is>
      </c>
      <c r="I541" t="inlineStr">
        <is>
          <t>Soft, NT, ND.</t>
        </is>
      </c>
    </row>
    <row r="542">
      <c r="A542" t="inlineStr">
        <is>
          <t>532481-physical-examination-0-20</t>
        </is>
      </c>
      <c r="B542" t="inlineStr"/>
      <c r="C542" t="inlineStr"/>
      <c r="D542">
        <f>HYPERLINK("http://nlpdeep.cs.uic.edu:8080/proofing/t5/532481-physical-examination-0-20.pdf","t5/532481-physical-examination-0-20.pdf")</f>
        <v/>
      </c>
      <c r="E542" t="n">
        <v>119960</v>
      </c>
      <c r="F542" t="n">
        <v>532481</v>
      </c>
      <c r="G542" t="inlineStr">
        <is>
          <t>Consult</t>
        </is>
      </c>
      <c r="H542" t="inlineStr">
        <is>
          <t>physical-examination</t>
        </is>
      </c>
      <c r="I542" t="inlineStr">
        <is>
          <t xml:space="preserve"> No HSM.</t>
        </is>
      </c>
    </row>
    <row r="543">
      <c r="A543" t="inlineStr">
        <is>
          <t>532481-physical-examination-0-20</t>
        </is>
      </c>
      <c r="B543" t="inlineStr"/>
      <c r="C543" t="inlineStr"/>
      <c r="D543">
        <f>HYPERLINK("http://nlpdeep.cs.uic.edu:8080/proofing/gsii/532481-physical-examination-0-20.pdf","gsii/532481-physical-examination-0-20.pdf")</f>
        <v/>
      </c>
      <c r="E543" t="n">
        <v>119960</v>
      </c>
      <c r="F543" t="n">
        <v>532481</v>
      </c>
      <c r="G543" t="inlineStr">
        <is>
          <t>Consult</t>
        </is>
      </c>
      <c r="H543" t="inlineStr">
        <is>
          <t>physical-examination</t>
        </is>
      </c>
      <c r="I543" t="inlineStr">
        <is>
          <t xml:space="preserve"> No HSM.</t>
        </is>
      </c>
    </row>
    <row r="544">
      <c r="A544" t="inlineStr">
        <is>
          <t>532481-physical-examination-0-21</t>
        </is>
      </c>
      <c r="B544" t="inlineStr"/>
      <c r="C544" t="inlineStr"/>
      <c r="D544">
        <f>HYPERLINK("http://nlpdeep.cs.uic.edu:8080/proofing/t5/532481-physical-examination-0-21.pdf","t5/532481-physical-examination-0-21.pdf")</f>
        <v/>
      </c>
      <c r="E544" t="n">
        <v>119960</v>
      </c>
      <c r="F544" t="n">
        <v>532481</v>
      </c>
      <c r="G544" t="inlineStr">
        <is>
          <t>Consult</t>
        </is>
      </c>
      <c r="H544" t="inlineStr">
        <is>
          <t>physical-examination</t>
        </is>
      </c>
      <c r="I544" t="inlineStr">
        <is>
          <t>No abdominal bruits.</t>
        </is>
      </c>
    </row>
    <row r="545">
      <c r="A545" t="inlineStr">
        <is>
          <t>532481-physical-examination-0-21</t>
        </is>
      </c>
      <c r="B545" t="inlineStr"/>
      <c r="C545" t="inlineStr"/>
      <c r="D545">
        <f>HYPERLINK("http://nlpdeep.cs.uic.edu:8080/proofing/gsii/532481-physical-examination-0-21.pdf","gsii/532481-physical-examination-0-21.pdf")</f>
        <v/>
      </c>
      <c r="E545" t="n">
        <v>119960</v>
      </c>
      <c r="F545" t="n">
        <v>532481</v>
      </c>
      <c r="G545" t="inlineStr">
        <is>
          <t>Consult</t>
        </is>
      </c>
      <c r="H545" t="inlineStr">
        <is>
          <t>physical-examination</t>
        </is>
      </c>
      <c r="I545" t="inlineStr">
        <is>
          <t>No abdominal bruits.</t>
        </is>
      </c>
    </row>
    <row r="546">
      <c r="A546" t="inlineStr">
        <is>
          <t>532481-physical-examination-0-22</t>
        </is>
      </c>
      <c r="B546" t="inlineStr"/>
      <c r="C546" t="inlineStr"/>
      <c r="D546">
        <f>HYPERLINK("http://nlpdeep.cs.uic.edu:8080/proofing/t5/532481-physical-examination-0-22.pdf","t5/532481-physical-examination-0-22.pdf")</f>
        <v/>
      </c>
      <c r="E546" t="n">
        <v>119960</v>
      </c>
      <c r="F546" t="n">
        <v>532481</v>
      </c>
      <c r="G546" t="inlineStr">
        <is>
          <t>Consult</t>
        </is>
      </c>
      <c r="H546" t="inlineStr">
        <is>
          <t>physical-examination</t>
        </is>
      </c>
      <c r="I546" t="inlineStr">
        <is>
          <t xml:space="preserve">
   MUSCULO: Tender L hip.</t>
        </is>
      </c>
    </row>
    <row r="547">
      <c r="A547" t="inlineStr">
        <is>
          <t>532481-physical-examination-0-22</t>
        </is>
      </c>
      <c r="B547" t="inlineStr"/>
      <c r="C547" t="inlineStr"/>
      <c r="D547">
        <f>HYPERLINK("http://nlpdeep.cs.uic.edu:8080/proofing/gsii/532481-physical-examination-0-22.pdf","gsii/532481-physical-examination-0-22.pdf")</f>
        <v/>
      </c>
      <c r="E547" t="n">
        <v>119960</v>
      </c>
      <c r="F547" t="n">
        <v>532481</v>
      </c>
      <c r="G547" t="inlineStr">
        <is>
          <t>Consult</t>
        </is>
      </c>
      <c r="H547" t="inlineStr">
        <is>
          <t>physical-examination</t>
        </is>
      </c>
      <c r="I547" t="inlineStr">
        <is>
          <t xml:space="preserve">
   MUSCULO: Tender L hip.</t>
        </is>
      </c>
    </row>
    <row r="548">
      <c r="A548" t="inlineStr">
        <is>
          <t>532481-physical-examination-0-23</t>
        </is>
      </c>
      <c r="B548" t="inlineStr"/>
      <c r="C548" t="inlineStr"/>
      <c r="D548">
        <f>HYPERLINK("http://nlpdeep.cs.uic.edu:8080/proofing/t5/532481-physical-examination-0-23.pdf","t5/532481-physical-examination-0-23.pdf")</f>
        <v/>
      </c>
      <c r="E548" t="n">
        <v>119960</v>
      </c>
      <c r="F548" t="n">
        <v>532481</v>
      </c>
      <c r="G548" t="inlineStr">
        <is>
          <t>Consult</t>
        </is>
      </c>
      <c r="H548" t="inlineStr">
        <is>
          <t>physical-examination</t>
        </is>
      </c>
      <c r="I548" t="inlineStr">
        <is>
          <t>Supple neck.</t>
        </is>
      </c>
    </row>
    <row r="549">
      <c r="A549" t="inlineStr">
        <is>
          <t>532481-physical-examination-0-23</t>
        </is>
      </c>
      <c r="B549" t="inlineStr"/>
      <c r="C549" t="inlineStr"/>
      <c r="D549">
        <f>HYPERLINK("http://nlpdeep.cs.uic.edu:8080/proofing/gsii/532481-physical-examination-0-23.pdf","gsii/532481-physical-examination-0-23.pdf")</f>
        <v/>
      </c>
      <c r="E549" t="n">
        <v>119960</v>
      </c>
      <c r="F549" t="n">
        <v>532481</v>
      </c>
      <c r="G549" t="inlineStr">
        <is>
          <t>Consult</t>
        </is>
      </c>
      <c r="H549" t="inlineStr">
        <is>
          <t>physical-examination</t>
        </is>
      </c>
      <c r="I549" t="inlineStr">
        <is>
          <t>Supple neck.</t>
        </is>
      </c>
    </row>
    <row r="550">
      <c r="A550" t="inlineStr">
        <is>
          <t>532481-physical-examination-0-24</t>
        </is>
      </c>
      <c r="B550" t="inlineStr"/>
      <c r="C550" t="inlineStr"/>
      <c r="D550">
        <f>HYPERLINK("http://nlpdeep.cs.uic.edu:8080/proofing/t5/532481-physical-examination-0-24.pdf","t5/532481-physical-examination-0-24.pdf")</f>
        <v/>
      </c>
      <c r="E550" t="n">
        <v>119960</v>
      </c>
      <c r="F550" t="n">
        <v>532481</v>
      </c>
      <c r="G550" t="inlineStr">
        <is>
          <t>Consult</t>
        </is>
      </c>
      <c r="H550" t="inlineStr">
        <is>
          <t>physical-examination</t>
        </is>
      </c>
      <c r="I550" t="inlineStr">
        <is>
          <t>Normal muscle tone.</t>
        </is>
      </c>
    </row>
    <row r="551">
      <c r="A551" t="inlineStr">
        <is>
          <t>532481-physical-examination-0-24</t>
        </is>
      </c>
      <c r="B551" t="inlineStr"/>
      <c r="C551" t="inlineStr"/>
      <c r="D551">
        <f>HYPERLINK("http://nlpdeep.cs.uic.edu:8080/proofing/gsii/532481-physical-examination-0-24.pdf","gsii/532481-physical-examination-0-24.pdf")</f>
        <v/>
      </c>
      <c r="E551" t="n">
        <v>119960</v>
      </c>
      <c r="F551" t="n">
        <v>532481</v>
      </c>
      <c r="G551" t="inlineStr">
        <is>
          <t>Consult</t>
        </is>
      </c>
      <c r="H551" t="inlineStr">
        <is>
          <t>physical-examination</t>
        </is>
      </c>
      <c r="I551" t="inlineStr">
        <is>
          <t>Normal muscle tone.</t>
        </is>
      </c>
    </row>
    <row r="552">
      <c r="A552" t="inlineStr">
        <is>
          <t>532481-physical-examination-0-25</t>
        </is>
      </c>
      <c r="B552" t="inlineStr"/>
      <c r="C552" t="inlineStr"/>
      <c r="D552">
        <f>HYPERLINK("http://nlpdeep.cs.uic.edu:8080/proofing/t5/532481-physical-examination-0-25.pdf","t5/532481-physical-examination-0-25.pdf")</f>
        <v/>
      </c>
      <c r="E552" t="n">
        <v>119960</v>
      </c>
      <c r="F552" t="n">
        <v>532481</v>
      </c>
      <c r="G552" t="inlineStr">
        <is>
          <t>Consult</t>
        </is>
      </c>
      <c r="H552" t="inlineStr">
        <is>
          <t>physical-examination</t>
        </is>
      </c>
      <c r="I552" t="inlineStr">
        <is>
          <t>Limited exam.</t>
        </is>
      </c>
    </row>
    <row r="553">
      <c r="A553" t="inlineStr">
        <is>
          <t>532481-physical-examination-0-25</t>
        </is>
      </c>
      <c r="B553" t="inlineStr"/>
      <c r="C553" t="inlineStr"/>
      <c r="D553">
        <f>HYPERLINK("http://nlpdeep.cs.uic.edu:8080/proofing/gsii/532481-physical-examination-0-25.pdf","gsii/532481-physical-examination-0-25.pdf")</f>
        <v/>
      </c>
      <c r="E553" t="n">
        <v>119960</v>
      </c>
      <c r="F553" t="n">
        <v>532481</v>
      </c>
      <c r="G553" t="inlineStr">
        <is>
          <t>Consult</t>
        </is>
      </c>
      <c r="H553" t="inlineStr">
        <is>
          <t>physical-examination</t>
        </is>
      </c>
      <c r="I553" t="inlineStr">
        <is>
          <t>Limited exam.</t>
        </is>
      </c>
    </row>
    <row r="554">
      <c r="A554" t="inlineStr">
        <is>
          <t>532481-physical-examination-0-26</t>
        </is>
      </c>
      <c r="B554" t="inlineStr"/>
      <c r="C554" t="inlineStr"/>
      <c r="D554">
        <f>HYPERLINK("http://nlpdeep.cs.uic.edu:8080/proofing/t5/532481-physical-examination-0-26.pdf","t5/532481-physical-examination-0-26.pdf")</f>
        <v/>
      </c>
      <c r="E554" t="n">
        <v>119960</v>
      </c>
      <c r="F554" t="n">
        <v>532481</v>
      </c>
      <c r="G554" t="inlineStr">
        <is>
          <t>Consult</t>
        </is>
      </c>
      <c r="H554" t="inlineStr">
        <is>
          <t>physical-examination</t>
        </is>
      </c>
      <c r="I554" t="inlineStr">
        <is>
          <t xml:space="preserve">
   HEME/LYMPH: No palpable LAD.</t>
        </is>
      </c>
    </row>
    <row r="555">
      <c r="A555" t="inlineStr">
        <is>
          <t>532481-physical-examination-0-26</t>
        </is>
      </c>
      <c r="B555" t="inlineStr"/>
      <c r="C555" t="inlineStr"/>
      <c r="D555">
        <f>HYPERLINK("http://nlpdeep.cs.uic.edu:8080/proofing/gsii/532481-physical-examination-0-26.pdf","gsii/532481-physical-examination-0-26.pdf")</f>
        <v/>
      </c>
      <c r="E555" t="n">
        <v>119960</v>
      </c>
      <c r="F555" t="n">
        <v>532481</v>
      </c>
      <c r="G555" t="inlineStr">
        <is>
          <t>Consult</t>
        </is>
      </c>
      <c r="H555" t="inlineStr">
        <is>
          <t>physical-examination</t>
        </is>
      </c>
      <c r="I555" t="inlineStr">
        <is>
          <t xml:space="preserve">
   HEME/LYMPH: No palpable LAD.</t>
        </is>
      </c>
    </row>
    <row r="556">
      <c r="A556" t="inlineStr">
        <is>
          <t>532481-physical-examination-0-27</t>
        </is>
      </c>
      <c r="B556" t="inlineStr"/>
      <c r="C556" t="inlineStr"/>
      <c r="D556">
        <f>HYPERLINK("http://nlpdeep.cs.uic.edu:8080/proofing/t5/532481-physical-examination-0-27.pdf","t5/532481-physical-examination-0-27.pdf")</f>
        <v/>
      </c>
      <c r="E556" t="n">
        <v>119960</v>
      </c>
      <c r="F556" t="n">
        <v>532481</v>
      </c>
      <c r="G556" t="inlineStr">
        <is>
          <t>Consult</t>
        </is>
      </c>
      <c r="H556" t="inlineStr">
        <is>
          <t>physical-examination</t>
        </is>
      </c>
      <c r="I556" t="inlineStr">
        <is>
          <t>No peripheral edema.</t>
        </is>
      </c>
    </row>
    <row r="557">
      <c r="A557" t="inlineStr">
        <is>
          <t>532481-physical-examination-0-27</t>
        </is>
      </c>
      <c r="B557" t="inlineStr"/>
      <c r="C557" t="inlineStr"/>
      <c r="D557">
        <f>HYPERLINK("http://nlpdeep.cs.uic.edu:8080/proofing/gsii/532481-physical-examination-0-27.pdf","gsii/532481-physical-examination-0-27.pdf")</f>
        <v/>
      </c>
      <c r="E557" t="n">
        <v>119960</v>
      </c>
      <c r="F557" t="n">
        <v>532481</v>
      </c>
      <c r="G557" t="inlineStr">
        <is>
          <t>Consult</t>
        </is>
      </c>
      <c r="H557" t="inlineStr">
        <is>
          <t>physical-examination</t>
        </is>
      </c>
      <c r="I557" t="inlineStr">
        <is>
          <t>No peripheral edema.</t>
        </is>
      </c>
    </row>
    <row r="558">
      <c r="A558" t="inlineStr">
        <is>
          <t>532481-physical-examination-0-28</t>
        </is>
      </c>
      <c r="B558" t="inlineStr"/>
      <c r="C558" t="inlineStr"/>
      <c r="D558">
        <f>HYPERLINK("http://nlpdeep.cs.uic.edu:8080/proofing/t5/532481-physical-examination-0-28.pdf","t5/532481-physical-examination-0-28.pdf")</f>
        <v/>
      </c>
      <c r="E558" t="n">
        <v>119960</v>
      </c>
      <c r="F558" t="n">
        <v>532481</v>
      </c>
      <c r="G558" t="inlineStr">
        <is>
          <t>Consult</t>
        </is>
      </c>
      <c r="H558" t="inlineStr">
        <is>
          <t>physical-examination</t>
        </is>
      </c>
      <c r="I558" t="inlineStr">
        <is>
          <t xml:space="preserve"> Full distal pulses
   bilaterally.</t>
        </is>
      </c>
    </row>
    <row r="559">
      <c r="A559" t="inlineStr">
        <is>
          <t>532481-physical-examination-0-28</t>
        </is>
      </c>
      <c r="B559" t="inlineStr"/>
      <c r="C559" t="inlineStr"/>
      <c r="D559">
        <f>HYPERLINK("http://nlpdeep.cs.uic.edu:8080/proofing/gsii/532481-physical-examination-0-28.pdf","gsii/532481-physical-examination-0-28.pdf")</f>
        <v/>
      </c>
      <c r="E559" t="n">
        <v>119960</v>
      </c>
      <c r="F559" t="n">
        <v>532481</v>
      </c>
      <c r="G559" t="inlineStr">
        <is>
          <t>Consult</t>
        </is>
      </c>
      <c r="H559" t="inlineStr">
        <is>
          <t>physical-examination</t>
        </is>
      </c>
      <c r="I559" t="inlineStr">
        <is>
          <t xml:space="preserve"> Full distal pulses
   bilaterally.</t>
        </is>
      </c>
    </row>
    <row r="560">
      <c r="A560" t="inlineStr">
        <is>
          <t>532481-physical-examination-0-29</t>
        </is>
      </c>
      <c r="B560" t="inlineStr"/>
      <c r="C560" t="inlineStr"/>
      <c r="D560">
        <f>HYPERLINK("http://nlpdeep.cs.uic.edu:8080/proofing/t5/532481-physical-examination-0-29.pdf","t5/532481-physical-examination-0-29.pdf")</f>
        <v/>
      </c>
      <c r="E560" t="n">
        <v>119960</v>
      </c>
      <c r="F560" t="n">
        <v>532481</v>
      </c>
      <c r="G560" t="inlineStr">
        <is>
          <t>Consult</t>
        </is>
      </c>
      <c r="H560" t="inlineStr">
        <is>
          <t>physical-examination</t>
        </is>
      </c>
      <c r="I560" t="inlineStr">
        <is>
          <t xml:space="preserve">
   SKIN: Warm extremities.</t>
        </is>
      </c>
    </row>
    <row r="561">
      <c r="A561" t="inlineStr">
        <is>
          <t>532481-physical-examination-0-29</t>
        </is>
      </c>
      <c r="B561" t="inlineStr"/>
      <c r="C561" t="inlineStr"/>
      <c r="D561">
        <f>HYPERLINK("http://nlpdeep.cs.uic.edu:8080/proofing/gsii/532481-physical-examination-0-29.pdf","gsii/532481-physical-examination-0-29.pdf")</f>
        <v/>
      </c>
      <c r="E561" t="n">
        <v>119960</v>
      </c>
      <c r="F561" t="n">
        <v>532481</v>
      </c>
      <c r="G561" t="inlineStr">
        <is>
          <t>Consult</t>
        </is>
      </c>
      <c r="H561" t="inlineStr">
        <is>
          <t>physical-examination</t>
        </is>
      </c>
      <c r="I561" t="inlineStr">
        <is>
          <t xml:space="preserve">
   SKIN: Warm extremities.</t>
        </is>
      </c>
    </row>
    <row r="562">
      <c r="A562" t="inlineStr">
        <is>
          <t>532481-physical-examination-0-30</t>
        </is>
      </c>
      <c r="B562" t="inlineStr"/>
      <c r="C562" t="inlineStr"/>
      <c r="D562">
        <f>HYPERLINK("http://nlpdeep.cs.uic.edu:8080/proofing/t5/532481-physical-examination-0-30.pdf","t5/532481-physical-examination-0-30.pdf")</f>
        <v/>
      </c>
      <c r="E562" t="n">
        <v>119960</v>
      </c>
      <c r="F562" t="n">
        <v>532481</v>
      </c>
      <c r="G562" t="inlineStr">
        <is>
          <t>Consult</t>
        </is>
      </c>
      <c r="H562" t="inlineStr">
        <is>
          <t>physical-examination</t>
        </is>
      </c>
      <c r="I562" t="inlineStr">
        <is>
          <t>No rashes/lesions, ecchymoses.</t>
        </is>
      </c>
    </row>
    <row r="563">
      <c r="A563" t="inlineStr">
        <is>
          <t>532481-physical-examination-0-30</t>
        </is>
      </c>
      <c r="B563" t="inlineStr"/>
      <c r="C563" t="inlineStr"/>
      <c r="D563">
        <f>HYPERLINK("http://nlpdeep.cs.uic.edu:8080/proofing/gsii/532481-physical-examination-0-30.pdf","gsii/532481-physical-examination-0-30.pdf")</f>
        <v/>
      </c>
      <c r="E563" t="n">
        <v>119960</v>
      </c>
      <c r="F563" t="n">
        <v>532481</v>
      </c>
      <c r="G563" t="inlineStr">
        <is>
          <t>Consult</t>
        </is>
      </c>
      <c r="H563" t="inlineStr">
        <is>
          <t>physical-examination</t>
        </is>
      </c>
      <c r="I563" t="inlineStr">
        <is>
          <t>No rashes/lesions, ecchymoses.</t>
        </is>
      </c>
    </row>
    <row r="564">
      <c r="A564" t="inlineStr">
        <is>
          <t>532481-physical-examination-0-31</t>
        </is>
      </c>
      <c r="B564" t="inlineStr"/>
      <c r="C564" t="inlineStr"/>
      <c r="D564">
        <f>HYPERLINK("http://nlpdeep.cs.uic.edu:8080/proofing/t5/532481-physical-examination-0-31.pdf","t5/532481-physical-examination-0-31.pdf")</f>
        <v/>
      </c>
      <c r="E564" t="n">
        <v>119960</v>
      </c>
      <c r="F564" t="n">
        <v>532481</v>
      </c>
      <c r="G564" t="inlineStr">
        <is>
          <t>Consult</t>
        </is>
      </c>
      <c r="H564" t="inlineStr">
        <is>
          <t>physical-examination</t>
        </is>
      </c>
      <c r="I564" t="inlineStr">
        <is>
          <t xml:space="preserve">
   NEURO: A&amp;Ox3.</t>
        </is>
      </c>
    </row>
    <row r="565">
      <c r="A565" t="inlineStr">
        <is>
          <t>532481-physical-examination-0-31</t>
        </is>
      </c>
      <c r="B565" t="inlineStr"/>
      <c r="C565" t="inlineStr"/>
      <c r="D565">
        <f>HYPERLINK("http://nlpdeep.cs.uic.edu:8080/proofing/gsii/532481-physical-examination-0-31.pdf","gsii/532481-physical-examination-0-31.pdf")</f>
        <v/>
      </c>
      <c r="E565" t="n">
        <v>119960</v>
      </c>
      <c r="F565" t="n">
        <v>532481</v>
      </c>
      <c r="G565" t="inlineStr">
        <is>
          <t>Consult</t>
        </is>
      </c>
      <c r="H565" t="inlineStr">
        <is>
          <t>physical-examination</t>
        </is>
      </c>
      <c r="I565" t="inlineStr">
        <is>
          <t xml:space="preserve">
   NEURO: A&amp;Ox3.</t>
        </is>
      </c>
    </row>
    <row r="566">
      <c r="A566" t="inlineStr">
        <is>
          <t>532481-physical-examination-0-32</t>
        </is>
      </c>
      <c r="B566" t="inlineStr"/>
      <c r="C566" t="inlineStr"/>
      <c r="D566">
        <f>HYPERLINK("http://nlpdeep.cs.uic.edu:8080/proofing/t5/532481-physical-examination-0-32.pdf","t5/532481-physical-examination-0-32.pdf")</f>
        <v/>
      </c>
      <c r="E566" t="n">
        <v>119960</v>
      </c>
      <c r="F566" t="n">
        <v>532481</v>
      </c>
      <c r="G566" t="inlineStr">
        <is>
          <t>Consult</t>
        </is>
      </c>
      <c r="H566" t="inlineStr">
        <is>
          <t>physical-examination</t>
        </is>
      </c>
      <c r="I566" t="inlineStr">
        <is>
          <t>Grossly normal without any significant focal deficits
   PSYCH: Mood and affect were appropriate.</t>
        </is>
      </c>
    </row>
    <row r="567">
      <c r="A567" t="inlineStr">
        <is>
          <t>532481-physical-examination-0-32</t>
        </is>
      </c>
      <c r="B567" t="inlineStr"/>
      <c r="C567" t="inlineStr"/>
      <c r="D567">
        <f>HYPERLINK("http://nlpdeep.cs.uic.edu:8080/proofing/gsii/532481-physical-examination-0-32.pdf","gsii/532481-physical-examination-0-32.pdf")</f>
        <v/>
      </c>
      <c r="E567" t="n">
        <v>119960</v>
      </c>
      <c r="F567" t="n">
        <v>532481</v>
      </c>
      <c r="G567" t="inlineStr">
        <is>
          <t>Consult</t>
        </is>
      </c>
      <c r="H567" t="inlineStr">
        <is>
          <t>physical-examination</t>
        </is>
      </c>
      <c r="I567" t="inlineStr">
        <is>
          <t>Grossly normal without any significant focal deficits
   PSYCH: Mood and affect were appropriate.</t>
        </is>
      </c>
    </row>
    <row r="568">
      <c r="A568" t="inlineStr">
        <is>
          <t>532481-labs-imaging-0-0</t>
        </is>
      </c>
      <c r="B568" t="inlineStr"/>
      <c r="C568" t="inlineStr"/>
      <c r="D568">
        <f>HYPERLINK("http://nlpdeep.cs.uic.edu:8080/proofing/t5/532481-labs-imaging-0-0.pdf","t5/532481-labs-imaging-0-0.pdf")</f>
        <v/>
      </c>
      <c r="E568" t="n">
        <v>119960</v>
      </c>
      <c r="F568" t="n">
        <v>532481</v>
      </c>
      <c r="G568" t="inlineStr">
        <is>
          <t>Consult</t>
        </is>
      </c>
      <c r="H568" t="inlineStr">
        <is>
          <t>labs-imaging</t>
        </is>
      </c>
      <c r="I568" t="inlineStr">
        <is>
          <t>Reviewed in O</t>
        </is>
      </c>
    </row>
    <row r="569">
      <c r="A569" t="inlineStr">
        <is>
          <t>532481-labs-imaging-0-0</t>
        </is>
      </c>
      <c r="B569" t="inlineStr"/>
      <c r="C569" t="inlineStr"/>
      <c r="D569">
        <f>HYPERLINK("http://nlpdeep.cs.uic.edu:8080/proofing/gsii/532481-labs-imaging-0-0.pdf","gsii/532481-labs-imaging-0-0.pdf")</f>
        <v/>
      </c>
      <c r="E569" t="n">
        <v>119960</v>
      </c>
      <c r="F569" t="n">
        <v>532481</v>
      </c>
      <c r="G569" t="inlineStr">
        <is>
          <t>Consult</t>
        </is>
      </c>
      <c r="H569" t="inlineStr">
        <is>
          <t>labs-imaging</t>
        </is>
      </c>
      <c r="I569" t="inlineStr">
        <is>
          <t>Reviewed in O</t>
        </is>
      </c>
    </row>
    <row r="570">
      <c r="A570" t="inlineStr">
        <is>
          <t>532481-assessment-and-plan-0-0</t>
        </is>
      </c>
      <c r="B570" t="inlineStr"/>
      <c r="C570" t="inlineStr"/>
      <c r="D570">
        <f>HYPERLINK("http://nlpdeep.cs.uic.edu:8080/proofing/t5/532481-assessment-and-plan-0-0.pdf","t5/532481-assessment-and-plan-0-0.pdf")</f>
        <v/>
      </c>
      <c r="E570" t="n">
        <v>119960</v>
      </c>
      <c r="F570" t="n">
        <v>532481</v>
      </c>
      <c r="G570" t="inlineStr">
        <is>
          <t>Consult</t>
        </is>
      </c>
      <c r="H570" t="inlineStr">
        <is>
          <t>assessment-and-plan</t>
        </is>
      </c>
      <c r="I570" t="inlineStr">
        <is>
          <t>87M HTN, diastolic CHF (EF 65% 1/10), AFib not on Coumadin, and mild
   AS, Stage IV CKD, multiple admissions in the recent past including GI
   bleed/melena, epistaxis, and iliopsoas hemorrhage on coumadin with
   supratherapeutic INR, CHF exacerbations, CDiff colitis, who had several
   falls at his nursing home in the past few days, and now presents with a
   left intertrochanteric hip fracture, needing cardiology evaluation
   prior to surgical correction.</t>
        </is>
      </c>
    </row>
    <row r="571">
      <c r="A571" t="inlineStr">
        <is>
          <t>532481-assessment-and-plan-0-0</t>
        </is>
      </c>
      <c r="B571" t="inlineStr"/>
      <c r="C571" t="inlineStr"/>
      <c r="D571">
        <f>HYPERLINK("http://nlpdeep.cs.uic.edu:8080/proofing/gsii/532481-assessment-and-plan-0-0.pdf","gsii/532481-assessment-and-plan-0-0.pdf")</f>
        <v/>
      </c>
      <c r="E571" t="n">
        <v>119960</v>
      </c>
      <c r="F571" t="n">
        <v>532481</v>
      </c>
      <c r="G571" t="inlineStr">
        <is>
          <t>Consult</t>
        </is>
      </c>
      <c r="H571" t="inlineStr">
        <is>
          <t>assessment-and-plan</t>
        </is>
      </c>
      <c r="I571" t="inlineStr">
        <is>
          <t>87M HTN, diastolic CHF (EF 65% 1/10), AFib not on Coumadin, and mild
   AS, Stage IV CKD, multiple admissions in the recent past including GI
   bleed/melena, epistaxis, and iliopsoas hemorrhage on coumadin with
   supratherapeutic INR, CHF exacerbations, CDiff colitis, who had several
   falls at his nursing home in the past few days, and now presents with a
   left intertrochanteric hip fracture, needing cardiology evaluation
   prior to surgical correction.</t>
        </is>
      </c>
    </row>
    <row r="572">
      <c r="A572" t="inlineStr">
        <is>
          <t>532481-assessment-and-plan-0-1</t>
        </is>
      </c>
      <c r="B572" t="inlineStr"/>
      <c r="C572" t="inlineStr"/>
      <c r="D572">
        <f>HYPERLINK("http://nlpdeep.cs.uic.edu:8080/proofing/t5/532481-assessment-and-plan-0-1.pdf","t5/532481-assessment-and-plan-0-1.pdf")</f>
        <v/>
      </c>
      <c r="E572" t="n">
        <v>119960</v>
      </c>
      <c r="F572" t="n">
        <v>532481</v>
      </c>
      <c r="G572" t="inlineStr">
        <is>
          <t>Consult</t>
        </is>
      </c>
      <c r="H572" t="inlineStr">
        <is>
          <t>assessment-and-plan</t>
        </is>
      </c>
      <c r="I572" t="inlineStr">
        <is>
          <t xml:space="preserve"> The patient appears to have had good
   functional status prior to this event, with no cardiac symptoms
   limiting his mobility--walks several blocks with occupational therapy
   without stopping.</t>
        </is>
      </c>
    </row>
    <row r="573">
      <c r="A573" t="inlineStr">
        <is>
          <t>532481-assessment-and-plan-0-1</t>
        </is>
      </c>
      <c r="B573" t="inlineStr"/>
      <c r="C573" t="inlineStr"/>
      <c r="D573">
        <f>HYPERLINK("http://nlpdeep.cs.uic.edu:8080/proofing/gsii/532481-assessment-and-plan-0-1.pdf","gsii/532481-assessment-and-plan-0-1.pdf")</f>
        <v/>
      </c>
      <c r="E573" t="n">
        <v>119960</v>
      </c>
      <c r="F573" t="n">
        <v>532481</v>
      </c>
      <c r="G573" t="inlineStr">
        <is>
          <t>Consult</t>
        </is>
      </c>
      <c r="H573" t="inlineStr">
        <is>
          <t>assessment-and-plan</t>
        </is>
      </c>
      <c r="I573" t="inlineStr">
        <is>
          <t xml:space="preserve"> The patient appears to have had good
   functional status prior to this event, with no cardiac symptoms
   limiting his mobility--walks several blocks with occupational therapy
   without stopping.</t>
        </is>
      </c>
    </row>
    <row r="574">
      <c r="A574" t="inlineStr">
        <is>
          <t>532481-assessment-and-plan-0-2</t>
        </is>
      </c>
      <c r="B574" t="inlineStr"/>
      <c r="C574" t="inlineStr"/>
      <c r="D574">
        <f>HYPERLINK("http://nlpdeep.cs.uic.edu:8080/proofing/t5/532481-assessment-and-plan-0-2.pdf","t5/532481-assessment-and-plan-0-2.pdf")</f>
        <v/>
      </c>
      <c r="E574" t="n">
        <v>119960</v>
      </c>
      <c r="F574" t="n">
        <v>532481</v>
      </c>
      <c r="G574" t="inlineStr">
        <is>
          <t>Consult</t>
        </is>
      </c>
      <c r="H574" t="inlineStr">
        <is>
          <t>assessment-and-plan</t>
        </is>
      </c>
      <c r="I574" t="inlineStr">
        <is>
          <t xml:space="preserve"> Given his history of CHF with diastolic dysfunction,
   will certainly need to avoid volume overload in this patient.</t>
        </is>
      </c>
    </row>
    <row r="575">
      <c r="A575" t="inlineStr">
        <is>
          <t>532481-assessment-and-plan-0-2</t>
        </is>
      </c>
      <c r="B575" t="inlineStr"/>
      <c r="C575" t="inlineStr"/>
      <c r="D575">
        <f>HYPERLINK("http://nlpdeep.cs.uic.edu:8080/proofing/gsii/532481-assessment-and-plan-0-2.pdf","gsii/532481-assessment-and-plan-0-2.pdf")</f>
        <v/>
      </c>
      <c r="E575" t="n">
        <v>119960</v>
      </c>
      <c r="F575" t="n">
        <v>532481</v>
      </c>
      <c r="G575" t="inlineStr">
        <is>
          <t>Consult</t>
        </is>
      </c>
      <c r="H575" t="inlineStr">
        <is>
          <t>assessment-and-plan</t>
        </is>
      </c>
      <c r="I575" t="inlineStr">
        <is>
          <t xml:space="preserve"> Given his history of CHF with diastolic dysfunction,
   will certainly need to avoid volume overload in this patient.</t>
        </is>
      </c>
    </row>
    <row r="576">
      <c r="A576" t="inlineStr">
        <is>
          <t>532481-assessment-and-plan-0-3</t>
        </is>
      </c>
      <c r="B576" t="inlineStr"/>
      <c r="C576" t="inlineStr"/>
      <c r="D576">
        <f>HYPERLINK("http://nlpdeep.cs.uic.edu:8080/proofing/t5/532481-assessment-and-plan-0-3.pdf","t5/532481-assessment-and-plan-0-3.pdf")</f>
        <v/>
      </c>
      <c r="E576" t="n">
        <v>119960</v>
      </c>
      <c r="F576" t="n">
        <v>532481</v>
      </c>
      <c r="G576" t="inlineStr">
        <is>
          <t>Consult</t>
        </is>
      </c>
      <c r="H576" t="inlineStr">
        <is>
          <t>assessment-and-plan</t>
        </is>
      </c>
      <c r="I576" t="inlineStr">
        <is>
          <t xml:space="preserve"> Will
   need close monitoring of volume status peri-operatively, appears
   euvolemic currently.</t>
        </is>
      </c>
    </row>
    <row r="577">
      <c r="A577" t="inlineStr">
        <is>
          <t>532481-assessment-and-plan-0-3</t>
        </is>
      </c>
      <c r="B577" t="inlineStr"/>
      <c r="C577" t="inlineStr"/>
      <c r="D577">
        <f>HYPERLINK("http://nlpdeep.cs.uic.edu:8080/proofing/gsii/532481-assessment-and-plan-0-3.pdf","gsii/532481-assessment-and-plan-0-3.pdf")</f>
        <v/>
      </c>
      <c r="E577" t="n">
        <v>119960</v>
      </c>
      <c r="F577" t="n">
        <v>532481</v>
      </c>
      <c r="G577" t="inlineStr">
        <is>
          <t>Consult</t>
        </is>
      </c>
      <c r="H577" t="inlineStr">
        <is>
          <t>assessment-and-plan</t>
        </is>
      </c>
      <c r="I577" t="inlineStr">
        <is>
          <t xml:space="preserve"> Will
   need close monitoring of volume status peri-operatively, appears
   euvolemic currently.</t>
        </is>
      </c>
    </row>
    <row r="578">
      <c r="A578" t="inlineStr">
        <is>
          <t>532481-assessment-and-plan-0-4</t>
        </is>
      </c>
      <c r="B578" t="inlineStr"/>
      <c r="C578" t="inlineStr"/>
      <c r="D578">
        <f>HYPERLINK("http://nlpdeep.cs.uic.edu:8080/proofing/t5/532481-assessment-and-plan-0-4.pdf","t5/532481-assessment-and-plan-0-4.pdf")</f>
        <v/>
      </c>
      <c r="E578" t="n">
        <v>119960</v>
      </c>
      <c r="F578" t="n">
        <v>532481</v>
      </c>
      <c r="G578" t="inlineStr">
        <is>
          <t>Consult</t>
        </is>
      </c>
      <c r="H578" t="inlineStr">
        <is>
          <t>assessment-and-plan</t>
        </is>
      </c>
      <c r="I578" t="inlineStr">
        <is>
          <t xml:space="preserve"> Otherwise, he is an intermediate CV risk
   candidate for an intermediate risk, urgent non-cardiac procedure.</t>
        </is>
      </c>
    </row>
    <row r="579">
      <c r="A579" t="inlineStr">
        <is>
          <t>532481-assessment-and-plan-0-4</t>
        </is>
      </c>
      <c r="B579" t="inlineStr"/>
      <c r="C579" t="inlineStr"/>
      <c r="D579">
        <f>HYPERLINK("http://nlpdeep.cs.uic.edu:8080/proofing/gsii/532481-assessment-and-plan-0-4.pdf","gsii/532481-assessment-and-plan-0-4.pdf")</f>
        <v/>
      </c>
      <c r="E579" t="n">
        <v>119960</v>
      </c>
      <c r="F579" t="n">
        <v>532481</v>
      </c>
      <c r="G579" t="inlineStr">
        <is>
          <t>Consult</t>
        </is>
      </c>
      <c r="H579" t="inlineStr">
        <is>
          <t>assessment-and-plan</t>
        </is>
      </c>
      <c r="I579" t="inlineStr">
        <is>
          <t xml:space="preserve"> Otherwise, he is an intermediate CV risk
   candidate for an intermediate risk, urgent non-cardiac procedure.</t>
        </is>
      </c>
    </row>
    <row r="580">
      <c r="A580" t="inlineStr">
        <is>
          <t>532481-assessment-and-plan-0-5</t>
        </is>
      </c>
      <c r="B580" t="inlineStr"/>
      <c r="C580" t="inlineStr"/>
      <c r="D580">
        <f>HYPERLINK("http://nlpdeep.cs.uic.edu:8080/proofing/t5/532481-assessment-and-plan-0-5.pdf","t5/532481-assessment-and-plan-0-5.pdf")</f>
        <v/>
      </c>
      <c r="E580" t="n">
        <v>119960</v>
      </c>
      <c r="F580" t="n">
        <v>532481</v>
      </c>
      <c r="G580" t="inlineStr">
        <is>
          <t>Consult</t>
        </is>
      </c>
      <c r="H580" t="inlineStr">
        <is>
          <t>assessment-and-plan</t>
        </is>
      </c>
      <c r="I580" t="inlineStr">
        <is>
          <t>No
   further cardiac evaluation is necessary.</t>
        </is>
      </c>
    </row>
    <row r="581">
      <c r="A581" t="inlineStr">
        <is>
          <t>532481-assessment-and-plan-0-5</t>
        </is>
      </c>
      <c r="B581" t="inlineStr"/>
      <c r="C581" t="inlineStr"/>
      <c r="D581">
        <f>HYPERLINK("http://nlpdeep.cs.uic.edu:8080/proofing/gsii/532481-assessment-and-plan-0-5.pdf","gsii/532481-assessment-and-plan-0-5.pdf")</f>
        <v/>
      </c>
      <c r="E581" t="n">
        <v>119960</v>
      </c>
      <c r="F581" t="n">
        <v>532481</v>
      </c>
      <c r="G581" t="inlineStr">
        <is>
          <t>Consult</t>
        </is>
      </c>
      <c r="H581" t="inlineStr">
        <is>
          <t>assessment-and-plan</t>
        </is>
      </c>
      <c r="I581" t="inlineStr">
        <is>
          <t>No
   further cardiac evaluation is necessary.</t>
        </is>
      </c>
    </row>
    <row r="582">
      <c r="A582" t="inlineStr">
        <is>
          <t>532481-assessment-and-plan-0-6</t>
        </is>
      </c>
      <c r="B582" t="inlineStr"/>
      <c r="C582" t="inlineStr"/>
      <c r="D582">
        <f>HYPERLINK("http://nlpdeep.cs.uic.edu:8080/proofing/t5/532481-assessment-and-plan-0-6.pdf","t5/532481-assessment-and-plan-0-6.pdf")</f>
        <v/>
      </c>
      <c r="E582" t="n">
        <v>119960</v>
      </c>
      <c r="F582" t="n">
        <v>532481</v>
      </c>
      <c r="G582" t="inlineStr">
        <is>
          <t>Consult</t>
        </is>
      </c>
      <c r="H582" t="inlineStr">
        <is>
          <t>assessment-and-plan</t>
        </is>
      </c>
      <c r="I582" t="inlineStr">
        <is>
          <t>Continue statin and beta
   blocker peri-operatively.</t>
        </is>
      </c>
    </row>
    <row r="583">
      <c r="A583" t="inlineStr">
        <is>
          <t>532481-assessment-and-plan-0-6</t>
        </is>
      </c>
      <c r="B583" t="inlineStr"/>
      <c r="C583" t="inlineStr"/>
      <c r="D583">
        <f>HYPERLINK("http://nlpdeep.cs.uic.edu:8080/proofing/gsii/532481-assessment-and-plan-0-6.pdf","gsii/532481-assessment-and-plan-0-6.pdf")</f>
        <v/>
      </c>
      <c r="E583" t="n">
        <v>119960</v>
      </c>
      <c r="F583" t="n">
        <v>532481</v>
      </c>
      <c r="G583" t="inlineStr">
        <is>
          <t>Consult</t>
        </is>
      </c>
      <c r="H583" t="inlineStr">
        <is>
          <t>assessment-and-plan</t>
        </is>
      </c>
      <c r="I583" t="inlineStr">
        <is>
          <t>Continue statin and beta
   blocker peri-operatively.</t>
        </is>
      </c>
    </row>
    <row r="584">
      <c r="A584" t="inlineStr">
        <is>
          <t>532481-assessment-and-plan-0-7</t>
        </is>
      </c>
      <c r="B584" t="inlineStr"/>
      <c r="C584" t="inlineStr"/>
      <c r="D584">
        <f>HYPERLINK("http://nlpdeep.cs.uic.edu:8080/proofing/t5/532481-assessment-and-plan-0-7.pdf","t5/532481-assessment-and-plan-0-7.pdf")</f>
        <v/>
      </c>
      <c r="E584" t="n">
        <v>119960</v>
      </c>
      <c r="F584" t="n">
        <v>532481</v>
      </c>
      <c r="G584" t="inlineStr">
        <is>
          <t>Consult</t>
        </is>
      </c>
      <c r="H584" t="inlineStr">
        <is>
          <t>assessment-and-plan</t>
        </is>
      </c>
      <c r="I584" t="inlineStr">
        <is>
          <t>Will update Dr. [**Last Name (STitle) 3014**].</t>
        </is>
      </c>
    </row>
    <row r="585">
      <c r="A585" t="inlineStr">
        <is>
          <t>532481-assessment-and-plan-0-7</t>
        </is>
      </c>
      <c r="B585" t="inlineStr"/>
      <c r="C585" t="inlineStr"/>
      <c r="D585">
        <f>HYPERLINK("http://nlpdeep.cs.uic.edu:8080/proofing/gsii/532481-assessment-and-plan-0-7.pdf","gsii/532481-assessment-and-plan-0-7.pdf")</f>
        <v/>
      </c>
      <c r="E585" t="n">
        <v>119960</v>
      </c>
      <c r="F585" t="n">
        <v>532481</v>
      </c>
      <c r="G585" t="inlineStr">
        <is>
          <t>Consult</t>
        </is>
      </c>
      <c r="H585" t="inlineStr">
        <is>
          <t>assessment-and-plan</t>
        </is>
      </c>
      <c r="I585" t="inlineStr">
        <is>
          <t>Will update Dr. [**Last Name (STitle) 3014**].</t>
        </is>
      </c>
    </row>
    <row r="586">
      <c r="A586" t="inlineStr">
        <is>
          <t>532481-assessment-and-plan-0-8</t>
        </is>
      </c>
      <c r="B586" t="inlineStr"/>
      <c r="C586" t="inlineStr"/>
      <c r="D586">
        <f>HYPERLINK("http://nlpdeep.cs.uic.edu:8080/proofing/t5/532481-assessment-and-plan-0-8.pdf","t5/532481-assessment-and-plan-0-8.pdf")</f>
        <v/>
      </c>
      <c r="E586" t="n">
        <v>119960</v>
      </c>
      <c r="F586" t="n">
        <v>532481</v>
      </c>
      <c r="G586" t="inlineStr">
        <is>
          <t>Consult</t>
        </is>
      </c>
      <c r="H586" t="inlineStr">
        <is>
          <t>assessment-and-plan</t>
        </is>
      </c>
      <c r="I586" t="inlineStr">
        <is>
          <t xml:space="preserve">
   The Assessment and Plan will be reviewed with Dr.</t>
        </is>
      </c>
    </row>
    <row r="587">
      <c r="A587" t="inlineStr">
        <is>
          <t>532481-assessment-and-plan-0-8</t>
        </is>
      </c>
      <c r="B587" t="inlineStr"/>
      <c r="C587" t="inlineStr"/>
      <c r="D587">
        <f>HYPERLINK("http://nlpdeep.cs.uic.edu:8080/proofing/gsii/532481-assessment-and-plan-0-8.pdf","gsii/532481-assessment-and-plan-0-8.pdf")</f>
        <v/>
      </c>
      <c r="E587" t="n">
        <v>119960</v>
      </c>
      <c r="F587" t="n">
        <v>532481</v>
      </c>
      <c r="G587" t="inlineStr">
        <is>
          <t>Consult</t>
        </is>
      </c>
      <c r="H587" t="inlineStr">
        <is>
          <t>assessment-and-plan</t>
        </is>
      </c>
      <c r="I587" t="inlineStr">
        <is>
          <t xml:space="preserve">
   The Assessment and Plan will be reviewed with Dr.</t>
        </is>
      </c>
    </row>
    <row r="588">
      <c r="A588" t="inlineStr">
        <is>
          <t>532481-assessment-and-plan-0-9</t>
        </is>
      </c>
      <c r="B588" t="inlineStr"/>
      <c r="C588" t="inlineStr"/>
      <c r="D588">
        <f>HYPERLINK("http://nlpdeep.cs.uic.edu:8080/proofing/t5/532481-assessment-and-plan-0-9.pdf","t5/532481-assessment-and-plan-0-9.pdf")</f>
        <v/>
      </c>
      <c r="E588" t="n">
        <v>119960</v>
      </c>
      <c r="F588" t="n">
        <v>532481</v>
      </c>
      <c r="G588" t="inlineStr">
        <is>
          <t>Consult</t>
        </is>
      </c>
      <c r="H588" t="inlineStr">
        <is>
          <t>assessment-and-plan</t>
        </is>
      </c>
      <c r="I588" t="inlineStr">
        <is>
          <t>[**Last Name (STitle) 254**] in multi-
   disciplinary rounds.</t>
        </is>
      </c>
    </row>
    <row r="589">
      <c r="A589" t="inlineStr">
        <is>
          <t>532481-assessment-and-plan-0-9</t>
        </is>
      </c>
      <c r="B589" t="inlineStr"/>
      <c r="C589" t="inlineStr"/>
      <c r="D589">
        <f>HYPERLINK("http://nlpdeep.cs.uic.edu:8080/proofing/gsii/532481-assessment-and-plan-0-9.pdf","gsii/532481-assessment-and-plan-0-9.pdf")</f>
        <v/>
      </c>
      <c r="E589" t="n">
        <v>119960</v>
      </c>
      <c r="F589" t="n">
        <v>532481</v>
      </c>
      <c r="G589" t="inlineStr">
        <is>
          <t>Consult</t>
        </is>
      </c>
      <c r="H589" t="inlineStr">
        <is>
          <t>assessment-and-plan</t>
        </is>
      </c>
      <c r="I589" t="inlineStr">
        <is>
          <t>[**Last Name (STitle) 254**] in multi-
   disciplinary rounds.</t>
        </is>
      </c>
    </row>
    <row r="590">
      <c r="A590" t="inlineStr">
        <is>
          <t>532481-assessment-and-plan-0-10</t>
        </is>
      </c>
      <c r="B590" t="inlineStr"/>
      <c r="C590" t="inlineStr"/>
      <c r="D590">
        <f>HYPERLINK("http://nlpdeep.cs.uic.edu:8080/proofing/t5/532481-assessment-and-plan-0-10.pdf","t5/532481-assessment-and-plan-0-10.pdf")</f>
        <v/>
      </c>
      <c r="E590" t="n">
        <v>119960</v>
      </c>
      <c r="F590" t="n">
        <v>532481</v>
      </c>
      <c r="G590" t="inlineStr">
        <is>
          <t>Consult</t>
        </is>
      </c>
      <c r="H590" t="inlineStr">
        <is>
          <t>assessment-and-plan</t>
        </is>
      </c>
      <c r="I590" t="inlineStr">
        <is>
          <t xml:space="preserve"> Please see his/her note in the [**Hospital 7382**] medical
   record for further comments and recommendations.</t>
        </is>
      </c>
    </row>
    <row r="591">
      <c r="A591" t="inlineStr">
        <is>
          <t>532481-assessment-and-plan-0-10</t>
        </is>
      </c>
      <c r="B591" t="inlineStr"/>
      <c r="C591" t="inlineStr"/>
      <c r="D591">
        <f>HYPERLINK("http://nlpdeep.cs.uic.edu:8080/proofing/gsii/532481-assessment-and-plan-0-10.pdf","gsii/532481-assessment-and-plan-0-10.pdf")</f>
        <v/>
      </c>
      <c r="E591" t="n">
        <v>119960</v>
      </c>
      <c r="F591" t="n">
        <v>532481</v>
      </c>
      <c r="G591" t="inlineStr">
        <is>
          <t>Consult</t>
        </is>
      </c>
      <c r="H591" t="inlineStr">
        <is>
          <t>assessment-and-plan</t>
        </is>
      </c>
      <c r="I591" t="inlineStr">
        <is>
          <t xml:space="preserve"> Please see his/her note in the [**Hospital 7382**] medical
   record for further comments and recommendations.</t>
        </is>
      </c>
    </row>
    <row r="592">
      <c r="A592" t="inlineStr">
        <is>
          <t>532481-assessment-and-plan-0-11</t>
        </is>
      </c>
      <c r="B592" t="inlineStr"/>
      <c r="C592" t="inlineStr"/>
      <c r="D592">
        <f>HYPERLINK("http://nlpdeep.cs.uic.edu:8080/proofing/t5/532481-assessment-and-plan-0-11.pdf","t5/532481-assessment-and-plan-0-11.pdf")</f>
        <v/>
      </c>
      <c r="E592" t="n">
        <v>119960</v>
      </c>
      <c r="F592" t="n">
        <v>532481</v>
      </c>
      <c r="G592" t="inlineStr">
        <is>
          <t>Consult</t>
        </is>
      </c>
      <c r="H592" t="inlineStr">
        <is>
          <t>assessment-and-plan</t>
        </is>
      </c>
      <c r="I592" t="inlineStr">
        <is>
          <t xml:space="preserve"> Thank you for
   allowing us to participate in the care of this patient.</t>
        </is>
      </c>
    </row>
    <row r="593">
      <c r="A593" t="inlineStr">
        <is>
          <t>532481-assessment-and-plan-0-11</t>
        </is>
      </c>
      <c r="B593" t="inlineStr"/>
      <c r="C593" t="inlineStr"/>
      <c r="D593">
        <f>HYPERLINK("http://nlpdeep.cs.uic.edu:8080/proofing/gsii/532481-assessment-and-plan-0-11.pdf","gsii/532481-assessment-and-plan-0-11.pdf")</f>
        <v/>
      </c>
      <c r="E593" t="n">
        <v>119960</v>
      </c>
      <c r="F593" t="n">
        <v>532481</v>
      </c>
      <c r="G593" t="inlineStr">
        <is>
          <t>Consult</t>
        </is>
      </c>
      <c r="H593" t="inlineStr">
        <is>
          <t>assessment-and-plan</t>
        </is>
      </c>
      <c r="I593" t="inlineStr">
        <is>
          <t xml:space="preserve"> Thank you for
   allowing us to participate in the care of this patient.</t>
        </is>
      </c>
    </row>
    <row r="594">
      <c r="A594" t="inlineStr">
        <is>
          <t>532481-assessment-and-plan-0-12</t>
        </is>
      </c>
      <c r="B594" t="inlineStr"/>
      <c r="C594" t="inlineStr"/>
      <c r="D594">
        <f>HYPERLINK("http://nlpdeep.cs.uic.edu:8080/proofing/t5/532481-assessment-and-plan-0-12.pdf","t5/532481-assessment-and-plan-0-12.pdf")</f>
        <v/>
      </c>
      <c r="E594" t="n">
        <v>119960</v>
      </c>
      <c r="F594" t="n">
        <v>532481</v>
      </c>
      <c r="G594" t="inlineStr">
        <is>
          <t>Consult</t>
        </is>
      </c>
      <c r="H594" t="inlineStr">
        <is>
          <t>assessment-and-plan</t>
        </is>
      </c>
      <c r="I594" t="inlineStr">
        <is>
          <t>Please feel
   free to contact us with any questions or concerns.</t>
        </is>
      </c>
    </row>
    <row r="595">
      <c r="A595" t="inlineStr">
        <is>
          <t>532481-assessment-and-plan-0-12</t>
        </is>
      </c>
      <c r="B595" t="inlineStr"/>
      <c r="C595" t="inlineStr"/>
      <c r="D595">
        <f>HYPERLINK("http://nlpdeep.cs.uic.edu:8080/proofing/gsii/532481-assessment-and-plan-0-12.pdf","gsii/532481-assessment-and-plan-0-12.pdf")</f>
        <v/>
      </c>
      <c r="E595" t="n">
        <v>119960</v>
      </c>
      <c r="F595" t="n">
        <v>532481</v>
      </c>
      <c r="G595" t="inlineStr">
        <is>
          <t>Consult</t>
        </is>
      </c>
      <c r="H595" t="inlineStr">
        <is>
          <t>assessment-and-plan</t>
        </is>
      </c>
      <c r="I595" t="inlineStr">
        <is>
          <t>Please feel
   free to contact us with any questions or concerns.</t>
        </is>
      </c>
    </row>
    <row r="596">
      <c r="A596" t="inlineStr">
        <is>
          <t>532899-allergies-0-0</t>
        </is>
      </c>
      <c r="B596" t="inlineStr"/>
      <c r="C596" t="inlineStr"/>
      <c r="D596">
        <f>HYPERLINK("http://nlpdeep.cs.uic.edu:8080/proofing/t5/532899-allergies-0-0.pdf","t5/532899-allergies-0-0.pdf")</f>
        <v/>
      </c>
      <c r="E596" t="n">
        <v>119960</v>
      </c>
      <c r="F596" t="n">
        <v>532899</v>
      </c>
      <c r="G596" t="inlineStr">
        <is>
          <t>Physician</t>
        </is>
      </c>
      <c r="H596" t="inlineStr">
        <is>
          <t>allergies</t>
        </is>
      </c>
      <c r="I596" t="inlineStr">
        <is>
          <t>Quinidine
   fever;
   Propranolol
   Aggitation;
   Heparin Agents
   Thrombocytopeni
   Warfarin
   GI bleed;
   Zolpidem
   Unknown;</t>
        </is>
      </c>
    </row>
    <row r="597">
      <c r="A597" t="inlineStr">
        <is>
          <t>532899-allergies-0-0</t>
        </is>
      </c>
      <c r="B597" t="inlineStr"/>
      <c r="C597" t="inlineStr"/>
      <c r="D597">
        <f>HYPERLINK("http://nlpdeep.cs.uic.edu:8080/proofing/gsii/532899-allergies-0-0.pdf","gsii/532899-allergies-0-0.pdf")</f>
        <v/>
      </c>
      <c r="E597" t="n">
        <v>119960</v>
      </c>
      <c r="F597" t="n">
        <v>532899</v>
      </c>
      <c r="G597" t="inlineStr">
        <is>
          <t>Physician</t>
        </is>
      </c>
      <c r="H597" t="inlineStr">
        <is>
          <t>allergies</t>
        </is>
      </c>
      <c r="I597" t="inlineStr">
        <is>
          <t>Quinidine
   fever;
   Propranolol
   Aggitation;
   Heparin Agents
   Thrombocytopeni
   Warfarin
   GI bleed;
   Zolpidem
   Unknown;</t>
        </is>
      </c>
    </row>
    <row r="598">
      <c r="A598" t="inlineStr">
        <is>
          <t>532899-last-dose-of-antibiotics-0-0</t>
        </is>
      </c>
      <c r="B598" t="inlineStr"/>
      <c r="C598" t="inlineStr"/>
      <c r="D598">
        <f>HYPERLINK("http://nlpdeep.cs.uic.edu:8080/proofing/t5/532899-last-dose-of-antibiotics-0-0.pdf","t5/532899-last-dose-of-antibiotics-0-0.pdf")</f>
        <v/>
      </c>
      <c r="E598" t="n">
        <v>119960</v>
      </c>
      <c r="F598" t="n">
        <v>532899</v>
      </c>
      <c r="G598" t="inlineStr">
        <is>
          <t>Physician</t>
        </is>
      </c>
      <c r="H598" t="inlineStr">
        <is>
          <t>last-dose-of-antibiotics</t>
        </is>
      </c>
      <c r="I598" t="inlineStr">
        <is>
          <t>Cefazolin - [**2141-4-8**] 03:00 A</t>
        </is>
      </c>
    </row>
    <row r="599">
      <c r="A599" t="inlineStr">
        <is>
          <t>532899-last-dose-of-antibiotics-0-0</t>
        </is>
      </c>
      <c r="B599" t="inlineStr"/>
      <c r="C599" t="inlineStr"/>
      <c r="D599">
        <f>HYPERLINK("http://nlpdeep.cs.uic.edu:8080/proofing/gsii/532899-last-dose-of-antibiotics-0-0.pdf","gsii/532899-last-dose-of-antibiotics-0-0.pdf")</f>
        <v/>
      </c>
      <c r="E599" t="n">
        <v>119960</v>
      </c>
      <c r="F599" t="n">
        <v>532899</v>
      </c>
      <c r="G599" t="inlineStr">
        <is>
          <t>Physician</t>
        </is>
      </c>
      <c r="H599" t="inlineStr">
        <is>
          <t>last-dose-of-antibiotics</t>
        </is>
      </c>
      <c r="I599" t="inlineStr">
        <is>
          <t>Cefazolin - [**2141-4-8**] 03:00 A</t>
        </is>
      </c>
    </row>
    <row r="600">
      <c r="A600" t="inlineStr">
        <is>
          <t>532899-other-medications-0-0</t>
        </is>
      </c>
      <c r="B600" t="inlineStr"/>
      <c r="C600" t="inlineStr"/>
      <c r="D600">
        <f>HYPERLINK("http://nlpdeep.cs.uic.edu:8080/proofing/t5/532899-other-medications-0-0.pdf","t5/532899-other-medications-0-0.pdf")</f>
        <v/>
      </c>
      <c r="E600" t="n">
        <v>119960</v>
      </c>
      <c r="F600" t="n">
        <v>532899</v>
      </c>
      <c r="G600" t="inlineStr">
        <is>
          <t>Physician</t>
        </is>
      </c>
      <c r="H600" t="inlineStr">
        <is>
          <t>other-medications</t>
        </is>
      </c>
      <c r="I600" t="inlineStr">
        <is>
          <t>Morphine Sulfate - [**2141-4-9**] 03:38 AM
   Other medications:</t>
        </is>
      </c>
    </row>
    <row r="601">
      <c r="A601" t="inlineStr">
        <is>
          <t>532899-other-medications-0-0</t>
        </is>
      </c>
      <c r="B601" t="inlineStr"/>
      <c r="C601" t="inlineStr"/>
      <c r="D601">
        <f>HYPERLINK("http://nlpdeep.cs.uic.edu:8080/proofing/gsii/532899-other-medications-0-0.pdf","gsii/532899-other-medications-0-0.pdf")</f>
        <v/>
      </c>
      <c r="E601" t="n">
        <v>119960</v>
      </c>
      <c r="F601" t="n">
        <v>532899</v>
      </c>
      <c r="G601" t="inlineStr">
        <is>
          <t>Physician</t>
        </is>
      </c>
      <c r="H601" t="inlineStr">
        <is>
          <t>other-medications</t>
        </is>
      </c>
      <c r="I601" t="inlineStr">
        <is>
          <t>Morphine Sulfate - [**2141-4-9**] 03:38 AM
   Other medications:</t>
        </is>
      </c>
    </row>
    <row r="602">
      <c r="A602" t="inlineStr">
        <is>
          <t>532899-past-medical-history-0-0</t>
        </is>
      </c>
      <c r="B602" t="inlineStr"/>
      <c r="C602" t="inlineStr"/>
      <c r="D602">
        <f>HYPERLINK("http://nlpdeep.cs.uic.edu:8080/proofing/t5/532899-past-medical-history-0-0.pdf","t5/532899-past-medical-history-0-0.pdf")</f>
        <v/>
      </c>
      <c r="E602" t="n">
        <v>119960</v>
      </c>
      <c r="F602" t="n">
        <v>532899</v>
      </c>
      <c r="G602" t="inlineStr">
        <is>
          <t>Physician</t>
        </is>
      </c>
      <c r="H602" t="inlineStr">
        <is>
          <t>past-medical-history</t>
        </is>
      </c>
      <c r="I602" t="inlineStr">
        <is>
          <t>N</t>
        </is>
      </c>
    </row>
    <row r="603">
      <c r="A603" t="inlineStr">
        <is>
          <t>532899-past-medical-history-0-0</t>
        </is>
      </c>
      <c r="B603" t="inlineStr"/>
      <c r="C603" t="inlineStr"/>
      <c r="D603">
        <f>HYPERLINK("http://nlpdeep.cs.uic.edu:8080/proofing/gsii/532899-past-medical-history-0-0.pdf","gsii/532899-past-medical-history-0-0.pdf")</f>
        <v/>
      </c>
      <c r="E603" t="n">
        <v>119960</v>
      </c>
      <c r="F603" t="n">
        <v>532899</v>
      </c>
      <c r="G603" t="inlineStr">
        <is>
          <t>Physician</t>
        </is>
      </c>
      <c r="H603" t="inlineStr">
        <is>
          <t>past-medical-history</t>
        </is>
      </c>
      <c r="I603" t="inlineStr">
        <is>
          <t>N</t>
        </is>
      </c>
    </row>
    <row r="604">
      <c r="A604" t="inlineStr">
        <is>
          <t>532899-review-of-systems-0-0</t>
        </is>
      </c>
      <c r="B604" t="inlineStr"/>
      <c r="C604" t="inlineStr"/>
      <c r="D604">
        <f>HYPERLINK("http://nlpdeep.cs.uic.edu:8080/proofing/t5/532899-review-of-systems-0-0.pdf","t5/532899-review-of-systems-0-0.pdf")</f>
        <v/>
      </c>
      <c r="E604" t="n">
        <v>119960</v>
      </c>
      <c r="F604" t="n">
        <v>532899</v>
      </c>
      <c r="G604" t="inlineStr">
        <is>
          <t>Physician</t>
        </is>
      </c>
      <c r="H604" t="inlineStr">
        <is>
          <t>review-of-systems</t>
        </is>
      </c>
      <c r="I604" t="inlineStr">
        <is>
          <t>N</t>
        </is>
      </c>
    </row>
    <row r="605">
      <c r="A605" t="inlineStr">
        <is>
          <t>532899-review-of-systems-0-0</t>
        </is>
      </c>
      <c r="B605" t="inlineStr"/>
      <c r="C605" t="inlineStr"/>
      <c r="D605">
        <f>HYPERLINK("http://nlpdeep.cs.uic.edu:8080/proofing/gsii/532899-review-of-systems-0-0.pdf","gsii/532899-review-of-systems-0-0.pdf")</f>
        <v/>
      </c>
      <c r="E605" t="n">
        <v>119960</v>
      </c>
      <c r="F605" t="n">
        <v>532899</v>
      </c>
      <c r="G605" t="inlineStr">
        <is>
          <t>Physician</t>
        </is>
      </c>
      <c r="H605" t="inlineStr">
        <is>
          <t>review-of-systems</t>
        </is>
      </c>
      <c r="I605" t="inlineStr">
        <is>
          <t>N</t>
        </is>
      </c>
    </row>
    <row r="606">
      <c r="A606" t="inlineStr">
        <is>
          <t>532899-flowsheet-data-vitals-0-0</t>
        </is>
      </c>
      <c r="B606" t="inlineStr"/>
      <c r="C606" t="inlineStr"/>
      <c r="D606">
        <f>HYPERLINK("http://nlpdeep.cs.uic.edu:8080/proofing/t5/532899-flowsheet-data-vitals-0-0.pdf","t5/532899-flowsheet-data-vitals-0-0.pdf")</f>
        <v/>
      </c>
      <c r="E606" t="n">
        <v>119960</v>
      </c>
      <c r="F606" t="n">
        <v>532899</v>
      </c>
      <c r="G606" t="inlineStr">
        <is>
          <t>Physician</t>
        </is>
      </c>
      <c r="H606" t="inlineStr">
        <is>
          <t>flowsheet-data-vitals</t>
        </is>
      </c>
      <c r="I606" t="inlineStr">
        <is>
          <t>as of  [**2141-4-9**] 07:35 AM
   Vital signs
   Hemodynamic monitoring
   Fluid balance
                                                                  24 hours
                                                               Since [**42**] AM
   Tmax: 36.6
C (97.9
   Tcurrent: 35.9
C (96.6
   HR: 82 (80 - 104) bpm
   BP: 107/70(79) {94/15(37) - 143/72(100)} mmHg
   RR: 21 (9 - 23) insp/min
   SpO2: 96%
   Heart rhythm: AF (Atrial Fibrillation)
                  Total In:
                                                                  2,042 mL
                                                                    150 mL
   PO:
                                                                    165 mL
                                                                    150 mL
   TF:
   IVF:
                                                                  1,527 mL
   Blood products:
                                                                    350 mL
   Total out:
                                                                    307 mL
                                                                    110 mL
   Urine:
                                                                    307 mL
                                                                    110 mL
   NG:
   Stool:
   Drains:
   Balance:
                                                                  1,735 mL
                                                                     40 mL
   Respiratory support
   O2 Delivery Device: Nasal cannula
   SpO2: 96%</t>
        </is>
      </c>
    </row>
    <row r="607">
      <c r="A607" t="inlineStr">
        <is>
          <t>532899-flowsheet-data-vitals-0-0</t>
        </is>
      </c>
      <c r="B607" t="inlineStr"/>
      <c r="C607" t="inlineStr"/>
      <c r="D607">
        <f>HYPERLINK("http://nlpdeep.cs.uic.edu:8080/proofing/gsii/532899-flowsheet-data-vitals-0-0.pdf","gsii/532899-flowsheet-data-vitals-0-0.pdf")</f>
        <v/>
      </c>
      <c r="E607" t="n">
        <v>119960</v>
      </c>
      <c r="F607" t="n">
        <v>532899</v>
      </c>
      <c r="G607" t="inlineStr">
        <is>
          <t>Physician</t>
        </is>
      </c>
      <c r="H607" t="inlineStr">
        <is>
          <t>flowsheet-data-vitals</t>
        </is>
      </c>
      <c r="I607" t="inlineStr">
        <is>
          <t>as of  [**2141-4-9**] 07:35 AM
   Vital signs
   Hemodynamic monitoring
   Fluid balance
                                                                  24 hours
                                                               Since [**42**] AM
   Tmax: 36.6
C (97.9
   Tcurrent: 35.9
C (96.6
   HR: 82 (80 - 104) bpm
   BP: 107/70(79) {94/15(37) - 143/72(100)} mmHg
   RR: 21 (9 - 23) insp/min
   SpO2: 96%
   Heart rhythm: AF (Atrial Fibrillation)
                  Total In:
                                                                  2,042 mL
                                                                    150 mL
   PO:
                                                                    165 mL
                                                                    150 mL
   TF:
   IVF:
                                                                  1,527 mL
   Blood products:
                                                                    350 mL
   Total out:
                                                                    307 mL
                                                                    110 mL
   Urine:
                                                                    307 mL
                                                                    110 mL
   NG:
   Stool:
   Drains:
   Balance:
                                                                  1,735 mL
                                                                     40 mL
   Respiratory support
   O2 Delivery Device: Nasal cannula
   SpO2: 96%</t>
        </is>
      </c>
    </row>
    <row r="608">
      <c r="A608" t="inlineStr">
        <is>
          <t>532899-physical-examination-0-0</t>
        </is>
      </c>
      <c r="B608" t="inlineStr"/>
      <c r="C608" t="inlineStr"/>
      <c r="D608">
        <f>HYPERLINK("http://nlpdeep.cs.uic.edu:8080/proofing/t5/532899-physical-examination-0-0.pdf","t5/532899-physical-examination-0-0.pdf")</f>
        <v/>
      </c>
      <c r="E608" t="n">
        <v>119960</v>
      </c>
      <c r="F608" t="n">
        <v>532899</v>
      </c>
      <c r="G608" t="inlineStr">
        <is>
          <t>Physician</t>
        </is>
      </c>
      <c r="H608" t="inlineStr">
        <is>
          <t>physical-examination</t>
        </is>
      </c>
      <c r="I608" t="inlineStr">
        <is>
          <t>General: Alert, oriented, NAD
   HEENT: Sclera anicteric, MMM
   Neck: supple, JVP 11 cm
   Lungs: Clear to auscultation bilaterally anteriorly, no wheezes, rales,
   ronchi
   CV: Irregularly irregular rhythm, normal rate, distant heart sounds, no
   murmurs, rubs, gallops
   ABD:  soft, non-tender, non-distended, bowel sounds present, no rebound
   tenderness or guarding
   GU: foley
   Ext: left hip dressing c/d/I.</t>
        </is>
      </c>
    </row>
    <row r="609">
      <c r="A609" t="inlineStr">
        <is>
          <t>532899-physical-examination-0-0</t>
        </is>
      </c>
      <c r="B609" t="inlineStr"/>
      <c r="C609" t="inlineStr"/>
      <c r="D609">
        <f>HYPERLINK("http://nlpdeep.cs.uic.edu:8080/proofing/gsii/532899-physical-examination-0-0.pdf","gsii/532899-physical-examination-0-0.pdf")</f>
        <v/>
      </c>
      <c r="E609" t="n">
        <v>119960</v>
      </c>
      <c r="F609" t="n">
        <v>532899</v>
      </c>
      <c r="G609" t="inlineStr">
        <is>
          <t>Physician</t>
        </is>
      </c>
      <c r="H609" t="inlineStr">
        <is>
          <t>physical-examination</t>
        </is>
      </c>
      <c r="I609" t="inlineStr">
        <is>
          <t>General: Alert, oriented, NAD
   HEENT: Sclera anicteric, MMM
   Neck: supple, JVP 11 cm
   Lungs: Clear to auscultation bilaterally anteriorly, no wheezes, rales,
   ronchi
   CV: Irregularly irregular rhythm, normal rate, distant heart sounds, no
   murmurs, rubs, gallops
   ABD:  soft, non-tender, non-distended, bowel sounds present, no rebound
   tenderness or guarding
   GU: foley
   Ext: left hip dressing c/d/I.</t>
        </is>
      </c>
    </row>
    <row r="610">
      <c r="A610" t="inlineStr">
        <is>
          <t>532899-physical-examination-0-1</t>
        </is>
      </c>
      <c r="B610" t="inlineStr"/>
      <c r="C610" t="inlineStr"/>
      <c r="D610">
        <f>HYPERLINK("http://nlpdeep.cs.uic.edu:8080/proofing/t5/532899-physical-examination-0-1.pdf","t5/532899-physical-examination-0-1.pdf")</f>
        <v/>
      </c>
      <c r="E610" t="n">
        <v>119960</v>
      </c>
      <c r="F610" t="n">
        <v>532899</v>
      </c>
      <c r="G610" t="inlineStr">
        <is>
          <t>Physician</t>
        </is>
      </c>
      <c r="H610" t="inlineStr">
        <is>
          <t>physical-examination</t>
        </is>
      </c>
      <c r="I610" t="inlineStr">
        <is>
          <t xml:space="preserve"> Normal sensation and distal pulses.</t>
        </is>
      </c>
    </row>
    <row r="611">
      <c r="A611" t="inlineStr">
        <is>
          <t>532899-physical-examination-0-1</t>
        </is>
      </c>
      <c r="B611" t="inlineStr"/>
      <c r="C611" t="inlineStr"/>
      <c r="D611">
        <f>HYPERLINK("http://nlpdeep.cs.uic.edu:8080/proofing/gsii/532899-physical-examination-0-1.pdf","gsii/532899-physical-examination-0-1.pdf")</f>
        <v/>
      </c>
      <c r="E611" t="n">
        <v>119960</v>
      </c>
      <c r="F611" t="n">
        <v>532899</v>
      </c>
      <c r="G611" t="inlineStr">
        <is>
          <t>Physician</t>
        </is>
      </c>
      <c r="H611" t="inlineStr">
        <is>
          <t>physical-examination</t>
        </is>
      </c>
      <c r="I611" t="inlineStr">
        <is>
          <t xml:space="preserve"> Normal sensation and distal pulses.</t>
        </is>
      </c>
    </row>
    <row r="612">
      <c r="A612" t="inlineStr">
        <is>
          <t>532899-labs-imaging-0-0</t>
        </is>
      </c>
      <c r="B612" t="inlineStr"/>
      <c r="C612" t="inlineStr"/>
      <c r="D612">
        <f>HYPERLINK("http://nlpdeep.cs.uic.edu:8080/proofing/t5/532899-labs-imaging-0-0.pdf","t5/532899-labs-imaging-0-0.pdf")</f>
        <v/>
      </c>
      <c r="E612" t="n">
        <v>119960</v>
      </c>
      <c r="F612" t="n">
        <v>532899</v>
      </c>
      <c r="G612" t="inlineStr">
        <is>
          <t>Physician</t>
        </is>
      </c>
      <c r="H612" t="inlineStr">
        <is>
          <t>labs-imaging</t>
        </is>
      </c>
      <c r="I612" t="inlineStr">
        <is>
          <t>121 K/uL
   8.7 g/dL
   65 mg/dL
   3.9 mg/dL
   24 mEq/L
   5.3 mEq/L
   69 mg/dL
   106 mEq/L
   144 mEq/L
   25.4 %
   8.0 K/uL
        [image002.jpg]
                             [**2141-4-6**]  08:20 PM
                             [**2141-4-7**]  04:57 AM
                             [**2141-4-7**]  12:45 PM
                             [**2141-4-7**]  04:12 PM
                             [**2141-4-7**]  05:30 PM
                             [**2141-4-7**]  11:17 PM
                             [**2141-4-8**]  02:48 AM
                             [**2141-4-8**]  02:09 PM
                             [**2141-4-8**]  08:46 PM
                             [**2141-4-9**]  02:57 AM
   WBC
   8.2
   5.9
   9.5
   7.7
   8.0
   Hct
   22.8
   29.7
   26.1
   32
   28.0
   25.5
   24.2
   23.2
   25.0
   25.4
   Plt
   128
   110
   131
   127
   121
   Cr
   2.4
   2.9
   3.2
   3.6
   3.9
   TCO2
   25
   Glucose
   106
   60
   78
   71
   67
   65
   Other labs: PT / PTT / INR:16.0/40.0/1.4, Lactic Acid:1.7 mmol/L,
   Ca++:8.5 mg/dL, Mg++:2.0 mg/dL, PO4:6.3 mg/d</t>
        </is>
      </c>
    </row>
    <row r="613">
      <c r="A613" t="inlineStr">
        <is>
          <t>532899-labs-imaging-0-0</t>
        </is>
      </c>
      <c r="B613" t="inlineStr"/>
      <c r="C613" t="inlineStr"/>
      <c r="D613">
        <f>HYPERLINK("http://nlpdeep.cs.uic.edu:8080/proofing/gsii/532899-labs-imaging-0-0.pdf","gsii/532899-labs-imaging-0-0.pdf")</f>
        <v/>
      </c>
      <c r="E613" t="n">
        <v>119960</v>
      </c>
      <c r="F613" t="n">
        <v>532899</v>
      </c>
      <c r="G613" t="inlineStr">
        <is>
          <t>Physician</t>
        </is>
      </c>
      <c r="H613" t="inlineStr">
        <is>
          <t>labs-imaging</t>
        </is>
      </c>
      <c r="I613" t="inlineStr">
        <is>
          <t>121 K/uL
   8.7 g/dL
   65 mg/dL
   3.9 mg/dL
   24 mEq/L
   5.3 mEq/L
   69 mg/dL
   106 mEq/L
   144 mEq/L
   25.4 %
   8.0 K/uL
        [image002.jpg]
                             [**2141-4-6**]  08:20 PM
                             [**2141-4-7**]  04:57 AM
                             [**2141-4-7**]  12:45 PM
                             [**2141-4-7**]  04:12 PM
                             [**2141-4-7**]  05:30 PM
                             [**2141-4-7**]  11:17 PM
                             [**2141-4-8**]  02:48 AM
                             [**2141-4-8**]  02:09 PM
                             [**2141-4-8**]  08:46 PM
                             [**2141-4-9**]  02:57 AM
   WBC
   8.2
   5.9
   9.5
   7.7
   8.0
   Hct
   22.8
   29.7
   26.1
   32
   28.0
   25.5
   24.2
   23.2
   25.0
   25.4
   Plt
   128
   110
   131
   127
   121
   Cr
   2.4
   2.9
   3.2
   3.6
   3.9
   TCO2
   25
   Glucose
   106
   60
   78
   71
   67
   65
   Other labs: PT / PTT / INR:16.0/40.0/1.4, Lactic Acid:1.7 mmol/L,
   Ca++:8.5 mg/dL, Mg++:2.0 mg/dL, PO4:6.3 mg/d</t>
        </is>
      </c>
    </row>
    <row r="614">
      <c r="A614" t="inlineStr">
        <is>
          <t>532899-assessment-and-plan-0-0</t>
        </is>
      </c>
      <c r="B614" t="inlineStr"/>
      <c r="C614" t="inlineStr"/>
      <c r="D614">
        <f>HYPERLINK("http://nlpdeep.cs.uic.edu:8080/proofing/t5/532899-assessment-and-plan-0-0.pdf","t5/532899-assessment-and-plan-0-0.pdf")</f>
        <v/>
      </c>
      <c r="E614" t="n">
        <v>119960</v>
      </c>
      <c r="F614" t="n">
        <v>532899</v>
      </c>
      <c r="G614" t="inlineStr">
        <is>
          <t>Physician</t>
        </is>
      </c>
      <c r="H614" t="inlineStr">
        <is>
          <t>assessment-and-plan</t>
        </is>
      </c>
      <c r="I614" t="inlineStr">
        <is>
          <t>Comments:</t>
        </is>
      </c>
    </row>
    <row r="615">
      <c r="A615" t="inlineStr">
        <is>
          <t>532899-assessment-and-plan-0-0</t>
        </is>
      </c>
      <c r="B615" t="inlineStr"/>
      <c r="C615" t="inlineStr"/>
      <c r="D615">
        <f>HYPERLINK("http://nlpdeep.cs.uic.edu:8080/proofing/gsii/532899-assessment-and-plan-0-0.pdf","gsii/532899-assessment-and-plan-0-0.pdf")</f>
        <v/>
      </c>
      <c r="E615" t="n">
        <v>119960</v>
      </c>
      <c r="F615" t="n">
        <v>532899</v>
      </c>
      <c r="G615" t="inlineStr">
        <is>
          <t>Physician</t>
        </is>
      </c>
      <c r="H615" t="inlineStr">
        <is>
          <t>assessment-and-plan</t>
        </is>
      </c>
      <c r="I615" t="inlineStr">
        <is>
          <t>Comments:</t>
        </is>
      </c>
    </row>
    <row r="616">
      <c r="A616" t="inlineStr">
        <is>
          <t>532899-code-status-0-0</t>
        </is>
      </c>
      <c r="B616" t="inlineStr"/>
      <c r="C616" t="inlineStr"/>
      <c r="D616">
        <f>HYPERLINK("http://nlpdeep.cs.uic.edu:8080/proofing/t5/532899-code-status-0-0.pdf","t5/532899-code-status-0-0.pdf")</f>
        <v/>
      </c>
      <c r="E616" t="n">
        <v>119960</v>
      </c>
      <c r="F616" t="n">
        <v>532899</v>
      </c>
      <c r="G616" t="inlineStr">
        <is>
          <t>Physician</t>
        </is>
      </c>
      <c r="H616" t="inlineStr">
        <is>
          <t>code-status</t>
        </is>
      </c>
      <c r="I616" t="inlineStr">
        <is>
          <t>Full c</t>
        </is>
      </c>
    </row>
    <row r="617">
      <c r="A617" t="inlineStr">
        <is>
          <t>532899-code-status-0-0</t>
        </is>
      </c>
      <c r="B617" t="inlineStr"/>
      <c r="C617" t="inlineStr"/>
      <c r="D617">
        <f>HYPERLINK("http://nlpdeep.cs.uic.edu:8080/proofing/gsii/532899-code-status-0-0.pdf","gsii/532899-code-status-0-0.pdf")</f>
        <v/>
      </c>
      <c r="E617" t="n">
        <v>119960</v>
      </c>
      <c r="F617" t="n">
        <v>532899</v>
      </c>
      <c r="G617" t="inlineStr">
        <is>
          <t>Physician</t>
        </is>
      </c>
      <c r="H617" t="inlineStr">
        <is>
          <t>code-status</t>
        </is>
      </c>
      <c r="I617" t="inlineStr">
        <is>
          <t>Full c</t>
        </is>
      </c>
    </row>
    <row r="618">
      <c r="A618" t="inlineStr">
        <is>
          <t>532483-24-hour-events-0-0</t>
        </is>
      </c>
      <c r="B618" t="inlineStr"/>
      <c r="C618" t="inlineStr"/>
      <c r="D618">
        <f>HYPERLINK("http://nlpdeep.cs.uic.edu:8080/proofing/t5/532483-24-hour-events-0-0.pdf","t5/532483-24-hour-events-0-0.pdf")</f>
        <v/>
      </c>
      <c r="E618" t="n">
        <v>119960</v>
      </c>
      <c r="F618" t="n">
        <v>532483</v>
      </c>
      <c r="G618" t="inlineStr">
        <is>
          <t>Physician</t>
        </is>
      </c>
      <c r="H618" t="inlineStr">
        <is>
          <t>24-hour-events</t>
        </is>
      </c>
      <c r="I618" t="inlineStr">
        <is>
          <t>- Patient transfused 2 units pRBCs at MN and 3am.</t>
        </is>
      </c>
    </row>
    <row r="619">
      <c r="A619" t="inlineStr">
        <is>
          <t>532483-24-hour-events-0-0</t>
        </is>
      </c>
      <c r="B619" t="inlineStr"/>
      <c r="C619" t="inlineStr"/>
      <c r="D619">
        <f>HYPERLINK("http://nlpdeep.cs.uic.edu:8080/proofing/gsii/532483-24-hour-events-0-0.pdf","gsii/532483-24-hour-events-0-0.pdf")</f>
        <v/>
      </c>
      <c r="E619" t="n">
        <v>119960</v>
      </c>
      <c r="F619" t="n">
        <v>532483</v>
      </c>
      <c r="G619" t="inlineStr">
        <is>
          <t>Physician</t>
        </is>
      </c>
      <c r="H619" t="inlineStr">
        <is>
          <t>24-hour-events</t>
        </is>
      </c>
      <c r="I619" t="inlineStr">
        <is>
          <t>- Patient transfused 2 units pRBCs at MN and 3am.</t>
        </is>
      </c>
    </row>
    <row r="620">
      <c r="A620" t="inlineStr">
        <is>
          <t>532483-24-hour-events-0-1</t>
        </is>
      </c>
      <c r="B620" t="inlineStr"/>
      <c r="C620" t="inlineStr"/>
      <c r="D620">
        <f>HYPERLINK("http://nlpdeep.cs.uic.edu:8080/proofing/t5/532483-24-hour-events-0-1.pdf","t5/532483-24-hour-events-0-1.pdf")</f>
        <v/>
      </c>
      <c r="E620" t="n">
        <v>119960</v>
      </c>
      <c r="F620" t="n">
        <v>532483</v>
      </c>
      <c r="G620" t="inlineStr">
        <is>
          <t>Physician</t>
        </is>
      </c>
      <c r="H620" t="inlineStr">
        <is>
          <t>24-hour-events</t>
        </is>
      </c>
      <c r="I620" t="inlineStr">
        <is>
          <t>- K 7.3 at 5am; repeat K p</t>
        </is>
      </c>
    </row>
    <row r="621">
      <c r="A621" t="inlineStr">
        <is>
          <t>532483-24-hour-events-0-1</t>
        </is>
      </c>
      <c r="B621" t="inlineStr"/>
      <c r="C621" t="inlineStr"/>
      <c r="D621">
        <f>HYPERLINK("http://nlpdeep.cs.uic.edu:8080/proofing/gsii/532483-24-hour-events-0-1.pdf","gsii/532483-24-hour-events-0-1.pdf")</f>
        <v/>
      </c>
      <c r="E621" t="n">
        <v>119960</v>
      </c>
      <c r="F621" t="n">
        <v>532483</v>
      </c>
      <c r="G621" t="inlineStr">
        <is>
          <t>Physician</t>
        </is>
      </c>
      <c r="H621" t="inlineStr">
        <is>
          <t>24-hour-events</t>
        </is>
      </c>
      <c r="I621" t="inlineStr">
        <is>
          <t>- K 7.3 at 5am; repeat K p</t>
        </is>
      </c>
    </row>
    <row r="622">
      <c r="A622" t="inlineStr">
        <is>
          <t>532483-allergies-0-0</t>
        </is>
      </c>
      <c r="B622" t="inlineStr"/>
      <c r="C622" t="inlineStr"/>
      <c r="D622">
        <f>HYPERLINK("http://nlpdeep.cs.uic.edu:8080/proofing/t5/532483-allergies-0-0.pdf","t5/532483-allergies-0-0.pdf")</f>
        <v/>
      </c>
      <c r="E622" t="n">
        <v>119960</v>
      </c>
      <c r="F622" t="n">
        <v>532483</v>
      </c>
      <c r="G622" t="inlineStr">
        <is>
          <t>Physician</t>
        </is>
      </c>
      <c r="H622" t="inlineStr">
        <is>
          <t>allergies</t>
        </is>
      </c>
      <c r="I622" t="inlineStr">
        <is>
          <t>Quinidine
   fever;
   Propranolol
   Aggitation;
   Heparin Agents
   Thrombocytopeni
   Warfarin
   GI bleed;
   Zolpidem
   Unknown;</t>
        </is>
      </c>
    </row>
    <row r="623">
      <c r="A623" t="inlineStr">
        <is>
          <t>532483-allergies-0-0</t>
        </is>
      </c>
      <c r="B623" t="inlineStr"/>
      <c r="C623" t="inlineStr"/>
      <c r="D623">
        <f>HYPERLINK("http://nlpdeep.cs.uic.edu:8080/proofing/gsii/532483-allergies-0-0.pdf","gsii/532483-allergies-0-0.pdf")</f>
        <v/>
      </c>
      <c r="E623" t="n">
        <v>119960</v>
      </c>
      <c r="F623" t="n">
        <v>532483</v>
      </c>
      <c r="G623" t="inlineStr">
        <is>
          <t>Physician</t>
        </is>
      </c>
      <c r="H623" t="inlineStr">
        <is>
          <t>allergies</t>
        </is>
      </c>
      <c r="I623" t="inlineStr">
        <is>
          <t>Quinidine
   fever;
   Propranolol
   Aggitation;
   Heparin Agents
   Thrombocytopeni
   Warfarin
   GI bleed;
   Zolpidem
   Unknown;</t>
        </is>
      </c>
    </row>
    <row r="624">
      <c r="A624" t="inlineStr">
        <is>
          <t>532483-other-medications-0-0</t>
        </is>
      </c>
      <c r="B624" t="inlineStr"/>
      <c r="C624" t="inlineStr"/>
      <c r="D624">
        <f>HYPERLINK("http://nlpdeep.cs.uic.edu:8080/proofing/t5/532483-other-medications-0-0.pdf","t5/532483-other-medications-0-0.pdf")</f>
        <v/>
      </c>
      <c r="E624" t="n">
        <v>119960</v>
      </c>
      <c r="F624" t="n">
        <v>532483</v>
      </c>
      <c r="G624" t="inlineStr">
        <is>
          <t>Physician</t>
        </is>
      </c>
      <c r="H624" t="inlineStr">
        <is>
          <t>other-medications</t>
        </is>
      </c>
      <c r="I624" t="inlineStr">
        <is>
          <t>Morphine Sulfate - [**2141-4-6**] 09:30 PM
   Other medications:</t>
        </is>
      </c>
    </row>
    <row r="625">
      <c r="A625" t="inlineStr">
        <is>
          <t>532483-other-medications-0-0</t>
        </is>
      </c>
      <c r="B625" t="inlineStr"/>
      <c r="C625" t="inlineStr"/>
      <c r="D625">
        <f>HYPERLINK("http://nlpdeep.cs.uic.edu:8080/proofing/gsii/532483-other-medications-0-0.pdf","gsii/532483-other-medications-0-0.pdf")</f>
        <v/>
      </c>
      <c r="E625" t="n">
        <v>119960</v>
      </c>
      <c r="F625" t="n">
        <v>532483</v>
      </c>
      <c r="G625" t="inlineStr">
        <is>
          <t>Physician</t>
        </is>
      </c>
      <c r="H625" t="inlineStr">
        <is>
          <t>other-medications</t>
        </is>
      </c>
      <c r="I625" t="inlineStr">
        <is>
          <t>Morphine Sulfate - [**2141-4-6**] 09:30 PM
   Other medications:</t>
        </is>
      </c>
    </row>
    <row r="626">
      <c r="A626" t="inlineStr">
        <is>
          <t>532483-past-medical-history-0-0</t>
        </is>
      </c>
      <c r="B626" t="inlineStr"/>
      <c r="C626" t="inlineStr"/>
      <c r="D626">
        <f>HYPERLINK("http://nlpdeep.cs.uic.edu:8080/proofing/t5/532483-past-medical-history-0-0.pdf","t5/532483-past-medical-history-0-0.pdf")</f>
        <v/>
      </c>
      <c r="E626" t="n">
        <v>119960</v>
      </c>
      <c r="F626" t="n">
        <v>532483</v>
      </c>
      <c r="G626" t="inlineStr">
        <is>
          <t>Physician</t>
        </is>
      </c>
      <c r="H626" t="inlineStr">
        <is>
          <t>past-medical-history</t>
        </is>
      </c>
      <c r="I626" t="inlineStr">
        <is>
          <t>n</t>
        </is>
      </c>
    </row>
    <row r="627">
      <c r="A627" t="inlineStr">
        <is>
          <t>532483-past-medical-history-0-0</t>
        </is>
      </c>
      <c r="B627" t="inlineStr"/>
      <c r="C627" t="inlineStr"/>
      <c r="D627">
        <f>HYPERLINK("http://nlpdeep.cs.uic.edu:8080/proofing/gsii/532483-past-medical-history-0-0.pdf","gsii/532483-past-medical-history-0-0.pdf")</f>
        <v/>
      </c>
      <c r="E627" t="n">
        <v>119960</v>
      </c>
      <c r="F627" t="n">
        <v>532483</v>
      </c>
      <c r="G627" t="inlineStr">
        <is>
          <t>Physician</t>
        </is>
      </c>
      <c r="H627" t="inlineStr">
        <is>
          <t>past-medical-history</t>
        </is>
      </c>
      <c r="I627" t="inlineStr">
        <is>
          <t>n</t>
        </is>
      </c>
    </row>
    <row r="628">
      <c r="A628" t="inlineStr">
        <is>
          <t>532483-review-of-systems-0-0</t>
        </is>
      </c>
      <c r="B628" t="inlineStr"/>
      <c r="C628" t="inlineStr"/>
      <c r="D628">
        <f>HYPERLINK("http://nlpdeep.cs.uic.edu:8080/proofing/t5/532483-review-of-systems-0-0.pdf","t5/532483-review-of-systems-0-0.pdf")</f>
        <v/>
      </c>
      <c r="E628" t="n">
        <v>119960</v>
      </c>
      <c r="F628" t="n">
        <v>532483</v>
      </c>
      <c r="G628" t="inlineStr">
        <is>
          <t>Physician</t>
        </is>
      </c>
      <c r="H628" t="inlineStr">
        <is>
          <t>review-of-systems</t>
        </is>
      </c>
      <c r="I628" t="inlineStr">
        <is>
          <t>n</t>
        </is>
      </c>
    </row>
    <row r="629">
      <c r="A629" t="inlineStr">
        <is>
          <t>532483-review-of-systems-0-0</t>
        </is>
      </c>
      <c r="B629" t="inlineStr"/>
      <c r="C629" t="inlineStr"/>
      <c r="D629">
        <f>HYPERLINK("http://nlpdeep.cs.uic.edu:8080/proofing/gsii/532483-review-of-systems-0-0.pdf","gsii/532483-review-of-systems-0-0.pdf")</f>
        <v/>
      </c>
      <c r="E629" t="n">
        <v>119960</v>
      </c>
      <c r="F629" t="n">
        <v>532483</v>
      </c>
      <c r="G629" t="inlineStr">
        <is>
          <t>Physician</t>
        </is>
      </c>
      <c r="H629" t="inlineStr">
        <is>
          <t>review-of-systems</t>
        </is>
      </c>
      <c r="I629" t="inlineStr">
        <is>
          <t>n</t>
        </is>
      </c>
    </row>
    <row r="630">
      <c r="A630" t="inlineStr">
        <is>
          <t>532483-labs-imaging-0-0</t>
        </is>
      </c>
      <c r="B630" t="inlineStr"/>
      <c r="C630" t="inlineStr"/>
      <c r="D630">
        <f>HYPERLINK("http://nlpdeep.cs.uic.edu:8080/proofing/t5/532483-labs-imaging-0-0.pdf","t5/532483-labs-imaging-0-0.pdf")</f>
        <v/>
      </c>
      <c r="E630" t="n">
        <v>119960</v>
      </c>
      <c r="F630" t="n">
        <v>532483</v>
      </c>
      <c r="G630" t="inlineStr">
        <is>
          <t>Physician</t>
        </is>
      </c>
      <c r="H630" t="inlineStr">
        <is>
          <t>labs-imaging</t>
        </is>
      </c>
      <c r="I630" t="inlineStr">
        <is>
          <t>110 K/uL
   10.3 g/dL
   106 mg/dL
   2.4 mg/dL
   24 mEq/L
   7.3 mEq/L
   56 mg/dL
   101 mEq/L
   139 mEq/L
   29.7 %
   5.9 K/uL
        [image002.jpg]
                             [**2141-4-6**]  08:20 PM
                             [**2141-4-7**]  04:57 AM
   WBC
   8.2
   5.9
   Hct
   22.8
   29.7
   Plt
   128
   110
   Cr
   2.4
   Glucose
   106
   Other labs: PT / PTT / INR:13.6/32.2/1.2, Lactic Acid:0.9 mmol/L,
   Ca++:8.5 mg/dL, Mg++:2.1 mg/dL, PO4:6.8 mg/dL
   Cortisol 26.4
   UA hazy pink 1.008, lg blood, neg nitrite, neg leuk pH 6.5; sed 388 R,
   0 W, no bact/yeast, 2 hyaline casts
   Urine lytes: 10pm -= BUN 323, Cr 26, Na 78 (at 3pm serum levels 140 /
   65 / 2.7) = FEUN 51.6%, FeNa 5%
   Blood cx X2 pending; urine legionella negative; urine culture pending
   [**4-7**] CXR - u</t>
        </is>
      </c>
    </row>
    <row r="631">
      <c r="A631" t="inlineStr">
        <is>
          <t>532483-labs-imaging-0-0</t>
        </is>
      </c>
      <c r="B631" t="inlineStr"/>
      <c r="C631" t="inlineStr"/>
      <c r="D631">
        <f>HYPERLINK("http://nlpdeep.cs.uic.edu:8080/proofing/gsii/532483-labs-imaging-0-0.pdf","gsii/532483-labs-imaging-0-0.pdf")</f>
        <v/>
      </c>
      <c r="E631" t="n">
        <v>119960</v>
      </c>
      <c r="F631" t="n">
        <v>532483</v>
      </c>
      <c r="G631" t="inlineStr">
        <is>
          <t>Physician</t>
        </is>
      </c>
      <c r="H631" t="inlineStr">
        <is>
          <t>labs-imaging</t>
        </is>
      </c>
      <c r="I631" t="inlineStr">
        <is>
          <t>110 K/uL
   10.3 g/dL
   106 mg/dL
   2.4 mg/dL
   24 mEq/L
   7.3 mEq/L
   56 mg/dL
   101 mEq/L
   139 mEq/L
   29.7 %
   5.9 K/uL
        [image002.jpg]
                             [**2141-4-6**]  08:20 PM
                             [**2141-4-7**]  04:57 AM
   WBC
   8.2
   5.9
   Hct
   22.8
   29.7
   Plt
   128
   110
   Cr
   2.4
   Glucose
   106
   Other labs: PT / PTT / INR:13.6/32.2/1.2, Lactic Acid:0.9 mmol/L,
   Ca++:8.5 mg/dL, Mg++:2.1 mg/dL, PO4:6.8 mg/dL
   Cortisol 26.4
   UA hazy pink 1.008, lg blood, neg nitrite, neg leuk pH 6.5; sed 388 R,
   0 W, no bact/yeast, 2 hyaline casts
   Urine lytes: 10pm -= BUN 323, Cr 26, Na 78 (at 3pm serum levels 140 /
   65 / 2.7) = FEUN 51.6%, FeNa 5%
   Blood cx X2 pending; urine legionella negative; urine culture pending
   [**4-7**] CXR - u</t>
        </is>
      </c>
    </row>
    <row r="632">
      <c r="A632" t="inlineStr">
        <is>
          <t>532483-physical-examination-0-0</t>
        </is>
      </c>
      <c r="B632" t="inlineStr"/>
      <c r="C632" t="inlineStr"/>
      <c r="D632">
        <f>HYPERLINK("http://nlpdeep.cs.uic.edu:8080/proofing/t5/532483-physical-examination-0-0.pdf","t5/532483-physical-examination-0-0.pdf")</f>
        <v/>
      </c>
      <c r="E632" t="n">
        <v>119960</v>
      </c>
      <c r="F632" t="n">
        <v>532483</v>
      </c>
      <c r="G632" t="inlineStr">
        <is>
          <t>Physician</t>
        </is>
      </c>
      <c r="H632" t="inlineStr">
        <is>
          <t>physical-examination</t>
        </is>
      </c>
      <c r="I632" t="inlineStr">
        <is>
          <t>Extremities: 1+ DP bilaterally; extremities warm; 2+ pitting edema
   bilaterally.</t>
        </is>
      </c>
    </row>
    <row r="633">
      <c r="A633" t="inlineStr">
        <is>
          <t>532483-physical-examination-0-0</t>
        </is>
      </c>
      <c r="B633" t="inlineStr"/>
      <c r="C633" t="inlineStr"/>
      <c r="D633">
        <f>HYPERLINK("http://nlpdeep.cs.uic.edu:8080/proofing/gsii/532483-physical-examination-0-0.pdf","gsii/532483-physical-examination-0-0.pdf")</f>
        <v/>
      </c>
      <c r="E633" t="n">
        <v>119960</v>
      </c>
      <c r="F633" t="n">
        <v>532483</v>
      </c>
      <c r="G633" t="inlineStr">
        <is>
          <t>Physician</t>
        </is>
      </c>
      <c r="H633" t="inlineStr">
        <is>
          <t>physical-examination</t>
        </is>
      </c>
      <c r="I633" t="inlineStr">
        <is>
          <t>Extremities: 1+ DP bilaterally; extremities warm; 2+ pitting edema
   bilaterally.</t>
        </is>
      </c>
    </row>
    <row r="634">
      <c r="A634" t="inlineStr">
        <is>
          <t>532483-physical-examination-0-1</t>
        </is>
      </c>
      <c r="B634" t="inlineStr"/>
      <c r="C634" t="inlineStr"/>
      <c r="D634">
        <f>HYPERLINK("http://nlpdeep.cs.uic.edu:8080/proofing/t5/532483-physical-examination-0-1.pdf","t5/532483-physical-examination-0-1.pdf")</f>
        <v/>
      </c>
      <c r="E634" t="n">
        <v>119960</v>
      </c>
      <c r="F634" t="n">
        <v>532483</v>
      </c>
      <c r="G634" t="inlineStr">
        <is>
          <t>Physician</t>
        </is>
      </c>
      <c r="H634" t="inlineStr">
        <is>
          <t>physical-examination</t>
        </is>
      </c>
      <c r="I634" t="inlineStr">
        <is>
          <t>Signs of chronic venous insufficiency present bilaterally.</t>
        </is>
      </c>
    </row>
    <row r="635">
      <c r="A635" t="inlineStr">
        <is>
          <t>532483-physical-examination-0-1</t>
        </is>
      </c>
      <c r="B635" t="inlineStr"/>
      <c r="C635" t="inlineStr"/>
      <c r="D635">
        <f>HYPERLINK("http://nlpdeep.cs.uic.edu:8080/proofing/gsii/532483-physical-examination-0-1.pdf","gsii/532483-physical-examination-0-1.pdf")</f>
        <v/>
      </c>
      <c r="E635" t="n">
        <v>119960</v>
      </c>
      <c r="F635" t="n">
        <v>532483</v>
      </c>
      <c r="G635" t="inlineStr">
        <is>
          <t>Physician</t>
        </is>
      </c>
      <c r="H635" t="inlineStr">
        <is>
          <t>physical-examination</t>
        </is>
      </c>
      <c r="I635" t="inlineStr">
        <is>
          <t>Signs of chronic venous insufficiency present bilaterally.</t>
        </is>
      </c>
    </row>
    <row r="636">
      <c r="A636" t="inlineStr">
        <is>
          <t>532483-physical-examination-0-2</t>
        </is>
      </c>
      <c r="B636" t="inlineStr"/>
      <c r="C636" t="inlineStr"/>
      <c r="D636">
        <f>HYPERLINK("http://nlpdeep.cs.uic.edu:8080/proofing/t5/532483-physical-examination-0-2.pdf","t5/532483-physical-examination-0-2.pdf")</f>
        <v/>
      </c>
      <c r="E636" t="n">
        <v>119960</v>
      </c>
      <c r="F636" t="n">
        <v>532483</v>
      </c>
      <c r="G636" t="inlineStr">
        <is>
          <t>Physician</t>
        </is>
      </c>
      <c r="H636" t="inlineStr">
        <is>
          <t>physical-examination</t>
        </is>
      </c>
      <c r="I636" t="inlineStr">
        <is>
          <t xml:space="preserve">
   Left leg wrapped in ACE; no pneumoboots present.</t>
        </is>
      </c>
    </row>
    <row r="637">
      <c r="A637" t="inlineStr">
        <is>
          <t>532483-physical-examination-0-2</t>
        </is>
      </c>
      <c r="B637" t="inlineStr"/>
      <c r="C637" t="inlineStr"/>
      <c r="D637">
        <f>HYPERLINK("http://nlpdeep.cs.uic.edu:8080/proofing/gsii/532483-physical-examination-0-2.pdf","gsii/532483-physical-examination-0-2.pdf")</f>
        <v/>
      </c>
      <c r="E637" t="n">
        <v>119960</v>
      </c>
      <c r="F637" t="n">
        <v>532483</v>
      </c>
      <c r="G637" t="inlineStr">
        <is>
          <t>Physician</t>
        </is>
      </c>
      <c r="H637" t="inlineStr">
        <is>
          <t>physical-examination</t>
        </is>
      </c>
      <c r="I637" t="inlineStr">
        <is>
          <t xml:space="preserve">
   Left leg wrapped in ACE; no pneumoboots present.</t>
        </is>
      </c>
    </row>
    <row r="638">
      <c r="A638" t="inlineStr">
        <is>
          <t>532483-physical-examination-0-3</t>
        </is>
      </c>
      <c r="B638" t="inlineStr"/>
      <c r="C638" t="inlineStr"/>
      <c r="D638">
        <f>HYPERLINK("http://nlpdeep.cs.uic.edu:8080/proofing/t5/532483-physical-examination-0-3.pdf","t5/532483-physical-examination-0-3.pdf")</f>
        <v/>
      </c>
      <c r="E638" t="n">
        <v>119960</v>
      </c>
      <c r="F638" t="n">
        <v>532483</v>
      </c>
      <c r="G638" t="inlineStr">
        <is>
          <t>Physician</t>
        </is>
      </c>
      <c r="H638" t="inlineStr">
        <is>
          <t>physical-examination</t>
        </is>
      </c>
      <c r="I638" t="inlineStr">
        <is>
          <t xml:space="preserve">
   Skin:  Multiple ecchymoses on arms bilaterally
   Neurologic: Alert and oriented, maintains closed eyes throughout much
   of the conversation.</t>
        </is>
      </c>
    </row>
    <row r="639">
      <c r="A639" t="inlineStr">
        <is>
          <t>532483-physical-examination-0-3</t>
        </is>
      </c>
      <c r="B639" t="inlineStr"/>
      <c r="C639" t="inlineStr"/>
      <c r="D639">
        <f>HYPERLINK("http://nlpdeep.cs.uic.edu:8080/proofing/gsii/532483-physical-examination-0-3.pdf","gsii/532483-physical-examination-0-3.pdf")</f>
        <v/>
      </c>
      <c r="E639" t="n">
        <v>119960</v>
      </c>
      <c r="F639" t="n">
        <v>532483</v>
      </c>
      <c r="G639" t="inlineStr">
        <is>
          <t>Physician</t>
        </is>
      </c>
      <c r="H639" t="inlineStr">
        <is>
          <t>physical-examination</t>
        </is>
      </c>
      <c r="I639" t="inlineStr">
        <is>
          <t xml:space="preserve">
   Skin:  Multiple ecchymoses on arms bilaterally
   Neurologic: Alert and oriented, maintains closed eyes throughout much
   of the conversation.</t>
        </is>
      </c>
    </row>
    <row r="640">
      <c r="A640" t="inlineStr">
        <is>
          <t>532483-physical-examination-0-4</t>
        </is>
      </c>
      <c r="B640" t="inlineStr"/>
      <c r="C640" t="inlineStr"/>
      <c r="D640">
        <f>HYPERLINK("http://nlpdeep.cs.uic.edu:8080/proofing/t5/532483-physical-examination-0-4.pdf","t5/532483-physical-examination-0-4.pdf")</f>
        <v/>
      </c>
      <c r="E640" t="n">
        <v>119960</v>
      </c>
      <c r="F640" t="n">
        <v>532483</v>
      </c>
      <c r="G640" t="inlineStr">
        <is>
          <t>Physician</t>
        </is>
      </c>
      <c r="H640" t="inlineStr">
        <is>
          <t>physical-examination</t>
        </is>
      </c>
      <c r="I640" t="inlineStr">
        <is>
          <t>Intention tremor present (baseline)
   CV: Irregularly irregular rhythm, normal rate, no murmur/rub/gallop
   Pulm: rhonchorous breath sounds present bilaterally, otherwise clear
   Ab: Generally soft but mildly firm in RLQ&gt;LLQ, BS present, non-t</t>
        </is>
      </c>
    </row>
    <row r="641">
      <c r="A641" t="inlineStr">
        <is>
          <t>532483-physical-examination-0-4</t>
        </is>
      </c>
      <c r="B641" t="inlineStr"/>
      <c r="C641" t="inlineStr"/>
      <c r="D641">
        <f>HYPERLINK("http://nlpdeep.cs.uic.edu:8080/proofing/gsii/532483-physical-examination-0-4.pdf","gsii/532483-physical-examination-0-4.pdf")</f>
        <v/>
      </c>
      <c r="E641" t="n">
        <v>119960</v>
      </c>
      <c r="F641" t="n">
        <v>532483</v>
      </c>
      <c r="G641" t="inlineStr">
        <is>
          <t>Physician</t>
        </is>
      </c>
      <c r="H641" t="inlineStr">
        <is>
          <t>physical-examination</t>
        </is>
      </c>
      <c r="I641" t="inlineStr">
        <is>
          <t>Intention tremor present (baseline)
   CV: Irregularly irregular rhythm, normal rate, no murmur/rub/gallop
   Pulm: rhonchorous breath sounds present bilaterally, otherwise clear
   Ab: Generally soft but mildly firm in RLQ&gt;LLQ, BS present, non-t</t>
        </is>
      </c>
    </row>
    <row r="642">
      <c r="A642" t="inlineStr">
        <is>
          <t>532483-assessment-and-plan-0-0</t>
        </is>
      </c>
      <c r="B642" t="inlineStr"/>
      <c r="C642" t="inlineStr"/>
      <c r="D642">
        <f>HYPERLINK("http://nlpdeep.cs.uic.edu:8080/proofing/t5/532483-assessment-and-plan-0-0.pdf","t5/532483-assessment-and-plan-0-0.pdf")</f>
        <v/>
      </c>
      <c r="E642" t="n">
        <v>119960</v>
      </c>
      <c r="F642" t="n">
        <v>532483</v>
      </c>
      <c r="G642" t="inlineStr">
        <is>
          <t>Physician</t>
        </is>
      </c>
      <c r="H642" t="inlineStr">
        <is>
          <t>assessment-and-plan</t>
        </is>
      </c>
      <c r="I642" t="inlineStr">
        <is>
          <t>ICU Care
   Nutrition:
   Glycemic Control:
   Lines:
   18 Gauge - [**2141-4-6**] 08:30 PM
   Prophylaxis:
   DVT:
   Stress ulcer:
   VAP:
   Comments:
   Communication:  Comments:
   Code status: Full code
   Disposition:</t>
        </is>
      </c>
    </row>
    <row r="643">
      <c r="A643" t="inlineStr">
        <is>
          <t>532483-assessment-and-plan-0-0</t>
        </is>
      </c>
      <c r="B643" t="inlineStr"/>
      <c r="C643" t="inlineStr"/>
      <c r="D643">
        <f>HYPERLINK("http://nlpdeep.cs.uic.edu:8080/proofing/gsii/532483-assessment-and-plan-0-0.pdf","gsii/532483-assessment-and-plan-0-0.pdf")</f>
        <v/>
      </c>
      <c r="E643" t="n">
        <v>119960</v>
      </c>
      <c r="F643" t="n">
        <v>532483</v>
      </c>
      <c r="G643" t="inlineStr">
        <is>
          <t>Physician</t>
        </is>
      </c>
      <c r="H643" t="inlineStr">
        <is>
          <t>assessment-and-plan</t>
        </is>
      </c>
      <c r="I643" t="inlineStr">
        <is>
          <t>ICU Care
   Nutrition:
   Glycemic Control:
   Lines:
   18 Gauge - [**2141-4-6**] 08:30 PM
   Prophylaxis:
   DVT:
   Stress ulcer:
   VAP:
   Comments:
   Communication:  Comments:
   Code status: Full code
   Disposition:</t>
        </is>
      </c>
    </row>
    <row r="644">
      <c r="A644" t="inlineStr">
        <is>
          <t>532483-communication-0-0</t>
        </is>
      </c>
      <c r="B644" t="inlineStr"/>
      <c r="C644" t="inlineStr"/>
      <c r="D644">
        <f>HYPERLINK("http://nlpdeep.cs.uic.edu:8080/proofing/t5/532483-communication-0-0.pdf","t5/532483-communication-0-0.pdf")</f>
        <v/>
      </c>
      <c r="E644" t="n">
        <v>119960</v>
      </c>
      <c r="F644" t="n">
        <v>532483</v>
      </c>
      <c r="G644" t="inlineStr">
        <is>
          <t>Physician</t>
        </is>
      </c>
      <c r="H644" t="inlineStr">
        <is>
          <t>communication</t>
        </is>
      </c>
      <c r="I644" t="inlineStr">
        <is>
          <t>Patient, wife [**Name (NI) **] [**Name (NI) 14060**] [</t>
        </is>
      </c>
    </row>
    <row r="645">
      <c r="A645" t="inlineStr">
        <is>
          <t>532483-communication-0-0</t>
        </is>
      </c>
      <c r="B645" t="inlineStr"/>
      <c r="C645" t="inlineStr"/>
      <c r="D645">
        <f>HYPERLINK("http://nlpdeep.cs.uic.edu:8080/proofing/gsii/532483-communication-0-0.pdf","gsii/532483-communication-0-0.pdf")</f>
        <v/>
      </c>
      <c r="E645" t="n">
        <v>119960</v>
      </c>
      <c r="F645" t="n">
        <v>532483</v>
      </c>
      <c r="G645" t="inlineStr">
        <is>
          <t>Physician</t>
        </is>
      </c>
      <c r="H645" t="inlineStr">
        <is>
          <t>communication</t>
        </is>
      </c>
      <c r="I645" t="inlineStr">
        <is>
          <t>Patient, wife [**Name (NI) **] [**Name (NI) 14060**] [</t>
        </is>
      </c>
    </row>
    <row r="646">
      <c r="A646" t="inlineStr">
        <is>
          <t>532483-code-status-0-0</t>
        </is>
      </c>
      <c r="B646" t="inlineStr"/>
      <c r="C646" t="inlineStr"/>
      <c r="D646">
        <f>HYPERLINK("http://nlpdeep.cs.uic.edu:8080/proofing/t5/532483-code-status-0-0.pdf","t5/532483-code-status-0-0.pdf")</f>
        <v/>
      </c>
      <c r="E646" t="n">
        <v>119960</v>
      </c>
      <c r="F646" t="n">
        <v>532483</v>
      </c>
      <c r="G646" t="inlineStr">
        <is>
          <t>Physician</t>
        </is>
      </c>
      <c r="H646" t="inlineStr">
        <is>
          <t>code-status</t>
        </is>
      </c>
      <c r="I646" t="inlineStr">
        <is>
          <t>Full code for acute situations and OR but does not wish to be
   chronically vented (discussed with patient and wife)</t>
        </is>
      </c>
    </row>
    <row r="647">
      <c r="A647" t="inlineStr">
        <is>
          <t>532483-code-status-0-0</t>
        </is>
      </c>
      <c r="B647" t="inlineStr"/>
      <c r="C647" t="inlineStr"/>
      <c r="D647">
        <f>HYPERLINK("http://nlpdeep.cs.uic.edu:8080/proofing/gsii/532483-code-status-0-0.pdf","gsii/532483-code-status-0-0.pdf")</f>
        <v/>
      </c>
      <c r="E647" t="n">
        <v>119960</v>
      </c>
      <c r="F647" t="n">
        <v>532483</v>
      </c>
      <c r="G647" t="inlineStr">
        <is>
          <t>Physician</t>
        </is>
      </c>
      <c r="H647" t="inlineStr">
        <is>
          <t>code-status</t>
        </is>
      </c>
      <c r="I647" t="inlineStr">
        <is>
          <t>Full code for acute situations and OR but does not wish to be
   chronically vented (discussed with patient and wife)</t>
        </is>
      </c>
    </row>
    <row r="648">
      <c r="A648" t="inlineStr">
        <is>
          <t>532483-disposition-0-0</t>
        </is>
      </c>
      <c r="B648" t="inlineStr"/>
      <c r="C648" t="inlineStr"/>
      <c r="D648">
        <f>HYPERLINK("http://nlpdeep.cs.uic.edu:8080/proofing/t5/532483-disposition-0-0.pdf","t5/532483-disposition-0-0.pdf")</f>
        <v/>
      </c>
      <c r="E648" t="n">
        <v>119960</v>
      </c>
      <c r="F648" t="n">
        <v>532483</v>
      </c>
      <c r="G648" t="inlineStr">
        <is>
          <t>Physician</t>
        </is>
      </c>
      <c r="H648" t="inlineStr">
        <is>
          <t>disposition</t>
        </is>
      </c>
      <c r="I648" t="inlineStr">
        <is>
          <t>ICU pending clinical i</t>
        </is>
      </c>
    </row>
    <row r="649">
      <c r="A649" t="inlineStr">
        <is>
          <t>532483-disposition-0-0</t>
        </is>
      </c>
      <c r="B649" t="inlineStr"/>
      <c r="C649" t="inlineStr"/>
      <c r="D649">
        <f>HYPERLINK("http://nlpdeep.cs.uic.edu:8080/proofing/gsii/532483-disposition-0-0.pdf","gsii/532483-disposition-0-0.pdf")</f>
        <v/>
      </c>
      <c r="E649" t="n">
        <v>119960</v>
      </c>
      <c r="F649" t="n">
        <v>532483</v>
      </c>
      <c r="G649" t="inlineStr">
        <is>
          <t>Physician</t>
        </is>
      </c>
      <c r="H649" t="inlineStr">
        <is>
          <t>disposition</t>
        </is>
      </c>
      <c r="I649" t="inlineStr">
        <is>
          <t>ICU pending clinical i</t>
        </is>
      </c>
    </row>
    <row r="650">
      <c r="A650" t="inlineStr">
        <is>
          <t>532409-chief-complaint-0-0</t>
        </is>
      </c>
      <c r="B650" t="inlineStr"/>
      <c r="C650" t="inlineStr"/>
      <c r="D650">
        <f>HYPERLINK("http://nlpdeep.cs.uic.edu:8080/proofing/t5/532409-chief-complaint-0-0.pdf","t5/532409-chief-complaint-0-0.pdf")</f>
        <v/>
      </c>
      <c r="E650" t="n">
        <v>119960</v>
      </c>
      <c r="F650" t="n">
        <v>532409</v>
      </c>
      <c r="G650" t="inlineStr">
        <is>
          <t>Physician</t>
        </is>
      </c>
      <c r="H650" t="inlineStr">
        <is>
          <t>chief-complaint</t>
        </is>
      </c>
      <c r="I650" t="inlineStr">
        <is>
          <t>hypotension, h</t>
        </is>
      </c>
    </row>
    <row r="651">
      <c r="A651" t="inlineStr">
        <is>
          <t>532409-chief-complaint-0-0</t>
        </is>
      </c>
      <c r="B651" t="inlineStr"/>
      <c r="C651" t="inlineStr"/>
      <c r="D651">
        <f>HYPERLINK("http://nlpdeep.cs.uic.edu:8080/proofing/gsii/532409-chief-complaint-0-0.pdf","gsii/532409-chief-complaint-0-0.pdf")</f>
        <v/>
      </c>
      <c r="E651" t="n">
        <v>119960</v>
      </c>
      <c r="F651" t="n">
        <v>532409</v>
      </c>
      <c r="G651" t="inlineStr">
        <is>
          <t>Physician</t>
        </is>
      </c>
      <c r="H651" t="inlineStr">
        <is>
          <t>chief-complaint</t>
        </is>
      </c>
      <c r="I651" t="inlineStr">
        <is>
          <t>hypotension, h</t>
        </is>
      </c>
    </row>
    <row r="652">
      <c r="A652" t="inlineStr">
        <is>
          <t>532409-history-of-present-illness-0-0</t>
        </is>
      </c>
      <c r="B652" t="inlineStr"/>
      <c r="C652" t="inlineStr"/>
      <c r="D652">
        <f>HYPERLINK("http://nlpdeep.cs.uic.edu:8080/proofing/t5/532409-history-of-present-illness-0-0.pdf","t5/532409-history-of-present-illness-0-0.pdf")</f>
        <v/>
      </c>
      <c r="E652" t="n">
        <v>119960</v>
      </c>
      <c r="F652" t="n">
        <v>532409</v>
      </c>
      <c r="G652" t="inlineStr">
        <is>
          <t>Physician</t>
        </is>
      </c>
      <c r="H652" t="inlineStr">
        <is>
          <t>history-of-present-illness</t>
        </is>
      </c>
      <c r="I652" t="inlineStr">
        <is>
          <t>Mr. [**Known lastname 14060**] is an 87 yo male with a history of diastolic CHF (EF 65%
   1/10), AFib not on coumadin, mild AS, stage IV CKD, and HTN, who
   presented from acute rehab after falling at his nursing home.</t>
        </is>
      </c>
    </row>
    <row r="653">
      <c r="A653" t="inlineStr">
        <is>
          <t>532409-history-of-present-illness-0-0</t>
        </is>
      </c>
      <c r="B653" t="inlineStr"/>
      <c r="C653" t="inlineStr"/>
      <c r="D653">
        <f>HYPERLINK("http://nlpdeep.cs.uic.edu:8080/proofing/gsii/532409-history-of-present-illness-0-0.pdf","gsii/532409-history-of-present-illness-0-0.pdf")</f>
        <v/>
      </c>
      <c r="E653" t="n">
        <v>119960</v>
      </c>
      <c r="F653" t="n">
        <v>532409</v>
      </c>
      <c r="G653" t="inlineStr">
        <is>
          <t>Physician</t>
        </is>
      </c>
      <c r="H653" t="inlineStr">
        <is>
          <t>history-of-present-illness</t>
        </is>
      </c>
      <c r="I653" t="inlineStr">
        <is>
          <t>Mr. [**Known lastname 14060**] is an 87 yo male with a history of diastolic CHF (EF 65%
   1/10), AFib not on coumadin, mild AS, stage IV CKD, and HTN, who
   presented from acute rehab after falling at his nursing home.</t>
        </is>
      </c>
    </row>
    <row r="654">
      <c r="A654" t="inlineStr">
        <is>
          <t>532409-history-of-present-illness-0-1</t>
        </is>
      </c>
      <c r="B654" t="inlineStr"/>
      <c r="C654" t="inlineStr"/>
      <c r="D654">
        <f>HYPERLINK("http://nlpdeep.cs.uic.edu:8080/proofing/t5/532409-history-of-present-illness-0-1.pdf","t5/532409-history-of-present-illness-0-1.pdf")</f>
        <v/>
      </c>
      <c r="E654" t="n">
        <v>119960</v>
      </c>
      <c r="F654" t="n">
        <v>532409</v>
      </c>
      <c r="G654" t="inlineStr">
        <is>
          <t>Physician</t>
        </is>
      </c>
      <c r="H654" t="inlineStr">
        <is>
          <t>history-of-present-illness</t>
        </is>
      </c>
      <c r="I654" t="inlineStr">
        <is>
          <t xml:space="preserve">
   Yesterday he had been feeling well, walking with PT (using a walker)
   and feeling well.</t>
        </is>
      </c>
    </row>
    <row r="655">
      <c r="A655" t="inlineStr">
        <is>
          <t>532409-history-of-present-illness-0-1</t>
        </is>
      </c>
      <c r="B655" t="inlineStr"/>
      <c r="C655" t="inlineStr"/>
      <c r="D655">
        <f>HYPERLINK("http://nlpdeep.cs.uic.edu:8080/proofing/gsii/532409-history-of-present-illness-0-1.pdf","gsii/532409-history-of-present-illness-0-1.pdf")</f>
        <v/>
      </c>
      <c r="E655" t="n">
        <v>119960</v>
      </c>
      <c r="F655" t="n">
        <v>532409</v>
      </c>
      <c r="G655" t="inlineStr">
        <is>
          <t>Physician</t>
        </is>
      </c>
      <c r="H655" t="inlineStr">
        <is>
          <t>history-of-present-illness</t>
        </is>
      </c>
      <c r="I655" t="inlineStr">
        <is>
          <t xml:space="preserve">
   Yesterday he had been feeling well, walking with PT (using a walker)
   and feeling well.</t>
        </is>
      </c>
    </row>
    <row r="656">
      <c r="A656" t="inlineStr">
        <is>
          <t>532409-history-of-present-illness-0-2</t>
        </is>
      </c>
      <c r="B656" t="inlineStr"/>
      <c r="C656" t="inlineStr"/>
      <c r="D656">
        <f>HYPERLINK("http://nlpdeep.cs.uic.edu:8080/proofing/t5/532409-history-of-present-illness-0-2.pdf","t5/532409-history-of-present-illness-0-2.pdf")</f>
        <v/>
      </c>
      <c r="E656" t="n">
        <v>119960</v>
      </c>
      <c r="F656" t="n">
        <v>532409</v>
      </c>
      <c r="G656" t="inlineStr">
        <is>
          <t>Physician</t>
        </is>
      </c>
      <c r="H656" t="inlineStr">
        <is>
          <t>history-of-present-illness</t>
        </is>
      </c>
      <c r="I656" t="inlineStr">
        <is>
          <t>Today he was reaching onto a shelf for batteries when
   he turned too quickly and twisted his left foot under him, falling on
   his left side and left arm.</t>
        </is>
      </c>
    </row>
    <row r="657">
      <c r="A657" t="inlineStr">
        <is>
          <t>532409-history-of-present-illness-0-2</t>
        </is>
      </c>
      <c r="B657" t="inlineStr"/>
      <c r="C657" t="inlineStr"/>
      <c r="D657">
        <f>HYPERLINK("http://nlpdeep.cs.uic.edu:8080/proofing/gsii/532409-history-of-present-illness-0-2.pdf","gsii/532409-history-of-present-illness-0-2.pdf")</f>
        <v/>
      </c>
      <c r="E657" t="n">
        <v>119960</v>
      </c>
      <c r="F657" t="n">
        <v>532409</v>
      </c>
      <c r="G657" t="inlineStr">
        <is>
          <t>Physician</t>
        </is>
      </c>
      <c r="H657" t="inlineStr">
        <is>
          <t>history-of-present-illness</t>
        </is>
      </c>
      <c r="I657" t="inlineStr">
        <is>
          <t>Today he was reaching onto a shelf for batteries when
   he turned too quickly and twisted his left foot under him, falling on
   his left side and left arm.</t>
        </is>
      </c>
    </row>
    <row r="658">
      <c r="A658" t="inlineStr">
        <is>
          <t>532409-history-of-present-illness-0-3</t>
        </is>
      </c>
      <c r="B658" t="inlineStr"/>
      <c r="C658" t="inlineStr"/>
      <c r="D658">
        <f>HYPERLINK("http://nlpdeep.cs.uic.edu:8080/proofing/t5/532409-history-of-present-illness-0-3.pdf","t5/532409-history-of-present-illness-0-3.pdf")</f>
        <v/>
      </c>
      <c r="E658" t="n">
        <v>119960</v>
      </c>
      <c r="F658" t="n">
        <v>532409</v>
      </c>
      <c r="G658" t="inlineStr">
        <is>
          <t>Physician</t>
        </is>
      </c>
      <c r="H658" t="inlineStr">
        <is>
          <t>history-of-present-illness</t>
        </is>
      </c>
      <c r="I658" t="inlineStr">
        <is>
          <t>He was sent from rehab to the ED.</t>
        </is>
      </c>
    </row>
    <row r="659">
      <c r="A659" t="inlineStr">
        <is>
          <t>532409-history-of-present-illness-0-3</t>
        </is>
      </c>
      <c r="B659" t="inlineStr"/>
      <c r="C659" t="inlineStr"/>
      <c r="D659">
        <f>HYPERLINK("http://nlpdeep.cs.uic.edu:8080/proofing/gsii/532409-history-of-present-illness-0-3.pdf","gsii/532409-history-of-present-illness-0-3.pdf")</f>
        <v/>
      </c>
      <c r="E659" t="n">
        <v>119960</v>
      </c>
      <c r="F659" t="n">
        <v>532409</v>
      </c>
      <c r="G659" t="inlineStr">
        <is>
          <t>Physician</t>
        </is>
      </c>
      <c r="H659" t="inlineStr">
        <is>
          <t>history-of-present-illness</t>
        </is>
      </c>
      <c r="I659" t="inlineStr">
        <is>
          <t>He was sent from rehab to the ED.</t>
        </is>
      </c>
    </row>
    <row r="660">
      <c r="A660" t="inlineStr">
        <is>
          <t>532409-history-of-present-illness-0-4</t>
        </is>
      </c>
      <c r="B660" t="inlineStr"/>
      <c r="C660" t="inlineStr"/>
      <c r="D660">
        <f>HYPERLINK("http://nlpdeep.cs.uic.edu:8080/proofing/t5/532409-history-of-present-illness-0-4.pdf","t5/532409-history-of-present-illness-0-4.pdf")</f>
        <v/>
      </c>
      <c r="E660" t="n">
        <v>119960</v>
      </c>
      <c r="F660" t="n">
        <v>532409</v>
      </c>
      <c r="G660" t="inlineStr">
        <is>
          <t>Physician</t>
        </is>
      </c>
      <c r="H660" t="inlineStr">
        <is>
          <t>history-of-present-illness</t>
        </is>
      </c>
      <c r="I660" t="inlineStr">
        <is>
          <t xml:space="preserve"> On exam,
   his hip was externally rotated and shortened.</t>
        </is>
      </c>
    </row>
    <row r="661">
      <c r="A661" t="inlineStr">
        <is>
          <t>532409-history-of-present-illness-0-4</t>
        </is>
      </c>
      <c r="B661" t="inlineStr"/>
      <c r="C661" t="inlineStr"/>
      <c r="D661">
        <f>HYPERLINK("http://nlpdeep.cs.uic.edu:8080/proofing/gsii/532409-history-of-present-illness-0-4.pdf","gsii/532409-history-of-present-illness-0-4.pdf")</f>
        <v/>
      </c>
      <c r="E661" t="n">
        <v>119960</v>
      </c>
      <c r="F661" t="n">
        <v>532409</v>
      </c>
      <c r="G661" t="inlineStr">
        <is>
          <t>Physician</t>
        </is>
      </c>
      <c r="H661" t="inlineStr">
        <is>
          <t>history-of-present-illness</t>
        </is>
      </c>
      <c r="I661" t="inlineStr">
        <is>
          <t xml:space="preserve"> On exam,
   his hip was externally rotated and shortened.</t>
        </is>
      </c>
    </row>
    <row r="662">
      <c r="A662" t="inlineStr">
        <is>
          <t>532409-history-of-present-illness-0-5</t>
        </is>
      </c>
      <c r="B662" t="inlineStr"/>
      <c r="C662" t="inlineStr"/>
      <c r="D662">
        <f>HYPERLINK("http://nlpdeep.cs.uic.edu:8080/proofing/t5/532409-history-of-present-illness-0-5.pdf","t5/532409-history-of-present-illness-0-5.pdf")</f>
        <v/>
      </c>
      <c r="E662" t="n">
        <v>119960</v>
      </c>
      <c r="F662" t="n">
        <v>532409</v>
      </c>
      <c r="G662" t="inlineStr">
        <is>
          <t>Physician</t>
        </is>
      </c>
      <c r="H662" t="inlineStr">
        <is>
          <t>history-of-present-illness</t>
        </is>
      </c>
      <c r="I662" t="inlineStr">
        <is>
          <t xml:space="preserve"> He had no other
   complaints and denied loss of consciousness or hitting his head on the
   fall.</t>
        </is>
      </c>
    </row>
    <row r="663">
      <c r="A663" t="inlineStr">
        <is>
          <t>532409-history-of-present-illness-0-5</t>
        </is>
      </c>
      <c r="B663" t="inlineStr"/>
      <c r="C663" t="inlineStr"/>
      <c r="D663">
        <f>HYPERLINK("http://nlpdeep.cs.uic.edu:8080/proofing/gsii/532409-history-of-present-illness-0-5.pdf","gsii/532409-history-of-present-illness-0-5.pdf")</f>
        <v/>
      </c>
      <c r="E663" t="n">
        <v>119960</v>
      </c>
      <c r="F663" t="n">
        <v>532409</v>
      </c>
      <c r="G663" t="inlineStr">
        <is>
          <t>Physician</t>
        </is>
      </c>
      <c r="H663" t="inlineStr">
        <is>
          <t>history-of-present-illness</t>
        </is>
      </c>
      <c r="I663" t="inlineStr">
        <is>
          <t xml:space="preserve"> He had no other
   complaints and denied loss of consciousness or hitting his head on the
   fall.</t>
        </is>
      </c>
    </row>
    <row r="664">
      <c r="A664" t="inlineStr">
        <is>
          <t>532409-history-of-present-illness-0-6</t>
        </is>
      </c>
      <c r="B664" t="inlineStr"/>
      <c r="C664" t="inlineStr"/>
      <c r="D664">
        <f>HYPERLINK("http://nlpdeep.cs.uic.edu:8080/proofing/t5/532409-history-of-present-illness-0-6.pdf","t5/532409-history-of-present-illness-0-6.pdf")</f>
        <v/>
      </c>
      <c r="E664" t="n">
        <v>119960</v>
      </c>
      <c r="F664" t="n">
        <v>532409</v>
      </c>
      <c r="G664" t="inlineStr">
        <is>
          <t>Physician</t>
        </is>
      </c>
      <c r="H664" t="inlineStr">
        <is>
          <t>history-of-present-illness</t>
        </is>
      </c>
      <c r="I664" t="inlineStr">
        <is>
          <t xml:space="preserve"> Hct was 29.6 at rehab, Na 142, K 4.0, BUN 51, Creat 2.1, WBC
   6.8, Plt 215.</t>
        </is>
      </c>
    </row>
    <row r="665">
      <c r="A665" t="inlineStr">
        <is>
          <t>532409-history-of-present-illness-0-6</t>
        </is>
      </c>
      <c r="B665" t="inlineStr"/>
      <c r="C665" t="inlineStr"/>
      <c r="D665">
        <f>HYPERLINK("http://nlpdeep.cs.uic.edu:8080/proofing/gsii/532409-history-of-present-illness-0-6.pdf","gsii/532409-history-of-present-illness-0-6.pdf")</f>
        <v/>
      </c>
      <c r="E665" t="n">
        <v>119960</v>
      </c>
      <c r="F665" t="n">
        <v>532409</v>
      </c>
      <c r="G665" t="inlineStr">
        <is>
          <t>Physician</t>
        </is>
      </c>
      <c r="H665" t="inlineStr">
        <is>
          <t>history-of-present-illness</t>
        </is>
      </c>
      <c r="I665" t="inlineStr">
        <is>
          <t xml:space="preserve"> Hct was 29.6 at rehab, Na 142, K 4.0, BUN 51, Creat 2.1, WBC
   6.8, Plt 215.</t>
        </is>
      </c>
    </row>
    <row r="666">
      <c r="A666" t="inlineStr">
        <is>
          <t>532409-history-of-present-illness-1-0</t>
        </is>
      </c>
      <c r="B666" t="inlineStr"/>
      <c r="C666" t="inlineStr"/>
      <c r="D666">
        <f>HYPERLINK("http://nlpdeep.cs.uic.edu:8080/proofing/t5/532409-history-of-present-illness-1-0.pdf","t5/532409-history-of-present-illness-1-0.pdf")</f>
        <v/>
      </c>
      <c r="E666" t="n">
        <v>119960</v>
      </c>
      <c r="F666" t="n">
        <v>532409</v>
      </c>
      <c r="G666" t="inlineStr">
        <is>
          <t>Physician</t>
        </is>
      </c>
      <c r="H666" t="inlineStr">
        <is>
          <t>history-of-present-illness</t>
        </is>
      </c>
      <c r="I666" t="inlineStr">
        <is>
          <t xml:space="preserve">
   In the ED, triage vs were: T 96.3 P 60 BP 107/62 R 16 O2 sat 96% on RA,
   but he was then found to have systolic BP of 83-90s on exam.</t>
        </is>
      </c>
    </row>
    <row r="667">
      <c r="A667" t="inlineStr">
        <is>
          <t>532409-history-of-present-illness-1-0</t>
        </is>
      </c>
      <c r="B667" t="inlineStr"/>
      <c r="C667" t="inlineStr"/>
      <c r="D667">
        <f>HYPERLINK("http://nlpdeep.cs.uic.edu:8080/proofing/gsii/532409-history-of-present-illness-1-0.pdf","gsii/532409-history-of-present-illness-1-0.pdf")</f>
        <v/>
      </c>
      <c r="E667" t="n">
        <v>119960</v>
      </c>
      <c r="F667" t="n">
        <v>532409</v>
      </c>
      <c r="G667" t="inlineStr">
        <is>
          <t>Physician</t>
        </is>
      </c>
      <c r="H667" t="inlineStr">
        <is>
          <t>history-of-present-illness</t>
        </is>
      </c>
      <c r="I667" t="inlineStr">
        <is>
          <t xml:space="preserve">
   In the ED, triage vs were: T 96.3 P 60 BP 107/62 R 16 O2 sat 96% on RA,
   but he was then found to have systolic BP of 83-90s on exam.</t>
        </is>
      </c>
    </row>
    <row r="668">
      <c r="A668" t="inlineStr">
        <is>
          <t>532409-history-of-present-illness-1-1</t>
        </is>
      </c>
      <c r="B668" t="inlineStr"/>
      <c r="C668" t="inlineStr"/>
      <c r="D668">
        <f>HYPERLINK("http://nlpdeep.cs.uic.edu:8080/proofing/t5/532409-history-of-present-illness-1-1.pdf","t5/532409-history-of-present-illness-1-1.pdf")</f>
        <v/>
      </c>
      <c r="E668" t="n">
        <v>119960</v>
      </c>
      <c r="F668" t="n">
        <v>532409</v>
      </c>
      <c r="G668" t="inlineStr">
        <is>
          <t>Physician</t>
        </is>
      </c>
      <c r="H668" t="inlineStr">
        <is>
          <t>history-of-present-illness</t>
        </is>
      </c>
      <c r="I668" t="inlineStr">
        <is>
          <t>He had
   good peripheral pulses.</t>
        </is>
      </c>
    </row>
    <row r="669">
      <c r="A669" t="inlineStr">
        <is>
          <t>532409-history-of-present-illness-1-1</t>
        </is>
      </c>
      <c r="B669" t="inlineStr"/>
      <c r="C669" t="inlineStr"/>
      <c r="D669">
        <f>HYPERLINK("http://nlpdeep.cs.uic.edu:8080/proofing/gsii/532409-history-of-present-illness-1-1.pdf","gsii/532409-history-of-present-illness-1-1.pdf")</f>
        <v/>
      </c>
      <c r="E669" t="n">
        <v>119960</v>
      </c>
      <c r="F669" t="n">
        <v>532409</v>
      </c>
      <c r="G669" t="inlineStr">
        <is>
          <t>Physician</t>
        </is>
      </c>
      <c r="H669" t="inlineStr">
        <is>
          <t>history-of-present-illness</t>
        </is>
      </c>
      <c r="I669" t="inlineStr">
        <is>
          <t>He had
   good peripheral pulses.</t>
        </is>
      </c>
    </row>
    <row r="670">
      <c r="A670" t="inlineStr">
        <is>
          <t>532409-history-of-present-illness-1-2</t>
        </is>
      </c>
      <c r="B670" t="inlineStr"/>
      <c r="C670" t="inlineStr"/>
      <c r="D670">
        <f>HYPERLINK("http://nlpdeep.cs.uic.edu:8080/proofing/t5/532409-history-of-present-illness-1-2.pdf","t5/532409-history-of-present-illness-1-2.pdf")</f>
        <v/>
      </c>
      <c r="E670" t="n">
        <v>119960</v>
      </c>
      <c r="F670" t="n">
        <v>532409</v>
      </c>
      <c r="G670" t="inlineStr">
        <is>
          <t>Physician</t>
        </is>
      </c>
      <c r="H670" t="inlineStr">
        <is>
          <t>history-of-present-illness</t>
        </is>
      </c>
      <c r="I670" t="inlineStr">
        <is>
          <t xml:space="preserve"> He was evaluated for trauma and plain films of
   the left hip and femur were completed, showing multiple comminuted
   fractures for which the patient would need a THR.</t>
        </is>
      </c>
    </row>
    <row r="671">
      <c r="A671" t="inlineStr">
        <is>
          <t>532409-history-of-present-illness-1-2</t>
        </is>
      </c>
      <c r="B671" t="inlineStr"/>
      <c r="C671" t="inlineStr"/>
      <c r="D671">
        <f>HYPERLINK("http://nlpdeep.cs.uic.edu:8080/proofing/gsii/532409-history-of-present-illness-1-2.pdf","gsii/532409-history-of-present-illness-1-2.pdf")</f>
        <v/>
      </c>
      <c r="E671" t="n">
        <v>119960</v>
      </c>
      <c r="F671" t="n">
        <v>532409</v>
      </c>
      <c r="G671" t="inlineStr">
        <is>
          <t>Physician</t>
        </is>
      </c>
      <c r="H671" t="inlineStr">
        <is>
          <t>history-of-present-illness</t>
        </is>
      </c>
      <c r="I671" t="inlineStr">
        <is>
          <t xml:space="preserve"> He was evaluated for trauma and plain films of
   the left hip and femur were completed, showing multiple comminuted
   fractures for which the patient would need a THR.</t>
        </is>
      </c>
    </row>
    <row r="672">
      <c r="A672" t="inlineStr">
        <is>
          <t>532409-history-of-present-illness-1-3</t>
        </is>
      </c>
      <c r="B672" t="inlineStr"/>
      <c r="C672" t="inlineStr"/>
      <c r="D672">
        <f>HYPERLINK("http://nlpdeep.cs.uic.edu:8080/proofing/t5/532409-history-of-present-illness-1-3.pdf","t5/532409-history-of-present-illness-1-3.pdf")</f>
        <v/>
      </c>
      <c r="E672" t="n">
        <v>119960</v>
      </c>
      <c r="F672" t="n">
        <v>532409</v>
      </c>
      <c r="G672" t="inlineStr">
        <is>
          <t>Physician</t>
        </is>
      </c>
      <c r="H672" t="inlineStr">
        <is>
          <t>history-of-present-illness</t>
        </is>
      </c>
      <c r="I672" t="inlineStr">
        <is>
          <t xml:space="preserve"> CT C-spine showed no
   fracture or malalignment, and moderate multilevel degenerative change
   on preliminary read.</t>
        </is>
      </c>
    </row>
    <row r="673">
      <c r="A673" t="inlineStr">
        <is>
          <t>532409-history-of-present-illness-1-3</t>
        </is>
      </c>
      <c r="B673" t="inlineStr"/>
      <c r="C673" t="inlineStr"/>
      <c r="D673">
        <f>HYPERLINK("http://nlpdeep.cs.uic.edu:8080/proofing/gsii/532409-history-of-present-illness-1-3.pdf","gsii/532409-history-of-present-illness-1-3.pdf")</f>
        <v/>
      </c>
      <c r="E673" t="n">
        <v>119960</v>
      </c>
      <c r="F673" t="n">
        <v>532409</v>
      </c>
      <c r="G673" t="inlineStr">
        <is>
          <t>Physician</t>
        </is>
      </c>
      <c r="H673" t="inlineStr">
        <is>
          <t>history-of-present-illness</t>
        </is>
      </c>
      <c r="I673" t="inlineStr">
        <is>
          <t xml:space="preserve"> CT C-spine showed no
   fracture or malalignment, and moderate multilevel degenerative change
   on preliminary read.</t>
        </is>
      </c>
    </row>
    <row r="674">
      <c r="A674" t="inlineStr">
        <is>
          <t>532409-history-of-present-illness-1-4</t>
        </is>
      </c>
      <c r="B674" t="inlineStr"/>
      <c r="C674" t="inlineStr"/>
      <c r="D674">
        <f>HYPERLINK("http://nlpdeep.cs.uic.edu:8080/proofing/t5/532409-history-of-present-illness-1-4.pdf","t5/532409-history-of-present-illness-1-4.pdf")</f>
        <v/>
      </c>
      <c r="E674" t="n">
        <v>119960</v>
      </c>
      <c r="F674" t="n">
        <v>532409</v>
      </c>
      <c r="G674" t="inlineStr">
        <is>
          <t>Physician</t>
        </is>
      </c>
      <c r="H674" t="inlineStr">
        <is>
          <t>history-of-present-illness</t>
        </is>
      </c>
      <c r="I674" t="inlineStr">
        <is>
          <t>CT head without contrast showed no fracture or
   hemorrhage (preliminary read).</t>
        </is>
      </c>
    </row>
    <row r="675">
      <c r="A675" t="inlineStr">
        <is>
          <t>532409-history-of-present-illness-1-4</t>
        </is>
      </c>
      <c r="B675" t="inlineStr"/>
      <c r="C675" t="inlineStr"/>
      <c r="D675">
        <f>HYPERLINK("http://nlpdeep.cs.uic.edu:8080/proofing/gsii/532409-history-of-present-illness-1-4.pdf","gsii/532409-history-of-present-illness-1-4.pdf")</f>
        <v/>
      </c>
      <c r="E675" t="n">
        <v>119960</v>
      </c>
      <c r="F675" t="n">
        <v>532409</v>
      </c>
      <c r="G675" t="inlineStr">
        <is>
          <t>Physician</t>
        </is>
      </c>
      <c r="H675" t="inlineStr">
        <is>
          <t>history-of-present-illness</t>
        </is>
      </c>
      <c r="I675" t="inlineStr">
        <is>
          <t>CT head without contrast showed no fracture or
   hemorrhage (preliminary read).</t>
        </is>
      </c>
    </row>
    <row r="676">
      <c r="A676" t="inlineStr">
        <is>
          <t>532409-history-of-present-illness-2-0</t>
        </is>
      </c>
      <c r="B676" t="inlineStr"/>
      <c r="C676" t="inlineStr"/>
      <c r="D676">
        <f>HYPERLINK("http://nlpdeep.cs.uic.edu:8080/proofing/t5/532409-history-of-present-illness-2-0.pdf","t5/532409-history-of-present-illness-2-0.pdf")</f>
        <v/>
      </c>
      <c r="E676" t="n">
        <v>119960</v>
      </c>
      <c r="F676" t="n">
        <v>532409</v>
      </c>
      <c r="G676" t="inlineStr">
        <is>
          <t>Physician</t>
        </is>
      </c>
      <c r="H676" t="inlineStr">
        <is>
          <t>history-of-present-illness</t>
        </is>
      </c>
      <c r="I676" t="inlineStr">
        <is>
          <t xml:space="preserve">
   The patient was given 1L IVF and fentanyl 100 mcg for pain.</t>
        </is>
      </c>
    </row>
    <row r="677">
      <c r="A677" t="inlineStr">
        <is>
          <t>532409-history-of-present-illness-2-0</t>
        </is>
      </c>
      <c r="B677" t="inlineStr"/>
      <c r="C677" t="inlineStr"/>
      <c r="D677">
        <f>HYPERLINK("http://nlpdeep.cs.uic.edu:8080/proofing/gsii/532409-history-of-present-illness-2-0.pdf","gsii/532409-history-of-present-illness-2-0.pdf")</f>
        <v/>
      </c>
      <c r="E677" t="n">
        <v>119960</v>
      </c>
      <c r="F677" t="n">
        <v>532409</v>
      </c>
      <c r="G677" t="inlineStr">
        <is>
          <t>Physician</t>
        </is>
      </c>
      <c r="H677" t="inlineStr">
        <is>
          <t>history-of-present-illness</t>
        </is>
      </c>
      <c r="I677" t="inlineStr">
        <is>
          <t xml:space="preserve">
   The patient was given 1L IVF and fentanyl 100 mcg for pain.</t>
        </is>
      </c>
    </row>
    <row r="678">
      <c r="A678" t="inlineStr">
        <is>
          <t>532409-history-of-present-illness-2-1</t>
        </is>
      </c>
      <c r="B678" t="inlineStr"/>
      <c r="C678" t="inlineStr"/>
      <c r="D678">
        <f>HYPERLINK("http://nlpdeep.cs.uic.edu:8080/proofing/t5/532409-history-of-present-illness-2-1.pdf","t5/532409-history-of-present-illness-2-1.pdf")</f>
        <v/>
      </c>
      <c r="E678" t="n">
        <v>119960</v>
      </c>
      <c r="F678" t="n">
        <v>532409</v>
      </c>
      <c r="G678" t="inlineStr">
        <is>
          <t>Physician</t>
        </is>
      </c>
      <c r="H678" t="inlineStr">
        <is>
          <t>history-of-present-illness</t>
        </is>
      </c>
      <c r="I678" t="inlineStr">
        <is>
          <t>His SBPs
   persisted in the 80s/90s.</t>
        </is>
      </c>
    </row>
    <row r="679">
      <c r="A679" t="inlineStr">
        <is>
          <t>532409-history-of-present-illness-2-1</t>
        </is>
      </c>
      <c r="B679" t="inlineStr"/>
      <c r="C679" t="inlineStr"/>
      <c r="D679">
        <f>HYPERLINK("http://nlpdeep.cs.uic.edu:8080/proofing/gsii/532409-history-of-present-illness-2-1.pdf","gsii/532409-history-of-present-illness-2-1.pdf")</f>
        <v/>
      </c>
      <c r="E679" t="n">
        <v>119960</v>
      </c>
      <c r="F679" t="n">
        <v>532409</v>
      </c>
      <c r="G679" t="inlineStr">
        <is>
          <t>Physician</t>
        </is>
      </c>
      <c r="H679" t="inlineStr">
        <is>
          <t>history-of-present-illness</t>
        </is>
      </c>
      <c r="I679" t="inlineStr">
        <is>
          <t>His SBPs
   persisted in the 80s/90s.</t>
        </is>
      </c>
    </row>
    <row r="680">
      <c r="A680" t="inlineStr">
        <is>
          <t>532409-history-of-present-illness-2-2</t>
        </is>
      </c>
      <c r="B680" t="inlineStr"/>
      <c r="C680" t="inlineStr"/>
      <c r="D680">
        <f>HYPERLINK("http://nlpdeep.cs.uic.edu:8080/proofing/t5/532409-history-of-present-illness-2-2.pdf","t5/532409-history-of-present-illness-2-2.pdf")</f>
        <v/>
      </c>
      <c r="E680" t="n">
        <v>119960</v>
      </c>
      <c r="F680" t="n">
        <v>532409</v>
      </c>
      <c r="G680" t="inlineStr">
        <is>
          <t>Physician</t>
        </is>
      </c>
      <c r="H680" t="inlineStr">
        <is>
          <t>history-of-present-illness</t>
        </is>
      </c>
      <c r="I680" t="inlineStr">
        <is>
          <t>His Hct was found to be 24, down [**4-3**] points.</t>
        </is>
      </c>
    </row>
    <row r="681">
      <c r="A681" t="inlineStr">
        <is>
          <t>532409-history-of-present-illness-2-2</t>
        </is>
      </c>
      <c r="B681" t="inlineStr"/>
      <c r="C681" t="inlineStr"/>
      <c r="D681">
        <f>HYPERLINK("http://nlpdeep.cs.uic.edu:8080/proofing/gsii/532409-history-of-present-illness-2-2.pdf","gsii/532409-history-of-present-illness-2-2.pdf")</f>
        <v/>
      </c>
      <c r="E681" t="n">
        <v>119960</v>
      </c>
      <c r="F681" t="n">
        <v>532409</v>
      </c>
      <c r="G681" t="inlineStr">
        <is>
          <t>Physician</t>
        </is>
      </c>
      <c r="H681" t="inlineStr">
        <is>
          <t>history-of-present-illness</t>
        </is>
      </c>
      <c r="I681" t="inlineStr">
        <is>
          <t>His Hct was found to be 24, down [**4-3**] points.</t>
        </is>
      </c>
    </row>
    <row r="682">
      <c r="A682" t="inlineStr">
        <is>
          <t>532409-history-of-present-illness-2-3</t>
        </is>
      </c>
      <c r="B682" t="inlineStr"/>
      <c r="C682" t="inlineStr"/>
      <c r="D682">
        <f>HYPERLINK("http://nlpdeep.cs.uic.edu:8080/proofing/t5/532409-history-of-present-illness-2-3.pdf","t5/532409-history-of-present-illness-2-3.pdf")</f>
        <v/>
      </c>
      <c r="E682" t="n">
        <v>119960</v>
      </c>
      <c r="F682" t="n">
        <v>532409</v>
      </c>
      <c r="G682" t="inlineStr">
        <is>
          <t>Physician</t>
        </is>
      </c>
      <c r="H682" t="inlineStr">
        <is>
          <t>history-of-present-illness</t>
        </is>
      </c>
      <c r="I682" t="inlineStr">
        <is>
          <t xml:space="preserve">
   CT ab/pelvis was performed in the setting of the Hct drop, showing left
   hip intertrochanteric fracture, a large retroperitoneal mass likely
   from left adrenal gland (non-urgent MR recommended for further
   evaluation), and no retroperitoneal hematoma on preliminary read.</t>
        </is>
      </c>
    </row>
    <row r="683">
      <c r="A683" t="inlineStr">
        <is>
          <t>532409-history-of-present-illness-2-3</t>
        </is>
      </c>
      <c r="B683" t="inlineStr"/>
      <c r="C683" t="inlineStr"/>
      <c r="D683">
        <f>HYPERLINK("http://nlpdeep.cs.uic.edu:8080/proofing/gsii/532409-history-of-present-illness-2-3.pdf","gsii/532409-history-of-present-illness-2-3.pdf")</f>
        <v/>
      </c>
      <c r="E683" t="n">
        <v>119960</v>
      </c>
      <c r="F683" t="n">
        <v>532409</v>
      </c>
      <c r="G683" t="inlineStr">
        <is>
          <t>Physician</t>
        </is>
      </c>
      <c r="H683" t="inlineStr">
        <is>
          <t>history-of-present-illness</t>
        </is>
      </c>
      <c r="I683" t="inlineStr">
        <is>
          <t xml:space="preserve">
   CT ab/pelvis was performed in the setting of the Hct drop, showing left
   hip intertrochanteric fracture, a large retroperitoneal mass likely
   from left adrenal gland (non-urgent MR recommended for further
   evaluation), and no retroperitoneal hematoma on preliminary read.</t>
        </is>
      </c>
    </row>
    <row r="684">
      <c r="A684" t="inlineStr">
        <is>
          <t>532409-history-of-present-illness-2-4</t>
        </is>
      </c>
      <c r="B684" t="inlineStr"/>
      <c r="C684" t="inlineStr"/>
      <c r="D684">
        <f>HYPERLINK("http://nlpdeep.cs.uic.edu:8080/proofing/t5/532409-history-of-present-illness-2-4.pdf","t5/532409-history-of-present-illness-2-4.pdf")</f>
        <v/>
      </c>
      <c r="E684" t="n">
        <v>119960</v>
      </c>
      <c r="F684" t="n">
        <v>532409</v>
      </c>
      <c r="G684" t="inlineStr">
        <is>
          <t>Physician</t>
        </is>
      </c>
      <c r="H684" t="inlineStr">
        <is>
          <t>history-of-present-illness</t>
        </is>
      </c>
      <c r="I684" t="inlineStr">
        <is>
          <t>He
   was found to be guaiac negative.</t>
        </is>
      </c>
    </row>
    <row r="685">
      <c r="A685" t="inlineStr">
        <is>
          <t>532409-history-of-present-illness-2-4</t>
        </is>
      </c>
      <c r="B685" t="inlineStr"/>
      <c r="C685" t="inlineStr"/>
      <c r="D685">
        <f>HYPERLINK("http://nlpdeep.cs.uic.edu:8080/proofing/gsii/532409-history-of-present-illness-2-4.pdf","gsii/532409-history-of-present-illness-2-4.pdf")</f>
        <v/>
      </c>
      <c r="E685" t="n">
        <v>119960</v>
      </c>
      <c r="F685" t="n">
        <v>532409</v>
      </c>
      <c r="G685" t="inlineStr">
        <is>
          <t>Physician</t>
        </is>
      </c>
      <c r="H685" t="inlineStr">
        <is>
          <t>history-of-present-illness</t>
        </is>
      </c>
      <c r="I685" t="inlineStr">
        <is>
          <t>He
   was found to be guaiac negative.</t>
        </is>
      </c>
    </row>
    <row r="686">
      <c r="A686" t="inlineStr">
        <is>
          <t>532409-history-of-present-illness-2-5</t>
        </is>
      </c>
      <c r="B686" t="inlineStr"/>
      <c r="C686" t="inlineStr"/>
      <c r="D686">
        <f>HYPERLINK("http://nlpdeep.cs.uic.edu:8080/proofing/t5/532409-history-of-present-illness-2-5.pdf","t5/532409-history-of-present-illness-2-5.pdf")</f>
        <v/>
      </c>
      <c r="E686" t="n">
        <v>119960</v>
      </c>
      <c r="F686" t="n">
        <v>532409</v>
      </c>
      <c r="G686" t="inlineStr">
        <is>
          <t>Physician</t>
        </is>
      </c>
      <c r="H686" t="inlineStr">
        <is>
          <t>history-of-present-illness</t>
        </is>
      </c>
      <c r="I686" t="inlineStr">
        <is>
          <t>He continued with HR in 60s and
   systolics in 90s, received an additional 1L IVF (and a second liter was
   begun prior to transfer), and was typed and crossed for 2 units pRBC.</t>
        </is>
      </c>
    </row>
    <row r="687">
      <c r="A687" t="inlineStr">
        <is>
          <t>532409-history-of-present-illness-2-5</t>
        </is>
      </c>
      <c r="B687" t="inlineStr"/>
      <c r="C687" t="inlineStr"/>
      <c r="D687">
        <f>HYPERLINK("http://nlpdeep.cs.uic.edu:8080/proofing/gsii/532409-history-of-present-illness-2-5.pdf","gsii/532409-history-of-present-illness-2-5.pdf")</f>
        <v/>
      </c>
      <c r="E687" t="n">
        <v>119960</v>
      </c>
      <c r="F687" t="n">
        <v>532409</v>
      </c>
      <c r="G687" t="inlineStr">
        <is>
          <t>Physician</t>
        </is>
      </c>
      <c r="H687" t="inlineStr">
        <is>
          <t>history-of-present-illness</t>
        </is>
      </c>
      <c r="I687" t="inlineStr">
        <is>
          <t>He continued with HR in 60s and
   systolics in 90s, received an additional 1L IVF (and a second liter was
   begun prior to transfer), and was typed and crossed for 2 units pRBC.</t>
        </is>
      </c>
    </row>
    <row r="688">
      <c r="A688" t="inlineStr">
        <is>
          <t>532409-history-of-present-illness-2-6</t>
        </is>
      </c>
      <c r="B688" t="inlineStr"/>
      <c r="C688" t="inlineStr"/>
      <c r="D688">
        <f>HYPERLINK("http://nlpdeep.cs.uic.edu:8080/proofing/t5/532409-history-of-present-illness-2-6.pdf","t5/532409-history-of-present-illness-2-6.pdf")</f>
        <v/>
      </c>
      <c r="E688" t="n">
        <v>119960</v>
      </c>
      <c r="F688" t="n">
        <v>532409</v>
      </c>
      <c r="G688" t="inlineStr">
        <is>
          <t>Physician</t>
        </is>
      </c>
      <c r="H688" t="inlineStr">
        <is>
          <t>history-of-present-illness</t>
        </is>
      </c>
      <c r="I688" t="inlineStr">
        <is>
          <t xml:space="preserve">
   CXR showed a retrocardiac opacity and he was given levofloxacin 750 mg
   for empiric pneumonia coverage after a single blood culture was drawn.</t>
        </is>
      </c>
    </row>
    <row r="689">
      <c r="A689" t="inlineStr">
        <is>
          <t>532409-history-of-present-illness-2-6</t>
        </is>
      </c>
      <c r="B689" t="inlineStr"/>
      <c r="C689" t="inlineStr"/>
      <c r="D689">
        <f>HYPERLINK("http://nlpdeep.cs.uic.edu:8080/proofing/gsii/532409-history-of-present-illness-2-6.pdf","gsii/532409-history-of-present-illness-2-6.pdf")</f>
        <v/>
      </c>
      <c r="E689" t="n">
        <v>119960</v>
      </c>
      <c r="F689" t="n">
        <v>532409</v>
      </c>
      <c r="G689" t="inlineStr">
        <is>
          <t>Physician</t>
        </is>
      </c>
      <c r="H689" t="inlineStr">
        <is>
          <t>history-of-present-illness</t>
        </is>
      </c>
      <c r="I689" t="inlineStr">
        <is>
          <t xml:space="preserve">
   CXR showed a retrocardiac opacity and he was given levofloxacin 750 mg
   for empiric pneumonia coverage after a single blood culture was drawn.</t>
        </is>
      </c>
    </row>
    <row r="690">
      <c r="A690" t="inlineStr">
        <is>
          <t>532409-history-of-present-illness-2-7</t>
        </is>
      </c>
      <c r="B690" t="inlineStr"/>
      <c r="C690" t="inlineStr"/>
      <c r="D690">
        <f>HYPERLINK("http://nlpdeep.cs.uic.edu:8080/proofing/t5/532409-history-of-present-illness-2-7.pdf","t5/532409-history-of-present-illness-2-7.pdf")</f>
        <v/>
      </c>
      <c r="E690" t="n">
        <v>119960</v>
      </c>
      <c r="F690" t="n">
        <v>532409</v>
      </c>
      <c r="G690" t="inlineStr">
        <is>
          <t>Physician</t>
        </is>
      </c>
      <c r="H690" t="inlineStr">
        <is>
          <t>history-of-present-illness</t>
        </is>
      </c>
      <c r="I690" t="inlineStr">
        <is>
          <t xml:space="preserve">
   A Foley was placed.</t>
        </is>
      </c>
    </row>
    <row r="691">
      <c r="A691" t="inlineStr">
        <is>
          <t>532409-history-of-present-illness-2-7</t>
        </is>
      </c>
      <c r="B691" t="inlineStr"/>
      <c r="C691" t="inlineStr"/>
      <c r="D691">
        <f>HYPERLINK("http://nlpdeep.cs.uic.edu:8080/proofing/gsii/532409-history-of-present-illness-2-7.pdf","gsii/532409-history-of-present-illness-2-7.pdf")</f>
        <v/>
      </c>
      <c r="E691" t="n">
        <v>119960</v>
      </c>
      <c r="F691" t="n">
        <v>532409</v>
      </c>
      <c r="G691" t="inlineStr">
        <is>
          <t>Physician</t>
        </is>
      </c>
      <c r="H691" t="inlineStr">
        <is>
          <t>history-of-present-illness</t>
        </is>
      </c>
      <c r="I691" t="inlineStr">
        <is>
          <t xml:space="preserve">
   A Foley was placed.</t>
        </is>
      </c>
    </row>
    <row r="692">
      <c r="A692" t="inlineStr">
        <is>
          <t>532409-history-of-present-illness-2-8</t>
        </is>
      </c>
      <c r="B692" t="inlineStr"/>
      <c r="C692" t="inlineStr"/>
      <c r="D692">
        <f>HYPERLINK("http://nlpdeep.cs.uic.edu:8080/proofing/t5/532409-history-of-present-illness-2-8.pdf","t5/532409-history-of-present-illness-2-8.pdf")</f>
        <v/>
      </c>
      <c r="E692" t="n">
        <v>119960</v>
      </c>
      <c r="F692" t="n">
        <v>532409</v>
      </c>
      <c r="G692" t="inlineStr">
        <is>
          <t>Physician</t>
        </is>
      </c>
      <c r="H692" t="inlineStr">
        <is>
          <t>history-of-present-illness</t>
        </is>
      </c>
      <c r="I692" t="inlineStr">
        <is>
          <t>Transfer vitals in the ED were HR 64, RR19 100% on
   4L (desatted after NS to low 90s), 88/48.</t>
        </is>
      </c>
    </row>
    <row r="693">
      <c r="A693" t="inlineStr">
        <is>
          <t>532409-history-of-present-illness-2-8</t>
        </is>
      </c>
      <c r="B693" t="inlineStr"/>
      <c r="C693" t="inlineStr"/>
      <c r="D693">
        <f>HYPERLINK("http://nlpdeep.cs.uic.edu:8080/proofing/gsii/532409-history-of-present-illness-2-8.pdf","gsii/532409-history-of-present-illness-2-8.pdf")</f>
        <v/>
      </c>
      <c r="E693" t="n">
        <v>119960</v>
      </c>
      <c r="F693" t="n">
        <v>532409</v>
      </c>
      <c r="G693" t="inlineStr">
        <is>
          <t>Physician</t>
        </is>
      </c>
      <c r="H693" t="inlineStr">
        <is>
          <t>history-of-present-illness</t>
        </is>
      </c>
      <c r="I693" t="inlineStr">
        <is>
          <t>Transfer vitals in the ED were HR 64, RR19 100% on
   4L (desatted after NS to low 90s), 88/48.</t>
        </is>
      </c>
    </row>
    <row r="694">
      <c r="A694" t="inlineStr">
        <is>
          <t>532409-history-of-present-illness-3-0</t>
        </is>
      </c>
      <c r="B694" t="inlineStr"/>
      <c r="C694" t="inlineStr"/>
      <c r="D694">
        <f>HYPERLINK("http://nlpdeep.cs.uic.edu:8080/proofing/t5/532409-history-of-present-illness-3-0.pdf","t5/532409-history-of-present-illness-3-0.pdf")</f>
        <v/>
      </c>
      <c r="E694" t="n">
        <v>119960</v>
      </c>
      <c r="F694" t="n">
        <v>532409</v>
      </c>
      <c r="G694" t="inlineStr">
        <is>
          <t>Physician</t>
        </is>
      </c>
      <c r="H694" t="inlineStr">
        <is>
          <t>history-of-present-illness</t>
        </is>
      </c>
      <c r="I694" t="inlineStr">
        <is>
          <t xml:space="preserve">
   The patient was admitted to the MICU, where initial vitals were HR 69
   BP 102/63-120/75, RR 32-20, SpO2 100% on 1L NC.</t>
        </is>
      </c>
    </row>
    <row r="695">
      <c r="A695" t="inlineStr">
        <is>
          <t>532409-history-of-present-illness-3-0</t>
        </is>
      </c>
      <c r="B695" t="inlineStr"/>
      <c r="C695" t="inlineStr"/>
      <c r="D695">
        <f>HYPERLINK("http://nlpdeep.cs.uic.edu:8080/proofing/gsii/532409-history-of-present-illness-3-0.pdf","gsii/532409-history-of-present-illness-3-0.pdf")</f>
        <v/>
      </c>
      <c r="E695" t="n">
        <v>119960</v>
      </c>
      <c r="F695" t="n">
        <v>532409</v>
      </c>
      <c r="G695" t="inlineStr">
        <is>
          <t>Physician</t>
        </is>
      </c>
      <c r="H695" t="inlineStr">
        <is>
          <t>history-of-present-illness</t>
        </is>
      </c>
      <c r="I695" t="inlineStr">
        <is>
          <t xml:space="preserve">
   The patient was admitted to the MICU, where initial vitals were HR 69
   BP 102/63-120/75, RR 32-20, SpO2 100% on 1L NC.</t>
        </is>
      </c>
    </row>
    <row r="696">
      <c r="A696" t="inlineStr">
        <is>
          <t>532409-history-of-present-illness-4-0</t>
        </is>
      </c>
      <c r="B696" t="inlineStr"/>
      <c r="C696" t="inlineStr"/>
      <c r="D696">
        <f>HYPERLINK("http://nlpdeep.cs.uic.edu:8080/proofing/t5/532409-history-of-present-illness-4-0.pdf","t5/532409-history-of-present-illness-4-0.pdf")</f>
        <v/>
      </c>
      <c r="E696" t="n">
        <v>119960</v>
      </c>
      <c r="F696" t="n">
        <v>532409</v>
      </c>
      <c r="G696" t="inlineStr">
        <is>
          <t>Physician</t>
        </is>
      </c>
      <c r="H696" t="inlineStr">
        <is>
          <t>history-of-present-illness</t>
        </is>
      </c>
      <c r="I696" t="inlineStr">
        <is>
          <t xml:space="preserve">
   On ROS, the patient denies any LOC, dizziness/lightheadedness, recent
   diarrhea (though had diarrhea in prior admission).</t>
        </is>
      </c>
    </row>
    <row r="697">
      <c r="A697" t="inlineStr">
        <is>
          <t>532409-history-of-present-illness-4-0</t>
        </is>
      </c>
      <c r="B697" t="inlineStr"/>
      <c r="C697" t="inlineStr"/>
      <c r="D697">
        <f>HYPERLINK("http://nlpdeep.cs.uic.edu:8080/proofing/gsii/532409-history-of-present-illness-4-0.pdf","gsii/532409-history-of-present-illness-4-0.pdf")</f>
        <v/>
      </c>
      <c r="E697" t="n">
        <v>119960</v>
      </c>
      <c r="F697" t="n">
        <v>532409</v>
      </c>
      <c r="G697" t="inlineStr">
        <is>
          <t>Physician</t>
        </is>
      </c>
      <c r="H697" t="inlineStr">
        <is>
          <t>history-of-present-illness</t>
        </is>
      </c>
      <c r="I697" t="inlineStr">
        <is>
          <t xml:space="preserve">
   On ROS, the patient denies any LOC, dizziness/lightheadedness, recent
   diarrhea (though had diarrhea in prior admission).</t>
        </is>
      </c>
    </row>
    <row r="698">
      <c r="A698" t="inlineStr">
        <is>
          <t>532409-history-of-present-illness-4-1</t>
        </is>
      </c>
      <c r="B698" t="inlineStr"/>
      <c r="C698" t="inlineStr"/>
      <c r="D698">
        <f>HYPERLINK("http://nlpdeep.cs.uic.edu:8080/proofing/t5/532409-history-of-present-illness-4-1.pdf","t5/532409-history-of-present-illness-4-1.pdf")</f>
        <v/>
      </c>
      <c r="E698" t="n">
        <v>119960</v>
      </c>
      <c r="F698" t="n">
        <v>532409</v>
      </c>
      <c r="G698" t="inlineStr">
        <is>
          <t>Physician</t>
        </is>
      </c>
      <c r="H698" t="inlineStr">
        <is>
          <t>history-of-present-illness</t>
        </is>
      </c>
      <c r="I698" t="inlineStr">
        <is>
          <t>+cough with small
   amounts of yellowish sputum but not in past few days.</t>
        </is>
      </c>
    </row>
    <row r="699">
      <c r="A699" t="inlineStr">
        <is>
          <t>532409-history-of-present-illness-4-1</t>
        </is>
      </c>
      <c r="B699" t="inlineStr"/>
      <c r="C699" t="inlineStr"/>
      <c r="D699">
        <f>HYPERLINK("http://nlpdeep.cs.uic.edu:8080/proofing/gsii/532409-history-of-present-illness-4-1.pdf","gsii/532409-history-of-present-illness-4-1.pdf")</f>
        <v/>
      </c>
      <c r="E699" t="n">
        <v>119960</v>
      </c>
      <c r="F699" t="n">
        <v>532409</v>
      </c>
      <c r="G699" t="inlineStr">
        <is>
          <t>Physician</t>
        </is>
      </c>
      <c r="H699" t="inlineStr">
        <is>
          <t>history-of-present-illness</t>
        </is>
      </c>
      <c r="I699" t="inlineStr">
        <is>
          <t>+cough with small
   amounts of yellowish sputum but not in past few days.</t>
        </is>
      </c>
    </row>
    <row r="700">
      <c r="A700" t="inlineStr">
        <is>
          <t>532409-history-of-present-illness-4-2</t>
        </is>
      </c>
      <c r="B700" t="inlineStr"/>
      <c r="C700" t="inlineStr"/>
      <c r="D700">
        <f>HYPERLINK("http://nlpdeep.cs.uic.edu:8080/proofing/t5/532409-history-of-present-illness-4-2.pdf","t5/532409-history-of-present-illness-4-2.pdf")</f>
        <v/>
      </c>
      <c r="E700" t="n">
        <v>119960</v>
      </c>
      <c r="F700" t="n">
        <v>532409</v>
      </c>
      <c r="G700" t="inlineStr">
        <is>
          <t>Physician</t>
        </is>
      </c>
      <c r="H700" t="inlineStr">
        <is>
          <t>history-of-present-illness</t>
        </is>
      </c>
      <c r="I700" t="inlineStr">
        <is>
          <t>Patient admitted from: [**Hospital1 19**] ER
   History obtained from Patient, Family / F</t>
        </is>
      </c>
    </row>
    <row r="701">
      <c r="A701" t="inlineStr">
        <is>
          <t>532409-history-of-present-illness-4-2</t>
        </is>
      </c>
      <c r="B701" t="inlineStr"/>
      <c r="C701" t="inlineStr"/>
      <c r="D701">
        <f>HYPERLINK("http://nlpdeep.cs.uic.edu:8080/proofing/gsii/532409-history-of-present-illness-4-2.pdf","gsii/532409-history-of-present-illness-4-2.pdf")</f>
        <v/>
      </c>
      <c r="E701" t="n">
        <v>119960</v>
      </c>
      <c r="F701" t="n">
        <v>532409</v>
      </c>
      <c r="G701" t="inlineStr">
        <is>
          <t>Physician</t>
        </is>
      </c>
      <c r="H701" t="inlineStr">
        <is>
          <t>history-of-present-illness</t>
        </is>
      </c>
      <c r="I701" t="inlineStr">
        <is>
          <t>Patient admitted from: [**Hospital1 19**] ER
   History obtained from Patient, Family / F</t>
        </is>
      </c>
    </row>
    <row r="702">
      <c r="A702" t="inlineStr">
        <is>
          <t>532409-allergies-0-0</t>
        </is>
      </c>
      <c r="B702" t="inlineStr"/>
      <c r="C702" t="inlineStr"/>
      <c r="D702">
        <f>HYPERLINK("http://nlpdeep.cs.uic.edu:8080/proofing/t5/532409-allergies-0-0.pdf","t5/532409-allergies-0-0.pdf")</f>
        <v/>
      </c>
      <c r="E702" t="n">
        <v>119960</v>
      </c>
      <c r="F702" t="n">
        <v>532409</v>
      </c>
      <c r="G702" t="inlineStr">
        <is>
          <t>Physician</t>
        </is>
      </c>
      <c r="H702" t="inlineStr">
        <is>
          <t>allergies</t>
        </is>
      </c>
      <c r="I702" t="inlineStr">
        <is>
          <t>Quinidine
   fever;
   Propranolol
   Aggitation;</t>
        </is>
      </c>
    </row>
    <row r="703">
      <c r="A703" t="inlineStr">
        <is>
          <t>532409-allergies-0-0</t>
        </is>
      </c>
      <c r="B703" t="inlineStr"/>
      <c r="C703" t="inlineStr"/>
      <c r="D703">
        <f>HYPERLINK("http://nlpdeep.cs.uic.edu:8080/proofing/gsii/532409-allergies-0-0.pdf","gsii/532409-allergies-0-0.pdf")</f>
        <v/>
      </c>
      <c r="E703" t="n">
        <v>119960</v>
      </c>
      <c r="F703" t="n">
        <v>532409</v>
      </c>
      <c r="G703" t="inlineStr">
        <is>
          <t>Physician</t>
        </is>
      </c>
      <c r="H703" t="inlineStr">
        <is>
          <t>allergies</t>
        </is>
      </c>
      <c r="I703" t="inlineStr">
        <is>
          <t>Quinidine
   fever;
   Propranolol
   Aggitation;</t>
        </is>
      </c>
    </row>
    <row r="704">
      <c r="A704" t="inlineStr">
        <is>
          <t>532409-other-medications-0-0</t>
        </is>
      </c>
      <c r="B704" t="inlineStr"/>
      <c r="C704" t="inlineStr"/>
      <c r="D704">
        <f>HYPERLINK("http://nlpdeep.cs.uic.edu:8080/proofing/t5/532409-other-medications-0-0.pdf","t5/532409-other-medications-0-0.pdf")</f>
        <v/>
      </c>
      <c r="E704" t="n">
        <v>119960</v>
      </c>
      <c r="F704" t="n">
        <v>532409</v>
      </c>
      <c r="G704" t="inlineStr">
        <is>
          <t>Physician</t>
        </is>
      </c>
      <c r="H704" t="inlineStr">
        <is>
          <t>other-medications</t>
        </is>
      </c>
      <c r="I704" t="inlineStr">
        <is>
          <t>Morphine Sulfate - [**2141-4-6**] 09:30 PM
   Other medications:
   Meds from rehab:
   -Vicodin 5/500 2 tabs qd
   -Pantoprazole 40 mg Tablet qd
   -Vancomycin 125 mg PO Q6H; taper as follows:
        [**Date range (1) 14476**] 125mg Q6H;
        [**Date range (1) 14477**] 125mg Q12H;
        [**Date range (1) 14478**] 125mg daily;
        [**Date range (1) 14479**] 125mg; every other day
        [**Date range (1) 14480**] 125mg; every third day; then stop.</t>
        </is>
      </c>
    </row>
    <row r="705">
      <c r="A705" t="inlineStr">
        <is>
          <t>532409-other-medications-0-0</t>
        </is>
      </c>
      <c r="B705" t="inlineStr"/>
      <c r="C705" t="inlineStr"/>
      <c r="D705">
        <f>HYPERLINK("http://nlpdeep.cs.uic.edu:8080/proofing/gsii/532409-other-medications-0-0.pdf","gsii/532409-other-medications-0-0.pdf")</f>
        <v/>
      </c>
      <c r="E705" t="n">
        <v>119960</v>
      </c>
      <c r="F705" t="n">
        <v>532409</v>
      </c>
      <c r="G705" t="inlineStr">
        <is>
          <t>Physician</t>
        </is>
      </c>
      <c r="H705" t="inlineStr">
        <is>
          <t>other-medications</t>
        </is>
      </c>
      <c r="I705" t="inlineStr">
        <is>
          <t>Morphine Sulfate - [**2141-4-6**] 09:30 PM
   Other medications:
   Meds from rehab:
   -Vicodin 5/500 2 tabs qd
   -Pantoprazole 40 mg Tablet qd
   -Vancomycin 125 mg PO Q6H; taper as follows:
        [**Date range (1) 14476**] 125mg Q6H;
        [**Date range (1) 14477**] 125mg Q12H;
        [**Date range (1) 14478**] 125mg daily;
        [**Date range (1) 14479**] 125mg; every other day
        [**Date range (1) 14480**] 125mg; every third day; then stop.</t>
        </is>
      </c>
    </row>
    <row r="706">
      <c r="A706" t="inlineStr">
        <is>
          <t>532409-other-medications-0-1</t>
        </is>
      </c>
      <c r="B706" t="inlineStr"/>
      <c r="C706" t="inlineStr"/>
      <c r="D706">
        <f>HYPERLINK("http://nlpdeep.cs.uic.edu:8080/proofing/t5/532409-other-medications-0-1.pdf","t5/532409-other-medications-0-1.pdf")</f>
        <v/>
      </c>
      <c r="E706" t="n">
        <v>119960</v>
      </c>
      <c r="F706" t="n">
        <v>532409</v>
      </c>
      <c r="G706" t="inlineStr">
        <is>
          <t>Physician</t>
        </is>
      </c>
      <c r="H706" t="inlineStr">
        <is>
          <t>other-medications</t>
        </is>
      </c>
      <c r="I706" t="inlineStr">
        <is>
          <t xml:space="preserve">
   -Ativan 0.125 mg tid prn
   -Ammonium Lactate 12% Lotion Topical [**Hospital1 7**]
   -Ipratropium Bromide 0.5 mg Neb Inhalation Q6H PRN SOB/Wheezing.</t>
        </is>
      </c>
    </row>
    <row r="707">
      <c r="A707" t="inlineStr">
        <is>
          <t>532409-other-medications-0-1</t>
        </is>
      </c>
      <c r="B707" t="inlineStr"/>
      <c r="C707" t="inlineStr"/>
      <c r="D707">
        <f>HYPERLINK("http://nlpdeep.cs.uic.edu:8080/proofing/gsii/532409-other-medications-0-1.pdf","gsii/532409-other-medications-0-1.pdf")</f>
        <v/>
      </c>
      <c r="E707" t="n">
        <v>119960</v>
      </c>
      <c r="F707" t="n">
        <v>532409</v>
      </c>
      <c r="G707" t="inlineStr">
        <is>
          <t>Physician</t>
        </is>
      </c>
      <c r="H707" t="inlineStr">
        <is>
          <t>other-medications</t>
        </is>
      </c>
      <c r="I707" t="inlineStr">
        <is>
          <t xml:space="preserve">
   -Ativan 0.125 mg tid prn
   -Ammonium Lactate 12% Lotion Topical [**Hospital1 7**]
   -Ipratropium Bromide 0.5 mg Neb Inhalation Q6H PRN SOB/Wheezing.</t>
        </is>
      </c>
    </row>
    <row r="708">
      <c r="A708" t="inlineStr">
        <is>
          <t>532409-other-medications-0-2</t>
        </is>
      </c>
      <c r="B708" t="inlineStr"/>
      <c r="C708" t="inlineStr"/>
      <c r="D708">
        <f>HYPERLINK("http://nlpdeep.cs.uic.edu:8080/proofing/t5/532409-other-medications-0-2.pdf","t5/532409-other-medications-0-2.pdf")</f>
        <v/>
      </c>
      <c r="E708" t="n">
        <v>119960</v>
      </c>
      <c r="F708" t="n">
        <v>532409</v>
      </c>
      <c r="G708" t="inlineStr">
        <is>
          <t>Physician</t>
        </is>
      </c>
      <c r="H708" t="inlineStr">
        <is>
          <t>other-medications</t>
        </is>
      </c>
      <c r="I708" t="inlineStr">
        <is>
          <t xml:space="preserve">
   -Torsemide 40 mg PO BID (if weight &gt; 160lbs, increase to 80mg in the
   morning and 40mg at night; if weight &lt; 145lbs, decrease torsemide to
   40mg daily)
   -Spironolactone 25 mg Tablet PO DAILY
   -Metoprolol Tartrate 12.5 mg PO BID
   -Simvastatin 40 mg PO qpm
   -Ergocalciferol (Vitamin D2) 5,000 unit po weekly
   -Bisacodyl suppository 10 mg qd prn
   -Senna qd prn
   -Aspirin 81 mg po qd
   -Acetaminophen 325 mg 1-2 Tablets PO Q4H prn pain / fever.</t>
        </is>
      </c>
    </row>
    <row r="709">
      <c r="A709" t="inlineStr">
        <is>
          <t>532409-other-medications-0-2</t>
        </is>
      </c>
      <c r="B709" t="inlineStr"/>
      <c r="C709" t="inlineStr"/>
      <c r="D709">
        <f>HYPERLINK("http://nlpdeep.cs.uic.edu:8080/proofing/gsii/532409-other-medications-0-2.pdf","gsii/532409-other-medications-0-2.pdf")</f>
        <v/>
      </c>
      <c r="E709" t="n">
        <v>119960</v>
      </c>
      <c r="F709" t="n">
        <v>532409</v>
      </c>
      <c r="G709" t="inlineStr">
        <is>
          <t>Physician</t>
        </is>
      </c>
      <c r="H709" t="inlineStr">
        <is>
          <t>other-medications</t>
        </is>
      </c>
      <c r="I709" t="inlineStr">
        <is>
          <t xml:space="preserve">
   -Torsemide 40 mg PO BID (if weight &gt; 160lbs, increase to 80mg in the
   morning and 40mg at night; if weight &lt; 145lbs, decrease torsemide to
   40mg daily)
   -Spironolactone 25 mg Tablet PO DAILY
   -Metoprolol Tartrate 12.5 mg PO BID
   -Simvastatin 40 mg PO qpm
   -Ergocalciferol (Vitamin D2) 5,000 unit po weekly
   -Bisacodyl suppository 10 mg qd prn
   -Senna qd prn
   -Aspirin 81 mg po qd
   -Acetaminophen 325 mg 1-2 Tablets PO Q4H prn pain / fever.</t>
        </is>
      </c>
    </row>
    <row r="710">
      <c r="A710" t="inlineStr">
        <is>
          <t>532409-other-medications-0-3</t>
        </is>
      </c>
      <c r="B710" t="inlineStr"/>
      <c r="C710" t="inlineStr"/>
      <c r="D710">
        <f>HYPERLINK("http://nlpdeep.cs.uic.edu:8080/proofing/t5/532409-other-medications-0-3.pdf","t5/532409-other-medications-0-3.pdf")</f>
        <v/>
      </c>
      <c r="E710" t="n">
        <v>119960</v>
      </c>
      <c r="F710" t="n">
        <v>532409</v>
      </c>
      <c r="G710" t="inlineStr">
        <is>
          <t>Physician</t>
        </is>
      </c>
      <c r="H710" t="inlineStr">
        <is>
          <t>other-medications</t>
        </is>
      </c>
      <c r="I710" t="inlineStr">
        <is>
          <t>-Tums [**Hospital1 **]
   -Cadexomer iodine topical gel q3d topical
   -Dextromethorphan-Guaifenesin 30 mg q12hr p</t>
        </is>
      </c>
    </row>
    <row r="711">
      <c r="A711" t="inlineStr">
        <is>
          <t>532409-other-medications-0-3</t>
        </is>
      </c>
      <c r="B711" t="inlineStr"/>
      <c r="C711" t="inlineStr"/>
      <c r="D711">
        <f>HYPERLINK("http://nlpdeep.cs.uic.edu:8080/proofing/gsii/532409-other-medications-0-3.pdf","gsii/532409-other-medications-0-3.pdf")</f>
        <v/>
      </c>
      <c r="E711" t="n">
        <v>119960</v>
      </c>
      <c r="F711" t="n">
        <v>532409</v>
      </c>
      <c r="G711" t="inlineStr">
        <is>
          <t>Physician</t>
        </is>
      </c>
      <c r="H711" t="inlineStr">
        <is>
          <t>other-medications</t>
        </is>
      </c>
      <c r="I711" t="inlineStr">
        <is>
          <t>-Tums [**Hospital1 **]
   -Cadexomer iodine topical gel q3d topical
   -Dextromethorphan-Guaifenesin 30 mg q12hr p</t>
        </is>
      </c>
    </row>
    <row r="712">
      <c r="A712" t="inlineStr">
        <is>
          <t>532409-past-medical-history-0-0</t>
        </is>
      </c>
      <c r="B712" t="inlineStr"/>
      <c r="C712" t="inlineStr"/>
      <c r="D712">
        <f>HYPERLINK("http://nlpdeep.cs.uic.edu:8080/proofing/t5/532409-past-medical-history-0-0.pdf","t5/532409-past-medical-history-0-0.pdf")</f>
        <v/>
      </c>
      <c r="E712" t="n">
        <v>119960</v>
      </c>
      <c r="F712" t="n">
        <v>532409</v>
      </c>
      <c r="G712" t="inlineStr">
        <is>
          <t>Physician</t>
        </is>
      </c>
      <c r="H712" t="inlineStr">
        <is>
          <t>past-medical-history</t>
        </is>
      </c>
      <c r="I712" t="inlineStr">
        <is>
          <t>-CHF with preserved LVEF (65% 1/10), thought to have L HF leading to R
   HF without primary pulm HTN
   -Chronic Afib, not on warfarin given recent UGIB ([**2-8**])
   -Pulmonary artery HTN (30mmHg + RA [**11-6**])
   -Mild MR, mod TR, mild AI, mild AS (peak 25 mmHg [**11-6**])
   -Mild ascending aortic dilatation (3.7 cm)
   -Left ventricular hypertrophy
   -Prostate enlargement (followed by Dr.</t>
        </is>
      </c>
    </row>
    <row r="713">
      <c r="A713" t="inlineStr">
        <is>
          <t>532409-past-medical-history-0-0</t>
        </is>
      </c>
      <c r="B713" t="inlineStr"/>
      <c r="C713" t="inlineStr"/>
      <c r="D713">
        <f>HYPERLINK("http://nlpdeep.cs.uic.edu:8080/proofing/gsii/532409-past-medical-history-0-0.pdf","gsii/532409-past-medical-history-0-0.pdf")</f>
        <v/>
      </c>
      <c r="E713" t="n">
        <v>119960</v>
      </c>
      <c r="F713" t="n">
        <v>532409</v>
      </c>
      <c r="G713" t="inlineStr">
        <is>
          <t>Physician</t>
        </is>
      </c>
      <c r="H713" t="inlineStr">
        <is>
          <t>past-medical-history</t>
        </is>
      </c>
      <c r="I713" t="inlineStr">
        <is>
          <t>-CHF with preserved LVEF (65% 1/10), thought to have L HF leading to R
   HF without primary pulm HTN
   -Chronic Afib, not on warfarin given recent UGIB ([**2-8**])
   -Pulmonary artery HTN (30mmHg + RA [**11-6**])
   -Mild MR, mod TR, mild AI, mild AS (peak 25 mmHg [**11-6**])
   -Mild ascending aortic dilatation (3.7 cm)
   -Left ventricular hypertrophy
   -Prostate enlargement (followed by Dr.</t>
        </is>
      </c>
    </row>
    <row r="714">
      <c r="A714" t="inlineStr">
        <is>
          <t>532409-past-medical-history-0-1</t>
        </is>
      </c>
      <c r="B714" t="inlineStr"/>
      <c r="C714" t="inlineStr"/>
      <c r="D714">
        <f>HYPERLINK("http://nlpdeep.cs.uic.edu:8080/proofing/t5/532409-past-medical-history-0-1.pdf","t5/532409-past-medical-history-0-1.pdf")</f>
        <v/>
      </c>
      <c r="E714" t="n">
        <v>119960</v>
      </c>
      <c r="F714" t="n">
        <v>532409</v>
      </c>
      <c r="G714" t="inlineStr">
        <is>
          <t>Physician</t>
        </is>
      </c>
      <c r="H714" t="inlineStr">
        <is>
          <t>past-medical-history</t>
        </is>
      </c>
      <c r="I714" t="inlineStr">
        <is>
          <t>[**Last Name (STitle) **] [**Last Name (STitle) **])
   -Hypertension
   -Hypercholesterolemia
   -Severe essential tremor, since [**2076**] (WWII)
   -Venous stasis, followed by Dr.</t>
        </is>
      </c>
    </row>
    <row r="715">
      <c r="A715" t="inlineStr">
        <is>
          <t>532409-past-medical-history-0-1</t>
        </is>
      </c>
      <c r="B715" t="inlineStr"/>
      <c r="C715" t="inlineStr"/>
      <c r="D715">
        <f>HYPERLINK("http://nlpdeep.cs.uic.edu:8080/proofing/gsii/532409-past-medical-history-0-1.pdf","gsii/532409-past-medical-history-0-1.pdf")</f>
        <v/>
      </c>
      <c r="E715" t="n">
        <v>119960</v>
      </c>
      <c r="F715" t="n">
        <v>532409</v>
      </c>
      <c r="G715" t="inlineStr">
        <is>
          <t>Physician</t>
        </is>
      </c>
      <c r="H715" t="inlineStr">
        <is>
          <t>past-medical-history</t>
        </is>
      </c>
      <c r="I715" t="inlineStr">
        <is>
          <t>[**Last Name (STitle) **] [**Last Name (STitle) **])
   -Hypertension
   -Hypercholesterolemia
   -Severe essential tremor, since [**2076**] (WWII)
   -Venous stasis, followed by Dr.</t>
        </is>
      </c>
    </row>
    <row r="716">
      <c r="A716" t="inlineStr">
        <is>
          <t>532409-past-medical-history-0-2</t>
        </is>
      </c>
      <c r="B716" t="inlineStr"/>
      <c r="C716" t="inlineStr"/>
      <c r="D716">
        <f>HYPERLINK("http://nlpdeep.cs.uic.edu:8080/proofing/t5/532409-past-medical-history-0-2.pdf","t5/532409-past-medical-history-0-2.pdf")</f>
        <v/>
      </c>
      <c r="E716" t="n">
        <v>119960</v>
      </c>
      <c r="F716" t="n">
        <v>532409</v>
      </c>
      <c r="G716" t="inlineStr">
        <is>
          <t>Physician</t>
        </is>
      </c>
      <c r="H716" t="inlineStr">
        <is>
          <t>past-medical-history</t>
        </is>
      </c>
      <c r="I716" t="inlineStr">
        <is>
          <t>[**Last Name (STitle) 14061**]
   [**Name (STitle) 14062**] hernia repair
   -Anemia, multifactorial (chronic illness, CKD, recent GIB)
   -Hemorrhoid repair
   -History of MRSA cellulitis ([**2-7**])
   -Chronic Renal Failure [**1-31**] poor forward flow from CHF: Stage IV with
   eGFR of 24 ml/min (MDRD).</t>
        </is>
      </c>
    </row>
    <row r="717">
      <c r="A717" t="inlineStr">
        <is>
          <t>532409-past-medical-history-0-2</t>
        </is>
      </c>
      <c r="B717" t="inlineStr"/>
      <c r="C717" t="inlineStr"/>
      <c r="D717">
        <f>HYPERLINK("http://nlpdeep.cs.uic.edu:8080/proofing/gsii/532409-past-medical-history-0-2.pdf","gsii/532409-past-medical-history-0-2.pdf")</f>
        <v/>
      </c>
      <c r="E717" t="n">
        <v>119960</v>
      </c>
      <c r="F717" t="n">
        <v>532409</v>
      </c>
      <c r="G717" t="inlineStr">
        <is>
          <t>Physician</t>
        </is>
      </c>
      <c r="H717" t="inlineStr">
        <is>
          <t>past-medical-history</t>
        </is>
      </c>
      <c r="I717" t="inlineStr">
        <is>
          <t>[**Last Name (STitle) 14061**]
   [**Name (STitle) 14062**] hernia repair
   -Anemia, multifactorial (chronic illness, CKD, recent GIB)
   -Hemorrhoid repair
   -History of MRSA cellulitis ([**2-7**])
   -Chronic Renal Failure [**1-31**] poor forward flow from CHF: Stage IV with
   eGFR of 24 ml/min (MDRD).</t>
        </is>
      </c>
    </row>
    <row r="718">
      <c r="A718" t="inlineStr">
        <is>
          <t>532409-past-medical-history-0-3</t>
        </is>
      </c>
      <c r="B718" t="inlineStr"/>
      <c r="C718" t="inlineStr"/>
      <c r="D718">
        <f>HYPERLINK("http://nlpdeep.cs.uic.edu:8080/proofing/t5/532409-past-medical-history-0-3.pdf","t5/532409-past-medical-history-0-3.pdf")</f>
        <v/>
      </c>
      <c r="E718" t="n">
        <v>119960</v>
      </c>
      <c r="F718" t="n">
        <v>532409</v>
      </c>
      <c r="G718" t="inlineStr">
        <is>
          <t>Physician</t>
        </is>
      </c>
      <c r="H718" t="inlineStr">
        <is>
          <t>past-medical-history</t>
        </is>
      </c>
      <c r="I718" t="inlineStr">
        <is>
          <t>Near dialysis.</t>
        </is>
      </c>
    </row>
    <row r="719">
      <c r="A719" t="inlineStr">
        <is>
          <t>532409-past-medical-history-0-3</t>
        </is>
      </c>
      <c r="B719" t="inlineStr"/>
      <c r="C719" t="inlineStr"/>
      <c r="D719">
        <f>HYPERLINK("http://nlpdeep.cs.uic.edu:8080/proofing/gsii/532409-past-medical-history-0-3.pdf","gsii/532409-past-medical-history-0-3.pdf")</f>
        <v/>
      </c>
      <c r="E719" t="n">
        <v>119960</v>
      </c>
      <c r="F719" t="n">
        <v>532409</v>
      </c>
      <c r="G719" t="inlineStr">
        <is>
          <t>Physician</t>
        </is>
      </c>
      <c r="H719" t="inlineStr">
        <is>
          <t>past-medical-history</t>
        </is>
      </c>
      <c r="I719" t="inlineStr">
        <is>
          <t>Near dialysis.</t>
        </is>
      </c>
    </row>
    <row r="720">
      <c r="A720" t="inlineStr">
        <is>
          <t>532409-past-medical-history-0-4</t>
        </is>
      </c>
      <c r="B720" t="inlineStr"/>
      <c r="C720" t="inlineStr"/>
      <c r="D720">
        <f>HYPERLINK("http://nlpdeep.cs.uic.edu:8080/proofing/t5/532409-past-medical-history-0-4.pdf","t5/532409-past-medical-history-0-4.pdf")</f>
        <v/>
      </c>
      <c r="E720" t="n">
        <v>119960</v>
      </c>
      <c r="F720" t="n">
        <v>532409</v>
      </c>
      <c r="G720" t="inlineStr">
        <is>
          <t>Physician</t>
        </is>
      </c>
      <c r="H720" t="inlineStr">
        <is>
          <t>past-medical-history</t>
        </is>
      </c>
      <c r="I720" t="inlineStr">
        <is>
          <t xml:space="preserve">
   -Left foot abscess s/p I&amp;D
   -C.</t>
        </is>
      </c>
    </row>
    <row r="721">
      <c r="A721" t="inlineStr">
        <is>
          <t>532409-past-medical-history-0-4</t>
        </is>
      </c>
      <c r="B721" t="inlineStr"/>
      <c r="C721" t="inlineStr"/>
      <c r="D721">
        <f>HYPERLINK("http://nlpdeep.cs.uic.edu:8080/proofing/gsii/532409-past-medical-history-0-4.pdf","gsii/532409-past-medical-history-0-4.pdf")</f>
        <v/>
      </c>
      <c r="E721" t="n">
        <v>119960</v>
      </c>
      <c r="F721" t="n">
        <v>532409</v>
      </c>
      <c r="G721" t="inlineStr">
        <is>
          <t>Physician</t>
        </is>
      </c>
      <c r="H721" t="inlineStr">
        <is>
          <t>past-medical-history</t>
        </is>
      </c>
      <c r="I721" t="inlineStr">
        <is>
          <t xml:space="preserve">
   -Left foot abscess s/p I&amp;D
   -C.</t>
        </is>
      </c>
    </row>
    <row r="722">
      <c r="A722" t="inlineStr">
        <is>
          <t>532409-past-medical-history-0-5</t>
        </is>
      </c>
      <c r="B722" t="inlineStr"/>
      <c r="C722" t="inlineStr"/>
      <c r="D722">
        <f>HYPERLINK("http://nlpdeep.cs.uic.edu:8080/proofing/t5/532409-past-medical-history-0-5.pdf","t5/532409-past-medical-history-0-5.pdf")</f>
        <v/>
      </c>
      <c r="E722" t="n">
        <v>119960</v>
      </c>
      <c r="F722" t="n">
        <v>532409</v>
      </c>
      <c r="G722" t="inlineStr">
        <is>
          <t>Physician</t>
        </is>
      </c>
      <c r="H722" t="inlineStr">
        <is>
          <t>past-medical-history</t>
        </is>
      </c>
      <c r="I722" t="inlineStr"/>
    </row>
    <row r="723">
      <c r="A723" t="inlineStr">
        <is>
          <t>532409-past-medical-history-0-5</t>
        </is>
      </c>
      <c r="B723" t="inlineStr"/>
      <c r="C723" t="inlineStr"/>
      <c r="D723">
        <f>HYPERLINK("http://nlpdeep.cs.uic.edu:8080/proofing/gsii/532409-past-medical-history-0-5.pdf","gsii/532409-past-medical-history-0-5.pdf")</f>
        <v/>
      </c>
      <c r="E723" t="n">
        <v>119960</v>
      </c>
      <c r="F723" t="n">
        <v>532409</v>
      </c>
      <c r="G723" t="inlineStr">
        <is>
          <t>Physician</t>
        </is>
      </c>
      <c r="H723" t="inlineStr">
        <is>
          <t>past-medical-history</t>
        </is>
      </c>
      <c r="I723" t="inlineStr"/>
    </row>
    <row r="724">
      <c r="A724" t="inlineStr">
        <is>
          <t>532409-past-medical-history-1-0</t>
        </is>
      </c>
      <c r="B724" t="inlineStr"/>
      <c r="C724" t="inlineStr"/>
      <c r="D724">
        <f>HYPERLINK("http://nlpdeep.cs.uic.edu:8080/proofing/t5/532409-past-medical-history-1-0.pdf","t5/532409-past-medical-history-1-0.pdf")</f>
        <v/>
      </c>
      <c r="E724" t="n">
        <v>119960</v>
      </c>
      <c r="F724" t="n">
        <v>532409</v>
      </c>
      <c r="G724" t="inlineStr">
        <is>
          <t>Physician</t>
        </is>
      </c>
      <c r="H724" t="inlineStr">
        <is>
          <t>past-medical-history</t>
        </is>
      </c>
      <c r="I724" t="inlineStr"/>
    </row>
    <row r="725">
      <c r="A725" t="inlineStr">
        <is>
          <t>532409-past-medical-history-1-0</t>
        </is>
      </c>
      <c r="B725" t="inlineStr"/>
      <c r="C725" t="inlineStr"/>
      <c r="D725">
        <f>HYPERLINK("http://nlpdeep.cs.uic.edu:8080/proofing/gsii/532409-past-medical-history-1-0.pdf","gsii/532409-past-medical-history-1-0.pdf")</f>
        <v/>
      </c>
      <c r="E725" t="n">
        <v>119960</v>
      </c>
      <c r="F725" t="n">
        <v>532409</v>
      </c>
      <c r="G725" t="inlineStr">
        <is>
          <t>Physician</t>
        </is>
      </c>
      <c r="H725" t="inlineStr">
        <is>
          <t>past-medical-history</t>
        </is>
      </c>
      <c r="I725" t="inlineStr"/>
    </row>
    <row r="726">
      <c r="A726" t="inlineStr">
        <is>
          <t>532409-past-medical-history-2-0</t>
        </is>
      </c>
      <c r="B726" t="inlineStr"/>
      <c r="C726" t="inlineStr"/>
      <c r="D726">
        <f>HYPERLINK("http://nlpdeep.cs.uic.edu:8080/proofing/t5/532409-past-medical-history-2-0.pdf","t5/532409-past-medical-history-2-0.pdf")</f>
        <v/>
      </c>
      <c r="E726" t="n">
        <v>119960</v>
      </c>
      <c r="F726" t="n">
        <v>532409</v>
      </c>
      <c r="G726" t="inlineStr">
        <is>
          <t>Physician</t>
        </is>
      </c>
      <c r="H726" t="inlineStr">
        <is>
          <t>past-medical-history</t>
        </is>
      </c>
      <c r="I726" t="inlineStr">
        <is>
          <t xml:space="preserve">
   [**2141-1-31**] to [**2141-2-15**]
   -- also for CHF exacerbation, given lasix ggt and metolazone
   -- supratherapeutic INR on admission, complicated by epistaxis and
   melena (GI followed but endoscopy was deferred)
   -- C diff colitis treated with ?</t>
        </is>
      </c>
    </row>
    <row r="727">
      <c r="A727" t="inlineStr">
        <is>
          <t>532409-past-medical-history-2-0</t>
        </is>
      </c>
      <c r="B727" t="inlineStr"/>
      <c r="C727" t="inlineStr"/>
      <c r="D727">
        <f>HYPERLINK("http://nlpdeep.cs.uic.edu:8080/proofing/gsii/532409-past-medical-history-2-0.pdf","gsii/532409-past-medical-history-2-0.pdf")</f>
        <v/>
      </c>
      <c r="E727" t="n">
        <v>119960</v>
      </c>
      <c r="F727" t="n">
        <v>532409</v>
      </c>
      <c r="G727" t="inlineStr">
        <is>
          <t>Physician</t>
        </is>
      </c>
      <c r="H727" t="inlineStr">
        <is>
          <t>past-medical-history</t>
        </is>
      </c>
      <c r="I727" t="inlineStr">
        <is>
          <t xml:space="preserve">
   [**2141-1-31**] to [**2141-2-15**]
   -- also for CHF exacerbation, given lasix ggt and metolazone
   -- supratherapeutic INR on admission, complicated by epistaxis and
   melena (GI followed but endoscopy was deferred)
   -- C diff colitis treated with ?</t>
        </is>
      </c>
    </row>
    <row r="728">
      <c r="A728" t="inlineStr">
        <is>
          <t>532409-past-medical-history-2-1</t>
        </is>
      </c>
      <c r="B728" t="inlineStr"/>
      <c r="C728" t="inlineStr"/>
      <c r="D728">
        <f>HYPERLINK("http://nlpdeep.cs.uic.edu:8080/proofing/t5/532409-past-medical-history-2-1.pdf","t5/532409-past-medical-history-2-1.pdf")</f>
        <v/>
      </c>
      <c r="E728" t="n">
        <v>119960</v>
      </c>
      <c r="F728" t="n">
        <v>532409</v>
      </c>
      <c r="G728" t="inlineStr">
        <is>
          <t>Physician</t>
        </is>
      </c>
      <c r="H728" t="inlineStr">
        <is>
          <t>past-medical-history</t>
        </is>
      </c>
      <c r="I728" t="inlineStr"/>
    </row>
    <row r="729">
      <c r="A729" t="inlineStr">
        <is>
          <t>532409-past-medical-history-2-1</t>
        </is>
      </c>
      <c r="B729" t="inlineStr"/>
      <c r="C729" t="inlineStr"/>
      <c r="D729">
        <f>HYPERLINK("http://nlpdeep.cs.uic.edu:8080/proofing/gsii/532409-past-medical-history-2-1.pdf","gsii/532409-past-medical-history-2-1.pdf")</f>
        <v/>
      </c>
      <c r="E729" t="n">
        <v>119960</v>
      </c>
      <c r="F729" t="n">
        <v>532409</v>
      </c>
      <c r="G729" t="inlineStr">
        <is>
          <t>Physician</t>
        </is>
      </c>
      <c r="H729" t="inlineStr">
        <is>
          <t>past-medical-history</t>
        </is>
      </c>
      <c r="I729" t="inlineStr"/>
    </row>
    <row r="730">
      <c r="A730" t="inlineStr">
        <is>
          <t>532409-past-medical-history-3-0</t>
        </is>
      </c>
      <c r="B730" t="inlineStr"/>
      <c r="C730" t="inlineStr"/>
      <c r="D730">
        <f>HYPERLINK("http://nlpdeep.cs.uic.edu:8080/proofing/t5/532409-past-medical-history-3-0.pdf","t5/532409-past-medical-history-3-0.pdf")</f>
        <v/>
      </c>
      <c r="E730" t="n">
        <v>119960</v>
      </c>
      <c r="F730" t="n">
        <v>532409</v>
      </c>
      <c r="G730" t="inlineStr">
        <is>
          <t>Physician</t>
        </is>
      </c>
      <c r="H730" t="inlineStr">
        <is>
          <t>past-medical-history</t>
        </is>
      </c>
      <c r="I730" t="inlineStr"/>
    </row>
    <row r="731">
      <c r="A731" t="inlineStr">
        <is>
          <t>532409-past-medical-history-3-0</t>
        </is>
      </c>
      <c r="B731" t="inlineStr"/>
      <c r="C731" t="inlineStr"/>
      <c r="D731">
        <f>HYPERLINK("http://nlpdeep.cs.uic.edu:8080/proofing/gsii/532409-past-medical-history-3-0.pdf","gsii/532409-past-medical-history-3-0.pdf")</f>
        <v/>
      </c>
      <c r="E731" t="n">
        <v>119960</v>
      </c>
      <c r="F731" t="n">
        <v>532409</v>
      </c>
      <c r="G731" t="inlineStr">
        <is>
          <t>Physician</t>
        </is>
      </c>
      <c r="H731" t="inlineStr">
        <is>
          <t>past-medical-history</t>
        </is>
      </c>
      <c r="I731" t="inlineStr"/>
    </row>
    <row r="732">
      <c r="A732" t="inlineStr">
        <is>
          <t>532409-past-medical-history-4-0</t>
        </is>
      </c>
      <c r="B732" t="inlineStr"/>
      <c r="C732" t="inlineStr"/>
      <c r="D732">
        <f>HYPERLINK("http://nlpdeep.cs.uic.edu:8080/proofing/t5/532409-past-medical-history-4-0.pdf","t5/532409-past-medical-history-4-0.pdf")</f>
        <v/>
      </c>
      <c r="E732" t="n">
        <v>119960</v>
      </c>
      <c r="F732" t="n">
        <v>532409</v>
      </c>
      <c r="G732" t="inlineStr">
        <is>
          <t>Physician</t>
        </is>
      </c>
      <c r="H732" t="inlineStr">
        <is>
          <t>past-medical-history</t>
        </is>
      </c>
      <c r="I732" t="inlineStr">
        <is>
          <t xml:space="preserve">
   [**2141-3-17**] to [**2141-3-31**]
   -- Sent in by rehab for sleepiness, low Hct, weight gain, cough.</t>
        </is>
      </c>
    </row>
    <row r="733">
      <c r="A733" t="inlineStr">
        <is>
          <t>532409-past-medical-history-4-0</t>
        </is>
      </c>
      <c r="B733" t="inlineStr"/>
      <c r="C733" t="inlineStr"/>
      <c r="D733">
        <f>HYPERLINK("http://nlpdeep.cs.uic.edu:8080/proofing/gsii/532409-past-medical-history-4-0.pdf","gsii/532409-past-medical-history-4-0.pdf")</f>
        <v/>
      </c>
      <c r="E733" t="n">
        <v>119960</v>
      </c>
      <c r="F733" t="n">
        <v>532409</v>
      </c>
      <c r="G733" t="inlineStr">
        <is>
          <t>Physician</t>
        </is>
      </c>
      <c r="H733" t="inlineStr">
        <is>
          <t>past-medical-history</t>
        </is>
      </c>
      <c r="I733" t="inlineStr">
        <is>
          <t xml:space="preserve">
   [**2141-3-17**] to [**2141-3-31**]
   -- Sent in by rehab for sleepiness, low Hct, weight gain, cough.</t>
        </is>
      </c>
    </row>
    <row r="734">
      <c r="A734" t="inlineStr">
        <is>
          <t>532409-past-medical-history-4-1</t>
        </is>
      </c>
      <c r="B734" t="inlineStr"/>
      <c r="C734" t="inlineStr"/>
      <c r="D734">
        <f>HYPERLINK("http://nlpdeep.cs.uic.edu:8080/proofing/t5/532409-past-medical-history-4-1.pdf","t5/532409-past-medical-history-4-1.pdf")</f>
        <v/>
      </c>
      <c r="E734" t="n">
        <v>119960</v>
      </c>
      <c r="F734" t="n">
        <v>532409</v>
      </c>
      <c r="G734" t="inlineStr">
        <is>
          <t>Physician</t>
        </is>
      </c>
      <c r="H734" t="inlineStr">
        <is>
          <t>past-medical-history</t>
        </is>
      </c>
      <c r="I734" t="inlineStr">
        <is>
          <t xml:space="preserve">
   -- C.</t>
        </is>
      </c>
    </row>
    <row r="735">
      <c r="A735" t="inlineStr">
        <is>
          <t>532409-past-medical-history-4-1</t>
        </is>
      </c>
      <c r="B735" t="inlineStr"/>
      <c r="C735" t="inlineStr"/>
      <c r="D735">
        <f>HYPERLINK("http://nlpdeep.cs.uic.edu:8080/proofing/gsii/532409-past-medical-history-4-1.pdf","gsii/532409-past-medical-history-4-1.pdf")</f>
        <v/>
      </c>
      <c r="E735" t="n">
        <v>119960</v>
      </c>
      <c r="F735" t="n">
        <v>532409</v>
      </c>
      <c r="G735" t="inlineStr">
        <is>
          <t>Physician</t>
        </is>
      </c>
      <c r="H735" t="inlineStr">
        <is>
          <t>past-medical-history</t>
        </is>
      </c>
      <c r="I735" t="inlineStr">
        <is>
          <t xml:space="preserve">
   -- C.</t>
        </is>
      </c>
    </row>
    <row r="736">
      <c r="A736" t="inlineStr">
        <is>
          <t>532409-past-medical-history-4-2</t>
        </is>
      </c>
      <c r="B736" t="inlineStr"/>
      <c r="C736" t="inlineStr"/>
      <c r="D736">
        <f>HYPERLINK("http://nlpdeep.cs.uic.edu:8080/proofing/t5/532409-past-medical-history-4-2.pdf","t5/532409-past-medical-history-4-2.pdf")</f>
        <v/>
      </c>
      <c r="E736" t="n">
        <v>119960</v>
      </c>
      <c r="F736" t="n">
        <v>532409</v>
      </c>
      <c r="G736" t="inlineStr">
        <is>
          <t>Physician</t>
        </is>
      </c>
      <c r="H736" t="inlineStr">
        <is>
          <t>past-medical-history</t>
        </is>
      </c>
      <c r="I736" t="inlineStr">
        <is>
          <t>Diff colitis
   -- GIB (Guaiac positive,</t>
        </is>
      </c>
    </row>
    <row r="737">
      <c r="A737" t="inlineStr">
        <is>
          <t>532409-past-medical-history-4-2</t>
        </is>
      </c>
      <c r="B737" t="inlineStr"/>
      <c r="C737" t="inlineStr"/>
      <c r="D737">
        <f>HYPERLINK("http://nlpdeep.cs.uic.edu:8080/proofing/gsii/532409-past-medical-history-4-2.pdf","gsii/532409-past-medical-history-4-2.pdf")</f>
        <v/>
      </c>
      <c r="E737" t="n">
        <v>119960</v>
      </c>
      <c r="F737" t="n">
        <v>532409</v>
      </c>
      <c r="G737" t="inlineStr">
        <is>
          <t>Physician</t>
        </is>
      </c>
      <c r="H737" t="inlineStr">
        <is>
          <t>past-medical-history</t>
        </is>
      </c>
      <c r="I737" t="inlineStr">
        <is>
          <t>Diff colitis
   -- GIB (Guaiac positive,</t>
        </is>
      </c>
    </row>
    <row r="738">
      <c r="A738" t="inlineStr">
        <is>
          <t>532409-past-medical-history-4-3</t>
        </is>
      </c>
      <c r="B738" t="inlineStr"/>
      <c r="C738" t="inlineStr"/>
      <c r="D738">
        <f>HYPERLINK("http://nlpdeep.cs.uic.edu:8080/proofing/t5/532409-past-medical-history-4-3.pdf","t5/532409-past-medical-history-4-3.pdf")</f>
        <v/>
      </c>
      <c r="E738" t="n">
        <v>119960</v>
      </c>
      <c r="F738" t="n">
        <v>532409</v>
      </c>
      <c r="G738" t="inlineStr">
        <is>
          <t>Physician</t>
        </is>
      </c>
      <c r="H738" t="inlineStr">
        <is>
          <t>past-medical-history</t>
        </is>
      </c>
      <c r="I738" t="inlineStr">
        <is>
          <t>had been on coumadin until [**Month (only) 2299**] when had
   presumed UGIB requiring 1U pRBC); transfused for Hct 23.5 (but near
   baseline of 24)
   -- Hypotension to the 70s systolic (baseline 90-100s)
   -- CHF
   -- UTI
   -- Acute on chronic kidney disease
   -- Pancytopenia: found to be HIT antibody positive but serotonin assay
   negative so not likely HIT; nonetheless heparin products were avoided.</t>
        </is>
      </c>
    </row>
    <row r="739">
      <c r="A739" t="inlineStr">
        <is>
          <t>532409-past-medical-history-4-3</t>
        </is>
      </c>
      <c r="B739" t="inlineStr"/>
      <c r="C739" t="inlineStr"/>
      <c r="D739">
        <f>HYPERLINK("http://nlpdeep.cs.uic.edu:8080/proofing/gsii/532409-past-medical-history-4-3.pdf","gsii/532409-past-medical-history-4-3.pdf")</f>
        <v/>
      </c>
      <c r="E739" t="n">
        <v>119960</v>
      </c>
      <c r="F739" t="n">
        <v>532409</v>
      </c>
      <c r="G739" t="inlineStr">
        <is>
          <t>Physician</t>
        </is>
      </c>
      <c r="H739" t="inlineStr">
        <is>
          <t>past-medical-history</t>
        </is>
      </c>
      <c r="I739" t="inlineStr">
        <is>
          <t>had been on coumadin until [**Month (only) 2299**] when had
   presumed UGIB requiring 1U pRBC); transfused for Hct 23.5 (but near
   baseline of 24)
   -- Hypotension to the 70s systolic (baseline 90-100s)
   -- CHF
   -- UTI
   -- Acute on chronic kidney disease
   -- Pancytopenia: found to be HIT antibody positive but serotonin assay
   negative so not likely HIT; nonetheless heparin products were avoided.</t>
        </is>
      </c>
    </row>
    <row r="740">
      <c r="A740" t="inlineStr">
        <is>
          <t>532409-past-medical-history-4-4</t>
        </is>
      </c>
      <c r="B740" t="inlineStr"/>
      <c r="C740" t="inlineStr"/>
      <c r="D740">
        <f>HYPERLINK("http://nlpdeep.cs.uic.edu:8080/proofing/t5/532409-past-medical-history-4-4.pdf","t5/532409-past-medical-history-4-4.pdf")</f>
        <v/>
      </c>
      <c r="E740" t="n">
        <v>119960</v>
      </c>
      <c r="F740" t="n">
        <v>532409</v>
      </c>
      <c r="G740" t="inlineStr">
        <is>
          <t>Physician</t>
        </is>
      </c>
      <c r="H740" t="inlineStr">
        <is>
          <t>past-medical-history</t>
        </is>
      </c>
      <c r="I740" t="inlineStr">
        <is>
          <t xml:space="preserve">
   Pancytopenia improved over hospital course; thought to be infection
   related.</t>
        </is>
      </c>
    </row>
    <row r="741">
      <c r="A741" t="inlineStr">
        <is>
          <t>532409-past-medical-history-4-4</t>
        </is>
      </c>
      <c r="B741" t="inlineStr"/>
      <c r="C741" t="inlineStr"/>
      <c r="D741">
        <f>HYPERLINK("http://nlpdeep.cs.uic.edu:8080/proofing/gsii/532409-past-medical-history-4-4.pdf","gsii/532409-past-medical-history-4-4.pdf")</f>
        <v/>
      </c>
      <c r="E741" t="n">
        <v>119960</v>
      </c>
      <c r="F741" t="n">
        <v>532409</v>
      </c>
      <c r="G741" t="inlineStr">
        <is>
          <t>Physician</t>
        </is>
      </c>
      <c r="H741" t="inlineStr">
        <is>
          <t>past-medical-history</t>
        </is>
      </c>
      <c r="I741" t="inlineStr">
        <is>
          <t xml:space="preserve">
   Pancytopenia improved over hospital course; thought to be infection
   related.</t>
        </is>
      </c>
    </row>
    <row r="742">
      <c r="A742" t="inlineStr">
        <is>
          <t>532409-past-medical-history-4-5</t>
        </is>
      </c>
      <c r="B742" t="inlineStr"/>
      <c r="C742" t="inlineStr"/>
      <c r="D742">
        <f>HYPERLINK("http://nlpdeep.cs.uic.edu:8080/proofing/t5/532409-past-medical-history-4-5.pdf","t5/532409-past-medical-history-4-5.pdf")</f>
        <v/>
      </c>
      <c r="E742" t="n">
        <v>119960</v>
      </c>
      <c r="F742" t="n">
        <v>532409</v>
      </c>
      <c r="G742" t="inlineStr">
        <is>
          <t>Physician</t>
        </is>
      </c>
      <c r="H742" t="inlineStr">
        <is>
          <t>past-medical-history</t>
        </is>
      </c>
      <c r="I742" t="inlineStr">
        <is>
          <t xml:space="preserve">
   -- Increased AP and GGT with elevated lipase and an abnormality on
   ultrasound suggestive of a pancreatic mass.</t>
        </is>
      </c>
    </row>
    <row r="743">
      <c r="A743" t="inlineStr">
        <is>
          <t>532409-past-medical-history-4-5</t>
        </is>
      </c>
      <c r="B743" t="inlineStr"/>
      <c r="C743" t="inlineStr"/>
      <c r="D743">
        <f>HYPERLINK("http://nlpdeep.cs.uic.edu:8080/proofing/gsii/532409-past-medical-history-4-5.pdf","gsii/532409-past-medical-history-4-5.pdf")</f>
        <v/>
      </c>
      <c r="E743" t="n">
        <v>119960</v>
      </c>
      <c r="F743" t="n">
        <v>532409</v>
      </c>
      <c r="G743" t="inlineStr">
        <is>
          <t>Physician</t>
        </is>
      </c>
      <c r="H743" t="inlineStr">
        <is>
          <t>past-medical-history</t>
        </is>
      </c>
      <c r="I743" t="inlineStr">
        <is>
          <t xml:space="preserve">
   -- Increased AP and GGT with elevated lipase and an abnormality on
   ultrasound suggestive of a pancreatic mass.</t>
        </is>
      </c>
    </row>
    <row r="744">
      <c r="A744" t="inlineStr">
        <is>
          <t>532409-past-medical-history-4-6</t>
        </is>
      </c>
      <c r="B744" t="inlineStr"/>
      <c r="C744" t="inlineStr"/>
      <c r="D744">
        <f>HYPERLINK("http://nlpdeep.cs.uic.edu:8080/proofing/t5/532409-past-medical-history-4-6.pdf","t5/532409-past-medical-history-4-6.pdf")</f>
        <v/>
      </c>
      <c r="E744" t="n">
        <v>119960</v>
      </c>
      <c r="F744" t="n">
        <v>532409</v>
      </c>
      <c r="G744" t="inlineStr">
        <is>
          <t>Physician</t>
        </is>
      </c>
      <c r="H744" t="inlineStr">
        <is>
          <t>past-medical-history</t>
        </is>
      </c>
      <c r="I744" t="inlineStr">
        <is>
          <t>GI was consulted and
   recommended an outpatient MRCP.</t>
        </is>
      </c>
    </row>
    <row r="745">
      <c r="A745" t="inlineStr">
        <is>
          <t>532409-past-medical-history-4-6</t>
        </is>
      </c>
      <c r="B745" t="inlineStr"/>
      <c r="C745" t="inlineStr"/>
      <c r="D745">
        <f>HYPERLINK("http://nlpdeep.cs.uic.edu:8080/proofing/gsii/532409-past-medical-history-4-6.pdf","gsii/532409-past-medical-history-4-6.pdf")</f>
        <v/>
      </c>
      <c r="E745" t="n">
        <v>119960</v>
      </c>
      <c r="F745" t="n">
        <v>532409</v>
      </c>
      <c r="G745" t="inlineStr">
        <is>
          <t>Physician</t>
        </is>
      </c>
      <c r="H745" t="inlineStr">
        <is>
          <t>past-medical-history</t>
        </is>
      </c>
      <c r="I745" t="inlineStr">
        <is>
          <t>GI was consulted and
   recommended an outpatient MRCP.</t>
        </is>
      </c>
    </row>
    <row r="746">
      <c r="A746" t="inlineStr">
        <is>
          <t>532409-family-history-0-0</t>
        </is>
      </c>
      <c r="B746" t="inlineStr"/>
      <c r="C746" t="inlineStr"/>
      <c r="D746">
        <f>HYPERLINK("http://nlpdeep.cs.uic.edu:8080/proofing/t5/532409-family-history-0-0.pdf","t5/532409-family-history-0-0.pdf")</f>
        <v/>
      </c>
      <c r="E746" t="n">
        <v>119960</v>
      </c>
      <c r="F746" t="n">
        <v>532409</v>
      </c>
      <c r="G746" t="inlineStr">
        <is>
          <t>Physician</t>
        </is>
      </c>
      <c r="H746" t="inlineStr">
        <is>
          <t>family-history</t>
        </is>
      </c>
      <c r="I746" t="inlineStr">
        <is>
          <t xml:space="preserve">
   Parents are both deceased.</t>
        </is>
      </c>
    </row>
    <row r="747">
      <c r="A747" t="inlineStr">
        <is>
          <t>532409-family-history-0-0</t>
        </is>
      </c>
      <c r="B747" t="inlineStr"/>
      <c r="C747" t="inlineStr"/>
      <c r="D747">
        <f>HYPERLINK("http://nlpdeep.cs.uic.edu:8080/proofing/gsii/532409-family-history-0-0.pdf","gsii/532409-family-history-0-0.pdf")</f>
        <v/>
      </c>
      <c r="E747" t="n">
        <v>119960</v>
      </c>
      <c r="F747" t="n">
        <v>532409</v>
      </c>
      <c r="G747" t="inlineStr">
        <is>
          <t>Physician</t>
        </is>
      </c>
      <c r="H747" t="inlineStr">
        <is>
          <t>family-history</t>
        </is>
      </c>
      <c r="I747" t="inlineStr">
        <is>
          <t xml:space="preserve">
   Parents are both deceased.</t>
        </is>
      </c>
    </row>
    <row r="748">
      <c r="A748" t="inlineStr">
        <is>
          <t>532409-family-history-0-1</t>
        </is>
      </c>
      <c r="B748" t="inlineStr"/>
      <c r="C748" t="inlineStr"/>
      <c r="D748">
        <f>HYPERLINK("http://nlpdeep.cs.uic.edu:8080/proofing/t5/532409-family-history-0-1.pdf","t5/532409-family-history-0-1.pdf")</f>
        <v/>
      </c>
      <c r="E748" t="n">
        <v>119960</v>
      </c>
      <c r="F748" t="n">
        <v>532409</v>
      </c>
      <c r="G748" t="inlineStr">
        <is>
          <t>Physician</t>
        </is>
      </c>
      <c r="H748" t="inlineStr">
        <is>
          <t>family-history</t>
        </is>
      </c>
      <c r="I748" t="inlineStr">
        <is>
          <t>Father (73 years; "heart" disease); Mother
   (48 years; stomach cancer).</t>
        </is>
      </c>
    </row>
    <row r="749">
      <c r="A749" t="inlineStr">
        <is>
          <t>532409-family-history-0-1</t>
        </is>
      </c>
      <c r="B749" t="inlineStr"/>
      <c r="C749" t="inlineStr"/>
      <c r="D749">
        <f>HYPERLINK("http://nlpdeep.cs.uic.edu:8080/proofing/gsii/532409-family-history-0-1.pdf","gsii/532409-family-history-0-1.pdf")</f>
        <v/>
      </c>
      <c r="E749" t="n">
        <v>119960</v>
      </c>
      <c r="F749" t="n">
        <v>532409</v>
      </c>
      <c r="G749" t="inlineStr">
        <is>
          <t>Physician</t>
        </is>
      </c>
      <c r="H749" t="inlineStr">
        <is>
          <t>family-history</t>
        </is>
      </c>
      <c r="I749" t="inlineStr">
        <is>
          <t>Father (73 years; "heart" disease); Mother
   (48 years; stomach cancer).</t>
        </is>
      </c>
    </row>
    <row r="750">
      <c r="A750" t="inlineStr">
        <is>
          <t>532409-family-history-0-2</t>
        </is>
      </c>
      <c r="B750" t="inlineStr"/>
      <c r="C750" t="inlineStr"/>
      <c r="D750">
        <f>HYPERLINK("http://nlpdeep.cs.uic.edu:8080/proofing/t5/532409-family-history-0-2.pdf","t5/532409-family-history-0-2.pdf")</f>
        <v/>
      </c>
      <c r="E750" t="n">
        <v>119960</v>
      </c>
      <c r="F750" t="n">
        <v>532409</v>
      </c>
      <c r="G750" t="inlineStr">
        <is>
          <t>Physician</t>
        </is>
      </c>
      <c r="H750" t="inlineStr">
        <is>
          <t>family-history</t>
        </is>
      </c>
      <c r="I750" t="inlineStr">
        <is>
          <t>He has 2 siblings (80- breast cancer,
   brother with ? abdominal cancer).</t>
        </is>
      </c>
    </row>
    <row r="751">
      <c r="A751" t="inlineStr">
        <is>
          <t>532409-family-history-0-2</t>
        </is>
      </c>
      <c r="B751" t="inlineStr"/>
      <c r="C751" t="inlineStr"/>
      <c r="D751">
        <f>HYPERLINK("http://nlpdeep.cs.uic.edu:8080/proofing/gsii/532409-family-history-0-2.pdf","gsii/532409-family-history-0-2.pdf")</f>
        <v/>
      </c>
      <c r="E751" t="n">
        <v>119960</v>
      </c>
      <c r="F751" t="n">
        <v>532409</v>
      </c>
      <c r="G751" t="inlineStr">
        <is>
          <t>Physician</t>
        </is>
      </c>
      <c r="H751" t="inlineStr">
        <is>
          <t>family-history</t>
        </is>
      </c>
      <c r="I751" t="inlineStr">
        <is>
          <t>He has 2 siblings (80- breast cancer,
   brother with ? abdominal cancer).</t>
        </is>
      </c>
    </row>
    <row r="752">
      <c r="A752" t="inlineStr">
        <is>
          <t>532409-family-history-0-3</t>
        </is>
      </c>
      <c r="B752" t="inlineStr"/>
      <c r="C752" t="inlineStr"/>
      <c r="D752">
        <f>HYPERLINK("http://nlpdeep.cs.uic.edu:8080/proofing/t5/532409-family-history-0-3.pdf","t5/532409-family-history-0-3.pdf")</f>
        <v/>
      </c>
      <c r="E752" t="n">
        <v>119960</v>
      </c>
      <c r="F752" t="n">
        <v>532409</v>
      </c>
      <c r="G752" t="inlineStr">
        <is>
          <t>Physician</t>
        </is>
      </c>
      <c r="H752" t="inlineStr">
        <is>
          <t>family-history</t>
        </is>
      </c>
      <c r="I752" t="inlineStr">
        <is>
          <t>He has 3 children (55, 53, 49 years;
   all well).</t>
        </is>
      </c>
    </row>
    <row r="753">
      <c r="A753" t="inlineStr">
        <is>
          <t>532409-family-history-0-3</t>
        </is>
      </c>
      <c r="B753" t="inlineStr"/>
      <c r="C753" t="inlineStr"/>
      <c r="D753">
        <f>HYPERLINK("http://nlpdeep.cs.uic.edu:8080/proofing/gsii/532409-family-history-0-3.pdf","gsii/532409-family-history-0-3.pdf")</f>
        <v/>
      </c>
      <c r="E753" t="n">
        <v>119960</v>
      </c>
      <c r="F753" t="n">
        <v>532409</v>
      </c>
      <c r="G753" t="inlineStr">
        <is>
          <t>Physician</t>
        </is>
      </c>
      <c r="H753" t="inlineStr">
        <is>
          <t>family-history</t>
        </is>
      </c>
      <c r="I753" t="inlineStr">
        <is>
          <t>He has 3 children (55, 53, 49 years;
   all well).</t>
        </is>
      </c>
    </row>
    <row r="754">
      <c r="A754" t="inlineStr">
        <is>
          <t>532409-family-history-0-4</t>
        </is>
      </c>
      <c r="B754" t="inlineStr"/>
      <c r="C754" t="inlineStr"/>
      <c r="D754">
        <f>HYPERLINK("http://nlpdeep.cs.uic.edu:8080/proofing/t5/532409-family-history-0-4.pdf","t5/532409-family-history-0-4.pdf")</f>
        <v/>
      </c>
      <c r="E754" t="n">
        <v>119960</v>
      </c>
      <c r="F754" t="n">
        <v>532409</v>
      </c>
      <c r="G754" t="inlineStr">
        <is>
          <t>Physician</t>
        </is>
      </c>
      <c r="H754" t="inlineStr">
        <is>
          <t>family-history</t>
        </is>
      </c>
      <c r="I754" t="inlineStr">
        <is>
          <t>A son [**Doctor Last Name 20**] has atrial fibrillation.</t>
        </is>
      </c>
    </row>
    <row r="755">
      <c r="A755" t="inlineStr">
        <is>
          <t>532409-family-history-0-4</t>
        </is>
      </c>
      <c r="B755" t="inlineStr"/>
      <c r="C755" t="inlineStr"/>
      <c r="D755">
        <f>HYPERLINK("http://nlpdeep.cs.uic.edu:8080/proofing/gsii/532409-family-history-0-4.pdf","gsii/532409-family-history-0-4.pdf")</f>
        <v/>
      </c>
      <c r="E755" t="n">
        <v>119960</v>
      </c>
      <c r="F755" t="n">
        <v>532409</v>
      </c>
      <c r="G755" t="inlineStr">
        <is>
          <t>Physician</t>
        </is>
      </c>
      <c r="H755" t="inlineStr">
        <is>
          <t>family-history</t>
        </is>
      </c>
      <c r="I755" t="inlineStr">
        <is>
          <t>A son [**Doctor Last Name 20**] has atrial fibrillation.</t>
        </is>
      </c>
    </row>
    <row r="756">
      <c r="A756" t="inlineStr">
        <is>
          <t>532409-social-history-0-0</t>
        </is>
      </c>
      <c r="B756" t="inlineStr"/>
      <c r="C756" t="inlineStr"/>
      <c r="D756">
        <f>HYPERLINK("http://nlpdeep.cs.uic.edu:8080/proofing/t5/532409-social-history-0-0.pdf","t5/532409-social-history-0-0.pdf")</f>
        <v/>
      </c>
      <c r="E756" t="n">
        <v>119960</v>
      </c>
      <c r="F756" t="n">
        <v>532409</v>
      </c>
      <c r="G756" t="inlineStr">
        <is>
          <t>Physician</t>
        </is>
      </c>
      <c r="H756" t="inlineStr">
        <is>
          <t>social-history</t>
        </is>
      </c>
      <c r="I756" t="inlineStr">
        <is>
          <t xml:space="preserve">
   Occupation:
   Drugs:
   Tobacco:
   Alcohol:
   Other: Usually lives with wife, married for &gt;50yrs, currently at [**Hospital 328**]
   Rehab.</t>
        </is>
      </c>
    </row>
    <row r="757">
      <c r="A757" t="inlineStr">
        <is>
          <t>532409-social-history-0-0</t>
        </is>
      </c>
      <c r="B757" t="inlineStr"/>
      <c r="C757" t="inlineStr"/>
      <c r="D757">
        <f>HYPERLINK("http://nlpdeep.cs.uic.edu:8080/proofing/gsii/532409-social-history-0-0.pdf","gsii/532409-social-history-0-0.pdf")</f>
        <v/>
      </c>
      <c r="E757" t="n">
        <v>119960</v>
      </c>
      <c r="F757" t="n">
        <v>532409</v>
      </c>
      <c r="G757" t="inlineStr">
        <is>
          <t>Physician</t>
        </is>
      </c>
      <c r="H757" t="inlineStr">
        <is>
          <t>social-history</t>
        </is>
      </c>
      <c r="I757" t="inlineStr">
        <is>
          <t xml:space="preserve">
   Occupation:
   Drugs:
   Tobacco:
   Alcohol:
   Other: Usually lives with wife, married for &gt;50yrs, currently at [**Hospital 328**]
   Rehab.</t>
        </is>
      </c>
    </row>
    <row r="758">
      <c r="A758" t="inlineStr">
        <is>
          <t>532409-social-history-0-1</t>
        </is>
      </c>
      <c r="B758" t="inlineStr"/>
      <c r="C758" t="inlineStr"/>
      <c r="D758">
        <f>HYPERLINK("http://nlpdeep.cs.uic.edu:8080/proofing/t5/532409-social-history-0-1.pdf","t5/532409-social-history-0-1.pdf")</f>
        <v/>
      </c>
      <c r="E758" t="n">
        <v>119960</v>
      </c>
      <c r="F758" t="n">
        <v>532409</v>
      </c>
      <c r="G758" t="inlineStr">
        <is>
          <t>Physician</t>
        </is>
      </c>
      <c r="H758" t="inlineStr">
        <is>
          <t>social-history</t>
        </is>
      </c>
      <c r="I758" t="inlineStr">
        <is>
          <t>3 children.</t>
        </is>
      </c>
    </row>
    <row r="759">
      <c r="A759" t="inlineStr">
        <is>
          <t>532409-social-history-0-1</t>
        </is>
      </c>
      <c r="B759" t="inlineStr"/>
      <c r="C759" t="inlineStr"/>
      <c r="D759">
        <f>HYPERLINK("http://nlpdeep.cs.uic.edu:8080/proofing/gsii/532409-social-history-0-1.pdf","gsii/532409-social-history-0-1.pdf")</f>
        <v/>
      </c>
      <c r="E759" t="n">
        <v>119960</v>
      </c>
      <c r="F759" t="n">
        <v>532409</v>
      </c>
      <c r="G759" t="inlineStr">
        <is>
          <t>Physician</t>
        </is>
      </c>
      <c r="H759" t="inlineStr">
        <is>
          <t>social-history</t>
        </is>
      </c>
      <c r="I759" t="inlineStr">
        <is>
          <t>3 children.</t>
        </is>
      </c>
    </row>
    <row r="760">
      <c r="A760" t="inlineStr">
        <is>
          <t>532409-social-history-0-2</t>
        </is>
      </c>
      <c r="B760" t="inlineStr"/>
      <c r="C760" t="inlineStr"/>
      <c r="D760">
        <f>HYPERLINK("http://nlpdeep.cs.uic.edu:8080/proofing/t5/532409-social-history-0-2.pdf","t5/532409-social-history-0-2.pdf")</f>
        <v/>
      </c>
      <c r="E760" t="n">
        <v>119960</v>
      </c>
      <c r="F760" t="n">
        <v>532409</v>
      </c>
      <c r="G760" t="inlineStr">
        <is>
          <t>Physician</t>
        </is>
      </c>
      <c r="H760" t="inlineStr">
        <is>
          <t>social-history</t>
        </is>
      </c>
      <c r="I760" t="inlineStr">
        <is>
          <t>No tobacco, EtOH, IVDU.</t>
        </is>
      </c>
    </row>
    <row r="761">
      <c r="A761" t="inlineStr">
        <is>
          <t>532409-social-history-0-2</t>
        </is>
      </c>
      <c r="B761" t="inlineStr"/>
      <c r="C761" t="inlineStr"/>
      <c r="D761">
        <f>HYPERLINK("http://nlpdeep.cs.uic.edu:8080/proofing/gsii/532409-social-history-0-2.pdf","gsii/532409-social-history-0-2.pdf")</f>
        <v/>
      </c>
      <c r="E761" t="n">
        <v>119960</v>
      </c>
      <c r="F761" t="n">
        <v>532409</v>
      </c>
      <c r="G761" t="inlineStr">
        <is>
          <t>Physician</t>
        </is>
      </c>
      <c r="H761" t="inlineStr">
        <is>
          <t>social-history</t>
        </is>
      </c>
      <c r="I761" t="inlineStr">
        <is>
          <t>No tobacco, EtOH, IVDU.</t>
        </is>
      </c>
    </row>
    <row r="762">
      <c r="A762" t="inlineStr">
        <is>
          <t>532409-social-history-0-3</t>
        </is>
      </c>
      <c r="B762" t="inlineStr"/>
      <c r="C762" t="inlineStr"/>
      <c r="D762">
        <f>HYPERLINK("http://nlpdeep.cs.uic.edu:8080/proofing/t5/532409-social-history-0-3.pdf","t5/532409-social-history-0-3.pdf")</f>
        <v/>
      </c>
      <c r="E762" t="n">
        <v>119960</v>
      </c>
      <c r="F762" t="n">
        <v>532409</v>
      </c>
      <c r="G762" t="inlineStr">
        <is>
          <t>Physician</t>
        </is>
      </c>
      <c r="H762" t="inlineStr">
        <is>
          <t>social-history</t>
        </is>
      </c>
      <c r="I762" t="inlineStr">
        <is>
          <t>Retired, formerly worked
   manufacturing and distributing batteries.</t>
        </is>
      </c>
    </row>
    <row r="763">
      <c r="A763" t="inlineStr">
        <is>
          <t>532409-social-history-0-3</t>
        </is>
      </c>
      <c r="B763" t="inlineStr"/>
      <c r="C763" t="inlineStr"/>
      <c r="D763">
        <f>HYPERLINK("http://nlpdeep.cs.uic.edu:8080/proofing/gsii/532409-social-history-0-3.pdf","gsii/532409-social-history-0-3.pdf")</f>
        <v/>
      </c>
      <c r="E763" t="n">
        <v>119960</v>
      </c>
      <c r="F763" t="n">
        <v>532409</v>
      </c>
      <c r="G763" t="inlineStr">
        <is>
          <t>Physician</t>
        </is>
      </c>
      <c r="H763" t="inlineStr">
        <is>
          <t>social-history</t>
        </is>
      </c>
      <c r="I763" t="inlineStr">
        <is>
          <t>Retired, formerly worked
   manufacturing and distributing batteries.</t>
        </is>
      </c>
    </row>
    <row r="764">
      <c r="A764" t="inlineStr">
        <is>
          <t>532409-social-history-0-4</t>
        </is>
      </c>
      <c r="B764" t="inlineStr"/>
      <c r="C764" t="inlineStr"/>
      <c r="D764">
        <f>HYPERLINK("http://nlpdeep.cs.uic.edu:8080/proofing/t5/532409-social-history-0-4.pdf","t5/532409-social-history-0-4.pdf")</f>
        <v/>
      </c>
      <c r="E764" t="n">
        <v>119960</v>
      </c>
      <c r="F764" t="n">
        <v>532409</v>
      </c>
      <c r="G764" t="inlineStr">
        <is>
          <t>Physician</t>
        </is>
      </c>
      <c r="H764" t="inlineStr">
        <is>
          <t>social-history</t>
        </is>
      </c>
      <c r="I764" t="inlineStr">
        <is>
          <t>He smoked cigars for [**2-1**]
   years and quit &gt;45 years ago.</t>
        </is>
      </c>
    </row>
    <row r="765">
      <c r="A765" t="inlineStr">
        <is>
          <t>532409-social-history-0-4</t>
        </is>
      </c>
      <c r="B765" t="inlineStr"/>
      <c r="C765" t="inlineStr"/>
      <c r="D765">
        <f>HYPERLINK("http://nlpdeep.cs.uic.edu:8080/proofing/gsii/532409-social-history-0-4.pdf","gsii/532409-social-history-0-4.pdf")</f>
        <v/>
      </c>
      <c r="E765" t="n">
        <v>119960</v>
      </c>
      <c r="F765" t="n">
        <v>532409</v>
      </c>
      <c r="G765" t="inlineStr">
        <is>
          <t>Physician</t>
        </is>
      </c>
      <c r="H765" t="inlineStr">
        <is>
          <t>social-history</t>
        </is>
      </c>
      <c r="I765" t="inlineStr">
        <is>
          <t>He smoked cigars for [**2-1**]
   years and quit &gt;45 years ago.</t>
        </is>
      </c>
    </row>
    <row r="766">
      <c r="A766" t="inlineStr">
        <is>
          <t>532409-social-history-0-5</t>
        </is>
      </c>
      <c r="B766" t="inlineStr"/>
      <c r="C766" t="inlineStr"/>
      <c r="D766">
        <f>HYPERLINK("http://nlpdeep.cs.uic.edu:8080/proofing/t5/532409-social-history-0-5.pdf","t5/532409-social-history-0-5.pdf")</f>
        <v/>
      </c>
      <c r="E766" t="n">
        <v>119960</v>
      </c>
      <c r="F766" t="n">
        <v>532409</v>
      </c>
      <c r="G766" t="inlineStr">
        <is>
          <t>Physician</t>
        </is>
      </c>
      <c r="H766" t="inlineStr">
        <is>
          <t>social-history</t>
        </is>
      </c>
      <c r="I766" t="inlineStr">
        <is>
          <t>He has not smoked cigarettes.</t>
        </is>
      </c>
    </row>
    <row r="767">
      <c r="A767" t="inlineStr">
        <is>
          <t>532409-social-history-0-5</t>
        </is>
      </c>
      <c r="B767" t="inlineStr"/>
      <c r="C767" t="inlineStr"/>
      <c r="D767">
        <f>HYPERLINK("http://nlpdeep.cs.uic.edu:8080/proofing/gsii/532409-social-history-0-5.pdf","gsii/532409-social-history-0-5.pdf")</f>
        <v/>
      </c>
      <c r="E767" t="n">
        <v>119960</v>
      </c>
      <c r="F767" t="n">
        <v>532409</v>
      </c>
      <c r="G767" t="inlineStr">
        <is>
          <t>Physician</t>
        </is>
      </c>
      <c r="H767" t="inlineStr">
        <is>
          <t>social-history</t>
        </is>
      </c>
      <c r="I767" t="inlineStr">
        <is>
          <t>He has not smoked cigarettes.</t>
        </is>
      </c>
    </row>
    <row r="768">
      <c r="A768" t="inlineStr">
        <is>
          <t>532409-social-history-0-6</t>
        </is>
      </c>
      <c r="B768" t="inlineStr"/>
      <c r="C768" t="inlineStr"/>
      <c r="D768">
        <f>HYPERLINK("http://nlpdeep.cs.uic.edu:8080/proofing/t5/532409-social-history-0-6.pdf","t5/532409-social-history-0-6.pdf")</f>
        <v/>
      </c>
      <c r="E768" t="n">
        <v>119960</v>
      </c>
      <c r="F768" t="n">
        <v>532409</v>
      </c>
      <c r="G768" t="inlineStr">
        <is>
          <t>Physician</t>
        </is>
      </c>
      <c r="H768" t="inlineStr">
        <is>
          <t>social-history</t>
        </is>
      </c>
      <c r="I768" t="inlineStr">
        <is>
          <t>He does not
   drink alcohol on a regular basis.</t>
        </is>
      </c>
    </row>
    <row r="769">
      <c r="A769" t="inlineStr">
        <is>
          <t>532409-social-history-0-6</t>
        </is>
      </c>
      <c r="B769" t="inlineStr"/>
      <c r="C769" t="inlineStr"/>
      <c r="D769">
        <f>HYPERLINK("http://nlpdeep.cs.uic.edu:8080/proofing/gsii/532409-social-history-0-6.pdf","gsii/532409-social-history-0-6.pdf")</f>
        <v/>
      </c>
      <c r="E769" t="n">
        <v>119960</v>
      </c>
      <c r="F769" t="n">
        <v>532409</v>
      </c>
      <c r="G769" t="inlineStr">
        <is>
          <t>Physician</t>
        </is>
      </c>
      <c r="H769" t="inlineStr">
        <is>
          <t>social-history</t>
        </is>
      </c>
      <c r="I769" t="inlineStr">
        <is>
          <t>He does not
   drink alcohol on a regular basis.</t>
        </is>
      </c>
    </row>
    <row r="770">
      <c r="A770" t="inlineStr">
        <is>
          <t>532409-social-history-0-7</t>
        </is>
      </c>
      <c r="B770" t="inlineStr"/>
      <c r="C770" t="inlineStr"/>
      <c r="D770">
        <f>HYPERLINK("http://nlpdeep.cs.uic.edu:8080/proofing/t5/532409-social-history-0-7.pdf","t5/532409-social-history-0-7.pdf")</f>
        <v/>
      </c>
      <c r="E770" t="n">
        <v>119960</v>
      </c>
      <c r="F770" t="n">
        <v>532409</v>
      </c>
      <c r="G770" t="inlineStr">
        <is>
          <t>Physician</t>
        </is>
      </c>
      <c r="H770" t="inlineStr">
        <is>
          <t>social-history</t>
        </is>
      </c>
      <c r="I770" t="inlineStr">
        <is>
          <t>Denies IV, illicit, or herbal drug
   use.</t>
        </is>
      </c>
    </row>
    <row r="771">
      <c r="A771" t="inlineStr">
        <is>
          <t>532409-social-history-0-7</t>
        </is>
      </c>
      <c r="B771" t="inlineStr"/>
      <c r="C771" t="inlineStr"/>
      <c r="D771">
        <f>HYPERLINK("http://nlpdeep.cs.uic.edu:8080/proofing/gsii/532409-social-history-0-7.pdf","gsii/532409-social-history-0-7.pdf")</f>
        <v/>
      </c>
      <c r="E771" t="n">
        <v>119960</v>
      </c>
      <c r="F771" t="n">
        <v>532409</v>
      </c>
      <c r="G771" t="inlineStr">
        <is>
          <t>Physician</t>
        </is>
      </c>
      <c r="H771" t="inlineStr">
        <is>
          <t>social-history</t>
        </is>
      </c>
      <c r="I771" t="inlineStr">
        <is>
          <t>Denies IV, illicit, or herbal drug
   use.</t>
        </is>
      </c>
    </row>
    <row r="772">
      <c r="A772" t="inlineStr">
        <is>
          <t>532409-flowsheet-data-vitals-0-0</t>
        </is>
      </c>
      <c r="B772" t="inlineStr"/>
      <c r="C772" t="inlineStr"/>
      <c r="D772">
        <f>HYPERLINK("http://nlpdeep.cs.uic.edu:8080/proofing/t5/532409-flowsheet-data-vitals-0-0.pdf","t5/532409-flowsheet-data-vitals-0-0.pdf")</f>
        <v/>
      </c>
      <c r="E772" t="n">
        <v>119960</v>
      </c>
      <c r="F772" t="n">
        <v>532409</v>
      </c>
      <c r="G772" t="inlineStr">
        <is>
          <t>Physician</t>
        </is>
      </c>
      <c r="H772" t="inlineStr">
        <is>
          <t>flowsheet-data-vitals</t>
        </is>
      </c>
      <c r="I772" t="inlineStr">
        <is>
          <t>Vital Signs
   Hemodynamic monitoring
   Fluid Balance
                                                                  24 hours
                                                               Since [**42**] AM
   Tmax: 32.9
C (91.2
   Tcurrent: 32.9
C (91.2
   HR: 65 (65 - 71) bpm
   BP: 96/63(70) {96/63(70) - 151/105(169)} mmHg
   RR: 13 (13 - 32) insp/min
   SpO2: 98%
   Heart rhythm: AF (Atrial Fibrillation)
             Total In:
             26 mL
   PO:
             TF:
   IVF:
   26 mL
   Blood products:
   Total out:
                                                                      0 mL
                                                                    400 mL
   Urine:
   NG:
   Stool:
   Drains:
   Balance:
                                                                      0 mL
                                                                   -375 mL
   Respiratory
   O2 Delivery Device: Nasal cannula
   SpO2: 98%</t>
        </is>
      </c>
    </row>
    <row r="773">
      <c r="A773" t="inlineStr">
        <is>
          <t>532409-flowsheet-data-vitals-0-0</t>
        </is>
      </c>
      <c r="B773" t="inlineStr"/>
      <c r="C773" t="inlineStr"/>
      <c r="D773">
        <f>HYPERLINK("http://nlpdeep.cs.uic.edu:8080/proofing/gsii/532409-flowsheet-data-vitals-0-0.pdf","gsii/532409-flowsheet-data-vitals-0-0.pdf")</f>
        <v/>
      </c>
      <c r="E773" t="n">
        <v>119960</v>
      </c>
      <c r="F773" t="n">
        <v>532409</v>
      </c>
      <c r="G773" t="inlineStr">
        <is>
          <t>Physician</t>
        </is>
      </c>
      <c r="H773" t="inlineStr">
        <is>
          <t>flowsheet-data-vitals</t>
        </is>
      </c>
      <c r="I773" t="inlineStr">
        <is>
          <t>Vital Signs
   Hemodynamic monitoring
   Fluid Balance
                                                                  24 hours
                                                               Since [**42**] AM
   Tmax: 32.9
C (91.2
   Tcurrent: 32.9
C (91.2
   HR: 65 (65 - 71) bpm
   BP: 96/63(70) {96/63(70) - 151/105(169)} mmHg
   RR: 13 (13 - 32) insp/min
   SpO2: 98%
   Heart rhythm: AF (Atrial Fibrillation)
             Total In:
             26 mL
   PO:
             TF:
   IVF:
   26 mL
   Blood products:
   Total out:
                                                                      0 mL
                                                                    400 mL
   Urine:
   NG:
   Stool:
   Drains:
   Balance:
                                                                      0 mL
                                                                   -375 mL
   Respiratory
   O2 Delivery Device: Nasal cannula
   SpO2: 98%</t>
        </is>
      </c>
    </row>
    <row r="774">
      <c r="A774" t="inlineStr">
        <is>
          <t>532409-physical-examination-0-0</t>
        </is>
      </c>
      <c r="B774" t="inlineStr"/>
      <c r="C774" t="inlineStr"/>
      <c r="D774">
        <f>HYPERLINK("http://nlpdeep.cs.uic.edu:8080/proofing/t5/532409-physical-examination-0-0.pdf","t5/532409-physical-examination-0-0.pdf")</f>
        <v/>
      </c>
      <c r="E774" t="n">
        <v>119960</v>
      </c>
      <c r="F774" t="n">
        <v>532409</v>
      </c>
      <c r="G774" t="inlineStr">
        <is>
          <t>Physician</t>
        </is>
      </c>
      <c r="H774" t="inlineStr">
        <is>
          <t>physical-examination</t>
        </is>
      </c>
      <c r="I774" t="inlineStr">
        <is>
          <t>General: Alert, oriented, breathing heavily and appears in pain
   HEENT: Sclera anicteric, MMM
   Neck: supple, JVP 11 cm
   Lungs: Clear to auscultation bilaterally anteriorly but difficult to
   assess with much transmitted upper airway sounds, no wheezes, rales,
   ronchi
   CV: Irregularly irregular rhythm, normal rate, distant heart sounds, no
   murmurs, rubs, gallops
   Abdomen:  soft, non-tender, non-distended, bowel sounds present, no
   rebound tenderness or guarding
   GU: foley
   Ext: cool, 2+ DP pulses bilaterally, no clubbing.</t>
        </is>
      </c>
    </row>
    <row r="775">
      <c r="A775" t="inlineStr">
        <is>
          <t>532409-physical-examination-0-0</t>
        </is>
      </c>
      <c r="B775" t="inlineStr"/>
      <c r="C775" t="inlineStr"/>
      <c r="D775">
        <f>HYPERLINK("http://nlpdeep.cs.uic.edu:8080/proofing/gsii/532409-physical-examination-0-0.pdf","gsii/532409-physical-examination-0-0.pdf")</f>
        <v/>
      </c>
      <c r="E775" t="n">
        <v>119960</v>
      </c>
      <c r="F775" t="n">
        <v>532409</v>
      </c>
      <c r="G775" t="inlineStr">
        <is>
          <t>Physician</t>
        </is>
      </c>
      <c r="H775" t="inlineStr">
        <is>
          <t>physical-examination</t>
        </is>
      </c>
      <c r="I775" t="inlineStr">
        <is>
          <t>General: Alert, oriented, breathing heavily and appears in pain
   HEENT: Sclera anicteric, MMM
   Neck: supple, JVP 11 cm
   Lungs: Clear to auscultation bilaterally anteriorly but difficult to
   assess with much transmitted upper airway sounds, no wheezes, rales,
   ronchi
   CV: Irregularly irregular rhythm, normal rate, distant heart sounds, no
   murmurs, rubs, gallops
   Abdomen:  soft, non-tender, non-distended, bowel sounds present, no
   rebound tenderness or guarding
   GU: foley
   Ext: cool, 2+ DP pulses bilaterally, no clubbing.</t>
        </is>
      </c>
    </row>
    <row r="776">
      <c r="A776" t="inlineStr">
        <is>
          <t>532409-physical-examination-0-1</t>
        </is>
      </c>
      <c r="B776" t="inlineStr"/>
      <c r="C776" t="inlineStr"/>
      <c r="D776">
        <f>HYPERLINK("http://nlpdeep.cs.uic.edu:8080/proofing/t5/532409-physical-examination-0-1.pdf","t5/532409-physical-examination-0-1.pdf")</f>
        <v/>
      </c>
      <c r="E776" t="n">
        <v>119960</v>
      </c>
      <c r="F776" t="n">
        <v>532409</v>
      </c>
      <c r="G776" t="inlineStr">
        <is>
          <t>Physician</t>
        </is>
      </c>
      <c r="H776" t="inlineStr">
        <is>
          <t>physical-examination</t>
        </is>
      </c>
      <c r="I776" t="inlineStr">
        <is>
          <t>[**2-1**]+ pitting edema
   bilaterally; lower legs wrapped in ACE bandages.</t>
        </is>
      </c>
    </row>
    <row r="777">
      <c r="A777" t="inlineStr">
        <is>
          <t>532409-physical-examination-0-1</t>
        </is>
      </c>
      <c r="B777" t="inlineStr"/>
      <c r="C777" t="inlineStr"/>
      <c r="D777">
        <f>HYPERLINK("http://nlpdeep.cs.uic.edu:8080/proofing/gsii/532409-physical-examination-0-1.pdf","gsii/532409-physical-examination-0-1.pdf")</f>
        <v/>
      </c>
      <c r="E777" t="n">
        <v>119960</v>
      </c>
      <c r="F777" t="n">
        <v>532409</v>
      </c>
      <c r="G777" t="inlineStr">
        <is>
          <t>Physician</t>
        </is>
      </c>
      <c r="H777" t="inlineStr">
        <is>
          <t>physical-examination</t>
        </is>
      </c>
      <c r="I777" t="inlineStr">
        <is>
          <t>[**2-1**]+ pitting edema
   bilaterally; lower legs wrapped in ACE bandages.</t>
        </is>
      </c>
    </row>
    <row r="778">
      <c r="A778" t="inlineStr">
        <is>
          <t>532409-physical-examination-0-2</t>
        </is>
      </c>
      <c r="B778" t="inlineStr"/>
      <c r="C778" t="inlineStr"/>
      <c r="D778">
        <f>HYPERLINK("http://nlpdeep.cs.uic.edu:8080/proofing/t5/532409-physical-examination-0-2.pdf","t5/532409-physical-examination-0-2.pdf")</f>
        <v/>
      </c>
      <c r="E778" t="n">
        <v>119960</v>
      </c>
      <c r="F778" t="n">
        <v>532409</v>
      </c>
      <c r="G778" t="inlineStr">
        <is>
          <t>Physician</t>
        </is>
      </c>
      <c r="H778" t="inlineStr">
        <is>
          <t>physical-examination</t>
        </is>
      </c>
      <c r="I778" t="inlineStr">
        <is>
          <t>Multiple small
   ecchymoses on UE bilaterally.</t>
        </is>
      </c>
    </row>
    <row r="779">
      <c r="A779" t="inlineStr">
        <is>
          <t>532409-physical-examination-0-2</t>
        </is>
      </c>
      <c r="B779" t="inlineStr"/>
      <c r="C779" t="inlineStr"/>
      <c r="D779">
        <f>HYPERLINK("http://nlpdeep.cs.uic.edu:8080/proofing/gsii/532409-physical-examination-0-2.pdf","gsii/532409-physical-examination-0-2.pdf")</f>
        <v/>
      </c>
      <c r="E779" t="n">
        <v>119960</v>
      </c>
      <c r="F779" t="n">
        <v>532409</v>
      </c>
      <c r="G779" t="inlineStr">
        <is>
          <t>Physician</t>
        </is>
      </c>
      <c r="H779" t="inlineStr">
        <is>
          <t>physical-examination</t>
        </is>
      </c>
      <c r="I779" t="inlineStr">
        <is>
          <t>Multiple small
   ecchymoses on UE bilaterally.</t>
        </is>
      </c>
    </row>
    <row r="780">
      <c r="A780" t="inlineStr">
        <is>
          <t>532409-physical-examination-0-3</t>
        </is>
      </c>
      <c r="B780" t="inlineStr"/>
      <c r="C780" t="inlineStr"/>
      <c r="D780">
        <f>HYPERLINK("http://nlpdeep.cs.uic.edu:8080/proofing/t5/532409-physical-examination-0-3.pdf","t5/532409-physical-examination-0-3.pdf")</f>
        <v/>
      </c>
      <c r="E780" t="n">
        <v>119960</v>
      </c>
      <c r="F780" t="n">
        <v>532409</v>
      </c>
      <c r="G780" t="inlineStr">
        <is>
          <t>Physician</t>
        </is>
      </c>
      <c r="H780" t="inlineStr">
        <is>
          <t>physical-examination</t>
        </is>
      </c>
      <c r="I780" t="inlineStr">
        <is>
          <t>Left leg externally rotated and
   shortened, with ecchymosis noted on lateral hip area.</t>
        </is>
      </c>
    </row>
    <row r="781">
      <c r="A781" t="inlineStr">
        <is>
          <t>532409-physical-examination-0-3</t>
        </is>
      </c>
      <c r="B781" t="inlineStr"/>
      <c r="C781" t="inlineStr"/>
      <c r="D781">
        <f>HYPERLINK("http://nlpdeep.cs.uic.edu:8080/proofing/gsii/532409-physical-examination-0-3.pdf","gsii/532409-physical-examination-0-3.pdf")</f>
        <v/>
      </c>
      <c r="E781" t="n">
        <v>119960</v>
      </c>
      <c r="F781" t="n">
        <v>532409</v>
      </c>
      <c r="G781" t="inlineStr">
        <is>
          <t>Physician</t>
        </is>
      </c>
      <c r="H781" t="inlineStr">
        <is>
          <t>physical-examination</t>
        </is>
      </c>
      <c r="I781" t="inlineStr">
        <is>
          <t>Left leg externally rotated and
   shortened, with ecchymosis noted on lateral hip area.</t>
        </is>
      </c>
    </row>
    <row r="782">
      <c r="A782" t="inlineStr">
        <is>
          <t>532409-labs-imaging-0-0</t>
        </is>
      </c>
      <c r="B782" t="inlineStr"/>
      <c r="C782" t="inlineStr"/>
      <c r="D782">
        <f>HYPERLINK("http://nlpdeep.cs.uic.edu:8080/proofing/t5/532409-labs-imaging-0-0.pdf","t5/532409-labs-imaging-0-0.pdf")</f>
        <v/>
      </c>
      <c r="E782" t="n">
        <v>119960</v>
      </c>
      <c r="F782" t="n">
        <v>532409</v>
      </c>
      <c r="G782" t="inlineStr">
        <is>
          <t>Physician</t>
        </is>
      </c>
      <c r="H782" t="inlineStr">
        <is>
          <t>labs-imaging</t>
        </is>
      </c>
      <c r="I782" t="inlineStr">
        <is>
          <t>128 K/uL
   7.8 g/dL
   101 mEq/L
   5.1 mEq/L
   140 mEq/L
   22.8 %
   8.2 K/uL
        [image002.jpg]
                                  [**2136-12-31**]
                          2:33 A4/8/[**2140**]  08:20 PM
                                  [**2137-1-4**]
                                   10:20 P
                                  [**2137-1-5**]
                                   1:20 P
                                  [**2137-1-6**]
                                   11:50 P
                                  [**2137-1-7**]
                                   1:20 A
                                  [**2137-1-8**]
                                   7:20 P
                                  1//11/006
                                   1:23 P
                                  [**2137-1-31**]
                                   1:20 P
                                  [**2137-1-31**]
                                   11:20 P
                                  [**2137-1-31**]
                                   4:20 P
   WBC
                                     8.2
   Hct
                                    22.8
   Plt
                                     128
   Other labs: Lactic Acid:0.9 mmol/L, Mg++:2.1 mg/dL, PO4:5.0 mg/dL
   Micro: blood cx
 pending
   [**4-6**] CT Ab/pelvis w/o contrast: 1.</t>
        </is>
      </c>
    </row>
    <row r="783">
      <c r="A783" t="inlineStr">
        <is>
          <t>532409-labs-imaging-0-0</t>
        </is>
      </c>
      <c r="B783" t="inlineStr"/>
      <c r="C783" t="inlineStr"/>
      <c r="D783">
        <f>HYPERLINK("http://nlpdeep.cs.uic.edu:8080/proofing/gsii/532409-labs-imaging-0-0.pdf","gsii/532409-labs-imaging-0-0.pdf")</f>
        <v/>
      </c>
      <c r="E783" t="n">
        <v>119960</v>
      </c>
      <c r="F783" t="n">
        <v>532409</v>
      </c>
      <c r="G783" t="inlineStr">
        <is>
          <t>Physician</t>
        </is>
      </c>
      <c r="H783" t="inlineStr">
        <is>
          <t>labs-imaging</t>
        </is>
      </c>
      <c r="I783" t="inlineStr">
        <is>
          <t>128 K/uL
   7.8 g/dL
   101 mEq/L
   5.1 mEq/L
   140 mEq/L
   22.8 %
   8.2 K/uL
        [image002.jpg]
                                  [**2136-12-31**]
                          2:33 A4/8/[**2140**]  08:20 PM
                                  [**2137-1-4**]
                                   10:20 P
                                  [**2137-1-5**]
                                   1:20 P
                                  [**2137-1-6**]
                                   11:50 P
                                  [**2137-1-7**]
                                   1:20 A
                                  [**2137-1-8**]
                                   7:20 P
                                  1//11/006
                                   1:23 P
                                  [**2137-1-31**]
                                   1:20 P
                                  [**2137-1-31**]
                                   11:20 P
                                  [**2137-1-31**]
                                   4:20 P
   WBC
                                     8.2
   Hct
                                    22.8
   Plt
                                     128
   Other labs: Lactic Acid:0.9 mmol/L, Mg++:2.1 mg/dL, PO4:5.0 mg/dL
   Micro: blood cx
 pending
   [**4-6**] CT Ab/pelvis w/o contrast: 1.</t>
        </is>
      </c>
    </row>
    <row r="784">
      <c r="A784" t="inlineStr">
        <is>
          <t>532409-labs-imaging-0-1</t>
        </is>
      </c>
      <c r="B784" t="inlineStr"/>
      <c r="C784" t="inlineStr"/>
      <c r="D784">
        <f>HYPERLINK("http://nlpdeep.cs.uic.edu:8080/proofing/t5/532409-labs-imaging-0-1.pdf","t5/532409-labs-imaging-0-1.pdf")</f>
        <v/>
      </c>
      <c r="E784" t="n">
        <v>119960</v>
      </c>
      <c r="F784" t="n">
        <v>532409</v>
      </c>
      <c r="G784" t="inlineStr">
        <is>
          <t>Physician</t>
        </is>
      </c>
      <c r="H784" t="inlineStr">
        <is>
          <t>labs-imaging</t>
        </is>
      </c>
      <c r="I784" t="inlineStr">
        <is>
          <t>Left intertrochanteric hip fracture.</t>
        </is>
      </c>
    </row>
    <row r="785">
      <c r="A785" t="inlineStr">
        <is>
          <t>532409-labs-imaging-0-1</t>
        </is>
      </c>
      <c r="B785" t="inlineStr"/>
      <c r="C785" t="inlineStr"/>
      <c r="D785">
        <f>HYPERLINK("http://nlpdeep.cs.uic.edu:8080/proofing/gsii/532409-labs-imaging-0-1.pdf","gsii/532409-labs-imaging-0-1.pdf")</f>
        <v/>
      </c>
      <c r="E785" t="n">
        <v>119960</v>
      </c>
      <c r="F785" t="n">
        <v>532409</v>
      </c>
      <c r="G785" t="inlineStr">
        <is>
          <t>Physician</t>
        </is>
      </c>
      <c r="H785" t="inlineStr">
        <is>
          <t>labs-imaging</t>
        </is>
      </c>
      <c r="I785" t="inlineStr">
        <is>
          <t>Left intertrochanteric hip fracture.</t>
        </is>
      </c>
    </row>
    <row r="786">
      <c r="A786" t="inlineStr">
        <is>
          <t>532409-labs-imaging-0-2</t>
        </is>
      </c>
      <c r="B786" t="inlineStr"/>
      <c r="C786" t="inlineStr"/>
      <c r="D786">
        <f>HYPERLINK("http://nlpdeep.cs.uic.edu:8080/proofing/t5/532409-labs-imaging-0-2.pdf","t5/532409-labs-imaging-0-2.pdf")</f>
        <v/>
      </c>
      <c r="E786" t="n">
        <v>119960</v>
      </c>
      <c r="F786" t="n">
        <v>532409</v>
      </c>
      <c r="G786" t="inlineStr">
        <is>
          <t>Physician</t>
        </is>
      </c>
      <c r="H786" t="inlineStr">
        <is>
          <t>labs-imaging</t>
        </is>
      </c>
      <c r="I786" t="inlineStr">
        <is>
          <t>Large left adrenal mass, which is not characterized on non-contrast
   examination.</t>
        </is>
      </c>
    </row>
    <row r="787">
      <c r="A787" t="inlineStr">
        <is>
          <t>532409-labs-imaging-0-2</t>
        </is>
      </c>
      <c r="B787" t="inlineStr"/>
      <c r="C787" t="inlineStr"/>
      <c r="D787">
        <f>HYPERLINK("http://nlpdeep.cs.uic.edu:8080/proofing/gsii/532409-labs-imaging-0-2.pdf","gsii/532409-labs-imaging-0-2.pdf")</f>
        <v/>
      </c>
      <c r="E787" t="n">
        <v>119960</v>
      </c>
      <c r="F787" t="n">
        <v>532409</v>
      </c>
      <c r="G787" t="inlineStr">
        <is>
          <t>Physician</t>
        </is>
      </c>
      <c r="H787" t="inlineStr">
        <is>
          <t>labs-imaging</t>
        </is>
      </c>
      <c r="I787" t="inlineStr">
        <is>
          <t>Large left adrenal mass, which is not characterized on non-contrast
   examination.</t>
        </is>
      </c>
    </row>
    <row r="788">
      <c r="A788" t="inlineStr">
        <is>
          <t>532409-labs-imaging-0-3</t>
        </is>
      </c>
      <c r="B788" t="inlineStr"/>
      <c r="C788" t="inlineStr"/>
      <c r="D788">
        <f>HYPERLINK("http://nlpdeep.cs.uic.edu:8080/proofing/t5/532409-labs-imaging-0-3.pdf","t5/532409-labs-imaging-0-3.pdf")</f>
        <v/>
      </c>
      <c r="E788" t="n">
        <v>119960</v>
      </c>
      <c r="F788" t="n">
        <v>532409</v>
      </c>
      <c r="G788" t="inlineStr">
        <is>
          <t>Physician</t>
        </is>
      </c>
      <c r="H788" t="inlineStr">
        <is>
          <t>labs-imaging</t>
        </is>
      </c>
      <c r="I788" t="inlineStr">
        <is>
          <t>However, the imaging features are not consistent with an
   adrenal hematoma.</t>
        </is>
      </c>
    </row>
    <row r="789">
      <c r="A789" t="inlineStr">
        <is>
          <t>532409-labs-imaging-0-3</t>
        </is>
      </c>
      <c r="B789" t="inlineStr"/>
      <c r="C789" t="inlineStr"/>
      <c r="D789">
        <f>HYPERLINK("http://nlpdeep.cs.uic.edu:8080/proofing/gsii/532409-labs-imaging-0-3.pdf","gsii/532409-labs-imaging-0-3.pdf")</f>
        <v/>
      </c>
      <c r="E789" t="n">
        <v>119960</v>
      </c>
      <c r="F789" t="n">
        <v>532409</v>
      </c>
      <c r="G789" t="inlineStr">
        <is>
          <t>Physician</t>
        </is>
      </c>
      <c r="H789" t="inlineStr">
        <is>
          <t>labs-imaging</t>
        </is>
      </c>
      <c r="I789" t="inlineStr">
        <is>
          <t>However, the imaging features are not consistent with an
   adrenal hematoma.</t>
        </is>
      </c>
    </row>
    <row r="790">
      <c r="A790" t="inlineStr">
        <is>
          <t>532409-labs-imaging-0-4</t>
        </is>
      </c>
      <c r="B790" t="inlineStr"/>
      <c r="C790" t="inlineStr"/>
      <c r="D790">
        <f>HYPERLINK("http://nlpdeep.cs.uic.edu:8080/proofing/t5/532409-labs-imaging-0-4.pdf","t5/532409-labs-imaging-0-4.pdf")</f>
        <v/>
      </c>
      <c r="E790" t="n">
        <v>119960</v>
      </c>
      <c r="F790" t="n">
        <v>532409</v>
      </c>
      <c r="G790" t="inlineStr">
        <is>
          <t>Physician</t>
        </is>
      </c>
      <c r="H790" t="inlineStr">
        <is>
          <t>labs-imaging</t>
        </is>
      </c>
      <c r="I790" t="inlineStr">
        <is>
          <t>A nonurgent adrenal MR recommended for further
   characterization.</t>
        </is>
      </c>
    </row>
    <row r="791">
      <c r="A791" t="inlineStr">
        <is>
          <t>532409-labs-imaging-0-4</t>
        </is>
      </c>
      <c r="B791" t="inlineStr"/>
      <c r="C791" t="inlineStr"/>
      <c r="D791">
        <f>HYPERLINK("http://nlpdeep.cs.uic.edu:8080/proofing/gsii/532409-labs-imaging-0-4.pdf","gsii/532409-labs-imaging-0-4.pdf")</f>
        <v/>
      </c>
      <c r="E791" t="n">
        <v>119960</v>
      </c>
      <c r="F791" t="n">
        <v>532409</v>
      </c>
      <c r="G791" t="inlineStr">
        <is>
          <t>Physician</t>
        </is>
      </c>
      <c r="H791" t="inlineStr">
        <is>
          <t>labs-imaging</t>
        </is>
      </c>
      <c r="I791" t="inlineStr">
        <is>
          <t>A nonurgent adrenal MR recommended for further
   characterization.</t>
        </is>
      </c>
    </row>
    <row r="792">
      <c r="A792" t="inlineStr">
        <is>
          <t>532409-labs-imaging-0-5</t>
        </is>
      </c>
      <c r="B792" t="inlineStr"/>
      <c r="C792" t="inlineStr"/>
      <c r="D792">
        <f>HYPERLINK("http://nlpdeep.cs.uic.edu:8080/proofing/t5/532409-labs-imaging-0-5.pdf","t5/532409-labs-imaging-0-5.pdf")</f>
        <v/>
      </c>
      <c r="E792" t="n">
        <v>119960</v>
      </c>
      <c r="F792" t="n">
        <v>532409</v>
      </c>
      <c r="G792" t="inlineStr">
        <is>
          <t>Physician</t>
        </is>
      </c>
      <c r="H792" t="inlineStr">
        <is>
          <t>labs-imaging</t>
        </is>
      </c>
      <c r="I792" t="inlineStr">
        <is>
          <t>Cholelithiasis.</t>
        </is>
      </c>
    </row>
    <row r="793">
      <c r="A793" t="inlineStr">
        <is>
          <t>532409-labs-imaging-0-5</t>
        </is>
      </c>
      <c r="B793" t="inlineStr"/>
      <c r="C793" t="inlineStr"/>
      <c r="D793">
        <f>HYPERLINK("http://nlpdeep.cs.uic.edu:8080/proofing/gsii/532409-labs-imaging-0-5.pdf","gsii/532409-labs-imaging-0-5.pdf")</f>
        <v/>
      </c>
      <c r="E793" t="n">
        <v>119960</v>
      </c>
      <c r="F793" t="n">
        <v>532409</v>
      </c>
      <c r="G793" t="inlineStr">
        <is>
          <t>Physician</t>
        </is>
      </c>
      <c r="H793" t="inlineStr">
        <is>
          <t>labs-imaging</t>
        </is>
      </c>
      <c r="I793" t="inlineStr">
        <is>
          <t>Cholelithiasis.</t>
        </is>
      </c>
    </row>
    <row r="794">
      <c r="A794" t="inlineStr">
        <is>
          <t>532409-labs-imaging-0-6</t>
        </is>
      </c>
      <c r="B794" t="inlineStr"/>
      <c r="C794" t="inlineStr"/>
      <c r="D794">
        <f>HYPERLINK("http://nlpdeep.cs.uic.edu:8080/proofing/t5/532409-labs-imaging-0-6.pdf","t5/532409-labs-imaging-0-6.pdf")</f>
        <v/>
      </c>
      <c r="E794" t="n">
        <v>119960</v>
      </c>
      <c r="F794" t="n">
        <v>532409</v>
      </c>
      <c r="G794" t="inlineStr">
        <is>
          <t>Physician</t>
        </is>
      </c>
      <c r="H794" t="inlineStr">
        <is>
          <t>labs-imaging</t>
        </is>
      </c>
      <c r="I794" t="inlineStr">
        <is>
          <t>Atherosclerotic calcification
   of the abdominal aorta and its branches.</t>
        </is>
      </c>
    </row>
    <row r="795">
      <c r="A795" t="inlineStr">
        <is>
          <t>532409-labs-imaging-0-6</t>
        </is>
      </c>
      <c r="B795" t="inlineStr"/>
      <c r="C795" t="inlineStr"/>
      <c r="D795">
        <f>HYPERLINK("http://nlpdeep.cs.uic.edu:8080/proofing/gsii/532409-labs-imaging-0-6.pdf","gsii/532409-labs-imaging-0-6.pdf")</f>
        <v/>
      </c>
      <c r="E795" t="n">
        <v>119960</v>
      </c>
      <c r="F795" t="n">
        <v>532409</v>
      </c>
      <c r="G795" t="inlineStr">
        <is>
          <t>Physician</t>
        </is>
      </c>
      <c r="H795" t="inlineStr">
        <is>
          <t>labs-imaging</t>
        </is>
      </c>
      <c r="I795" t="inlineStr">
        <is>
          <t>Atherosclerotic calcification
   of the abdominal aorta and its branches.</t>
        </is>
      </c>
    </row>
    <row r="796">
      <c r="A796" t="inlineStr">
        <is>
          <t>532409-labs-imaging-0-7</t>
        </is>
      </c>
      <c r="B796" t="inlineStr"/>
      <c r="C796" t="inlineStr"/>
      <c r="D796">
        <f>HYPERLINK("http://nlpdeep.cs.uic.edu:8080/proofing/t5/532409-labs-imaging-0-7.pdf","t5/532409-labs-imaging-0-7.pdf")</f>
        <v/>
      </c>
      <c r="E796" t="n">
        <v>119960</v>
      </c>
      <c r="F796" t="n">
        <v>532409</v>
      </c>
      <c r="G796" t="inlineStr">
        <is>
          <t>Physician</t>
        </is>
      </c>
      <c r="H796" t="inlineStr">
        <is>
          <t>labs-imaging</t>
        </is>
      </c>
      <c r="I796" t="inlineStr">
        <is>
          <t>No evidence of
   retroperitoneal hematoma.</t>
        </is>
      </c>
    </row>
    <row r="797">
      <c r="A797" t="inlineStr">
        <is>
          <t>532409-labs-imaging-0-7</t>
        </is>
      </c>
      <c r="B797" t="inlineStr"/>
      <c r="C797" t="inlineStr"/>
      <c r="D797">
        <f>HYPERLINK("http://nlpdeep.cs.uic.edu:8080/proofing/gsii/532409-labs-imaging-0-7.pdf","gsii/532409-labs-imaging-0-7.pdf")</f>
        <v/>
      </c>
      <c r="E797" t="n">
        <v>119960</v>
      </c>
      <c r="F797" t="n">
        <v>532409</v>
      </c>
      <c r="G797" t="inlineStr">
        <is>
          <t>Physician</t>
        </is>
      </c>
      <c r="H797" t="inlineStr">
        <is>
          <t>labs-imaging</t>
        </is>
      </c>
      <c r="I797" t="inlineStr">
        <is>
          <t>No evidence of
   retroperitoneal hematoma.</t>
        </is>
      </c>
    </row>
    <row r="798">
      <c r="A798" t="inlineStr">
        <is>
          <t>532409-labs-imaging-0-8</t>
        </is>
      </c>
      <c r="B798" t="inlineStr"/>
      <c r="C798" t="inlineStr"/>
      <c r="D798">
        <f>HYPERLINK("http://nlpdeep.cs.uic.edu:8080/proofing/t5/532409-labs-imaging-0-8.pdf","t5/532409-labs-imaging-0-8.pdf")</f>
        <v/>
      </c>
      <c r="E798" t="n">
        <v>119960</v>
      </c>
      <c r="F798" t="n">
        <v>532409</v>
      </c>
      <c r="G798" t="inlineStr">
        <is>
          <t>Physician</t>
        </is>
      </c>
      <c r="H798" t="inlineStr">
        <is>
          <t>labs-imaging</t>
        </is>
      </c>
      <c r="I798" t="inlineStr">
        <is>
          <t>Prostatic enlargement.</t>
        </is>
      </c>
    </row>
    <row r="799">
      <c r="A799" t="inlineStr">
        <is>
          <t>532409-labs-imaging-0-8</t>
        </is>
      </c>
      <c r="B799" t="inlineStr"/>
      <c r="C799" t="inlineStr"/>
      <c r="D799">
        <f>HYPERLINK("http://nlpdeep.cs.uic.edu:8080/proofing/gsii/532409-labs-imaging-0-8.pdf","gsii/532409-labs-imaging-0-8.pdf")</f>
        <v/>
      </c>
      <c r="E799" t="n">
        <v>119960</v>
      </c>
      <c r="F799" t="n">
        <v>532409</v>
      </c>
      <c r="G799" t="inlineStr">
        <is>
          <t>Physician</t>
        </is>
      </c>
      <c r="H799" t="inlineStr">
        <is>
          <t>labs-imaging</t>
        </is>
      </c>
      <c r="I799" t="inlineStr">
        <is>
          <t>Prostatic enlargement.</t>
        </is>
      </c>
    </row>
    <row r="800">
      <c r="A800" t="inlineStr">
        <is>
          <t>532409-labs-imaging-1-0</t>
        </is>
      </c>
      <c r="B800" t="inlineStr"/>
      <c r="C800" t="inlineStr"/>
      <c r="D800">
        <f>HYPERLINK("http://nlpdeep.cs.uic.edu:8080/proofing/t5/532409-labs-imaging-1-0.pdf","t5/532409-labs-imaging-1-0.pdf")</f>
        <v/>
      </c>
      <c r="E800" t="n">
        <v>119960</v>
      </c>
      <c r="F800" t="n">
        <v>532409</v>
      </c>
      <c r="G800" t="inlineStr">
        <is>
          <t>Physician</t>
        </is>
      </c>
      <c r="H800" t="inlineStr">
        <is>
          <t>labs-imaging</t>
        </is>
      </c>
      <c r="I800" t="inlineStr"/>
    </row>
    <row r="801">
      <c r="A801" t="inlineStr">
        <is>
          <t>532409-labs-imaging-1-0</t>
        </is>
      </c>
      <c r="B801" t="inlineStr"/>
      <c r="C801" t="inlineStr"/>
      <c r="D801">
        <f>HYPERLINK("http://nlpdeep.cs.uic.edu:8080/proofing/gsii/532409-labs-imaging-1-0.pdf","gsii/532409-labs-imaging-1-0.pdf")</f>
        <v/>
      </c>
      <c r="E801" t="n">
        <v>119960</v>
      </c>
      <c r="F801" t="n">
        <v>532409</v>
      </c>
      <c r="G801" t="inlineStr">
        <is>
          <t>Physician</t>
        </is>
      </c>
      <c r="H801" t="inlineStr">
        <is>
          <t>labs-imaging</t>
        </is>
      </c>
      <c r="I801" t="inlineStr"/>
    </row>
    <row r="802">
      <c r="A802" t="inlineStr">
        <is>
          <t>532409-labs-imaging-2-0</t>
        </is>
      </c>
      <c r="B802" t="inlineStr"/>
      <c r="C802" t="inlineStr"/>
      <c r="D802">
        <f>HYPERLINK("http://nlpdeep.cs.uic.edu:8080/proofing/t5/532409-labs-imaging-2-0.pdf","t5/532409-labs-imaging-2-0.pdf")</f>
        <v/>
      </c>
      <c r="E802" t="n">
        <v>119960</v>
      </c>
      <c r="F802" t="n">
        <v>532409</v>
      </c>
      <c r="G802" t="inlineStr">
        <is>
          <t>Physician</t>
        </is>
      </c>
      <c r="H802" t="inlineStr">
        <is>
          <t>labs-imaging</t>
        </is>
      </c>
      <c r="I802" t="inlineStr"/>
    </row>
    <row r="803">
      <c r="A803" t="inlineStr">
        <is>
          <t>532409-labs-imaging-2-0</t>
        </is>
      </c>
      <c r="B803" t="inlineStr"/>
      <c r="C803" t="inlineStr"/>
      <c r="D803">
        <f>HYPERLINK("http://nlpdeep.cs.uic.edu:8080/proofing/gsii/532409-labs-imaging-2-0.pdf","gsii/532409-labs-imaging-2-0.pdf")</f>
        <v/>
      </c>
      <c r="E803" t="n">
        <v>119960</v>
      </c>
      <c r="F803" t="n">
        <v>532409</v>
      </c>
      <c r="G803" t="inlineStr">
        <is>
          <t>Physician</t>
        </is>
      </c>
      <c r="H803" t="inlineStr">
        <is>
          <t>labs-imaging</t>
        </is>
      </c>
      <c r="I803" t="inlineStr"/>
    </row>
    <row r="804">
      <c r="A804" t="inlineStr">
        <is>
          <t>532409-labs-imaging-3-0</t>
        </is>
      </c>
      <c r="B804" t="inlineStr"/>
      <c r="C804" t="inlineStr"/>
      <c r="D804">
        <f>HYPERLINK("http://nlpdeep.cs.uic.edu:8080/proofing/t5/532409-labs-imaging-3-0.pdf","t5/532409-labs-imaging-3-0.pdf")</f>
        <v/>
      </c>
      <c r="E804" t="n">
        <v>119960</v>
      </c>
      <c r="F804" t="n">
        <v>532409</v>
      </c>
      <c r="G804" t="inlineStr">
        <is>
          <t>Physician</t>
        </is>
      </c>
      <c r="H804" t="inlineStr">
        <is>
          <t>labs-imaging</t>
        </is>
      </c>
      <c r="I804" t="inlineStr"/>
    </row>
    <row r="805">
      <c r="A805" t="inlineStr">
        <is>
          <t>532409-labs-imaging-3-0</t>
        </is>
      </c>
      <c r="B805" t="inlineStr"/>
      <c r="C805" t="inlineStr"/>
      <c r="D805">
        <f>HYPERLINK("http://nlpdeep.cs.uic.edu:8080/proofing/gsii/532409-labs-imaging-3-0.pdf","gsii/532409-labs-imaging-3-0.pdf")</f>
        <v/>
      </c>
      <c r="E805" t="n">
        <v>119960</v>
      </c>
      <c r="F805" t="n">
        <v>532409</v>
      </c>
      <c r="G805" t="inlineStr">
        <is>
          <t>Physician</t>
        </is>
      </c>
      <c r="H805" t="inlineStr">
        <is>
          <t>labs-imaging</t>
        </is>
      </c>
      <c r="I805" t="inlineStr"/>
    </row>
    <row r="806">
      <c r="A806" t="inlineStr">
        <is>
          <t>532409-labs-imaging-4-0</t>
        </is>
      </c>
      <c r="B806" t="inlineStr"/>
      <c r="C806" t="inlineStr"/>
      <c r="D806">
        <f>HYPERLINK("http://nlpdeep.cs.uic.edu:8080/proofing/t5/532409-labs-imaging-4-0.pdf","t5/532409-labs-imaging-4-0.pdf")</f>
        <v/>
      </c>
      <c r="E806" t="n">
        <v>119960</v>
      </c>
      <c r="F806" t="n">
        <v>532409</v>
      </c>
      <c r="G806" t="inlineStr">
        <is>
          <t>Physician</t>
        </is>
      </c>
      <c r="H806" t="inlineStr">
        <is>
          <t>labs-imaging</t>
        </is>
      </c>
      <c r="I806" t="inlineStr">
        <is>
          <t xml:space="preserve">
   [**4-6**] CT C-spine w/o contrast - 1.</t>
        </is>
      </c>
    </row>
    <row r="807">
      <c r="A807" t="inlineStr">
        <is>
          <t>532409-labs-imaging-4-0</t>
        </is>
      </c>
      <c r="B807" t="inlineStr"/>
      <c r="C807" t="inlineStr"/>
      <c r="D807">
        <f>HYPERLINK("http://nlpdeep.cs.uic.edu:8080/proofing/gsii/532409-labs-imaging-4-0.pdf","gsii/532409-labs-imaging-4-0.pdf")</f>
        <v/>
      </c>
      <c r="E807" t="n">
        <v>119960</v>
      </c>
      <c r="F807" t="n">
        <v>532409</v>
      </c>
      <c r="G807" t="inlineStr">
        <is>
          <t>Physician</t>
        </is>
      </c>
      <c r="H807" t="inlineStr">
        <is>
          <t>labs-imaging</t>
        </is>
      </c>
      <c r="I807" t="inlineStr">
        <is>
          <t xml:space="preserve">
   [**4-6**] CT C-spine w/o contrast - 1.</t>
        </is>
      </c>
    </row>
    <row r="808">
      <c r="A808" t="inlineStr">
        <is>
          <t>532409-labs-imaging-4-1</t>
        </is>
      </c>
      <c r="B808" t="inlineStr"/>
      <c r="C808" t="inlineStr"/>
      <c r="D808">
        <f>HYPERLINK("http://nlpdeep.cs.uic.edu:8080/proofing/t5/532409-labs-imaging-4-1.pdf","t5/532409-labs-imaging-4-1.pdf")</f>
        <v/>
      </c>
      <c r="E808" t="n">
        <v>119960</v>
      </c>
      <c r="F808" t="n">
        <v>532409</v>
      </c>
      <c r="G808" t="inlineStr">
        <is>
          <t>Physician</t>
        </is>
      </c>
      <c r="H808" t="inlineStr">
        <is>
          <t>labs-imaging</t>
        </is>
      </c>
      <c r="I808" t="inlineStr">
        <is>
          <t>No fracture.</t>
        </is>
      </c>
    </row>
    <row r="809">
      <c r="A809" t="inlineStr">
        <is>
          <t>532409-labs-imaging-4-1</t>
        </is>
      </c>
      <c r="B809" t="inlineStr"/>
      <c r="C809" t="inlineStr"/>
      <c r="D809">
        <f>HYPERLINK("http://nlpdeep.cs.uic.edu:8080/proofing/gsii/532409-labs-imaging-4-1.pdf","gsii/532409-labs-imaging-4-1.pdf")</f>
        <v/>
      </c>
      <c r="E809" t="n">
        <v>119960</v>
      </c>
      <c r="F809" t="n">
        <v>532409</v>
      </c>
      <c r="G809" t="inlineStr">
        <is>
          <t>Physician</t>
        </is>
      </c>
      <c r="H809" t="inlineStr">
        <is>
          <t>labs-imaging</t>
        </is>
      </c>
      <c r="I809" t="inlineStr">
        <is>
          <t>No fracture.</t>
        </is>
      </c>
    </row>
    <row r="810">
      <c r="A810" t="inlineStr">
        <is>
          <t>532409-labs-imaging-4-2</t>
        </is>
      </c>
      <c r="B810" t="inlineStr"/>
      <c r="C810" t="inlineStr"/>
      <c r="D810">
        <f>HYPERLINK("http://nlpdeep.cs.uic.edu:8080/proofing/t5/532409-labs-imaging-4-2.pdf","t5/532409-labs-imaging-4-2.pdf")</f>
        <v/>
      </c>
      <c r="E810" t="n">
        <v>119960</v>
      </c>
      <c r="F810" t="n">
        <v>532409</v>
      </c>
      <c r="G810" t="inlineStr">
        <is>
          <t>Physician</t>
        </is>
      </c>
      <c r="H810" t="inlineStr">
        <is>
          <t>labs-imaging</t>
        </is>
      </c>
      <c r="I810" t="inlineStr">
        <is>
          <t>Multilevel
   degenerative change.</t>
        </is>
      </c>
    </row>
    <row r="811">
      <c r="A811" t="inlineStr">
        <is>
          <t>532409-labs-imaging-4-2</t>
        </is>
      </c>
      <c r="B811" t="inlineStr"/>
      <c r="C811" t="inlineStr"/>
      <c r="D811">
        <f>HYPERLINK("http://nlpdeep.cs.uic.edu:8080/proofing/gsii/532409-labs-imaging-4-2.pdf","gsii/532409-labs-imaging-4-2.pdf")</f>
        <v/>
      </c>
      <c r="E811" t="n">
        <v>119960</v>
      </c>
      <c r="F811" t="n">
        <v>532409</v>
      </c>
      <c r="G811" t="inlineStr">
        <is>
          <t>Physician</t>
        </is>
      </c>
      <c r="H811" t="inlineStr">
        <is>
          <t>labs-imaging</t>
        </is>
      </c>
      <c r="I811" t="inlineStr">
        <is>
          <t>Multilevel
   degenerative change.</t>
        </is>
      </c>
    </row>
    <row r="812">
      <c r="A812" t="inlineStr">
        <is>
          <t>532409-labs-imaging-4-3</t>
        </is>
      </c>
      <c r="B812" t="inlineStr"/>
      <c r="C812" t="inlineStr"/>
      <c r="D812">
        <f>HYPERLINK("http://nlpdeep.cs.uic.edu:8080/proofing/t5/532409-labs-imaging-4-3.pdf","t5/532409-labs-imaging-4-3.pdf")</f>
        <v/>
      </c>
      <c r="E812" t="n">
        <v>119960</v>
      </c>
      <c r="F812" t="n">
        <v>532409</v>
      </c>
      <c r="G812" t="inlineStr">
        <is>
          <t>Physician</t>
        </is>
      </c>
      <c r="H812" t="inlineStr">
        <is>
          <t>labs-imaging</t>
        </is>
      </c>
      <c r="I812" t="inlineStr">
        <is>
          <t>Grade I anterolisthesis of C7 on T1 and T1 on
   T2, presumably degenerative in nature.</t>
        </is>
      </c>
    </row>
    <row r="813">
      <c r="A813" t="inlineStr">
        <is>
          <t>532409-labs-imaging-4-3</t>
        </is>
      </c>
      <c r="B813" t="inlineStr"/>
      <c r="C813" t="inlineStr"/>
      <c r="D813">
        <f>HYPERLINK("http://nlpdeep.cs.uic.edu:8080/proofing/gsii/532409-labs-imaging-4-3.pdf","gsii/532409-labs-imaging-4-3.pdf")</f>
        <v/>
      </c>
      <c r="E813" t="n">
        <v>119960</v>
      </c>
      <c r="F813" t="n">
        <v>532409</v>
      </c>
      <c r="G813" t="inlineStr">
        <is>
          <t>Physician</t>
        </is>
      </c>
      <c r="H813" t="inlineStr">
        <is>
          <t>labs-imaging</t>
        </is>
      </c>
      <c r="I813" t="inlineStr">
        <is>
          <t>Grade I anterolisthesis of C7 on T1 and T1 on
   T2, presumably degenerative in nature.</t>
        </is>
      </c>
    </row>
    <row r="814">
      <c r="A814" t="inlineStr">
        <is>
          <t>532409-labs-imaging-5-0</t>
        </is>
      </c>
      <c r="B814" t="inlineStr"/>
      <c r="C814" t="inlineStr"/>
      <c r="D814">
        <f>HYPERLINK("http://nlpdeep.cs.uic.edu:8080/proofing/t5/532409-labs-imaging-5-0.pdf","t5/532409-labs-imaging-5-0.pdf")</f>
        <v/>
      </c>
      <c r="E814" t="n">
        <v>119960</v>
      </c>
      <c r="F814" t="n">
        <v>532409</v>
      </c>
      <c r="G814" t="inlineStr">
        <is>
          <t>Physician</t>
        </is>
      </c>
      <c r="H814" t="inlineStr">
        <is>
          <t>labs-imaging</t>
        </is>
      </c>
      <c r="I814" t="inlineStr">
        <is>
          <t xml:space="preserve">
   [**4-6**] CT head w/o contrast - There is no hemorrhage, edema, mass effect,
   shift of midline structures, or evidence of major vascular territorial
   infarction.</t>
        </is>
      </c>
    </row>
    <row r="815">
      <c r="A815" t="inlineStr">
        <is>
          <t>532409-labs-imaging-5-0</t>
        </is>
      </c>
      <c r="B815" t="inlineStr"/>
      <c r="C815" t="inlineStr"/>
      <c r="D815">
        <f>HYPERLINK("http://nlpdeep.cs.uic.edu:8080/proofing/gsii/532409-labs-imaging-5-0.pdf","gsii/532409-labs-imaging-5-0.pdf")</f>
        <v/>
      </c>
      <c r="E815" t="n">
        <v>119960</v>
      </c>
      <c r="F815" t="n">
        <v>532409</v>
      </c>
      <c r="G815" t="inlineStr">
        <is>
          <t>Physician</t>
        </is>
      </c>
      <c r="H815" t="inlineStr">
        <is>
          <t>labs-imaging</t>
        </is>
      </c>
      <c r="I815" t="inlineStr">
        <is>
          <t xml:space="preserve">
   [**4-6**] CT head w/o contrast - There is no hemorrhage, edema, mass effect,
   shift of midline structures, or evidence of major vascular territorial
   infarction.</t>
        </is>
      </c>
    </row>
    <row r="816">
      <c r="A816" t="inlineStr">
        <is>
          <t>532409-labs-imaging-5-1</t>
        </is>
      </c>
      <c r="B816" t="inlineStr"/>
      <c r="C816" t="inlineStr"/>
      <c r="D816">
        <f>HYPERLINK("http://nlpdeep.cs.uic.edu:8080/proofing/t5/532409-labs-imaging-5-1.pdf","t5/532409-labs-imaging-5-1.pdf")</f>
        <v/>
      </c>
      <c r="E816" t="n">
        <v>119960</v>
      </c>
      <c r="F816" t="n">
        <v>532409</v>
      </c>
      <c r="G816" t="inlineStr">
        <is>
          <t>Physician</t>
        </is>
      </c>
      <c r="H816" t="inlineStr">
        <is>
          <t>labs-imaging</t>
        </is>
      </c>
      <c r="I816" t="inlineStr">
        <is>
          <t>There is no acute fracture.</t>
        </is>
      </c>
    </row>
    <row r="817">
      <c r="A817" t="inlineStr">
        <is>
          <t>532409-labs-imaging-5-1</t>
        </is>
      </c>
      <c r="B817" t="inlineStr"/>
      <c r="C817" t="inlineStr"/>
      <c r="D817">
        <f>HYPERLINK("http://nlpdeep.cs.uic.edu:8080/proofing/gsii/532409-labs-imaging-5-1.pdf","gsii/532409-labs-imaging-5-1.pdf")</f>
        <v/>
      </c>
      <c r="E817" t="n">
        <v>119960</v>
      </c>
      <c r="F817" t="n">
        <v>532409</v>
      </c>
      <c r="G817" t="inlineStr">
        <is>
          <t>Physician</t>
        </is>
      </c>
      <c r="H817" t="inlineStr">
        <is>
          <t>labs-imaging</t>
        </is>
      </c>
      <c r="I817" t="inlineStr">
        <is>
          <t>There is no acute fracture.</t>
        </is>
      </c>
    </row>
    <row r="818">
      <c r="A818" t="inlineStr">
        <is>
          <t>532409-labs-imaging-5-2</t>
        </is>
      </c>
      <c r="B818" t="inlineStr"/>
      <c r="C818" t="inlineStr"/>
      <c r="D818">
        <f>HYPERLINK("http://nlpdeep.cs.uic.edu:8080/proofing/t5/532409-labs-imaging-5-2.pdf","t5/532409-labs-imaging-5-2.pdf")</f>
        <v/>
      </c>
      <c r="E818" t="n">
        <v>119960</v>
      </c>
      <c r="F818" t="n">
        <v>532409</v>
      </c>
      <c r="G818" t="inlineStr">
        <is>
          <t>Physician</t>
        </is>
      </c>
      <c r="H818" t="inlineStr">
        <is>
          <t>labs-imaging</t>
        </is>
      </c>
      <c r="I818" t="inlineStr">
        <is>
          <t>There is prominence of
   ventricles and sulci consistent with age-related parenchymal
   involutional change.</t>
        </is>
      </c>
    </row>
    <row r="819">
      <c r="A819" t="inlineStr">
        <is>
          <t>532409-labs-imaging-5-2</t>
        </is>
      </c>
      <c r="B819" t="inlineStr"/>
      <c r="C819" t="inlineStr"/>
      <c r="D819">
        <f>HYPERLINK("http://nlpdeep.cs.uic.edu:8080/proofing/gsii/532409-labs-imaging-5-2.pdf","gsii/532409-labs-imaging-5-2.pdf")</f>
        <v/>
      </c>
      <c r="E819" t="n">
        <v>119960</v>
      </c>
      <c r="F819" t="n">
        <v>532409</v>
      </c>
      <c r="G819" t="inlineStr">
        <is>
          <t>Physician</t>
        </is>
      </c>
      <c r="H819" t="inlineStr">
        <is>
          <t>labs-imaging</t>
        </is>
      </c>
      <c r="I819" t="inlineStr">
        <is>
          <t>There is prominence of
   ventricles and sulci consistent with age-related parenchymal
   involutional change.</t>
        </is>
      </c>
    </row>
    <row r="820">
      <c r="A820" t="inlineStr">
        <is>
          <t>532409-labs-imaging-5-3</t>
        </is>
      </c>
      <c r="B820" t="inlineStr"/>
      <c r="C820" t="inlineStr"/>
      <c r="D820">
        <f>HYPERLINK("http://nlpdeep.cs.uic.edu:8080/proofing/t5/532409-labs-imaging-5-3.pdf","t5/532409-labs-imaging-5-3.pdf")</f>
        <v/>
      </c>
      <c r="E820" t="n">
        <v>119960</v>
      </c>
      <c r="F820" t="n">
        <v>532409</v>
      </c>
      <c r="G820" t="inlineStr">
        <is>
          <t>Physician</t>
        </is>
      </c>
      <c r="H820" t="inlineStr">
        <is>
          <t>labs-imaging</t>
        </is>
      </c>
      <c r="I820" t="inlineStr">
        <is>
          <t>There is periventricular hypodensity consistent
   with chronic small vessel ischemic change.</t>
        </is>
      </c>
    </row>
    <row r="821">
      <c r="A821" t="inlineStr">
        <is>
          <t>532409-labs-imaging-5-3</t>
        </is>
      </c>
      <c r="B821" t="inlineStr"/>
      <c r="C821" t="inlineStr"/>
      <c r="D821">
        <f>HYPERLINK("http://nlpdeep.cs.uic.edu:8080/proofing/gsii/532409-labs-imaging-5-3.pdf","gsii/532409-labs-imaging-5-3.pdf")</f>
        <v/>
      </c>
      <c r="E821" t="n">
        <v>119960</v>
      </c>
      <c r="F821" t="n">
        <v>532409</v>
      </c>
      <c r="G821" t="inlineStr">
        <is>
          <t>Physician</t>
        </is>
      </c>
      <c r="H821" t="inlineStr">
        <is>
          <t>labs-imaging</t>
        </is>
      </c>
      <c r="I821" t="inlineStr">
        <is>
          <t>There is periventricular hypodensity consistent
   with chronic small vessel ischemic change.</t>
        </is>
      </c>
    </row>
    <row r="822">
      <c r="A822" t="inlineStr">
        <is>
          <t>532409-labs-imaging-5-4</t>
        </is>
      </c>
      <c r="B822" t="inlineStr"/>
      <c r="C822" t="inlineStr"/>
      <c r="D822">
        <f>HYPERLINK("http://nlpdeep.cs.uic.edu:8080/proofing/t5/532409-labs-imaging-5-4.pdf","t5/532409-labs-imaging-5-4.pdf")</f>
        <v/>
      </c>
      <c r="E822" t="n">
        <v>119960</v>
      </c>
      <c r="F822" t="n">
        <v>532409</v>
      </c>
      <c r="G822" t="inlineStr">
        <is>
          <t>Physician</t>
        </is>
      </c>
      <c r="H822" t="inlineStr">
        <is>
          <t>labs-imaging</t>
        </is>
      </c>
      <c r="I822" t="inlineStr">
        <is>
          <t>There is a subcentimeter
   right frontal sinus osteoma (2:16).</t>
        </is>
      </c>
    </row>
    <row r="823">
      <c r="A823" t="inlineStr">
        <is>
          <t>532409-labs-imaging-5-4</t>
        </is>
      </c>
      <c r="B823" t="inlineStr"/>
      <c r="C823" t="inlineStr"/>
      <c r="D823">
        <f>HYPERLINK("http://nlpdeep.cs.uic.edu:8080/proofing/gsii/532409-labs-imaging-5-4.pdf","gsii/532409-labs-imaging-5-4.pdf")</f>
        <v/>
      </c>
      <c r="E823" t="n">
        <v>119960</v>
      </c>
      <c r="F823" t="n">
        <v>532409</v>
      </c>
      <c r="G823" t="inlineStr">
        <is>
          <t>Physician</t>
        </is>
      </c>
      <c r="H823" t="inlineStr">
        <is>
          <t>labs-imaging</t>
        </is>
      </c>
      <c r="I823" t="inlineStr">
        <is>
          <t>There is a subcentimeter
   right frontal sinus osteoma (2:16).</t>
        </is>
      </c>
    </row>
    <row r="824">
      <c r="A824" t="inlineStr">
        <is>
          <t>532409-labs-imaging-6-0</t>
        </is>
      </c>
      <c r="B824" t="inlineStr"/>
      <c r="C824" t="inlineStr"/>
      <c r="D824">
        <f>HYPERLINK("http://nlpdeep.cs.uic.edu:8080/proofing/t5/532409-labs-imaging-6-0.pdf","t5/532409-labs-imaging-6-0.pdf")</f>
        <v/>
      </c>
      <c r="E824" t="n">
        <v>119960</v>
      </c>
      <c r="F824" t="n">
        <v>532409</v>
      </c>
      <c r="G824" t="inlineStr">
        <is>
          <t>Physician</t>
        </is>
      </c>
      <c r="H824" t="inlineStr">
        <is>
          <t>labs-imaging</t>
        </is>
      </c>
      <c r="I824" t="inlineStr">
        <is>
          <t xml:space="preserve">
   EKG: HR 60, QRS 134, QTc 494.</t>
        </is>
      </c>
    </row>
    <row r="825">
      <c r="A825" t="inlineStr">
        <is>
          <t>532409-labs-imaging-6-0</t>
        </is>
      </c>
      <c r="B825" t="inlineStr"/>
      <c r="C825" t="inlineStr"/>
      <c r="D825">
        <f>HYPERLINK("http://nlpdeep.cs.uic.edu:8080/proofing/gsii/532409-labs-imaging-6-0.pdf","gsii/532409-labs-imaging-6-0.pdf")</f>
        <v/>
      </c>
      <c r="E825" t="n">
        <v>119960</v>
      </c>
      <c r="F825" t="n">
        <v>532409</v>
      </c>
      <c r="G825" t="inlineStr">
        <is>
          <t>Physician</t>
        </is>
      </c>
      <c r="H825" t="inlineStr">
        <is>
          <t>labs-imaging</t>
        </is>
      </c>
      <c r="I825" t="inlineStr">
        <is>
          <t xml:space="preserve">
   EKG: HR 60, QRS 134, QTc 494.</t>
        </is>
      </c>
    </row>
    <row r="826">
      <c r="A826" t="inlineStr">
        <is>
          <t>532409-labs-imaging-6-1</t>
        </is>
      </c>
      <c r="B826" t="inlineStr"/>
      <c r="C826" t="inlineStr"/>
      <c r="D826">
        <f>HYPERLINK("http://nlpdeep.cs.uic.edu:8080/proofing/t5/532409-labs-imaging-6-1.pdf","t5/532409-labs-imaging-6-1.pdf")</f>
        <v/>
      </c>
      <c r="E826" t="n">
        <v>119960</v>
      </c>
      <c r="F826" t="n">
        <v>532409</v>
      </c>
      <c r="G826" t="inlineStr">
        <is>
          <t>Physician</t>
        </is>
      </c>
      <c r="H826" t="inlineStr">
        <is>
          <t>labs-imaging</t>
        </is>
      </c>
      <c r="I826" t="inlineStr">
        <is>
          <t>Atrial fibrillation.</t>
        </is>
      </c>
    </row>
    <row r="827">
      <c r="A827" t="inlineStr">
        <is>
          <t>532409-labs-imaging-6-1</t>
        </is>
      </c>
      <c r="B827" t="inlineStr"/>
      <c r="C827" t="inlineStr"/>
      <c r="D827">
        <f>HYPERLINK("http://nlpdeep.cs.uic.edu:8080/proofing/gsii/532409-labs-imaging-6-1.pdf","gsii/532409-labs-imaging-6-1.pdf")</f>
        <v/>
      </c>
      <c r="E827" t="n">
        <v>119960</v>
      </c>
      <c r="F827" t="n">
        <v>532409</v>
      </c>
      <c r="G827" t="inlineStr">
        <is>
          <t>Physician</t>
        </is>
      </c>
      <c r="H827" t="inlineStr">
        <is>
          <t>labs-imaging</t>
        </is>
      </c>
      <c r="I827" t="inlineStr">
        <is>
          <t>Atrial fibrillation.</t>
        </is>
      </c>
    </row>
    <row r="828">
      <c r="A828" t="inlineStr">
        <is>
          <t>532409-labs-imaging-6-2</t>
        </is>
      </c>
      <c r="B828" t="inlineStr"/>
      <c r="C828" t="inlineStr"/>
      <c r="D828">
        <f>HYPERLINK("http://nlpdeep.cs.uic.edu:8080/proofing/t5/532409-labs-imaging-6-2.pdf","t5/532409-labs-imaging-6-2.pdf")</f>
        <v/>
      </c>
      <c r="E828" t="n">
        <v>119960</v>
      </c>
      <c r="F828" t="n">
        <v>532409</v>
      </c>
      <c r="G828" t="inlineStr">
        <is>
          <t>Physician</t>
        </is>
      </c>
      <c r="H828" t="inlineStr">
        <is>
          <t>labs-imaging</t>
        </is>
      </c>
      <c r="I828" t="inlineStr">
        <is>
          <t>RBBB.</t>
        </is>
      </c>
    </row>
    <row r="829">
      <c r="A829" t="inlineStr">
        <is>
          <t>532409-labs-imaging-6-2</t>
        </is>
      </c>
      <c r="B829" t="inlineStr"/>
      <c r="C829" t="inlineStr"/>
      <c r="D829">
        <f>HYPERLINK("http://nlpdeep.cs.uic.edu:8080/proofing/gsii/532409-labs-imaging-6-2.pdf","gsii/532409-labs-imaging-6-2.pdf")</f>
        <v/>
      </c>
      <c r="E829" t="n">
        <v>119960</v>
      </c>
      <c r="F829" t="n">
        <v>532409</v>
      </c>
      <c r="G829" t="inlineStr">
        <is>
          <t>Physician</t>
        </is>
      </c>
      <c r="H829" t="inlineStr">
        <is>
          <t>labs-imaging</t>
        </is>
      </c>
      <c r="I829" t="inlineStr">
        <is>
          <t>RBBB.</t>
        </is>
      </c>
    </row>
    <row r="830">
      <c r="A830" t="inlineStr">
        <is>
          <t>532409-labs-imaging-6-3</t>
        </is>
      </c>
      <c r="B830" t="inlineStr"/>
      <c r="C830" t="inlineStr"/>
      <c r="D830">
        <f>HYPERLINK("http://nlpdeep.cs.uic.edu:8080/proofing/t5/532409-labs-imaging-6-3.pdf","t5/532409-labs-imaging-6-3.pdf")</f>
        <v/>
      </c>
      <c r="E830" t="n">
        <v>119960</v>
      </c>
      <c r="F830" t="n">
        <v>532409</v>
      </c>
      <c r="G830" t="inlineStr">
        <is>
          <t>Physician</t>
        </is>
      </c>
      <c r="H830" t="inlineStr">
        <is>
          <t>labs-imaging</t>
        </is>
      </c>
      <c r="I830" t="inlineStr">
        <is>
          <t>ST depression
   in V3 (unchanged from previous comparison, [**2141-3-17**])</t>
        </is>
      </c>
    </row>
    <row r="831">
      <c r="A831" t="inlineStr">
        <is>
          <t>532409-labs-imaging-6-3</t>
        </is>
      </c>
      <c r="B831" t="inlineStr"/>
      <c r="C831" t="inlineStr"/>
      <c r="D831">
        <f>HYPERLINK("http://nlpdeep.cs.uic.edu:8080/proofing/gsii/532409-labs-imaging-6-3.pdf","gsii/532409-labs-imaging-6-3.pdf")</f>
        <v/>
      </c>
      <c r="E831" t="n">
        <v>119960</v>
      </c>
      <c r="F831" t="n">
        <v>532409</v>
      </c>
      <c r="G831" t="inlineStr">
        <is>
          <t>Physician</t>
        </is>
      </c>
      <c r="H831" t="inlineStr">
        <is>
          <t>labs-imaging</t>
        </is>
      </c>
      <c r="I831" t="inlineStr">
        <is>
          <t>ST depression
   in V3 (unchanged from previous comparison, [**2141-3-17**])</t>
        </is>
      </c>
    </row>
    <row r="832">
      <c r="A832" t="inlineStr">
        <is>
          <t>532409-assessment-and-plan-0-0</t>
        </is>
      </c>
      <c r="B832" t="inlineStr"/>
      <c r="C832" t="inlineStr"/>
      <c r="D832">
        <f>HYPERLINK("http://nlpdeep.cs.uic.edu:8080/proofing/t5/532409-assessment-and-plan-0-0.pdf","t5/532409-assessment-and-plan-0-0.pdf")</f>
        <v/>
      </c>
      <c r="E832" t="n">
        <v>119960</v>
      </c>
      <c r="F832" t="n">
        <v>532409</v>
      </c>
      <c r="G832" t="inlineStr">
        <is>
          <t>Physician</t>
        </is>
      </c>
      <c r="H832" t="inlineStr">
        <is>
          <t>assessment-and-plan</t>
        </is>
      </c>
      <c r="I832" t="inlineStr">
        <is>
          <t>ICU Care
   Nutrition:
   Glycemic Control:
   Lines:
   18 Gauge - [**2141-4-6**] 08:30 PM
   Prophylaxis:
   DVT:
   Stress ulcer:
   VAP:
   Comments:
   Communication:  Comments:
   Code status:
   Disposition:</t>
        </is>
      </c>
    </row>
    <row r="833">
      <c r="A833" t="inlineStr">
        <is>
          <t>532409-assessment-and-plan-0-0</t>
        </is>
      </c>
      <c r="B833" t="inlineStr"/>
      <c r="C833" t="inlineStr"/>
      <c r="D833">
        <f>HYPERLINK("http://nlpdeep.cs.uic.edu:8080/proofing/gsii/532409-assessment-and-plan-0-0.pdf","gsii/532409-assessment-and-plan-0-0.pdf")</f>
        <v/>
      </c>
      <c r="E833" t="n">
        <v>119960</v>
      </c>
      <c r="F833" t="n">
        <v>532409</v>
      </c>
      <c r="G833" t="inlineStr">
        <is>
          <t>Physician</t>
        </is>
      </c>
      <c r="H833" t="inlineStr">
        <is>
          <t>assessment-and-plan</t>
        </is>
      </c>
      <c r="I833" t="inlineStr">
        <is>
          <t>ICU Care
   Nutrition:
   Glycemic Control:
   Lines:
   18 Gauge - [**2141-4-6**] 08:30 PM
   Prophylaxis:
   DVT:
   Stress ulcer:
   VAP:
   Comments:
   Communication:  Comments:
   Code status:
   Disposition:</t>
        </is>
      </c>
    </row>
    <row r="834">
      <c r="A834" t="inlineStr">
        <is>
          <t>532409-communication-0-0</t>
        </is>
      </c>
      <c r="B834" t="inlineStr"/>
      <c r="C834" t="inlineStr"/>
      <c r="D834">
        <f>HYPERLINK("http://nlpdeep.cs.uic.edu:8080/proofing/t5/532409-communication-0-0.pdf","t5/532409-communication-0-0.pdf")</f>
        <v/>
      </c>
      <c r="E834" t="n">
        <v>119960</v>
      </c>
      <c r="F834" t="n">
        <v>532409</v>
      </c>
      <c r="G834" t="inlineStr">
        <is>
          <t>Physician</t>
        </is>
      </c>
      <c r="H834" t="inlineStr">
        <is>
          <t>communication</t>
        </is>
      </c>
      <c r="I834" t="inlineStr">
        <is>
          <t>Patient, wife [**Name (NI) **] [**Name (NI) 14481**] [</t>
        </is>
      </c>
    </row>
    <row r="835">
      <c r="A835" t="inlineStr">
        <is>
          <t>532409-communication-0-0</t>
        </is>
      </c>
      <c r="B835" t="inlineStr"/>
      <c r="C835" t="inlineStr"/>
      <c r="D835">
        <f>HYPERLINK("http://nlpdeep.cs.uic.edu:8080/proofing/gsii/532409-communication-0-0.pdf","gsii/532409-communication-0-0.pdf")</f>
        <v/>
      </c>
      <c r="E835" t="n">
        <v>119960</v>
      </c>
      <c r="F835" t="n">
        <v>532409</v>
      </c>
      <c r="G835" t="inlineStr">
        <is>
          <t>Physician</t>
        </is>
      </c>
      <c r="H835" t="inlineStr">
        <is>
          <t>communication</t>
        </is>
      </c>
      <c r="I835" t="inlineStr">
        <is>
          <t>Patient, wife [**Name (NI) **] [**Name (NI) 14481**] [</t>
        </is>
      </c>
    </row>
    <row r="836">
      <c r="A836" t="inlineStr">
        <is>
          <t>532409-code-status-0-0</t>
        </is>
      </c>
      <c r="B836" t="inlineStr"/>
      <c r="C836" t="inlineStr"/>
      <c r="D836">
        <f>HYPERLINK("http://nlpdeep.cs.uic.edu:8080/proofing/t5/532409-code-status-0-0.pdf","t5/532409-code-status-0-0.pdf")</f>
        <v/>
      </c>
      <c r="E836" t="n">
        <v>119960</v>
      </c>
      <c r="F836" t="n">
        <v>532409</v>
      </c>
      <c r="G836" t="inlineStr">
        <is>
          <t>Physician</t>
        </is>
      </c>
      <c r="H836" t="inlineStr">
        <is>
          <t>code-status</t>
        </is>
      </c>
      <c r="I836" t="inlineStr">
        <is>
          <t>Full code for acute situations and OR but does not wish to be
   chronically vented (discussed with patient and wife)</t>
        </is>
      </c>
    </row>
    <row r="837">
      <c r="A837" t="inlineStr">
        <is>
          <t>532409-code-status-0-0</t>
        </is>
      </c>
      <c r="B837" t="inlineStr"/>
      <c r="C837" t="inlineStr"/>
      <c r="D837">
        <f>HYPERLINK("http://nlpdeep.cs.uic.edu:8080/proofing/gsii/532409-code-status-0-0.pdf","gsii/532409-code-status-0-0.pdf")</f>
        <v/>
      </c>
      <c r="E837" t="n">
        <v>119960</v>
      </c>
      <c r="F837" t="n">
        <v>532409</v>
      </c>
      <c r="G837" t="inlineStr">
        <is>
          <t>Physician</t>
        </is>
      </c>
      <c r="H837" t="inlineStr">
        <is>
          <t>code-status</t>
        </is>
      </c>
      <c r="I837" t="inlineStr">
        <is>
          <t>Full code for acute situations and OR but does not wish to be
   chronically vented (discussed with patient and wife)</t>
        </is>
      </c>
    </row>
    <row r="838">
      <c r="A838" t="inlineStr">
        <is>
          <t>532409-disposition-0-0</t>
        </is>
      </c>
      <c r="B838" t="inlineStr"/>
      <c r="C838" t="inlineStr"/>
      <c r="D838">
        <f>HYPERLINK("http://nlpdeep.cs.uic.edu:8080/proofing/t5/532409-disposition-0-0.pdf","t5/532409-disposition-0-0.pdf")</f>
        <v/>
      </c>
      <c r="E838" t="n">
        <v>119960</v>
      </c>
      <c r="F838" t="n">
        <v>532409</v>
      </c>
      <c r="G838" t="inlineStr">
        <is>
          <t>Physician</t>
        </is>
      </c>
      <c r="H838" t="inlineStr">
        <is>
          <t>disposition</t>
        </is>
      </c>
      <c r="I838" t="inlineStr">
        <is>
          <t>ICU pending clinical i</t>
        </is>
      </c>
    </row>
    <row r="839">
      <c r="A839" t="inlineStr">
        <is>
          <t>532409-disposition-0-0</t>
        </is>
      </c>
      <c r="B839" t="inlineStr"/>
      <c r="C839" t="inlineStr"/>
      <c r="D839">
        <f>HYPERLINK("http://nlpdeep.cs.uic.edu:8080/proofing/gsii/532409-disposition-0-0.pdf","gsii/532409-disposition-0-0.pdf")</f>
        <v/>
      </c>
      <c r="E839" t="n">
        <v>119960</v>
      </c>
      <c r="F839" t="n">
        <v>532409</v>
      </c>
      <c r="G839" t="inlineStr">
        <is>
          <t>Physician</t>
        </is>
      </c>
      <c r="H839" t="inlineStr">
        <is>
          <t>disposition</t>
        </is>
      </c>
      <c r="I839" t="inlineStr">
        <is>
          <t>ICU pending clinical i</t>
        </is>
      </c>
    </row>
    <row r="840">
      <c r="A840" t="inlineStr">
        <is>
          <t>532473-24-hour-events-0-0</t>
        </is>
      </c>
      <c r="B840" t="inlineStr"/>
      <c r="C840" t="inlineStr"/>
      <c r="D840">
        <f>HYPERLINK("http://nlpdeep.cs.uic.edu:8080/proofing/t5/532473-24-hour-events-0-0.pdf","t5/532473-24-hour-events-0-0.pdf")</f>
        <v/>
      </c>
      <c r="E840" t="n">
        <v>119960</v>
      </c>
      <c r="F840" t="n">
        <v>532473</v>
      </c>
      <c r="G840" t="inlineStr">
        <is>
          <t>Physician</t>
        </is>
      </c>
      <c r="H840" t="inlineStr">
        <is>
          <t>24-hour-events</t>
        </is>
      </c>
      <c r="I840" t="inlineStr">
        <is>
          <t>- Patient transfused 2 units pRBCs at MN and 3am.</t>
        </is>
      </c>
    </row>
    <row r="841">
      <c r="A841" t="inlineStr">
        <is>
          <t>532473-24-hour-events-0-0</t>
        </is>
      </c>
      <c r="B841" t="inlineStr"/>
      <c r="C841" t="inlineStr"/>
      <c r="D841">
        <f>HYPERLINK("http://nlpdeep.cs.uic.edu:8080/proofing/gsii/532473-24-hour-events-0-0.pdf","gsii/532473-24-hour-events-0-0.pdf")</f>
        <v/>
      </c>
      <c r="E841" t="n">
        <v>119960</v>
      </c>
      <c r="F841" t="n">
        <v>532473</v>
      </c>
      <c r="G841" t="inlineStr">
        <is>
          <t>Physician</t>
        </is>
      </c>
      <c r="H841" t="inlineStr">
        <is>
          <t>24-hour-events</t>
        </is>
      </c>
      <c r="I841" t="inlineStr">
        <is>
          <t>- Patient transfused 2 units pRBCs at MN and 3am.</t>
        </is>
      </c>
    </row>
    <row r="842">
      <c r="A842" t="inlineStr">
        <is>
          <t>532473-24-hour-events-0-1</t>
        </is>
      </c>
      <c r="B842" t="inlineStr"/>
      <c r="C842" t="inlineStr"/>
      <c r="D842">
        <f>HYPERLINK("http://nlpdeep.cs.uic.edu:8080/proofing/t5/532473-24-hour-events-0-1.pdf","t5/532473-24-hour-events-0-1.pdf")</f>
        <v/>
      </c>
      <c r="E842" t="n">
        <v>119960</v>
      </c>
      <c r="F842" t="n">
        <v>532473</v>
      </c>
      <c r="G842" t="inlineStr">
        <is>
          <t>Physician</t>
        </is>
      </c>
      <c r="H842" t="inlineStr">
        <is>
          <t>24-hour-events</t>
        </is>
      </c>
      <c r="I842" t="inlineStr">
        <is>
          <t>- K 7.3 at 5am; repeat K p</t>
        </is>
      </c>
    </row>
    <row r="843">
      <c r="A843" t="inlineStr">
        <is>
          <t>532473-24-hour-events-0-1</t>
        </is>
      </c>
      <c r="B843" t="inlineStr"/>
      <c r="C843" t="inlineStr"/>
      <c r="D843">
        <f>HYPERLINK("http://nlpdeep.cs.uic.edu:8080/proofing/gsii/532473-24-hour-events-0-1.pdf","gsii/532473-24-hour-events-0-1.pdf")</f>
        <v/>
      </c>
      <c r="E843" t="n">
        <v>119960</v>
      </c>
      <c r="F843" t="n">
        <v>532473</v>
      </c>
      <c r="G843" t="inlineStr">
        <is>
          <t>Physician</t>
        </is>
      </c>
      <c r="H843" t="inlineStr">
        <is>
          <t>24-hour-events</t>
        </is>
      </c>
      <c r="I843" t="inlineStr">
        <is>
          <t>- K 7.3 at 5am; repeat K p</t>
        </is>
      </c>
    </row>
    <row r="844">
      <c r="A844" t="inlineStr">
        <is>
          <t>532473-allergies-0-0</t>
        </is>
      </c>
      <c r="B844" t="inlineStr"/>
      <c r="C844" t="inlineStr"/>
      <c r="D844">
        <f>HYPERLINK("http://nlpdeep.cs.uic.edu:8080/proofing/t5/532473-allergies-0-0.pdf","t5/532473-allergies-0-0.pdf")</f>
        <v/>
      </c>
      <c r="E844" t="n">
        <v>119960</v>
      </c>
      <c r="F844" t="n">
        <v>532473</v>
      </c>
      <c r="G844" t="inlineStr">
        <is>
          <t>Physician</t>
        </is>
      </c>
      <c r="H844" t="inlineStr">
        <is>
          <t>allergies</t>
        </is>
      </c>
      <c r="I844" t="inlineStr">
        <is>
          <t>Quinidine
   fever;
   Propranolol
   Aggitation;
   Heparin Agents
   Thrombocytopeni
   Warfarin
   GI bleed;
   Zolpidem
   Unknown;</t>
        </is>
      </c>
    </row>
    <row r="845">
      <c r="A845" t="inlineStr">
        <is>
          <t>532473-allergies-0-0</t>
        </is>
      </c>
      <c r="B845" t="inlineStr"/>
      <c r="C845" t="inlineStr"/>
      <c r="D845">
        <f>HYPERLINK("http://nlpdeep.cs.uic.edu:8080/proofing/gsii/532473-allergies-0-0.pdf","gsii/532473-allergies-0-0.pdf")</f>
        <v/>
      </c>
      <c r="E845" t="n">
        <v>119960</v>
      </c>
      <c r="F845" t="n">
        <v>532473</v>
      </c>
      <c r="G845" t="inlineStr">
        <is>
          <t>Physician</t>
        </is>
      </c>
      <c r="H845" t="inlineStr">
        <is>
          <t>allergies</t>
        </is>
      </c>
      <c r="I845" t="inlineStr">
        <is>
          <t>Quinidine
   fever;
   Propranolol
   Aggitation;
   Heparin Agents
   Thrombocytopeni
   Warfarin
   GI bleed;
   Zolpidem
   Unknown;</t>
        </is>
      </c>
    </row>
    <row r="846">
      <c r="A846" t="inlineStr">
        <is>
          <t>532473-other-medications-0-0</t>
        </is>
      </c>
      <c r="B846" t="inlineStr"/>
      <c r="C846" t="inlineStr"/>
      <c r="D846">
        <f>HYPERLINK("http://nlpdeep.cs.uic.edu:8080/proofing/t5/532473-other-medications-0-0.pdf","t5/532473-other-medications-0-0.pdf")</f>
        <v/>
      </c>
      <c r="E846" t="n">
        <v>119960</v>
      </c>
      <c r="F846" t="n">
        <v>532473</v>
      </c>
      <c r="G846" t="inlineStr">
        <is>
          <t>Physician</t>
        </is>
      </c>
      <c r="H846" t="inlineStr">
        <is>
          <t>other-medications</t>
        </is>
      </c>
      <c r="I846" t="inlineStr">
        <is>
          <t>Morphine Sulfate - [**2141-4-6**] 09:30 PM
   Other medications:</t>
        </is>
      </c>
    </row>
    <row r="847">
      <c r="A847" t="inlineStr">
        <is>
          <t>532473-other-medications-0-0</t>
        </is>
      </c>
      <c r="B847" t="inlineStr"/>
      <c r="C847" t="inlineStr"/>
      <c r="D847">
        <f>HYPERLINK("http://nlpdeep.cs.uic.edu:8080/proofing/gsii/532473-other-medications-0-0.pdf","gsii/532473-other-medications-0-0.pdf")</f>
        <v/>
      </c>
      <c r="E847" t="n">
        <v>119960</v>
      </c>
      <c r="F847" t="n">
        <v>532473</v>
      </c>
      <c r="G847" t="inlineStr">
        <is>
          <t>Physician</t>
        </is>
      </c>
      <c r="H847" t="inlineStr">
        <is>
          <t>other-medications</t>
        </is>
      </c>
      <c r="I847" t="inlineStr">
        <is>
          <t>Morphine Sulfate - [**2141-4-6**] 09:30 PM
   Other medications:</t>
        </is>
      </c>
    </row>
    <row r="848">
      <c r="A848" t="inlineStr">
        <is>
          <t>532473-past-medical-history-0-0</t>
        </is>
      </c>
      <c r="B848" t="inlineStr"/>
      <c r="C848" t="inlineStr"/>
      <c r="D848">
        <f>HYPERLINK("http://nlpdeep.cs.uic.edu:8080/proofing/t5/532473-past-medical-history-0-0.pdf","t5/532473-past-medical-history-0-0.pdf")</f>
        <v/>
      </c>
      <c r="E848" t="n">
        <v>119960</v>
      </c>
      <c r="F848" t="n">
        <v>532473</v>
      </c>
      <c r="G848" t="inlineStr">
        <is>
          <t>Physician</t>
        </is>
      </c>
      <c r="H848" t="inlineStr">
        <is>
          <t>past-medical-history</t>
        </is>
      </c>
      <c r="I848" t="inlineStr">
        <is>
          <t>n</t>
        </is>
      </c>
    </row>
    <row r="849">
      <c r="A849" t="inlineStr">
        <is>
          <t>532473-past-medical-history-0-0</t>
        </is>
      </c>
      <c r="B849" t="inlineStr"/>
      <c r="C849" t="inlineStr"/>
      <c r="D849">
        <f>HYPERLINK("http://nlpdeep.cs.uic.edu:8080/proofing/gsii/532473-past-medical-history-0-0.pdf","gsii/532473-past-medical-history-0-0.pdf")</f>
        <v/>
      </c>
      <c r="E849" t="n">
        <v>119960</v>
      </c>
      <c r="F849" t="n">
        <v>532473</v>
      </c>
      <c r="G849" t="inlineStr">
        <is>
          <t>Physician</t>
        </is>
      </c>
      <c r="H849" t="inlineStr">
        <is>
          <t>past-medical-history</t>
        </is>
      </c>
      <c r="I849" t="inlineStr">
        <is>
          <t>n</t>
        </is>
      </c>
    </row>
    <row r="850">
      <c r="A850" t="inlineStr">
        <is>
          <t>532473-review-of-systems-0-0</t>
        </is>
      </c>
      <c r="B850" t="inlineStr"/>
      <c r="C850" t="inlineStr"/>
      <c r="D850">
        <f>HYPERLINK("http://nlpdeep.cs.uic.edu:8080/proofing/t5/532473-review-of-systems-0-0.pdf","t5/532473-review-of-systems-0-0.pdf")</f>
        <v/>
      </c>
      <c r="E850" t="n">
        <v>119960</v>
      </c>
      <c r="F850" t="n">
        <v>532473</v>
      </c>
      <c r="G850" t="inlineStr">
        <is>
          <t>Physician</t>
        </is>
      </c>
      <c r="H850" t="inlineStr">
        <is>
          <t>review-of-systems</t>
        </is>
      </c>
      <c r="I850" t="inlineStr">
        <is>
          <t>n</t>
        </is>
      </c>
    </row>
    <row r="851">
      <c r="A851" t="inlineStr">
        <is>
          <t>532473-review-of-systems-0-0</t>
        </is>
      </c>
      <c r="B851" t="inlineStr"/>
      <c r="C851" t="inlineStr"/>
      <c r="D851">
        <f>HYPERLINK("http://nlpdeep.cs.uic.edu:8080/proofing/gsii/532473-review-of-systems-0-0.pdf","gsii/532473-review-of-systems-0-0.pdf")</f>
        <v/>
      </c>
      <c r="E851" t="n">
        <v>119960</v>
      </c>
      <c r="F851" t="n">
        <v>532473</v>
      </c>
      <c r="G851" t="inlineStr">
        <is>
          <t>Physician</t>
        </is>
      </c>
      <c r="H851" t="inlineStr">
        <is>
          <t>review-of-systems</t>
        </is>
      </c>
      <c r="I851" t="inlineStr">
        <is>
          <t>n</t>
        </is>
      </c>
    </row>
    <row r="852">
      <c r="A852" t="inlineStr">
        <is>
          <t>532473-flowsheet-data-vitals-0-0</t>
        </is>
      </c>
      <c r="B852" t="inlineStr"/>
      <c r="C852" t="inlineStr"/>
      <c r="D852">
        <f>HYPERLINK("http://nlpdeep.cs.uic.edu:8080/proofing/t5/532473-flowsheet-data-vitals-0-0.pdf","t5/532473-flowsheet-data-vitals-0-0.pdf")</f>
        <v/>
      </c>
      <c r="E852" t="n">
        <v>119960</v>
      </c>
      <c r="F852" t="n">
        <v>532473</v>
      </c>
      <c r="G852" t="inlineStr">
        <is>
          <t>Physician</t>
        </is>
      </c>
      <c r="H852" t="inlineStr">
        <is>
          <t>flowsheet-data-vitals</t>
        </is>
      </c>
      <c r="I852" t="inlineStr">
        <is>
          <t>Vital signs
   Hemodynamic monitoring
   Fluid balance
                                                                  24 hours
                                                               Since [**42**] AM
   Tmax: 34.2
C (93.6
   Tcurrent: 33.8
C (92.9
   HR: 72 (65 - 75) bpm
   BP: 92/63(51) {87/40(48) - 191/158(169)} mmHg
   RR: 19 (12 - 32) insp/min
   SpO2: 94%
   Heart rhythm: AF (Atrial Fibrillation)
           Total In:
                                                                     33 mL
                                                                    771 mL
   PO:
           TF:
   IVF:
                                                                     33 mL
                                                                     71 mL
   Blood products:
   700 mL
   Total out:
                                                                    400 mL
                                                                    680 mL
   Urine:
                                                                    100 mL
                                                                    680 mL
   NG:
   Stool:
   Drains:
   Balance:
                                                                   -367 mL
                                                                     91 mL
   Respiratory support
   O2 Delivery Device: Nasal cannula
   SpO2: 94%
   ABG: ///24/</t>
        </is>
      </c>
    </row>
    <row r="853">
      <c r="A853" t="inlineStr">
        <is>
          <t>532473-flowsheet-data-vitals-0-0</t>
        </is>
      </c>
      <c r="B853" t="inlineStr"/>
      <c r="C853" t="inlineStr"/>
      <c r="D853">
        <f>HYPERLINK("http://nlpdeep.cs.uic.edu:8080/proofing/gsii/532473-flowsheet-data-vitals-0-0.pdf","gsii/532473-flowsheet-data-vitals-0-0.pdf")</f>
        <v/>
      </c>
      <c r="E853" t="n">
        <v>119960</v>
      </c>
      <c r="F853" t="n">
        <v>532473</v>
      </c>
      <c r="G853" t="inlineStr">
        <is>
          <t>Physician</t>
        </is>
      </c>
      <c r="H853" t="inlineStr">
        <is>
          <t>flowsheet-data-vitals</t>
        </is>
      </c>
      <c r="I853" t="inlineStr">
        <is>
          <t>Vital signs
   Hemodynamic monitoring
   Fluid balance
                                                                  24 hours
                                                               Since [**42**] AM
   Tmax: 34.2
C (93.6
   Tcurrent: 33.8
C (92.9
   HR: 72 (65 - 75) bpm
   BP: 92/63(51) {87/40(48) - 191/158(169)} mmHg
   RR: 19 (12 - 32) insp/min
   SpO2: 94%
   Heart rhythm: AF (Atrial Fibrillation)
           Total In:
                                                                     33 mL
                                                                    771 mL
   PO:
           TF:
   IVF:
                                                                     33 mL
                                                                     71 mL
   Blood products:
   700 mL
   Total out:
                                                                    400 mL
                                                                    680 mL
   Urine:
                                                                    100 mL
                                                                    680 mL
   NG:
   Stool:
   Drains:
   Balance:
                                                                   -367 mL
                                                                     91 mL
   Respiratory support
   O2 Delivery Device: Nasal cannula
   SpO2: 94%
   ABG: ///24/</t>
        </is>
      </c>
    </row>
    <row r="854">
      <c r="A854" t="inlineStr">
        <is>
          <t>532473-physical-examination-0-0</t>
        </is>
      </c>
      <c r="B854" t="inlineStr"/>
      <c r="C854" t="inlineStr"/>
      <c r="D854">
        <f>HYPERLINK("http://nlpdeep.cs.uic.edu:8080/proofing/t5/532473-physical-examination-0-0.pdf","t5/532473-physical-examination-0-0.pdf")</f>
        <v/>
      </c>
      <c r="E854" t="n">
        <v>119960</v>
      </c>
      <c r="F854" t="n">
        <v>532473</v>
      </c>
      <c r="G854" t="inlineStr">
        <is>
          <t>Physician</t>
        </is>
      </c>
      <c r="H854" t="inlineStr">
        <is>
          <t>physical-examination</t>
        </is>
      </c>
      <c r="I854" t="inlineStr">
        <is>
          <t>Extremities: 1+ DP bilaterally; extremities warm; 2+ pitting edema
   bilaterally.</t>
        </is>
      </c>
    </row>
    <row r="855">
      <c r="A855" t="inlineStr">
        <is>
          <t>532473-physical-examination-0-0</t>
        </is>
      </c>
      <c r="B855" t="inlineStr"/>
      <c r="C855" t="inlineStr"/>
      <c r="D855">
        <f>HYPERLINK("http://nlpdeep.cs.uic.edu:8080/proofing/gsii/532473-physical-examination-0-0.pdf","gsii/532473-physical-examination-0-0.pdf")</f>
        <v/>
      </c>
      <c r="E855" t="n">
        <v>119960</v>
      </c>
      <c r="F855" t="n">
        <v>532473</v>
      </c>
      <c r="G855" t="inlineStr">
        <is>
          <t>Physician</t>
        </is>
      </c>
      <c r="H855" t="inlineStr">
        <is>
          <t>physical-examination</t>
        </is>
      </c>
      <c r="I855" t="inlineStr">
        <is>
          <t>Extremities: 1+ DP bilaterally; extremities warm; 2+ pitting edema
   bilaterally.</t>
        </is>
      </c>
    </row>
    <row r="856">
      <c r="A856" t="inlineStr">
        <is>
          <t>532473-physical-examination-0-1</t>
        </is>
      </c>
      <c r="B856" t="inlineStr"/>
      <c r="C856" t="inlineStr"/>
      <c r="D856">
        <f>HYPERLINK("http://nlpdeep.cs.uic.edu:8080/proofing/t5/532473-physical-examination-0-1.pdf","t5/532473-physical-examination-0-1.pdf")</f>
        <v/>
      </c>
      <c r="E856" t="n">
        <v>119960</v>
      </c>
      <c r="F856" t="n">
        <v>532473</v>
      </c>
      <c r="G856" t="inlineStr">
        <is>
          <t>Physician</t>
        </is>
      </c>
      <c r="H856" t="inlineStr">
        <is>
          <t>physical-examination</t>
        </is>
      </c>
      <c r="I856" t="inlineStr">
        <is>
          <t>Signs of chronic venous insufficiency present bilaterally.</t>
        </is>
      </c>
    </row>
    <row r="857">
      <c r="A857" t="inlineStr">
        <is>
          <t>532473-physical-examination-0-1</t>
        </is>
      </c>
      <c r="B857" t="inlineStr"/>
      <c r="C857" t="inlineStr"/>
      <c r="D857">
        <f>HYPERLINK("http://nlpdeep.cs.uic.edu:8080/proofing/gsii/532473-physical-examination-0-1.pdf","gsii/532473-physical-examination-0-1.pdf")</f>
        <v/>
      </c>
      <c r="E857" t="n">
        <v>119960</v>
      </c>
      <c r="F857" t="n">
        <v>532473</v>
      </c>
      <c r="G857" t="inlineStr">
        <is>
          <t>Physician</t>
        </is>
      </c>
      <c r="H857" t="inlineStr">
        <is>
          <t>physical-examination</t>
        </is>
      </c>
      <c r="I857" t="inlineStr">
        <is>
          <t>Signs of chronic venous insufficiency present bilaterally.</t>
        </is>
      </c>
    </row>
    <row r="858">
      <c r="A858" t="inlineStr">
        <is>
          <t>532473-physical-examination-0-2</t>
        </is>
      </c>
      <c r="B858" t="inlineStr"/>
      <c r="C858" t="inlineStr"/>
      <c r="D858">
        <f>HYPERLINK("http://nlpdeep.cs.uic.edu:8080/proofing/t5/532473-physical-examination-0-2.pdf","t5/532473-physical-examination-0-2.pdf")</f>
        <v/>
      </c>
      <c r="E858" t="n">
        <v>119960</v>
      </c>
      <c r="F858" t="n">
        <v>532473</v>
      </c>
      <c r="G858" t="inlineStr">
        <is>
          <t>Physician</t>
        </is>
      </c>
      <c r="H858" t="inlineStr">
        <is>
          <t>physical-examination</t>
        </is>
      </c>
      <c r="I858" t="inlineStr">
        <is>
          <t xml:space="preserve">
   Left leg wrapped in ACE; no pneumoboots present.</t>
        </is>
      </c>
    </row>
    <row r="859">
      <c r="A859" t="inlineStr">
        <is>
          <t>532473-physical-examination-0-2</t>
        </is>
      </c>
      <c r="B859" t="inlineStr"/>
      <c r="C859" t="inlineStr"/>
      <c r="D859">
        <f>HYPERLINK("http://nlpdeep.cs.uic.edu:8080/proofing/gsii/532473-physical-examination-0-2.pdf","gsii/532473-physical-examination-0-2.pdf")</f>
        <v/>
      </c>
      <c r="E859" t="n">
        <v>119960</v>
      </c>
      <c r="F859" t="n">
        <v>532473</v>
      </c>
      <c r="G859" t="inlineStr">
        <is>
          <t>Physician</t>
        </is>
      </c>
      <c r="H859" t="inlineStr">
        <is>
          <t>physical-examination</t>
        </is>
      </c>
      <c r="I859" t="inlineStr">
        <is>
          <t xml:space="preserve">
   Left leg wrapped in ACE; no pneumoboots present.</t>
        </is>
      </c>
    </row>
    <row r="860">
      <c r="A860" t="inlineStr">
        <is>
          <t>532473-physical-examination-0-3</t>
        </is>
      </c>
      <c r="B860" t="inlineStr"/>
      <c r="C860" t="inlineStr"/>
      <c r="D860">
        <f>HYPERLINK("http://nlpdeep.cs.uic.edu:8080/proofing/t5/532473-physical-examination-0-3.pdf","t5/532473-physical-examination-0-3.pdf")</f>
        <v/>
      </c>
      <c r="E860" t="n">
        <v>119960</v>
      </c>
      <c r="F860" t="n">
        <v>532473</v>
      </c>
      <c r="G860" t="inlineStr">
        <is>
          <t>Physician</t>
        </is>
      </c>
      <c r="H860" t="inlineStr">
        <is>
          <t>physical-examination</t>
        </is>
      </c>
      <c r="I860" t="inlineStr">
        <is>
          <t xml:space="preserve">
   Skin:  Multiple ecchymoses on arms bilaterally
   Neurologic: Alert and oriented, maintains closed eyes throughout much
   of the conversation.</t>
        </is>
      </c>
    </row>
    <row r="861">
      <c r="A861" t="inlineStr">
        <is>
          <t>532473-physical-examination-0-3</t>
        </is>
      </c>
      <c r="B861" t="inlineStr"/>
      <c r="C861" t="inlineStr"/>
      <c r="D861">
        <f>HYPERLINK("http://nlpdeep.cs.uic.edu:8080/proofing/gsii/532473-physical-examination-0-3.pdf","gsii/532473-physical-examination-0-3.pdf")</f>
        <v/>
      </c>
      <c r="E861" t="n">
        <v>119960</v>
      </c>
      <c r="F861" t="n">
        <v>532473</v>
      </c>
      <c r="G861" t="inlineStr">
        <is>
          <t>Physician</t>
        </is>
      </c>
      <c r="H861" t="inlineStr">
        <is>
          <t>physical-examination</t>
        </is>
      </c>
      <c r="I861" t="inlineStr">
        <is>
          <t xml:space="preserve">
   Skin:  Multiple ecchymoses on arms bilaterally
   Neurologic: Alert and oriented, maintains closed eyes throughout much
   of the conversation.</t>
        </is>
      </c>
    </row>
    <row r="862">
      <c r="A862" t="inlineStr">
        <is>
          <t>532473-physical-examination-0-4</t>
        </is>
      </c>
      <c r="B862" t="inlineStr"/>
      <c r="C862" t="inlineStr"/>
      <c r="D862">
        <f>HYPERLINK("http://nlpdeep.cs.uic.edu:8080/proofing/t5/532473-physical-examination-0-4.pdf","t5/532473-physical-examination-0-4.pdf")</f>
        <v/>
      </c>
      <c r="E862" t="n">
        <v>119960</v>
      </c>
      <c r="F862" t="n">
        <v>532473</v>
      </c>
      <c r="G862" t="inlineStr">
        <is>
          <t>Physician</t>
        </is>
      </c>
      <c r="H862" t="inlineStr">
        <is>
          <t>physical-examination</t>
        </is>
      </c>
      <c r="I862" t="inlineStr">
        <is>
          <t>Intention tremor present (baseline)
   CV: Irregularly irregular rhythm, normal rate, no murmur/rub/gallop
   Pulm: rhonchorous breath sounds present bilaterally, otherwise clear
   Ab: Generally soft but mildly firm in RLQ&gt;LLQ, BS present, non-t</t>
        </is>
      </c>
    </row>
    <row r="863">
      <c r="A863" t="inlineStr">
        <is>
          <t>532473-physical-examination-0-4</t>
        </is>
      </c>
      <c r="B863" t="inlineStr"/>
      <c r="C863" t="inlineStr"/>
      <c r="D863">
        <f>HYPERLINK("http://nlpdeep.cs.uic.edu:8080/proofing/gsii/532473-physical-examination-0-4.pdf","gsii/532473-physical-examination-0-4.pdf")</f>
        <v/>
      </c>
      <c r="E863" t="n">
        <v>119960</v>
      </c>
      <c r="F863" t="n">
        <v>532473</v>
      </c>
      <c r="G863" t="inlineStr">
        <is>
          <t>Physician</t>
        </is>
      </c>
      <c r="H863" t="inlineStr">
        <is>
          <t>physical-examination</t>
        </is>
      </c>
      <c r="I863" t="inlineStr">
        <is>
          <t>Intention tremor present (baseline)
   CV: Irregularly irregular rhythm, normal rate, no murmur/rub/gallop
   Pulm: rhonchorous breath sounds present bilaterally, otherwise clear
   Ab: Generally soft but mildly firm in RLQ&gt;LLQ, BS present, non-t</t>
        </is>
      </c>
    </row>
    <row r="864">
      <c r="A864" t="inlineStr">
        <is>
          <t>532473-labs-imaging-0-0</t>
        </is>
      </c>
      <c r="B864" t="inlineStr"/>
      <c r="C864" t="inlineStr"/>
      <c r="D864">
        <f>HYPERLINK("http://nlpdeep.cs.uic.edu:8080/proofing/t5/532473-labs-imaging-0-0.pdf","t5/532473-labs-imaging-0-0.pdf")</f>
        <v/>
      </c>
      <c r="E864" t="n">
        <v>119960</v>
      </c>
      <c r="F864" t="n">
        <v>532473</v>
      </c>
      <c r="G864" t="inlineStr">
        <is>
          <t>Physician</t>
        </is>
      </c>
      <c r="H864" t="inlineStr">
        <is>
          <t>labs-imaging</t>
        </is>
      </c>
      <c r="I864" t="inlineStr">
        <is>
          <t>110 K/uL
   10.3 g/dL
   106 mg/dL
   2.4 mg/dL
   24 mEq/L
   7.3 mEq/L
   56 mg/dL
   101 mEq/L
   139 mEq/L
   29.7 %
   5.9 K/uL
        [image002.jpg]
                             [**2141-4-6**]  08:20 PM
                             [**2141-4-7**]  04:57 AM
   WBC
   8.2
   5.9
   Hct
   22.8
   29.7
   Plt
   128
   110
   Cr
   2.4
   Glucose
   106
   Other labs: PT / PTT / INR:13.6/32.2/1.2, Lactic Acid:0.9 mmol/L,
   Ca++:8.5 mg/dL, Mg++:2.1 mg/dL, PO4:6.8 mg/dL
   Cortisol 26.4
   UA hazy pink 1.008, lg blood, neg nitrite, neg leuk pH 6.5; sed 388 R,
   0 W, no bact/yeast, 2 hyaline casts
   Urine lytes: 10pm -= BUN 323, Cr 26, Na 78 (at 3pm serum levels 140 /
   65 / 2.7) = FEUN 51.6%, FeNa 5%
   Blood cx X2 pending; urine legionella negative; urine culture pending
   [**4-7**] CXR - u</t>
        </is>
      </c>
    </row>
    <row r="865">
      <c r="A865" t="inlineStr">
        <is>
          <t>532473-labs-imaging-0-0</t>
        </is>
      </c>
      <c r="B865" t="inlineStr"/>
      <c r="C865" t="inlineStr"/>
      <c r="D865">
        <f>HYPERLINK("http://nlpdeep.cs.uic.edu:8080/proofing/gsii/532473-labs-imaging-0-0.pdf","gsii/532473-labs-imaging-0-0.pdf")</f>
        <v/>
      </c>
      <c r="E865" t="n">
        <v>119960</v>
      </c>
      <c r="F865" t="n">
        <v>532473</v>
      </c>
      <c r="G865" t="inlineStr">
        <is>
          <t>Physician</t>
        </is>
      </c>
      <c r="H865" t="inlineStr">
        <is>
          <t>labs-imaging</t>
        </is>
      </c>
      <c r="I865" t="inlineStr">
        <is>
          <t>110 K/uL
   10.3 g/dL
   106 mg/dL
   2.4 mg/dL
   24 mEq/L
   7.3 mEq/L
   56 mg/dL
   101 mEq/L
   139 mEq/L
   29.7 %
   5.9 K/uL
        [image002.jpg]
                             [**2141-4-6**]  08:20 PM
                             [**2141-4-7**]  04:57 AM
   WBC
   8.2
   5.9
   Hct
   22.8
   29.7
   Plt
   128
   110
   Cr
   2.4
   Glucose
   106
   Other labs: PT / PTT / INR:13.6/32.2/1.2, Lactic Acid:0.9 mmol/L,
   Ca++:8.5 mg/dL, Mg++:2.1 mg/dL, PO4:6.8 mg/dL
   Cortisol 26.4
   UA hazy pink 1.008, lg blood, neg nitrite, neg leuk pH 6.5; sed 388 R,
   0 W, no bact/yeast, 2 hyaline casts
   Urine lytes: 10pm -= BUN 323, Cr 26, Na 78 (at 3pm serum levels 140 /
   65 / 2.7) = FEUN 51.6%, FeNa 5%
   Blood cx X2 pending; urine legionella negative; urine culture pending
   [**4-7**] CXR - u</t>
        </is>
      </c>
    </row>
    <row r="866">
      <c r="A866" t="inlineStr">
        <is>
          <t>532473-assessment-and-plan-0-0</t>
        </is>
      </c>
      <c r="B866" t="inlineStr"/>
      <c r="C866" t="inlineStr"/>
      <c r="D866">
        <f>HYPERLINK("http://nlpdeep.cs.uic.edu:8080/proofing/t5/532473-assessment-and-plan-0-0.pdf","t5/532473-assessment-and-plan-0-0.pdf")</f>
        <v/>
      </c>
      <c r="E866" t="n">
        <v>119960</v>
      </c>
      <c r="F866" t="n">
        <v>532473</v>
      </c>
      <c r="G866" t="inlineStr">
        <is>
          <t>Physician</t>
        </is>
      </c>
      <c r="H866" t="inlineStr">
        <is>
          <t>assessment-and-plan</t>
        </is>
      </c>
      <c r="I866" t="inlineStr">
        <is>
          <t>ICU Care
   Nutrition:
   Glycemic Control:
   Lines:
   18 Gauge - [**2141-4-6**] 08:30 PM
   Prophylaxis:
   DVT:
   Stress ulcer:
   VAP:
   Comments:
   Communication:  Comments:
   Code status: Full code
   Disposition:</t>
        </is>
      </c>
    </row>
    <row r="867">
      <c r="A867" t="inlineStr">
        <is>
          <t>532473-assessment-and-plan-0-0</t>
        </is>
      </c>
      <c r="B867" t="inlineStr"/>
      <c r="C867" t="inlineStr"/>
      <c r="D867">
        <f>HYPERLINK("http://nlpdeep.cs.uic.edu:8080/proofing/gsii/532473-assessment-and-plan-0-0.pdf","gsii/532473-assessment-and-plan-0-0.pdf")</f>
        <v/>
      </c>
      <c r="E867" t="n">
        <v>119960</v>
      </c>
      <c r="F867" t="n">
        <v>532473</v>
      </c>
      <c r="G867" t="inlineStr">
        <is>
          <t>Physician</t>
        </is>
      </c>
      <c r="H867" t="inlineStr">
        <is>
          <t>assessment-and-plan</t>
        </is>
      </c>
      <c r="I867" t="inlineStr">
        <is>
          <t>ICU Care
   Nutrition:
   Glycemic Control:
   Lines:
   18 Gauge - [**2141-4-6**] 08:30 PM
   Prophylaxis:
   DVT:
   Stress ulcer:
   VAP:
   Comments:
   Communication:  Comments:
   Code status: Full code
   Disposition:</t>
        </is>
      </c>
    </row>
    <row r="868">
      <c r="A868" t="inlineStr">
        <is>
          <t>532473-communication-0-0</t>
        </is>
      </c>
      <c r="B868" t="inlineStr"/>
      <c r="C868" t="inlineStr"/>
      <c r="D868">
        <f>HYPERLINK("http://nlpdeep.cs.uic.edu:8080/proofing/t5/532473-communication-0-0.pdf","t5/532473-communication-0-0.pdf")</f>
        <v/>
      </c>
      <c r="E868" t="n">
        <v>119960</v>
      </c>
      <c r="F868" t="n">
        <v>532473</v>
      </c>
      <c r="G868" t="inlineStr">
        <is>
          <t>Physician</t>
        </is>
      </c>
      <c r="H868" t="inlineStr">
        <is>
          <t>communication</t>
        </is>
      </c>
      <c r="I868" t="inlineStr">
        <is>
          <t>Patient, wife [**Name (NI) **] [**Name (NI) 14481**] [</t>
        </is>
      </c>
    </row>
    <row r="869">
      <c r="A869" t="inlineStr">
        <is>
          <t>532473-communication-0-0</t>
        </is>
      </c>
      <c r="B869" t="inlineStr"/>
      <c r="C869" t="inlineStr"/>
      <c r="D869">
        <f>HYPERLINK("http://nlpdeep.cs.uic.edu:8080/proofing/gsii/532473-communication-0-0.pdf","gsii/532473-communication-0-0.pdf")</f>
        <v/>
      </c>
      <c r="E869" t="n">
        <v>119960</v>
      </c>
      <c r="F869" t="n">
        <v>532473</v>
      </c>
      <c r="G869" t="inlineStr">
        <is>
          <t>Physician</t>
        </is>
      </c>
      <c r="H869" t="inlineStr">
        <is>
          <t>communication</t>
        </is>
      </c>
      <c r="I869" t="inlineStr">
        <is>
          <t>Patient, wife [**Name (NI) **] [**Name (NI) 14481**] [</t>
        </is>
      </c>
    </row>
    <row r="870">
      <c r="A870" t="inlineStr">
        <is>
          <t>532473-code-status-0-0</t>
        </is>
      </c>
      <c r="B870" t="inlineStr"/>
      <c r="C870" t="inlineStr"/>
      <c r="D870">
        <f>HYPERLINK("http://nlpdeep.cs.uic.edu:8080/proofing/t5/532473-code-status-0-0.pdf","t5/532473-code-status-0-0.pdf")</f>
        <v/>
      </c>
      <c r="E870" t="n">
        <v>119960</v>
      </c>
      <c r="F870" t="n">
        <v>532473</v>
      </c>
      <c r="G870" t="inlineStr">
        <is>
          <t>Physician</t>
        </is>
      </c>
      <c r="H870" t="inlineStr">
        <is>
          <t>code-status</t>
        </is>
      </c>
      <c r="I870" t="inlineStr">
        <is>
          <t>Full code for acute situations and OR but does not wish to be
   chronically vented (discussed with patient and wife)</t>
        </is>
      </c>
    </row>
    <row r="871">
      <c r="A871" t="inlineStr">
        <is>
          <t>532473-code-status-0-0</t>
        </is>
      </c>
      <c r="B871" t="inlineStr"/>
      <c r="C871" t="inlineStr"/>
      <c r="D871">
        <f>HYPERLINK("http://nlpdeep.cs.uic.edu:8080/proofing/gsii/532473-code-status-0-0.pdf","gsii/532473-code-status-0-0.pdf")</f>
        <v/>
      </c>
      <c r="E871" t="n">
        <v>119960</v>
      </c>
      <c r="F871" t="n">
        <v>532473</v>
      </c>
      <c r="G871" t="inlineStr">
        <is>
          <t>Physician</t>
        </is>
      </c>
      <c r="H871" t="inlineStr">
        <is>
          <t>code-status</t>
        </is>
      </c>
      <c r="I871" t="inlineStr">
        <is>
          <t>Full code for acute situations and OR but does not wish to be
   chronically vented (discussed with patient and wife)</t>
        </is>
      </c>
    </row>
    <row r="872">
      <c r="A872" t="inlineStr">
        <is>
          <t>532473-disposition-0-0</t>
        </is>
      </c>
      <c r="B872" t="inlineStr"/>
      <c r="C872" t="inlineStr"/>
      <c r="D872">
        <f>HYPERLINK("http://nlpdeep.cs.uic.edu:8080/proofing/t5/532473-disposition-0-0.pdf","t5/532473-disposition-0-0.pdf")</f>
        <v/>
      </c>
      <c r="E872" t="n">
        <v>119960</v>
      </c>
      <c r="F872" t="n">
        <v>532473</v>
      </c>
      <c r="G872" t="inlineStr">
        <is>
          <t>Physician</t>
        </is>
      </c>
      <c r="H872" t="inlineStr">
        <is>
          <t>disposition</t>
        </is>
      </c>
      <c r="I872" t="inlineStr">
        <is>
          <t>ICU pending clinical i</t>
        </is>
      </c>
    </row>
    <row r="873">
      <c r="A873" t="inlineStr">
        <is>
          <t>532473-disposition-0-0</t>
        </is>
      </c>
      <c r="B873" t="inlineStr"/>
      <c r="C873" t="inlineStr"/>
      <c r="D873">
        <f>HYPERLINK("http://nlpdeep.cs.uic.edu:8080/proofing/gsii/532473-disposition-0-0.pdf","gsii/532473-disposition-0-0.pdf")</f>
        <v/>
      </c>
      <c r="E873" t="n">
        <v>119960</v>
      </c>
      <c r="F873" t="n">
        <v>532473</v>
      </c>
      <c r="G873" t="inlineStr">
        <is>
          <t>Physician</t>
        </is>
      </c>
      <c r="H873" t="inlineStr">
        <is>
          <t>disposition</t>
        </is>
      </c>
      <c r="I873" t="inlineStr">
        <is>
          <t>ICU pending clinical i</t>
        </is>
      </c>
    </row>
    <row r="874">
      <c r="A874" t="inlineStr">
        <is>
          <t>532469-24-hour-events-0-0</t>
        </is>
      </c>
      <c r="B874" t="inlineStr"/>
      <c r="C874" t="inlineStr"/>
      <c r="D874">
        <f>HYPERLINK("http://nlpdeep.cs.uic.edu:8080/proofing/t5/532469-24-hour-events-0-0.pdf","t5/532469-24-hour-events-0-0.pdf")</f>
        <v/>
      </c>
      <c r="E874" t="n">
        <v>119960</v>
      </c>
      <c r="F874" t="n">
        <v>532469</v>
      </c>
      <c r="G874" t="inlineStr">
        <is>
          <t>Physician</t>
        </is>
      </c>
      <c r="H874" t="inlineStr">
        <is>
          <t>24-hour-events</t>
        </is>
      </c>
      <c r="I874" t="inlineStr">
        <is>
          <t>- Patient transfused 2 units pRBCs at MN and 3am.</t>
        </is>
      </c>
    </row>
    <row r="875">
      <c r="A875" t="inlineStr">
        <is>
          <t>532469-24-hour-events-0-0</t>
        </is>
      </c>
      <c r="B875" t="inlineStr"/>
      <c r="C875" t="inlineStr"/>
      <c r="D875">
        <f>HYPERLINK("http://nlpdeep.cs.uic.edu:8080/proofing/gsii/532469-24-hour-events-0-0.pdf","gsii/532469-24-hour-events-0-0.pdf")</f>
        <v/>
      </c>
      <c r="E875" t="n">
        <v>119960</v>
      </c>
      <c r="F875" t="n">
        <v>532469</v>
      </c>
      <c r="G875" t="inlineStr">
        <is>
          <t>Physician</t>
        </is>
      </c>
      <c r="H875" t="inlineStr">
        <is>
          <t>24-hour-events</t>
        </is>
      </c>
      <c r="I875" t="inlineStr">
        <is>
          <t>- Patient transfused 2 units pRBCs at MN and 3am.</t>
        </is>
      </c>
    </row>
    <row r="876">
      <c r="A876" t="inlineStr">
        <is>
          <t>532469-24-hour-events-0-1</t>
        </is>
      </c>
      <c r="B876" t="inlineStr"/>
      <c r="C876" t="inlineStr"/>
      <c r="D876">
        <f>HYPERLINK("http://nlpdeep.cs.uic.edu:8080/proofing/t5/532469-24-hour-events-0-1.pdf","t5/532469-24-hour-events-0-1.pdf")</f>
        <v/>
      </c>
      <c r="E876" t="n">
        <v>119960</v>
      </c>
      <c r="F876" t="n">
        <v>532469</v>
      </c>
      <c r="G876" t="inlineStr">
        <is>
          <t>Physician</t>
        </is>
      </c>
      <c r="H876" t="inlineStr">
        <is>
          <t>24-hour-events</t>
        </is>
      </c>
      <c r="I876" t="inlineStr">
        <is>
          <t>- K 7.3 at 5am; repeat K p</t>
        </is>
      </c>
    </row>
    <row r="877">
      <c r="A877" t="inlineStr">
        <is>
          <t>532469-24-hour-events-0-1</t>
        </is>
      </c>
      <c r="B877" t="inlineStr"/>
      <c r="C877" t="inlineStr"/>
      <c r="D877">
        <f>HYPERLINK("http://nlpdeep.cs.uic.edu:8080/proofing/gsii/532469-24-hour-events-0-1.pdf","gsii/532469-24-hour-events-0-1.pdf")</f>
        <v/>
      </c>
      <c r="E877" t="n">
        <v>119960</v>
      </c>
      <c r="F877" t="n">
        <v>532469</v>
      </c>
      <c r="G877" t="inlineStr">
        <is>
          <t>Physician</t>
        </is>
      </c>
      <c r="H877" t="inlineStr">
        <is>
          <t>24-hour-events</t>
        </is>
      </c>
      <c r="I877" t="inlineStr">
        <is>
          <t>- K 7.3 at 5am; repeat K p</t>
        </is>
      </c>
    </row>
    <row r="878">
      <c r="A878" t="inlineStr">
        <is>
          <t>532469-allergies-0-0</t>
        </is>
      </c>
      <c r="B878" t="inlineStr"/>
      <c r="C878" t="inlineStr"/>
      <c r="D878">
        <f>HYPERLINK("http://nlpdeep.cs.uic.edu:8080/proofing/t5/532469-allergies-0-0.pdf","t5/532469-allergies-0-0.pdf")</f>
        <v/>
      </c>
      <c r="E878" t="n">
        <v>119960</v>
      </c>
      <c r="F878" t="n">
        <v>532469</v>
      </c>
      <c r="G878" t="inlineStr">
        <is>
          <t>Physician</t>
        </is>
      </c>
      <c r="H878" t="inlineStr">
        <is>
          <t>allergies</t>
        </is>
      </c>
      <c r="I878" t="inlineStr">
        <is>
          <t>Quinidine
   fever;
   Propranolol
   Aggitation;
   Heparin Agents
   Thrombocytopeni
   Warfarin
   GI bleed;
   Zolpidem
   Unknown;</t>
        </is>
      </c>
    </row>
    <row r="879">
      <c r="A879" t="inlineStr">
        <is>
          <t>532469-allergies-0-0</t>
        </is>
      </c>
      <c r="B879" t="inlineStr"/>
      <c r="C879" t="inlineStr"/>
      <c r="D879">
        <f>HYPERLINK("http://nlpdeep.cs.uic.edu:8080/proofing/gsii/532469-allergies-0-0.pdf","gsii/532469-allergies-0-0.pdf")</f>
        <v/>
      </c>
      <c r="E879" t="n">
        <v>119960</v>
      </c>
      <c r="F879" t="n">
        <v>532469</v>
      </c>
      <c r="G879" t="inlineStr">
        <is>
          <t>Physician</t>
        </is>
      </c>
      <c r="H879" t="inlineStr">
        <is>
          <t>allergies</t>
        </is>
      </c>
      <c r="I879" t="inlineStr">
        <is>
          <t>Quinidine
   fever;
   Propranolol
   Aggitation;
   Heparin Agents
   Thrombocytopeni
   Warfarin
   GI bleed;
   Zolpidem
   Unknown;</t>
        </is>
      </c>
    </row>
    <row r="880">
      <c r="A880" t="inlineStr">
        <is>
          <t>532469-other-medications-0-0</t>
        </is>
      </c>
      <c r="B880" t="inlineStr"/>
      <c r="C880" t="inlineStr"/>
      <c r="D880">
        <f>HYPERLINK("http://nlpdeep.cs.uic.edu:8080/proofing/t5/532469-other-medications-0-0.pdf","t5/532469-other-medications-0-0.pdf")</f>
        <v/>
      </c>
      <c r="E880" t="n">
        <v>119960</v>
      </c>
      <c r="F880" t="n">
        <v>532469</v>
      </c>
      <c r="G880" t="inlineStr">
        <is>
          <t>Physician</t>
        </is>
      </c>
      <c r="H880" t="inlineStr">
        <is>
          <t>other-medications</t>
        </is>
      </c>
      <c r="I880" t="inlineStr">
        <is>
          <t>Morphine Sulfate - [**2141-4-6**] 09:30 PM
   Other medications:</t>
        </is>
      </c>
    </row>
    <row r="881">
      <c r="A881" t="inlineStr">
        <is>
          <t>532469-other-medications-0-0</t>
        </is>
      </c>
      <c r="B881" t="inlineStr"/>
      <c r="C881" t="inlineStr"/>
      <c r="D881">
        <f>HYPERLINK("http://nlpdeep.cs.uic.edu:8080/proofing/gsii/532469-other-medications-0-0.pdf","gsii/532469-other-medications-0-0.pdf")</f>
        <v/>
      </c>
      <c r="E881" t="n">
        <v>119960</v>
      </c>
      <c r="F881" t="n">
        <v>532469</v>
      </c>
      <c r="G881" t="inlineStr">
        <is>
          <t>Physician</t>
        </is>
      </c>
      <c r="H881" t="inlineStr">
        <is>
          <t>other-medications</t>
        </is>
      </c>
      <c r="I881" t="inlineStr">
        <is>
          <t>Morphine Sulfate - [**2141-4-6**] 09:30 PM
   Other medications:</t>
        </is>
      </c>
    </row>
    <row r="882">
      <c r="A882" t="inlineStr">
        <is>
          <t>532469-past-medical-history-0-0</t>
        </is>
      </c>
      <c r="B882" t="inlineStr"/>
      <c r="C882" t="inlineStr"/>
      <c r="D882">
        <f>HYPERLINK("http://nlpdeep.cs.uic.edu:8080/proofing/t5/532469-past-medical-history-0-0.pdf","t5/532469-past-medical-history-0-0.pdf")</f>
        <v/>
      </c>
      <c r="E882" t="n">
        <v>119960</v>
      </c>
      <c r="F882" t="n">
        <v>532469</v>
      </c>
      <c r="G882" t="inlineStr">
        <is>
          <t>Physician</t>
        </is>
      </c>
      <c r="H882" t="inlineStr">
        <is>
          <t>past-medical-history</t>
        </is>
      </c>
      <c r="I882" t="inlineStr">
        <is>
          <t>n</t>
        </is>
      </c>
    </row>
    <row r="883">
      <c r="A883" t="inlineStr">
        <is>
          <t>532469-past-medical-history-0-0</t>
        </is>
      </c>
      <c r="B883" t="inlineStr"/>
      <c r="C883" t="inlineStr"/>
      <c r="D883">
        <f>HYPERLINK("http://nlpdeep.cs.uic.edu:8080/proofing/gsii/532469-past-medical-history-0-0.pdf","gsii/532469-past-medical-history-0-0.pdf")</f>
        <v/>
      </c>
      <c r="E883" t="n">
        <v>119960</v>
      </c>
      <c r="F883" t="n">
        <v>532469</v>
      </c>
      <c r="G883" t="inlineStr">
        <is>
          <t>Physician</t>
        </is>
      </c>
      <c r="H883" t="inlineStr">
        <is>
          <t>past-medical-history</t>
        </is>
      </c>
      <c r="I883" t="inlineStr">
        <is>
          <t>n</t>
        </is>
      </c>
    </row>
    <row r="884">
      <c r="A884" t="inlineStr">
        <is>
          <t>532469-review-of-systems-0-0</t>
        </is>
      </c>
      <c r="B884" t="inlineStr"/>
      <c r="C884" t="inlineStr"/>
      <c r="D884">
        <f>HYPERLINK("http://nlpdeep.cs.uic.edu:8080/proofing/t5/532469-review-of-systems-0-0.pdf","t5/532469-review-of-systems-0-0.pdf")</f>
        <v/>
      </c>
      <c r="E884" t="n">
        <v>119960</v>
      </c>
      <c r="F884" t="n">
        <v>532469</v>
      </c>
      <c r="G884" t="inlineStr">
        <is>
          <t>Physician</t>
        </is>
      </c>
      <c r="H884" t="inlineStr">
        <is>
          <t>review-of-systems</t>
        </is>
      </c>
      <c r="I884" t="inlineStr">
        <is>
          <t>n</t>
        </is>
      </c>
    </row>
    <row r="885">
      <c r="A885" t="inlineStr">
        <is>
          <t>532469-review-of-systems-0-0</t>
        </is>
      </c>
      <c r="B885" t="inlineStr"/>
      <c r="C885" t="inlineStr"/>
      <c r="D885">
        <f>HYPERLINK("http://nlpdeep.cs.uic.edu:8080/proofing/gsii/532469-review-of-systems-0-0.pdf","gsii/532469-review-of-systems-0-0.pdf")</f>
        <v/>
      </c>
      <c r="E885" t="n">
        <v>119960</v>
      </c>
      <c r="F885" t="n">
        <v>532469</v>
      </c>
      <c r="G885" t="inlineStr">
        <is>
          <t>Physician</t>
        </is>
      </c>
      <c r="H885" t="inlineStr">
        <is>
          <t>review-of-systems</t>
        </is>
      </c>
      <c r="I885" t="inlineStr">
        <is>
          <t>n</t>
        </is>
      </c>
    </row>
    <row r="886">
      <c r="A886" t="inlineStr">
        <is>
          <t>532469-flowsheet-data-vitals-0-0</t>
        </is>
      </c>
      <c r="B886" t="inlineStr"/>
      <c r="C886" t="inlineStr"/>
      <c r="D886">
        <f>HYPERLINK("http://nlpdeep.cs.uic.edu:8080/proofing/t5/532469-flowsheet-data-vitals-0-0.pdf","t5/532469-flowsheet-data-vitals-0-0.pdf")</f>
        <v/>
      </c>
      <c r="E886" t="n">
        <v>119960</v>
      </c>
      <c r="F886" t="n">
        <v>532469</v>
      </c>
      <c r="G886" t="inlineStr">
        <is>
          <t>Physician</t>
        </is>
      </c>
      <c r="H886" t="inlineStr">
        <is>
          <t>flowsheet-data-vitals</t>
        </is>
      </c>
      <c r="I886" t="inlineStr">
        <is>
          <t>Vital signs
   Hemodynamic monitoring
   Fluid balance
                                                                  24 hours
                                                               Since [**42**] AM
   Tmax: 34.2
C (93.6
   Tcurrent: 33.8
C (92.9
   HR: 72 (65 - 75) bpm
   BP: 92/63(51) {87/40(48) - 191/158(169)} mmHg
   RR: 19 (12 - 32) insp/min
   SpO2: 94%
   Heart rhythm: AF (Atrial Fibrillation)
           Total In:
                                                                     33 mL
                                                                    771 mL
   PO:
           TF:
   IVF:
                                                                     33 mL
                                                                     71 mL
   Blood products:
   700 mL
   Total out:
                                                                    400 mL
                                                                    680 mL
   Urine:
                                                                    100 mL
                                                                    680 mL
   NG:
   Stool:
   Drains:
   Balance:
                                                                   -367 mL
                                                                     91 mL
   Respiratory support
   O2 Delivery Device: Nasal cannula
   SpO2: 94%
   ABG: ///24/</t>
        </is>
      </c>
    </row>
    <row r="887">
      <c r="A887" t="inlineStr">
        <is>
          <t>532469-flowsheet-data-vitals-0-0</t>
        </is>
      </c>
      <c r="B887" t="inlineStr"/>
      <c r="C887" t="inlineStr"/>
      <c r="D887">
        <f>HYPERLINK("http://nlpdeep.cs.uic.edu:8080/proofing/gsii/532469-flowsheet-data-vitals-0-0.pdf","gsii/532469-flowsheet-data-vitals-0-0.pdf")</f>
        <v/>
      </c>
      <c r="E887" t="n">
        <v>119960</v>
      </c>
      <c r="F887" t="n">
        <v>532469</v>
      </c>
      <c r="G887" t="inlineStr">
        <is>
          <t>Physician</t>
        </is>
      </c>
      <c r="H887" t="inlineStr">
        <is>
          <t>flowsheet-data-vitals</t>
        </is>
      </c>
      <c r="I887" t="inlineStr">
        <is>
          <t>Vital signs
   Hemodynamic monitoring
   Fluid balance
                                                                  24 hours
                                                               Since [**42**] AM
   Tmax: 34.2
C (93.6
   Tcurrent: 33.8
C (92.9
   HR: 72 (65 - 75) bpm
   BP: 92/63(51) {87/40(48) - 191/158(169)} mmHg
   RR: 19 (12 - 32) insp/min
   SpO2: 94%
   Heart rhythm: AF (Atrial Fibrillation)
           Total In:
                                                                     33 mL
                                                                    771 mL
   PO:
           TF:
   IVF:
                                                                     33 mL
                                                                     71 mL
   Blood products:
   700 mL
   Total out:
                                                                    400 mL
                                                                    680 mL
   Urine:
                                                                    100 mL
                                                                    680 mL
   NG:
   Stool:
   Drains:
   Balance:
                                                                   -367 mL
                                                                     91 mL
   Respiratory support
   O2 Delivery Device: Nasal cannula
   SpO2: 94%
   ABG: ///24/</t>
        </is>
      </c>
    </row>
    <row r="888">
      <c r="A888" t="inlineStr">
        <is>
          <t>532469-physical-examination-0-0</t>
        </is>
      </c>
      <c r="B888" t="inlineStr"/>
      <c r="C888" t="inlineStr"/>
      <c r="D888">
        <f>HYPERLINK("http://nlpdeep.cs.uic.edu:8080/proofing/t5/532469-physical-examination-0-0.pdf","t5/532469-physical-examination-0-0.pdf")</f>
        <v/>
      </c>
      <c r="E888" t="n">
        <v>119960</v>
      </c>
      <c r="F888" t="n">
        <v>532469</v>
      </c>
      <c r="G888" t="inlineStr">
        <is>
          <t>Physician</t>
        </is>
      </c>
      <c r="H888" t="inlineStr">
        <is>
          <t>physical-examination</t>
        </is>
      </c>
      <c r="I888" t="inlineStr">
        <is>
          <t>Peripheral Vascular: (Right radial pulse: Not assessed), (Left radial
   pulse: Not assessed), (Right DP pulse: Not assessed), (Left DP pulse:
   Not assessed)
   Skin:  Not assessed
   Neurologic: Responds to: Not assessed, Movement: Not assessed, Tone:
   Not a</t>
        </is>
      </c>
    </row>
    <row r="889">
      <c r="A889" t="inlineStr">
        <is>
          <t>532469-physical-examination-0-0</t>
        </is>
      </c>
      <c r="B889" t="inlineStr"/>
      <c r="C889" t="inlineStr"/>
      <c r="D889">
        <f>HYPERLINK("http://nlpdeep.cs.uic.edu:8080/proofing/gsii/532469-physical-examination-0-0.pdf","gsii/532469-physical-examination-0-0.pdf")</f>
        <v/>
      </c>
      <c r="E889" t="n">
        <v>119960</v>
      </c>
      <c r="F889" t="n">
        <v>532469</v>
      </c>
      <c r="G889" t="inlineStr">
        <is>
          <t>Physician</t>
        </is>
      </c>
      <c r="H889" t="inlineStr">
        <is>
          <t>physical-examination</t>
        </is>
      </c>
      <c r="I889" t="inlineStr">
        <is>
          <t>Peripheral Vascular: (Right radial pulse: Not assessed), (Left radial
   pulse: Not assessed), (Right DP pulse: Not assessed), (Left DP pulse:
   Not assessed)
   Skin:  Not assessed
   Neurologic: Responds to: Not assessed, Movement: Not assessed, Tone:
   Not a</t>
        </is>
      </c>
    </row>
    <row r="890">
      <c r="A890" t="inlineStr">
        <is>
          <t>532469-labs-imaging-0-0</t>
        </is>
      </c>
      <c r="B890" t="inlineStr"/>
      <c r="C890" t="inlineStr"/>
      <c r="D890">
        <f>HYPERLINK("http://nlpdeep.cs.uic.edu:8080/proofing/t5/532469-labs-imaging-0-0.pdf","t5/532469-labs-imaging-0-0.pdf")</f>
        <v/>
      </c>
      <c r="E890" t="n">
        <v>119960</v>
      </c>
      <c r="F890" t="n">
        <v>532469</v>
      </c>
      <c r="G890" t="inlineStr">
        <is>
          <t>Physician</t>
        </is>
      </c>
      <c r="H890" t="inlineStr">
        <is>
          <t>labs-imaging</t>
        </is>
      </c>
      <c r="I890" t="inlineStr">
        <is>
          <t>110 K/uL
   10.3 g/dL
   106 mg/dL
   2.4 mg/dL
   24 mEq/L
   7.3 mEq/L
   56 mg/dL
   101 mEq/L
   139 mEq/L
   29.7 %
   5.9 K/uL
        [image002.jpg]
                             [**2141-4-6**]  08:20 PM
                             [**2141-4-7**]  04:57 AM
   WBC
   8.2
   5.9
   Hct
   22.8
   29.7
   Plt
   128
   110
   Cr
   2.4
   Glucose
   106
   Other labs: PT / PTT / INR:13.6/32.2/1.2, Lactic Acid:0.9 mmol/L,
   Ca++:8.5 mg/dL, Mg++:2.1 mg/dL, PO4:6.8 mg/dL
   Cortisol 26.4
   UA hazy pink 1.008, lg blood, neg nitrite, neg leuk pH 6.5; sed 388 R,
   0 W, no bact/yeast, 2 hyaline casts
   Urine lytes: 10pm -= BUN 323, Cr 26, Na 78 (at 3pm serum levels 140 /
   65 / 2.7) = FEUN 51.6%, FeNa 5%
   Blood cx X2 pending; urine legionella negative; urine culture pending
   [**4-7**] CXR - u</t>
        </is>
      </c>
    </row>
    <row r="891">
      <c r="A891" t="inlineStr">
        <is>
          <t>532469-labs-imaging-0-0</t>
        </is>
      </c>
      <c r="B891" t="inlineStr"/>
      <c r="C891" t="inlineStr"/>
      <c r="D891">
        <f>HYPERLINK("http://nlpdeep.cs.uic.edu:8080/proofing/gsii/532469-labs-imaging-0-0.pdf","gsii/532469-labs-imaging-0-0.pdf")</f>
        <v/>
      </c>
      <c r="E891" t="n">
        <v>119960</v>
      </c>
      <c r="F891" t="n">
        <v>532469</v>
      </c>
      <c r="G891" t="inlineStr">
        <is>
          <t>Physician</t>
        </is>
      </c>
      <c r="H891" t="inlineStr">
        <is>
          <t>labs-imaging</t>
        </is>
      </c>
      <c r="I891" t="inlineStr">
        <is>
          <t>110 K/uL
   10.3 g/dL
   106 mg/dL
   2.4 mg/dL
   24 mEq/L
   7.3 mEq/L
   56 mg/dL
   101 mEq/L
   139 mEq/L
   29.7 %
   5.9 K/uL
        [image002.jpg]
                             [**2141-4-6**]  08:20 PM
                             [**2141-4-7**]  04:57 AM
   WBC
   8.2
   5.9
   Hct
   22.8
   29.7
   Plt
   128
   110
   Cr
   2.4
   Glucose
   106
   Other labs: PT / PTT / INR:13.6/32.2/1.2, Lactic Acid:0.9 mmol/L,
   Ca++:8.5 mg/dL, Mg++:2.1 mg/dL, PO4:6.8 mg/dL
   Cortisol 26.4
   UA hazy pink 1.008, lg blood, neg nitrite, neg leuk pH 6.5; sed 388 R,
   0 W, no bact/yeast, 2 hyaline casts
   Urine lytes: 10pm -= BUN 323, Cr 26, Na 78 (at 3pm serum levels 140 /
   65 / 2.7) = FEUN 51.6%, FeNa 5%
   Blood cx X2 pending; urine legionella negative; urine culture pending
   [**4-7**] CXR - u</t>
        </is>
      </c>
    </row>
    <row r="892">
      <c r="A892" t="inlineStr">
        <is>
          <t>532469-assessment-and-plan-0-0</t>
        </is>
      </c>
      <c r="B892" t="inlineStr"/>
      <c r="C892" t="inlineStr"/>
      <c r="D892">
        <f>HYPERLINK("http://nlpdeep.cs.uic.edu:8080/proofing/t5/532469-assessment-and-plan-0-0.pdf","t5/532469-assessment-and-plan-0-0.pdf")</f>
        <v/>
      </c>
      <c r="E892" t="n">
        <v>119960</v>
      </c>
      <c r="F892" t="n">
        <v>532469</v>
      </c>
      <c r="G892" t="inlineStr">
        <is>
          <t>Physician</t>
        </is>
      </c>
      <c r="H892" t="inlineStr">
        <is>
          <t>assessment-and-plan</t>
        </is>
      </c>
      <c r="I892" t="inlineStr">
        <is>
          <t>ICU Care
   Nutrition:
   Glycemic Control:
   Lines:
   18 Gauge - [**2141-4-6**] 08:30 PM
   Prophylaxis:
   DVT:
   Stress ulcer:
   VAP:
   Comments:
   Communication:  Comments:
   Code status: Full code
   Disposition:</t>
        </is>
      </c>
    </row>
    <row r="893">
      <c r="A893" t="inlineStr">
        <is>
          <t>532469-assessment-and-plan-0-0</t>
        </is>
      </c>
      <c r="B893" t="inlineStr"/>
      <c r="C893" t="inlineStr"/>
      <c r="D893">
        <f>HYPERLINK("http://nlpdeep.cs.uic.edu:8080/proofing/gsii/532469-assessment-and-plan-0-0.pdf","gsii/532469-assessment-and-plan-0-0.pdf")</f>
        <v/>
      </c>
      <c r="E893" t="n">
        <v>119960</v>
      </c>
      <c r="F893" t="n">
        <v>532469</v>
      </c>
      <c r="G893" t="inlineStr">
        <is>
          <t>Physician</t>
        </is>
      </c>
      <c r="H893" t="inlineStr">
        <is>
          <t>assessment-and-plan</t>
        </is>
      </c>
      <c r="I893" t="inlineStr">
        <is>
          <t>ICU Care
   Nutrition:
   Glycemic Control:
   Lines:
   18 Gauge - [**2141-4-6**] 08:30 PM
   Prophylaxis:
   DVT:
   Stress ulcer:
   VAP:
   Comments:
   Communication:  Comments:
   Code status: Full code
   Disposition:</t>
        </is>
      </c>
    </row>
    <row r="894">
      <c r="A894" t="inlineStr">
        <is>
          <t>532469-communication-0-0</t>
        </is>
      </c>
      <c r="B894" t="inlineStr"/>
      <c r="C894" t="inlineStr"/>
      <c r="D894">
        <f>HYPERLINK("http://nlpdeep.cs.uic.edu:8080/proofing/t5/532469-communication-0-0.pdf","t5/532469-communication-0-0.pdf")</f>
        <v/>
      </c>
      <c r="E894" t="n">
        <v>119960</v>
      </c>
      <c r="F894" t="n">
        <v>532469</v>
      </c>
      <c r="G894" t="inlineStr">
        <is>
          <t>Physician</t>
        </is>
      </c>
      <c r="H894" t="inlineStr">
        <is>
          <t>communication</t>
        </is>
      </c>
      <c r="I894" t="inlineStr">
        <is>
          <t>Patient, wife [**Name (NI) **] [**Name (NI) 14481**] [</t>
        </is>
      </c>
    </row>
    <row r="895">
      <c r="A895" t="inlineStr">
        <is>
          <t>532469-communication-0-0</t>
        </is>
      </c>
      <c r="B895" t="inlineStr"/>
      <c r="C895" t="inlineStr"/>
      <c r="D895">
        <f>HYPERLINK("http://nlpdeep.cs.uic.edu:8080/proofing/gsii/532469-communication-0-0.pdf","gsii/532469-communication-0-0.pdf")</f>
        <v/>
      </c>
      <c r="E895" t="n">
        <v>119960</v>
      </c>
      <c r="F895" t="n">
        <v>532469</v>
      </c>
      <c r="G895" t="inlineStr">
        <is>
          <t>Physician</t>
        </is>
      </c>
      <c r="H895" t="inlineStr">
        <is>
          <t>communication</t>
        </is>
      </c>
      <c r="I895" t="inlineStr">
        <is>
          <t>Patient, wife [**Name (NI) **] [**Name (NI) 14481**] [</t>
        </is>
      </c>
    </row>
    <row r="896">
      <c r="A896" t="inlineStr">
        <is>
          <t>532469-code-status-0-0</t>
        </is>
      </c>
      <c r="B896" t="inlineStr"/>
      <c r="C896" t="inlineStr"/>
      <c r="D896">
        <f>HYPERLINK("http://nlpdeep.cs.uic.edu:8080/proofing/t5/532469-code-status-0-0.pdf","t5/532469-code-status-0-0.pdf")</f>
        <v/>
      </c>
      <c r="E896" t="n">
        <v>119960</v>
      </c>
      <c r="F896" t="n">
        <v>532469</v>
      </c>
      <c r="G896" t="inlineStr">
        <is>
          <t>Physician</t>
        </is>
      </c>
      <c r="H896" t="inlineStr">
        <is>
          <t>code-status</t>
        </is>
      </c>
      <c r="I896" t="inlineStr">
        <is>
          <t>Full code for acute situations and OR but does not wish to be
   chronically vented (discussed with patient and wife)</t>
        </is>
      </c>
    </row>
    <row r="897">
      <c r="A897" t="inlineStr">
        <is>
          <t>532469-code-status-0-0</t>
        </is>
      </c>
      <c r="B897" t="inlineStr"/>
      <c r="C897" t="inlineStr"/>
      <c r="D897">
        <f>HYPERLINK("http://nlpdeep.cs.uic.edu:8080/proofing/gsii/532469-code-status-0-0.pdf","gsii/532469-code-status-0-0.pdf")</f>
        <v/>
      </c>
      <c r="E897" t="n">
        <v>119960</v>
      </c>
      <c r="F897" t="n">
        <v>532469</v>
      </c>
      <c r="G897" t="inlineStr">
        <is>
          <t>Physician</t>
        </is>
      </c>
      <c r="H897" t="inlineStr">
        <is>
          <t>code-status</t>
        </is>
      </c>
      <c r="I897" t="inlineStr">
        <is>
          <t>Full code for acute situations and OR but does not wish to be
   chronically vented (discussed with patient and wife)</t>
        </is>
      </c>
    </row>
    <row r="898">
      <c r="A898" t="inlineStr">
        <is>
          <t>532469-disposition-0-0</t>
        </is>
      </c>
      <c r="B898" t="inlineStr"/>
      <c r="C898" t="inlineStr"/>
      <c r="D898">
        <f>HYPERLINK("http://nlpdeep.cs.uic.edu:8080/proofing/t5/532469-disposition-0-0.pdf","t5/532469-disposition-0-0.pdf")</f>
        <v/>
      </c>
      <c r="E898" t="n">
        <v>119960</v>
      </c>
      <c r="F898" t="n">
        <v>532469</v>
      </c>
      <c r="G898" t="inlineStr">
        <is>
          <t>Physician</t>
        </is>
      </c>
      <c r="H898" t="inlineStr">
        <is>
          <t>disposition</t>
        </is>
      </c>
      <c r="I898" t="inlineStr">
        <is>
          <t>ICU pending clinical i</t>
        </is>
      </c>
    </row>
    <row r="899">
      <c r="A899" t="inlineStr">
        <is>
          <t>532469-disposition-0-0</t>
        </is>
      </c>
      <c r="B899" t="inlineStr"/>
      <c r="C899" t="inlineStr"/>
      <c r="D899">
        <f>HYPERLINK("http://nlpdeep.cs.uic.edu:8080/proofing/gsii/532469-disposition-0-0.pdf","gsii/532469-disposition-0-0.pdf")</f>
        <v/>
      </c>
      <c r="E899" t="n">
        <v>119960</v>
      </c>
      <c r="F899" t="n">
        <v>532469</v>
      </c>
      <c r="G899" t="inlineStr">
        <is>
          <t>Physician</t>
        </is>
      </c>
      <c r="H899" t="inlineStr">
        <is>
          <t>disposition</t>
        </is>
      </c>
      <c r="I899" t="inlineStr">
        <is>
          <t>ICU pending clinical i</t>
        </is>
      </c>
    </row>
    <row r="900">
      <c r="A900" t="inlineStr">
        <is>
          <t>532660-24-hour-events-0-0</t>
        </is>
      </c>
      <c r="B900" t="inlineStr"/>
      <c r="C900" t="inlineStr"/>
      <c r="D900">
        <f>HYPERLINK("http://nlpdeep.cs.uic.edu:8080/proofing/t5/532660-24-hour-events-0-0.pdf","t5/532660-24-hour-events-0-0.pdf")</f>
        <v/>
      </c>
      <c r="E900" t="n">
        <v>119960</v>
      </c>
      <c r="F900" t="n">
        <v>532660</v>
      </c>
      <c r="G900" t="inlineStr">
        <is>
          <t>Physician</t>
        </is>
      </c>
      <c r="H900" t="inlineStr">
        <is>
          <t>24-hour-events</t>
        </is>
      </c>
      <c r="I900" t="inlineStr">
        <is>
          <t>OR SENT - At [**2141-4-7**] 02:00 PM
 INVASIVE VENTILATION - START [**2141-4-7**] 04:55 PM
 INVASIVE VENTILATION - STOP [**2141-4-7**] 05:18 PM
 OR RECEIVED - At [**2141-4-7**] 06:00 PM
   [**2141-4-7**]:
   - Went to OR (ok'd per cards) for ORIF hip fracture with TFN
   - BP ok o/n SBP 100-130.</t>
        </is>
      </c>
    </row>
    <row r="901">
      <c r="A901" t="inlineStr">
        <is>
          <t>532660-24-hour-events-0-0</t>
        </is>
      </c>
      <c r="B901" t="inlineStr"/>
      <c r="C901" t="inlineStr"/>
      <c r="D901">
        <f>HYPERLINK("http://nlpdeep.cs.uic.edu:8080/proofing/gsii/532660-24-hour-events-0-0.pdf","gsii/532660-24-hour-events-0-0.pdf")</f>
        <v/>
      </c>
      <c r="E901" t="n">
        <v>119960</v>
      </c>
      <c r="F901" t="n">
        <v>532660</v>
      </c>
      <c r="G901" t="inlineStr">
        <is>
          <t>Physician</t>
        </is>
      </c>
      <c r="H901" t="inlineStr">
        <is>
          <t>24-hour-events</t>
        </is>
      </c>
      <c r="I901" t="inlineStr">
        <is>
          <t>OR SENT - At [**2141-4-7**] 02:00 PM
 INVASIVE VENTILATION - START [**2141-4-7**] 04:55 PM
 INVASIVE VENTILATION - STOP [**2141-4-7**] 05:18 PM
 OR RECEIVED - At [**2141-4-7**] 06:00 PM
   [**2141-4-7**]:
   - Went to OR (ok'd per cards) for ORIF hip fracture with TFN
   - BP ok o/n SBP 100-130.</t>
        </is>
      </c>
    </row>
    <row r="902">
      <c r="A902" t="inlineStr">
        <is>
          <t>532660-24-hour-events-0-1</t>
        </is>
      </c>
      <c r="B902" t="inlineStr"/>
      <c r="C902" t="inlineStr"/>
      <c r="D902">
        <f>HYPERLINK("http://nlpdeep.cs.uic.edu:8080/proofing/t5/532660-24-hour-events-0-1.pdf","t5/532660-24-hour-events-0-1.pdf")</f>
        <v/>
      </c>
      <c r="E902" t="n">
        <v>119960</v>
      </c>
      <c r="F902" t="n">
        <v>532660</v>
      </c>
      <c r="G902" t="inlineStr">
        <is>
          <t>Physician</t>
        </is>
      </c>
      <c r="H902" t="inlineStr">
        <is>
          <t>24-hour-events</t>
        </is>
      </c>
      <c r="I902" t="inlineStr">
        <is>
          <t xml:space="preserve"> Earlier in day given 1 unit pRBC for brief
   SBP 70s on neo (weaned off).</t>
        </is>
      </c>
    </row>
    <row r="903">
      <c r="A903" t="inlineStr">
        <is>
          <t>532660-24-hour-events-0-1</t>
        </is>
      </c>
      <c r="B903" t="inlineStr"/>
      <c r="C903" t="inlineStr"/>
      <c r="D903">
        <f>HYPERLINK("http://nlpdeep.cs.uic.edu:8080/proofing/gsii/532660-24-hour-events-0-1.pdf","gsii/532660-24-hour-events-0-1.pdf")</f>
        <v/>
      </c>
      <c r="E903" t="n">
        <v>119960</v>
      </c>
      <c r="F903" t="n">
        <v>532660</v>
      </c>
      <c r="G903" t="inlineStr">
        <is>
          <t>Physician</t>
        </is>
      </c>
      <c r="H903" t="inlineStr">
        <is>
          <t>24-hour-events</t>
        </is>
      </c>
      <c r="I903" t="inlineStr">
        <is>
          <t xml:space="preserve"> Earlier in day given 1 unit pRBC for brief
   SBP 70s on neo (weaned off).</t>
        </is>
      </c>
    </row>
    <row r="904">
      <c r="A904" t="inlineStr">
        <is>
          <t>532660-24-hour-events-0-2</t>
        </is>
      </c>
      <c r="B904" t="inlineStr"/>
      <c r="C904" t="inlineStr"/>
      <c r="D904">
        <f>HYPERLINK("http://nlpdeep.cs.uic.edu:8080/proofing/t5/532660-24-hour-events-0-2.pdf","t5/532660-24-hour-events-0-2.pdf")</f>
        <v/>
      </c>
      <c r="E904" t="n">
        <v>119960</v>
      </c>
      <c r="F904" t="n">
        <v>532660</v>
      </c>
      <c r="G904" t="inlineStr">
        <is>
          <t>Physician</t>
        </is>
      </c>
      <c r="H904" t="inlineStr">
        <is>
          <t>24-hour-events</t>
        </is>
      </c>
      <c r="I904" t="inlineStr">
        <is>
          <t>A line kept for blood draws.</t>
        </is>
      </c>
    </row>
    <row r="905">
      <c r="A905" t="inlineStr">
        <is>
          <t>532660-24-hour-events-0-2</t>
        </is>
      </c>
      <c r="B905" t="inlineStr"/>
      <c r="C905" t="inlineStr"/>
      <c r="D905">
        <f>HYPERLINK("http://nlpdeep.cs.uic.edu:8080/proofing/gsii/532660-24-hour-events-0-2.pdf","gsii/532660-24-hour-events-0-2.pdf")</f>
        <v/>
      </c>
      <c r="E905" t="n">
        <v>119960</v>
      </c>
      <c r="F905" t="n">
        <v>532660</v>
      </c>
      <c r="G905" t="inlineStr">
        <is>
          <t>Physician</t>
        </is>
      </c>
      <c r="H905" t="inlineStr">
        <is>
          <t>24-hour-events</t>
        </is>
      </c>
      <c r="I905" t="inlineStr">
        <is>
          <t>A line kept for blood draws.</t>
        </is>
      </c>
    </row>
    <row r="906">
      <c r="A906" t="inlineStr">
        <is>
          <t>532660-24-hour-events-0-3</t>
        </is>
      </c>
      <c r="B906" t="inlineStr"/>
      <c r="C906" t="inlineStr"/>
      <c r="D906">
        <f>HYPERLINK("http://nlpdeep.cs.uic.edu:8080/proofing/t5/532660-24-hour-events-0-3.pdf","t5/532660-24-hour-events-0-3.pdf")</f>
        <v/>
      </c>
      <c r="E906" t="n">
        <v>119960</v>
      </c>
      <c r="F906" t="n">
        <v>532660</v>
      </c>
      <c r="G906" t="inlineStr">
        <is>
          <t>Physician</t>
        </is>
      </c>
      <c r="H906" t="inlineStr">
        <is>
          <t>24-hour-events</t>
        </is>
      </c>
      <c r="I906" t="inlineStr">
        <is>
          <t>- Hyperkalemic (likely hemolyzed) but repeat K 5</t>
        </is>
      </c>
    </row>
    <row r="907">
      <c r="A907" t="inlineStr">
        <is>
          <t>532660-24-hour-events-0-3</t>
        </is>
      </c>
      <c r="B907" t="inlineStr"/>
      <c r="C907" t="inlineStr"/>
      <c r="D907">
        <f>HYPERLINK("http://nlpdeep.cs.uic.edu:8080/proofing/gsii/532660-24-hour-events-0-3.pdf","gsii/532660-24-hour-events-0-3.pdf")</f>
        <v/>
      </c>
      <c r="E907" t="n">
        <v>119960</v>
      </c>
      <c r="F907" t="n">
        <v>532660</v>
      </c>
      <c r="G907" t="inlineStr">
        <is>
          <t>Physician</t>
        </is>
      </c>
      <c r="H907" t="inlineStr">
        <is>
          <t>24-hour-events</t>
        </is>
      </c>
      <c r="I907" t="inlineStr">
        <is>
          <t>- Hyperkalemic (likely hemolyzed) but repeat K 5</t>
        </is>
      </c>
    </row>
    <row r="908">
      <c r="A908" t="inlineStr">
        <is>
          <t>532660-allergies-0-0</t>
        </is>
      </c>
      <c r="B908" t="inlineStr"/>
      <c r="C908" t="inlineStr"/>
      <c r="D908">
        <f>HYPERLINK("http://nlpdeep.cs.uic.edu:8080/proofing/t5/532660-allergies-0-0.pdf","t5/532660-allergies-0-0.pdf")</f>
        <v/>
      </c>
      <c r="E908" t="n">
        <v>119960</v>
      </c>
      <c r="F908" t="n">
        <v>532660</v>
      </c>
      <c r="G908" t="inlineStr">
        <is>
          <t>Physician</t>
        </is>
      </c>
      <c r="H908" t="inlineStr">
        <is>
          <t>allergies</t>
        </is>
      </c>
      <c r="I908" t="inlineStr">
        <is>
          <t>Quinidine
   fever;
   Propranolol
   Aggitation;
   Heparin Agents
   Thrombocytopeni
   Warfarin
   GI bleed;
   Zolpidem
   Unknown;</t>
        </is>
      </c>
    </row>
    <row r="909">
      <c r="A909" t="inlineStr">
        <is>
          <t>532660-allergies-0-0</t>
        </is>
      </c>
      <c r="B909" t="inlineStr"/>
      <c r="C909" t="inlineStr"/>
      <c r="D909">
        <f>HYPERLINK("http://nlpdeep.cs.uic.edu:8080/proofing/gsii/532660-allergies-0-0.pdf","gsii/532660-allergies-0-0.pdf")</f>
        <v/>
      </c>
      <c r="E909" t="n">
        <v>119960</v>
      </c>
      <c r="F909" t="n">
        <v>532660</v>
      </c>
      <c r="G909" t="inlineStr">
        <is>
          <t>Physician</t>
        </is>
      </c>
      <c r="H909" t="inlineStr">
        <is>
          <t>allergies</t>
        </is>
      </c>
      <c r="I909" t="inlineStr">
        <is>
          <t>Quinidine
   fever;
   Propranolol
   Aggitation;
   Heparin Agents
   Thrombocytopeni
   Warfarin
   GI bleed;
   Zolpidem
   Unknown;</t>
        </is>
      </c>
    </row>
    <row r="910">
      <c r="A910" t="inlineStr">
        <is>
          <t>532660-last-dose-of-antibiotics-0-0</t>
        </is>
      </c>
      <c r="B910" t="inlineStr"/>
      <c r="C910" t="inlineStr"/>
      <c r="D910">
        <f>HYPERLINK("http://nlpdeep.cs.uic.edu:8080/proofing/t5/532660-last-dose-of-antibiotics-0-0.pdf","t5/532660-last-dose-of-antibiotics-0-0.pdf")</f>
        <v/>
      </c>
      <c r="E910" t="n">
        <v>119960</v>
      </c>
      <c r="F910" t="n">
        <v>532660</v>
      </c>
      <c r="G910" t="inlineStr">
        <is>
          <t>Physician</t>
        </is>
      </c>
      <c r="H910" t="inlineStr">
        <is>
          <t>last-dose-of-antibiotics</t>
        </is>
      </c>
      <c r="I910" t="inlineStr">
        <is>
          <t>Cefazolin - [**2141-4-8**] 03:00 A</t>
        </is>
      </c>
    </row>
    <row r="911">
      <c r="A911" t="inlineStr">
        <is>
          <t>532660-last-dose-of-antibiotics-0-0</t>
        </is>
      </c>
      <c r="B911" t="inlineStr"/>
      <c r="C911" t="inlineStr"/>
      <c r="D911">
        <f>HYPERLINK("http://nlpdeep.cs.uic.edu:8080/proofing/gsii/532660-last-dose-of-antibiotics-0-0.pdf","gsii/532660-last-dose-of-antibiotics-0-0.pdf")</f>
        <v/>
      </c>
      <c r="E911" t="n">
        <v>119960</v>
      </c>
      <c r="F911" t="n">
        <v>532660</v>
      </c>
      <c r="G911" t="inlineStr">
        <is>
          <t>Physician</t>
        </is>
      </c>
      <c r="H911" t="inlineStr">
        <is>
          <t>last-dose-of-antibiotics</t>
        </is>
      </c>
      <c r="I911" t="inlineStr">
        <is>
          <t>Cefazolin - [**2141-4-8**] 03:00 A</t>
        </is>
      </c>
    </row>
    <row r="912">
      <c r="A912" t="inlineStr">
        <is>
          <t>532660-other-medications-0-0</t>
        </is>
      </c>
      <c r="B912" t="inlineStr"/>
      <c r="C912" t="inlineStr"/>
      <c r="D912">
        <f>HYPERLINK("http://nlpdeep.cs.uic.edu:8080/proofing/t5/532660-other-medications-0-0.pdf","t5/532660-other-medications-0-0.pdf")</f>
        <v/>
      </c>
      <c r="E912" t="n">
        <v>119960</v>
      </c>
      <c r="F912" t="n">
        <v>532660</v>
      </c>
      <c r="G912" t="inlineStr">
        <is>
          <t>Physician</t>
        </is>
      </c>
      <c r="H912" t="inlineStr">
        <is>
          <t>other-medications</t>
        </is>
      </c>
      <c r="I912" t="inlineStr">
        <is>
          <t>Enoxaparin (Lovenox) - [**2141-4-7**] 10:00 PM
   Furosemide (Lasix) - [**2141-4-7**] 10:50 PM
   Morphine Sulfate - [**2141-4-8**] 02:00 AM
   Other medications:</t>
        </is>
      </c>
    </row>
    <row r="913">
      <c r="A913" t="inlineStr">
        <is>
          <t>532660-other-medications-0-0</t>
        </is>
      </c>
      <c r="B913" t="inlineStr"/>
      <c r="C913" t="inlineStr"/>
      <c r="D913">
        <f>HYPERLINK("http://nlpdeep.cs.uic.edu:8080/proofing/gsii/532660-other-medications-0-0.pdf","gsii/532660-other-medications-0-0.pdf")</f>
        <v/>
      </c>
      <c r="E913" t="n">
        <v>119960</v>
      </c>
      <c r="F913" t="n">
        <v>532660</v>
      </c>
      <c r="G913" t="inlineStr">
        <is>
          <t>Physician</t>
        </is>
      </c>
      <c r="H913" t="inlineStr">
        <is>
          <t>other-medications</t>
        </is>
      </c>
      <c r="I913" t="inlineStr">
        <is>
          <t>Enoxaparin (Lovenox) - [**2141-4-7**] 10:00 PM
   Furosemide (Lasix) - [**2141-4-7**] 10:50 PM
   Morphine Sulfate - [**2141-4-8**] 02:00 AM
   Other medications:</t>
        </is>
      </c>
    </row>
    <row r="914">
      <c r="A914" t="inlineStr">
        <is>
          <t>532660-flowsheet-data-vitals-0-0</t>
        </is>
      </c>
      <c r="B914" t="inlineStr"/>
      <c r="C914" t="inlineStr"/>
      <c r="D914">
        <f>HYPERLINK("http://nlpdeep.cs.uic.edu:8080/proofing/t5/532660-flowsheet-data-vitals-0-0.pdf","t5/532660-flowsheet-data-vitals-0-0.pdf")</f>
        <v/>
      </c>
      <c r="E914" t="n">
        <v>119960</v>
      </c>
      <c r="F914" t="n">
        <v>532660</v>
      </c>
      <c r="G914" t="inlineStr">
        <is>
          <t>Physician</t>
        </is>
      </c>
      <c r="H914" t="inlineStr">
        <is>
          <t>flowsheet-data-vitals</t>
        </is>
      </c>
      <c r="I914" t="inlineStr">
        <is>
          <t>as of  [**2141-4-8**] 07:12 AM
   Vital signs
   Hemodynamic monitoring
   Fluid balance
                                                                  24 hours
                                                               Since [**42**] AM
   Tmax: 36.2
C (97.2
   Tcurrent: 36.2
C (97.1
   HR: 92 (68 - 116) bpm
   BP: 68/39(50) {62/37(46) - 82/50(61)} mmHg
   RR: 14 (11 - 20) insp/min
   SpO2: 97%
   Heart rhythm: AF (Atrial Fibrillation)
             Total In:
                                                                  1,990 mL
                                                                    122 mL
   PO:
             TF:
   IVF:
                                                                    940 mL
                                                                    122 mL
   Blood products:
                                                                  1,050 mL
   Total out:
                                                                  1,100 mL
                                                                    110 mL
   Urine:
                                                                  1,000 mL
                                                                    110 mL
   NG:
   Stool:
   Drains:
   Balance:
                                                                    890 mL
                                                                     12 mL
   Respiratory support
   O2 Delivery Device: Nasal cannula
   Ventilator mode: Standby
   Vt (Spontaneous): 515 (515 - 515) mL
   PS : 5 cmH2O
   RR (Spontaneous): 13
   PEEP: 5 cmH2O
   FiO2: 50%
   PIP: 10 cmH2O
   SpO2: 97%
   ABG: 7.35/44/73.[**Numeric Identifier 218**]/25/-1
   Ve: 6.3 L/min
   PaO2 / FiO2: 1</t>
        </is>
      </c>
    </row>
    <row r="915">
      <c r="A915" t="inlineStr">
        <is>
          <t>532660-flowsheet-data-vitals-0-0</t>
        </is>
      </c>
      <c r="B915" t="inlineStr"/>
      <c r="C915" t="inlineStr"/>
      <c r="D915">
        <f>HYPERLINK("http://nlpdeep.cs.uic.edu:8080/proofing/gsii/532660-flowsheet-data-vitals-0-0.pdf","gsii/532660-flowsheet-data-vitals-0-0.pdf")</f>
        <v/>
      </c>
      <c r="E915" t="n">
        <v>119960</v>
      </c>
      <c r="F915" t="n">
        <v>532660</v>
      </c>
      <c r="G915" t="inlineStr">
        <is>
          <t>Physician</t>
        </is>
      </c>
      <c r="H915" t="inlineStr">
        <is>
          <t>flowsheet-data-vitals</t>
        </is>
      </c>
      <c r="I915" t="inlineStr">
        <is>
          <t>as of  [**2141-4-8**] 07:12 AM
   Vital signs
   Hemodynamic monitoring
   Fluid balance
                                                                  24 hours
                                                               Since [**42**] AM
   Tmax: 36.2
C (97.2
   Tcurrent: 36.2
C (97.1
   HR: 92 (68 - 116) bpm
   BP: 68/39(50) {62/37(46) - 82/50(61)} mmHg
   RR: 14 (11 - 20) insp/min
   SpO2: 97%
   Heart rhythm: AF (Atrial Fibrillation)
             Total In:
                                                                  1,990 mL
                                                                    122 mL
   PO:
             TF:
   IVF:
                                                                    940 mL
                                                                    122 mL
   Blood products:
                                                                  1,050 mL
   Total out:
                                                                  1,100 mL
                                                                    110 mL
   Urine:
                                                                  1,000 mL
                                                                    110 mL
   NG:
   Stool:
   Drains:
   Balance:
                                                                    890 mL
                                                                     12 mL
   Respiratory support
   O2 Delivery Device: Nasal cannula
   Ventilator mode: Standby
   Vt (Spontaneous): 515 (515 - 515) mL
   PS : 5 cmH2O
   RR (Spontaneous): 13
   PEEP: 5 cmH2O
   FiO2: 50%
   PIP: 10 cmH2O
   SpO2: 97%
   ABG: 7.35/44/73.[**Numeric Identifier 218**]/25/-1
   Ve: 6.3 L/min
   PaO2 / FiO2: 1</t>
        </is>
      </c>
    </row>
    <row r="916">
      <c r="A916" t="inlineStr">
        <is>
          <t>532660-physical-examination-0-0</t>
        </is>
      </c>
      <c r="B916" t="inlineStr"/>
      <c r="C916" t="inlineStr"/>
      <c r="D916">
        <f>HYPERLINK("http://nlpdeep.cs.uic.edu:8080/proofing/t5/532660-physical-examination-0-0.pdf","t5/532660-physical-examination-0-0.pdf")</f>
        <v/>
      </c>
      <c r="E916" t="n">
        <v>119960</v>
      </c>
      <c r="F916" t="n">
        <v>532660</v>
      </c>
      <c r="G916" t="inlineStr">
        <is>
          <t>Physician</t>
        </is>
      </c>
      <c r="H916" t="inlineStr">
        <is>
          <t>physical-examination</t>
        </is>
      </c>
      <c r="I916" t="inlineStr">
        <is>
          <t>General: Alert, oriented, NAD
   HEENT: Sclera anicteric, MMM
   Neck: supple, JVP 11 cm
   Lungs: Clear to auscultation bilaterally anteriorly, no wheezes, rales,
   ronchi
   CV: Irregularly irregular rhythm, normal rate, distant heart sounds, no
   murmurs, rubs, gallops
   ABD:  soft, non-tender, non-distended, bowel sounds present, no rebound
   tenderness or guarding
   GU: foley
   Ext:
   Neuro:</t>
        </is>
      </c>
    </row>
    <row r="917">
      <c r="A917" t="inlineStr">
        <is>
          <t>532660-physical-examination-0-0</t>
        </is>
      </c>
      <c r="B917" t="inlineStr"/>
      <c r="C917" t="inlineStr"/>
      <c r="D917">
        <f>HYPERLINK("http://nlpdeep.cs.uic.edu:8080/proofing/gsii/532660-physical-examination-0-0.pdf","gsii/532660-physical-examination-0-0.pdf")</f>
        <v/>
      </c>
      <c r="E917" t="n">
        <v>119960</v>
      </c>
      <c r="F917" t="n">
        <v>532660</v>
      </c>
      <c r="G917" t="inlineStr">
        <is>
          <t>Physician</t>
        </is>
      </c>
      <c r="H917" t="inlineStr">
        <is>
          <t>physical-examination</t>
        </is>
      </c>
      <c r="I917" t="inlineStr">
        <is>
          <t>General: Alert, oriented, NAD
   HEENT: Sclera anicteric, MMM
   Neck: supple, JVP 11 cm
   Lungs: Clear to auscultation bilaterally anteriorly, no wheezes, rales,
   ronchi
   CV: Irregularly irregular rhythm, normal rate, distant heart sounds, no
   murmurs, rubs, gallops
   ABD:  soft, non-tender, non-distended, bowel sounds present, no rebound
   tenderness or guarding
   GU: foley
   Ext:
   Neuro:</t>
        </is>
      </c>
    </row>
    <row r="918">
      <c r="A918" t="inlineStr">
        <is>
          <t>532660-labs-imaging-0-0</t>
        </is>
      </c>
      <c r="B918" t="inlineStr"/>
      <c r="C918" t="inlineStr"/>
      <c r="D918">
        <f>HYPERLINK("http://nlpdeep.cs.uic.edu:8080/proofing/t5/532660-labs-imaging-0-0.pdf","t5/532660-labs-imaging-0-0.pdf")</f>
        <v/>
      </c>
      <c r="E918" t="n">
        <v>119960</v>
      </c>
      <c r="F918" t="n">
        <v>532660</v>
      </c>
      <c r="G918" t="inlineStr">
        <is>
          <t>Physician</t>
        </is>
      </c>
      <c r="H918" t="inlineStr">
        <is>
          <t>labs-imaging</t>
        </is>
      </c>
      <c r="I918" t="inlineStr">
        <is>
          <t>127 K/uL
   8.4 g/dL
   71 mg/dL
   3.2 mg/dL
   25 mEq/L
   5.2 mEq/L
   64 mg/dL
   107 mEq/L
   144 mEq/L
   24.2 %
   7.7 K/uL
        [image002.jpg]
                             [**2141-4-6**]  08:20 PM
                             [**2141-4-7**]  04:57 AM
                             [**2141-4-7**]  12:45 PM
                             [**2141-4-7**]  04:12 PM
                             [**2141-4-7**]  05:30 PM
                             [**2141-4-7**]  11:17 PM
                             [**2141-4-8**]  02:48 AM
   WBC
   8.2
   5.9
   9.5
   7.7
   Hct
   22.8
   29.7
   26.1
   32
   28.0
   25.5
   24.2
   Plt
   128
   110
   131
   127
   Cr
   2.4
   2.9
   3.2
   TCO2
   25
   Glucose
   106
   60
   78
   71
   Other labs: PT / PTT / INR:13.6/32.2/1.2,
   Lactic Acid:1.7 mmol/L,
    Ca++:8.7 mg/dL, Mg++:1.9 mg/dL, PO4:5.8 mg/dL
   MICRO:
   -urine legionella: negative
   - urine cx: ngtd
   - blood cx: ngtd
   CT ABDOMEN ([**4-6**]):
   1.</t>
        </is>
      </c>
    </row>
    <row r="919">
      <c r="A919" t="inlineStr">
        <is>
          <t>532660-labs-imaging-0-0</t>
        </is>
      </c>
      <c r="B919" t="inlineStr"/>
      <c r="C919" t="inlineStr"/>
      <c r="D919">
        <f>HYPERLINK("http://nlpdeep.cs.uic.edu:8080/proofing/gsii/532660-labs-imaging-0-0.pdf","gsii/532660-labs-imaging-0-0.pdf")</f>
        <v/>
      </c>
      <c r="E919" t="n">
        <v>119960</v>
      </c>
      <c r="F919" t="n">
        <v>532660</v>
      </c>
      <c r="G919" t="inlineStr">
        <is>
          <t>Physician</t>
        </is>
      </c>
      <c r="H919" t="inlineStr">
        <is>
          <t>labs-imaging</t>
        </is>
      </c>
      <c r="I919" t="inlineStr">
        <is>
          <t>127 K/uL
   8.4 g/dL
   71 mg/dL
   3.2 mg/dL
   25 mEq/L
   5.2 mEq/L
   64 mg/dL
   107 mEq/L
   144 mEq/L
   24.2 %
   7.7 K/uL
        [image002.jpg]
                             [**2141-4-6**]  08:20 PM
                             [**2141-4-7**]  04:57 AM
                             [**2141-4-7**]  12:45 PM
                             [**2141-4-7**]  04:12 PM
                             [**2141-4-7**]  05:30 PM
                             [**2141-4-7**]  11:17 PM
                             [**2141-4-8**]  02:48 AM
   WBC
   8.2
   5.9
   9.5
   7.7
   Hct
   22.8
   29.7
   26.1
   32
   28.0
   25.5
   24.2
   Plt
   128
   110
   131
   127
   Cr
   2.4
   2.9
   3.2
   TCO2
   25
   Glucose
   106
   60
   78
   71
   Other labs: PT / PTT / INR:13.6/32.2/1.2,
   Lactic Acid:1.7 mmol/L,
    Ca++:8.7 mg/dL, Mg++:1.9 mg/dL, PO4:5.8 mg/dL
   MICRO:
   -urine legionella: negative
   - urine cx: ngtd
   - blood cx: ngtd
   CT ABDOMEN ([**4-6**]):
   1.</t>
        </is>
      </c>
    </row>
    <row r="920">
      <c r="A920" t="inlineStr">
        <is>
          <t>532660-labs-imaging-0-1</t>
        </is>
      </c>
      <c r="B920" t="inlineStr"/>
      <c r="C920" t="inlineStr"/>
      <c r="D920">
        <f>HYPERLINK("http://nlpdeep.cs.uic.edu:8080/proofing/t5/532660-labs-imaging-0-1.pdf","t5/532660-labs-imaging-0-1.pdf")</f>
        <v/>
      </c>
      <c r="E920" t="n">
        <v>119960</v>
      </c>
      <c r="F920" t="n">
        <v>532660</v>
      </c>
      <c r="G920" t="inlineStr">
        <is>
          <t>Physician</t>
        </is>
      </c>
      <c r="H920" t="inlineStr">
        <is>
          <t>labs-imaging</t>
        </is>
      </c>
      <c r="I920" t="inlineStr">
        <is>
          <t>Left intertrochanteric hip fracture.</t>
        </is>
      </c>
    </row>
    <row r="921">
      <c r="A921" t="inlineStr">
        <is>
          <t>532660-labs-imaging-0-1</t>
        </is>
      </c>
      <c r="B921" t="inlineStr"/>
      <c r="C921" t="inlineStr"/>
      <c r="D921">
        <f>HYPERLINK("http://nlpdeep.cs.uic.edu:8080/proofing/gsii/532660-labs-imaging-0-1.pdf","gsii/532660-labs-imaging-0-1.pdf")</f>
        <v/>
      </c>
      <c r="E921" t="n">
        <v>119960</v>
      </c>
      <c r="F921" t="n">
        <v>532660</v>
      </c>
      <c r="G921" t="inlineStr">
        <is>
          <t>Physician</t>
        </is>
      </c>
      <c r="H921" t="inlineStr">
        <is>
          <t>labs-imaging</t>
        </is>
      </c>
      <c r="I921" t="inlineStr">
        <is>
          <t>Left intertrochanteric hip fracture.</t>
        </is>
      </c>
    </row>
    <row r="922">
      <c r="A922" t="inlineStr">
        <is>
          <t>532660-labs-imaging-0-2</t>
        </is>
      </c>
      <c r="B922" t="inlineStr"/>
      <c r="C922" t="inlineStr"/>
      <c r="D922">
        <f>HYPERLINK("http://nlpdeep.cs.uic.edu:8080/proofing/t5/532660-labs-imaging-0-2.pdf","t5/532660-labs-imaging-0-2.pdf")</f>
        <v/>
      </c>
      <c r="E922" t="n">
        <v>119960</v>
      </c>
      <c r="F922" t="n">
        <v>532660</v>
      </c>
      <c r="G922" t="inlineStr">
        <is>
          <t>Physician</t>
        </is>
      </c>
      <c r="H922" t="inlineStr">
        <is>
          <t>labs-imaging</t>
        </is>
      </c>
      <c r="I922" t="inlineStr">
        <is>
          <t>Large left adrenal mass, which is not characterized on non-contrast
   examination.</t>
        </is>
      </c>
    </row>
    <row r="923">
      <c r="A923" t="inlineStr">
        <is>
          <t>532660-labs-imaging-0-2</t>
        </is>
      </c>
      <c r="B923" t="inlineStr"/>
      <c r="C923" t="inlineStr"/>
      <c r="D923">
        <f>HYPERLINK("http://nlpdeep.cs.uic.edu:8080/proofing/gsii/532660-labs-imaging-0-2.pdf","gsii/532660-labs-imaging-0-2.pdf")</f>
        <v/>
      </c>
      <c r="E923" t="n">
        <v>119960</v>
      </c>
      <c r="F923" t="n">
        <v>532660</v>
      </c>
      <c r="G923" t="inlineStr">
        <is>
          <t>Physician</t>
        </is>
      </c>
      <c r="H923" t="inlineStr">
        <is>
          <t>labs-imaging</t>
        </is>
      </c>
      <c r="I923" t="inlineStr">
        <is>
          <t>Large left adrenal mass, which is not characterized on non-contrast
   examination.</t>
        </is>
      </c>
    </row>
    <row r="924">
      <c r="A924" t="inlineStr">
        <is>
          <t>532660-labs-imaging-0-3</t>
        </is>
      </c>
      <c r="B924" t="inlineStr"/>
      <c r="C924" t="inlineStr"/>
      <c r="D924">
        <f>HYPERLINK("http://nlpdeep.cs.uic.edu:8080/proofing/t5/532660-labs-imaging-0-3.pdf","t5/532660-labs-imaging-0-3.pdf")</f>
        <v/>
      </c>
      <c r="E924" t="n">
        <v>119960</v>
      </c>
      <c r="F924" t="n">
        <v>532660</v>
      </c>
      <c r="G924" t="inlineStr">
        <is>
          <t>Physician</t>
        </is>
      </c>
      <c r="H924" t="inlineStr">
        <is>
          <t>labs-imaging</t>
        </is>
      </c>
      <c r="I924" t="inlineStr">
        <is>
          <t>However, the imaging features are not consistent with an
   adrenal
   hematoma.</t>
        </is>
      </c>
    </row>
    <row r="925">
      <c r="A925" t="inlineStr">
        <is>
          <t>532660-labs-imaging-0-3</t>
        </is>
      </c>
      <c r="B925" t="inlineStr"/>
      <c r="C925" t="inlineStr"/>
      <c r="D925">
        <f>HYPERLINK("http://nlpdeep.cs.uic.edu:8080/proofing/gsii/532660-labs-imaging-0-3.pdf","gsii/532660-labs-imaging-0-3.pdf")</f>
        <v/>
      </c>
      <c r="E925" t="n">
        <v>119960</v>
      </c>
      <c r="F925" t="n">
        <v>532660</v>
      </c>
      <c r="G925" t="inlineStr">
        <is>
          <t>Physician</t>
        </is>
      </c>
      <c r="H925" t="inlineStr">
        <is>
          <t>labs-imaging</t>
        </is>
      </c>
      <c r="I925" t="inlineStr">
        <is>
          <t>However, the imaging features are not consistent with an
   adrenal
   hematoma.</t>
        </is>
      </c>
    </row>
    <row r="926">
      <c r="A926" t="inlineStr">
        <is>
          <t>532660-labs-imaging-0-4</t>
        </is>
      </c>
      <c r="B926" t="inlineStr"/>
      <c r="C926" t="inlineStr"/>
      <c r="D926">
        <f>HYPERLINK("http://nlpdeep.cs.uic.edu:8080/proofing/t5/532660-labs-imaging-0-4.pdf","t5/532660-labs-imaging-0-4.pdf")</f>
        <v/>
      </c>
      <c r="E926" t="n">
        <v>119960</v>
      </c>
      <c r="F926" t="n">
        <v>532660</v>
      </c>
      <c r="G926" t="inlineStr">
        <is>
          <t>Physician</t>
        </is>
      </c>
      <c r="H926" t="inlineStr">
        <is>
          <t>labs-imaging</t>
        </is>
      </c>
      <c r="I926" t="inlineStr">
        <is>
          <t>A nonurgent adrenal MR recommended for further
   characterization.</t>
        </is>
      </c>
    </row>
    <row r="927">
      <c r="A927" t="inlineStr">
        <is>
          <t>532660-labs-imaging-0-4</t>
        </is>
      </c>
      <c r="B927" t="inlineStr"/>
      <c r="C927" t="inlineStr"/>
      <c r="D927">
        <f>HYPERLINK("http://nlpdeep.cs.uic.edu:8080/proofing/gsii/532660-labs-imaging-0-4.pdf","gsii/532660-labs-imaging-0-4.pdf")</f>
        <v/>
      </c>
      <c r="E927" t="n">
        <v>119960</v>
      </c>
      <c r="F927" t="n">
        <v>532660</v>
      </c>
      <c r="G927" t="inlineStr">
        <is>
          <t>Physician</t>
        </is>
      </c>
      <c r="H927" t="inlineStr">
        <is>
          <t>labs-imaging</t>
        </is>
      </c>
      <c r="I927" t="inlineStr">
        <is>
          <t>A nonurgent adrenal MR recommended for further
   characterization.</t>
        </is>
      </c>
    </row>
    <row r="928">
      <c r="A928" t="inlineStr">
        <is>
          <t>532660-labs-imaging-0-5</t>
        </is>
      </c>
      <c r="B928" t="inlineStr"/>
      <c r="C928" t="inlineStr"/>
      <c r="D928">
        <f>HYPERLINK("http://nlpdeep.cs.uic.edu:8080/proofing/t5/532660-labs-imaging-0-5.pdf","t5/532660-labs-imaging-0-5.pdf")</f>
        <v/>
      </c>
      <c r="E928" t="n">
        <v>119960</v>
      </c>
      <c r="F928" t="n">
        <v>532660</v>
      </c>
      <c r="G928" t="inlineStr">
        <is>
          <t>Physician</t>
        </is>
      </c>
      <c r="H928" t="inlineStr">
        <is>
          <t>labs-imaging</t>
        </is>
      </c>
      <c r="I928" t="inlineStr">
        <is>
          <t>Cholelithiasis.</t>
        </is>
      </c>
    </row>
    <row r="929">
      <c r="A929" t="inlineStr">
        <is>
          <t>532660-labs-imaging-0-5</t>
        </is>
      </c>
      <c r="B929" t="inlineStr"/>
      <c r="C929" t="inlineStr"/>
      <c r="D929">
        <f>HYPERLINK("http://nlpdeep.cs.uic.edu:8080/proofing/gsii/532660-labs-imaging-0-5.pdf","gsii/532660-labs-imaging-0-5.pdf")</f>
        <v/>
      </c>
      <c r="E929" t="n">
        <v>119960</v>
      </c>
      <c r="F929" t="n">
        <v>532660</v>
      </c>
      <c r="G929" t="inlineStr">
        <is>
          <t>Physician</t>
        </is>
      </c>
      <c r="H929" t="inlineStr">
        <is>
          <t>labs-imaging</t>
        </is>
      </c>
      <c r="I929" t="inlineStr">
        <is>
          <t>Cholelithiasis.</t>
        </is>
      </c>
    </row>
    <row r="930">
      <c r="A930" t="inlineStr">
        <is>
          <t>532660-labs-imaging-0-6</t>
        </is>
      </c>
      <c r="B930" t="inlineStr"/>
      <c r="C930" t="inlineStr"/>
      <c r="D930">
        <f>HYPERLINK("http://nlpdeep.cs.uic.edu:8080/proofing/t5/532660-labs-imaging-0-6.pdf","t5/532660-labs-imaging-0-6.pdf")</f>
        <v/>
      </c>
      <c r="E930" t="n">
        <v>119960</v>
      </c>
      <c r="F930" t="n">
        <v>532660</v>
      </c>
      <c r="G930" t="inlineStr">
        <is>
          <t>Physician</t>
        </is>
      </c>
      <c r="H930" t="inlineStr">
        <is>
          <t>labs-imaging</t>
        </is>
      </c>
      <c r="I930" t="inlineStr">
        <is>
          <t>Atherosclerotic calcification of the abdominal aorta and its
   branches.</t>
        </is>
      </c>
    </row>
    <row r="931">
      <c r="A931" t="inlineStr">
        <is>
          <t>532660-labs-imaging-0-6</t>
        </is>
      </c>
      <c r="B931" t="inlineStr"/>
      <c r="C931" t="inlineStr"/>
      <c r="D931">
        <f>HYPERLINK("http://nlpdeep.cs.uic.edu:8080/proofing/gsii/532660-labs-imaging-0-6.pdf","gsii/532660-labs-imaging-0-6.pdf")</f>
        <v/>
      </c>
      <c r="E931" t="n">
        <v>119960</v>
      </c>
      <c r="F931" t="n">
        <v>532660</v>
      </c>
      <c r="G931" t="inlineStr">
        <is>
          <t>Physician</t>
        </is>
      </c>
      <c r="H931" t="inlineStr">
        <is>
          <t>labs-imaging</t>
        </is>
      </c>
      <c r="I931" t="inlineStr">
        <is>
          <t>Atherosclerotic calcification of the abdominal aorta and its
   branches.</t>
        </is>
      </c>
    </row>
    <row r="932">
      <c r="A932" t="inlineStr">
        <is>
          <t>532660-labs-imaging-0-7</t>
        </is>
      </c>
      <c r="B932" t="inlineStr"/>
      <c r="C932" t="inlineStr"/>
      <c r="D932">
        <f>HYPERLINK("http://nlpdeep.cs.uic.edu:8080/proofing/t5/532660-labs-imaging-0-7.pdf","t5/532660-labs-imaging-0-7.pdf")</f>
        <v/>
      </c>
      <c r="E932" t="n">
        <v>119960</v>
      </c>
      <c r="F932" t="n">
        <v>532660</v>
      </c>
      <c r="G932" t="inlineStr">
        <is>
          <t>Physician</t>
        </is>
      </c>
      <c r="H932" t="inlineStr">
        <is>
          <t>labs-imaging</t>
        </is>
      </c>
      <c r="I932" t="inlineStr">
        <is>
          <t>No evidence of retroperitoneal hematoma.</t>
        </is>
      </c>
    </row>
    <row r="933">
      <c r="A933" t="inlineStr">
        <is>
          <t>532660-labs-imaging-0-7</t>
        </is>
      </c>
      <c r="B933" t="inlineStr"/>
      <c r="C933" t="inlineStr"/>
      <c r="D933">
        <f>HYPERLINK("http://nlpdeep.cs.uic.edu:8080/proofing/gsii/532660-labs-imaging-0-7.pdf","gsii/532660-labs-imaging-0-7.pdf")</f>
        <v/>
      </c>
      <c r="E933" t="n">
        <v>119960</v>
      </c>
      <c r="F933" t="n">
        <v>532660</v>
      </c>
      <c r="G933" t="inlineStr">
        <is>
          <t>Physician</t>
        </is>
      </c>
      <c r="H933" t="inlineStr">
        <is>
          <t>labs-imaging</t>
        </is>
      </c>
      <c r="I933" t="inlineStr">
        <is>
          <t>No evidence of retroperitoneal hematoma.</t>
        </is>
      </c>
    </row>
    <row r="934">
      <c r="A934" t="inlineStr">
        <is>
          <t>532660-labs-imaging-0-8</t>
        </is>
      </c>
      <c r="B934" t="inlineStr"/>
      <c r="C934" t="inlineStr"/>
      <c r="D934">
        <f>HYPERLINK("http://nlpdeep.cs.uic.edu:8080/proofing/t5/532660-labs-imaging-0-8.pdf","t5/532660-labs-imaging-0-8.pdf")</f>
        <v/>
      </c>
      <c r="E934" t="n">
        <v>119960</v>
      </c>
      <c r="F934" t="n">
        <v>532660</v>
      </c>
      <c r="G934" t="inlineStr">
        <is>
          <t>Physician</t>
        </is>
      </c>
      <c r="H934" t="inlineStr">
        <is>
          <t>labs-imaging</t>
        </is>
      </c>
      <c r="I934" t="inlineStr">
        <is>
          <t>Prostatic enlargement.</t>
        </is>
      </c>
    </row>
    <row r="935">
      <c r="A935" t="inlineStr">
        <is>
          <t>532660-labs-imaging-0-8</t>
        </is>
      </c>
      <c r="B935" t="inlineStr"/>
      <c r="C935" t="inlineStr"/>
      <c r="D935">
        <f>HYPERLINK("http://nlpdeep.cs.uic.edu:8080/proofing/gsii/532660-labs-imaging-0-8.pdf","gsii/532660-labs-imaging-0-8.pdf")</f>
        <v/>
      </c>
      <c r="E935" t="n">
        <v>119960</v>
      </c>
      <c r="F935" t="n">
        <v>532660</v>
      </c>
      <c r="G935" t="inlineStr">
        <is>
          <t>Physician</t>
        </is>
      </c>
      <c r="H935" t="inlineStr">
        <is>
          <t>labs-imaging</t>
        </is>
      </c>
      <c r="I935" t="inlineStr">
        <is>
          <t>Prostatic enlargement.</t>
        </is>
      </c>
    </row>
    <row r="936">
      <c r="A936" t="inlineStr">
        <is>
          <t>532660-assessment-and-plan-0-0</t>
        </is>
      </c>
      <c r="B936" t="inlineStr"/>
      <c r="C936" t="inlineStr"/>
      <c r="D936">
        <f>HYPERLINK("http://nlpdeep.cs.uic.edu:8080/proofing/t5/532660-assessment-and-plan-0-0.pdf","t5/532660-assessment-and-plan-0-0.pdf")</f>
        <v/>
      </c>
      <c r="E936" t="n">
        <v>119960</v>
      </c>
      <c r="F936" t="n">
        <v>532660</v>
      </c>
      <c r="G936" t="inlineStr">
        <is>
          <t>Physician</t>
        </is>
      </c>
      <c r="H936" t="inlineStr">
        <is>
          <t>assessment-and-plan</t>
        </is>
      </c>
      <c r="I936" t="inlineStr">
        <is>
          <t>Comments:</t>
        </is>
      </c>
    </row>
    <row r="937">
      <c r="A937" t="inlineStr">
        <is>
          <t>532660-assessment-and-plan-0-0</t>
        </is>
      </c>
      <c r="B937" t="inlineStr"/>
      <c r="C937" t="inlineStr"/>
      <c r="D937">
        <f>HYPERLINK("http://nlpdeep.cs.uic.edu:8080/proofing/gsii/532660-assessment-and-plan-0-0.pdf","gsii/532660-assessment-and-plan-0-0.pdf")</f>
        <v/>
      </c>
      <c r="E937" t="n">
        <v>119960</v>
      </c>
      <c r="F937" t="n">
        <v>532660</v>
      </c>
      <c r="G937" t="inlineStr">
        <is>
          <t>Physician</t>
        </is>
      </c>
      <c r="H937" t="inlineStr">
        <is>
          <t>assessment-and-plan</t>
        </is>
      </c>
      <c r="I937" t="inlineStr">
        <is>
          <t>Comments:</t>
        </is>
      </c>
    </row>
    <row r="938">
      <c r="A938" t="inlineStr">
        <is>
          <t>532660-code-status-0-0</t>
        </is>
      </c>
      <c r="B938" t="inlineStr"/>
      <c r="C938" t="inlineStr"/>
      <c r="D938">
        <f>HYPERLINK("http://nlpdeep.cs.uic.edu:8080/proofing/t5/532660-code-status-0-0.pdf","t5/532660-code-status-0-0.pdf")</f>
        <v/>
      </c>
      <c r="E938" t="n">
        <v>119960</v>
      </c>
      <c r="F938" t="n">
        <v>532660</v>
      </c>
      <c r="G938" t="inlineStr">
        <is>
          <t>Physician</t>
        </is>
      </c>
      <c r="H938" t="inlineStr">
        <is>
          <t>code-status</t>
        </is>
      </c>
      <c r="I938" t="inlineStr">
        <is>
          <t>Full c</t>
        </is>
      </c>
    </row>
    <row r="939">
      <c r="A939" t="inlineStr">
        <is>
          <t>532660-code-status-0-0</t>
        </is>
      </c>
      <c r="B939" t="inlineStr"/>
      <c r="C939" t="inlineStr"/>
      <c r="D939">
        <f>HYPERLINK("http://nlpdeep.cs.uic.edu:8080/proofing/gsii/532660-code-status-0-0.pdf","gsii/532660-code-status-0-0.pdf")</f>
        <v/>
      </c>
      <c r="E939" t="n">
        <v>119960</v>
      </c>
      <c r="F939" t="n">
        <v>532660</v>
      </c>
      <c r="G939" t="inlineStr">
        <is>
          <t>Physician</t>
        </is>
      </c>
      <c r="H939" t="inlineStr">
        <is>
          <t>code-status</t>
        </is>
      </c>
      <c r="I939" t="inlineStr">
        <is>
          <t>Full c</t>
        </is>
      </c>
    </row>
    <row r="940">
      <c r="A940" t="inlineStr">
        <is>
          <t>532646-24-hour-events-0-0</t>
        </is>
      </c>
      <c r="B940" t="inlineStr"/>
      <c r="C940" t="inlineStr"/>
      <c r="D940">
        <f>HYPERLINK("http://nlpdeep.cs.uic.edu:8080/proofing/t5/532646-24-hour-events-0-0.pdf","t5/532646-24-hour-events-0-0.pdf")</f>
        <v/>
      </c>
      <c r="E940" t="n">
        <v>119960</v>
      </c>
      <c r="F940" t="n">
        <v>532646</v>
      </c>
      <c r="G940" t="inlineStr">
        <is>
          <t>Physician</t>
        </is>
      </c>
      <c r="H940" t="inlineStr">
        <is>
          <t>24-hour-events</t>
        </is>
      </c>
      <c r="I940" t="inlineStr">
        <is>
          <t>OR SENT - At [**2141-4-7**] 02:00 PM
 INVASIVE VENTILATION - START [**2141-4-7**] 04:55 PM
 INVASIVE VENTILATION - STOP [**2141-4-7**] 05:18 PM
 OR RECEIVED - At [**2141-4-7**] 06:00 PM
   /[**9-8**]:
   - Hyperkalemic (likely hemolyzed) but repeat K 5.7
   - Went to OR (ok'd per cards) for ORIF hip fracture with TFN (=
   trochanter femoral nail?) on the left
   - Given 1 unit pRBC for brief SBP 70s on neo (weaned off).</t>
        </is>
      </c>
    </row>
    <row r="941">
      <c r="A941" t="inlineStr">
        <is>
          <t>532646-24-hour-events-0-0</t>
        </is>
      </c>
      <c r="B941" t="inlineStr"/>
      <c r="C941" t="inlineStr"/>
      <c r="D941">
        <f>HYPERLINK("http://nlpdeep.cs.uic.edu:8080/proofing/gsii/532646-24-hour-events-0-0.pdf","gsii/532646-24-hour-events-0-0.pdf")</f>
        <v/>
      </c>
      <c r="E941" t="n">
        <v>119960</v>
      </c>
      <c r="F941" t="n">
        <v>532646</v>
      </c>
      <c r="G941" t="inlineStr">
        <is>
          <t>Physician</t>
        </is>
      </c>
      <c r="H941" t="inlineStr">
        <is>
          <t>24-hour-events</t>
        </is>
      </c>
      <c r="I941" t="inlineStr">
        <is>
          <t>OR SENT - At [**2141-4-7**] 02:00 PM
 INVASIVE VENTILATION - START [**2141-4-7**] 04:55 PM
 INVASIVE VENTILATION - STOP [**2141-4-7**] 05:18 PM
 OR RECEIVED - At [**2141-4-7**] 06:00 PM
   /[**9-8**]:
   - Hyperkalemic (likely hemolyzed) but repeat K 5.7
   - Went to OR (ok'd per cards) for ORIF hip fracture with TFN (=
   trochanter femoral nail?) on the left
   - Given 1 unit pRBC for brief SBP 70s on neo (weaned off).</t>
        </is>
      </c>
    </row>
    <row r="942">
      <c r="A942" t="inlineStr">
        <is>
          <t>532646-24-hour-events-0-1</t>
        </is>
      </c>
      <c r="B942" t="inlineStr"/>
      <c r="C942" t="inlineStr"/>
      <c r="D942">
        <f>HYPERLINK("http://nlpdeep.cs.uic.edu:8080/proofing/t5/532646-24-hour-events-0-1.pdf","t5/532646-24-hour-events-0-1.pdf")</f>
        <v/>
      </c>
      <c r="E942" t="n">
        <v>119960</v>
      </c>
      <c r="F942" t="n">
        <v>532646</v>
      </c>
      <c r="G942" t="inlineStr">
        <is>
          <t>Physician</t>
        </is>
      </c>
      <c r="H942" t="inlineStr">
        <is>
          <t>24-hour-events</t>
        </is>
      </c>
      <c r="I942" t="inlineStr">
        <is>
          <t>A line kept
   for blood draws.</t>
        </is>
      </c>
    </row>
    <row r="943">
      <c r="A943" t="inlineStr">
        <is>
          <t>532646-24-hour-events-0-1</t>
        </is>
      </c>
      <c r="B943" t="inlineStr"/>
      <c r="C943" t="inlineStr"/>
      <c r="D943">
        <f>HYPERLINK("http://nlpdeep.cs.uic.edu:8080/proofing/gsii/532646-24-hour-events-0-1.pdf","gsii/532646-24-hour-events-0-1.pdf")</f>
        <v/>
      </c>
      <c r="E943" t="n">
        <v>119960</v>
      </c>
      <c r="F943" t="n">
        <v>532646</v>
      </c>
      <c r="G943" t="inlineStr">
        <is>
          <t>Physician</t>
        </is>
      </c>
      <c r="H943" t="inlineStr">
        <is>
          <t>24-hour-events</t>
        </is>
      </c>
      <c r="I943" t="inlineStr">
        <is>
          <t>A line kept
   for blood draws.</t>
        </is>
      </c>
    </row>
    <row r="944">
      <c r="A944" t="inlineStr">
        <is>
          <t>532646-allergies-0-0</t>
        </is>
      </c>
      <c r="B944" t="inlineStr"/>
      <c r="C944" t="inlineStr"/>
      <c r="D944">
        <f>HYPERLINK("http://nlpdeep.cs.uic.edu:8080/proofing/t5/532646-allergies-0-0.pdf","t5/532646-allergies-0-0.pdf")</f>
        <v/>
      </c>
      <c r="E944" t="n">
        <v>119960</v>
      </c>
      <c r="F944" t="n">
        <v>532646</v>
      </c>
      <c r="G944" t="inlineStr">
        <is>
          <t>Physician</t>
        </is>
      </c>
      <c r="H944" t="inlineStr">
        <is>
          <t>allergies</t>
        </is>
      </c>
      <c r="I944" t="inlineStr">
        <is>
          <t>Quinidine
   fever;
   Propranolol
   Aggitation;
   Heparin Agents
   Thrombocytopeni
   Warfarin
   GI bleed;
   Zolpidem
   Unknown;</t>
        </is>
      </c>
    </row>
    <row r="945">
      <c r="A945" t="inlineStr">
        <is>
          <t>532646-allergies-0-0</t>
        </is>
      </c>
      <c r="B945" t="inlineStr"/>
      <c r="C945" t="inlineStr"/>
      <c r="D945">
        <f>HYPERLINK("http://nlpdeep.cs.uic.edu:8080/proofing/gsii/532646-allergies-0-0.pdf","gsii/532646-allergies-0-0.pdf")</f>
        <v/>
      </c>
      <c r="E945" t="n">
        <v>119960</v>
      </c>
      <c r="F945" t="n">
        <v>532646</v>
      </c>
      <c r="G945" t="inlineStr">
        <is>
          <t>Physician</t>
        </is>
      </c>
      <c r="H945" t="inlineStr">
        <is>
          <t>allergies</t>
        </is>
      </c>
      <c r="I945" t="inlineStr">
        <is>
          <t>Quinidine
   fever;
   Propranolol
   Aggitation;
   Heparin Agents
   Thrombocytopeni
   Warfarin
   GI bleed;
   Zolpidem
   Unknown;</t>
        </is>
      </c>
    </row>
    <row r="946">
      <c r="A946" t="inlineStr">
        <is>
          <t>532646-last-dose-of-antibiotics-0-0</t>
        </is>
      </c>
      <c r="B946" t="inlineStr"/>
      <c r="C946" t="inlineStr"/>
      <c r="D946">
        <f>HYPERLINK("http://nlpdeep.cs.uic.edu:8080/proofing/t5/532646-last-dose-of-antibiotics-0-0.pdf","t5/532646-last-dose-of-antibiotics-0-0.pdf")</f>
        <v/>
      </c>
      <c r="E946" t="n">
        <v>119960</v>
      </c>
      <c r="F946" t="n">
        <v>532646</v>
      </c>
      <c r="G946" t="inlineStr">
        <is>
          <t>Physician</t>
        </is>
      </c>
      <c r="H946" t="inlineStr">
        <is>
          <t>last-dose-of-antibiotics</t>
        </is>
      </c>
      <c r="I946" t="inlineStr">
        <is>
          <t>Cefazolin - [**2141-4-8**] 03:00 A</t>
        </is>
      </c>
    </row>
    <row r="947">
      <c r="A947" t="inlineStr">
        <is>
          <t>532646-last-dose-of-antibiotics-0-0</t>
        </is>
      </c>
      <c r="B947" t="inlineStr"/>
      <c r="C947" t="inlineStr"/>
      <c r="D947">
        <f>HYPERLINK("http://nlpdeep.cs.uic.edu:8080/proofing/gsii/532646-last-dose-of-antibiotics-0-0.pdf","gsii/532646-last-dose-of-antibiotics-0-0.pdf")</f>
        <v/>
      </c>
      <c r="E947" t="n">
        <v>119960</v>
      </c>
      <c r="F947" t="n">
        <v>532646</v>
      </c>
      <c r="G947" t="inlineStr">
        <is>
          <t>Physician</t>
        </is>
      </c>
      <c r="H947" t="inlineStr">
        <is>
          <t>last-dose-of-antibiotics</t>
        </is>
      </c>
      <c r="I947" t="inlineStr">
        <is>
          <t>Cefazolin - [**2141-4-8**] 03:00 A</t>
        </is>
      </c>
    </row>
    <row r="948">
      <c r="A948" t="inlineStr">
        <is>
          <t>532646-other-medications-0-0</t>
        </is>
      </c>
      <c r="B948" t="inlineStr"/>
      <c r="C948" t="inlineStr"/>
      <c r="D948">
        <f>HYPERLINK("http://nlpdeep.cs.uic.edu:8080/proofing/t5/532646-other-medications-0-0.pdf","t5/532646-other-medications-0-0.pdf")</f>
        <v/>
      </c>
      <c r="E948" t="n">
        <v>119960</v>
      </c>
      <c r="F948" t="n">
        <v>532646</v>
      </c>
      <c r="G948" t="inlineStr">
        <is>
          <t>Physician</t>
        </is>
      </c>
      <c r="H948" t="inlineStr">
        <is>
          <t>other-medications</t>
        </is>
      </c>
      <c r="I948" t="inlineStr">
        <is>
          <t>Enoxaparin (Lovenox) - [**2141-4-7**] 10:00 PM
   Furosemide (Lasix) - [**2141-4-7**] 10:50 PM
   Morphine Sulfate - [**2141-4-8**] 02:00 AM
   Other medications:</t>
        </is>
      </c>
    </row>
    <row r="949">
      <c r="A949" t="inlineStr">
        <is>
          <t>532646-other-medications-0-0</t>
        </is>
      </c>
      <c r="B949" t="inlineStr"/>
      <c r="C949" t="inlineStr"/>
      <c r="D949">
        <f>HYPERLINK("http://nlpdeep.cs.uic.edu:8080/proofing/gsii/532646-other-medications-0-0.pdf","gsii/532646-other-medications-0-0.pdf")</f>
        <v/>
      </c>
      <c r="E949" t="n">
        <v>119960</v>
      </c>
      <c r="F949" t="n">
        <v>532646</v>
      </c>
      <c r="G949" t="inlineStr">
        <is>
          <t>Physician</t>
        </is>
      </c>
      <c r="H949" t="inlineStr">
        <is>
          <t>other-medications</t>
        </is>
      </c>
      <c r="I949" t="inlineStr">
        <is>
          <t>Enoxaparin (Lovenox) - [**2141-4-7**] 10:00 PM
   Furosemide (Lasix) - [**2141-4-7**] 10:50 PM
   Morphine Sulfate - [**2141-4-8**] 02:00 AM
   Other medications:</t>
        </is>
      </c>
    </row>
    <row r="950">
      <c r="A950" t="inlineStr">
        <is>
          <t>532646-flowsheet-data-vitals-0-0</t>
        </is>
      </c>
      <c r="B950" t="inlineStr"/>
      <c r="C950" t="inlineStr"/>
      <c r="D950">
        <f>HYPERLINK("http://nlpdeep.cs.uic.edu:8080/proofing/t5/532646-flowsheet-data-vitals-0-0.pdf","t5/532646-flowsheet-data-vitals-0-0.pdf")</f>
        <v/>
      </c>
      <c r="E950" t="n">
        <v>119960</v>
      </c>
      <c r="F950" t="n">
        <v>532646</v>
      </c>
      <c r="G950" t="inlineStr">
        <is>
          <t>Physician</t>
        </is>
      </c>
      <c r="H950" t="inlineStr">
        <is>
          <t>flowsheet-data-vitals</t>
        </is>
      </c>
      <c r="I950" t="inlineStr">
        <is>
          <t>Vital signs
   Hemodynamic monitoring
   Fluid balance
                                                                  24 hours
                                                               Since [**42**] AM
   Tmax: 36.2
C (97.2
   Tcurrent: 36.2
C (97.1
   HR: 92 (68 - 116) bpm
   BP: 68/39(50) {62/37(46) - 82/50(61)} mmHg
   RR: 14 (11 - 20) insp/min
   SpO2: 97%
   Heart rhythm: AF (Atrial Fibrillation)
             Total In:
                                                                  1,990 mL
                                                                    122 mL
   PO:
             TF:
   IVF:
                                                                    940 mL
                                                                    122 mL
   Blood products:
                                                                  1,050 mL
   Total out:
                                                                  1,100 mL
                                                                    110 mL
   Urine:
                                                                  1,000 mL
                                                                    110 mL
   NG:
   Stool:
   Drains:
   Balance:
                                                                    890 mL
                                                                     12 mL
   Respiratory support
   O2 Delivery Device: Nasal cannula
   Ventilator mode: Standby
   Vt (Spontaneous): 515 (515 - 515) mL
   PS : 5 cmH2O
   RR (Spontaneous): 13
   PEEP: 5 cmH2O
   FiO2: 50%
   PIP: 10 cmH2O
   SpO2: 97%
   ABG: 7.35/44/73.</t>
        </is>
      </c>
    </row>
    <row r="951">
      <c r="A951" t="inlineStr">
        <is>
          <t>532646-flowsheet-data-vitals-0-0</t>
        </is>
      </c>
      <c r="B951" t="inlineStr"/>
      <c r="C951" t="inlineStr"/>
      <c r="D951">
        <f>HYPERLINK("http://nlpdeep.cs.uic.edu:8080/proofing/gsii/532646-flowsheet-data-vitals-0-0.pdf","gsii/532646-flowsheet-data-vitals-0-0.pdf")</f>
        <v/>
      </c>
      <c r="E951" t="n">
        <v>119960</v>
      </c>
      <c r="F951" t="n">
        <v>532646</v>
      </c>
      <c r="G951" t="inlineStr">
        <is>
          <t>Physician</t>
        </is>
      </c>
      <c r="H951" t="inlineStr">
        <is>
          <t>flowsheet-data-vitals</t>
        </is>
      </c>
      <c r="I951" t="inlineStr">
        <is>
          <t>Vital signs
   Hemodynamic monitoring
   Fluid balance
                                                                  24 hours
                                                               Since [**42**] AM
   Tmax: 36.2
C (97.2
   Tcurrent: 36.2
C (97.1
   HR: 92 (68 - 116) bpm
   BP: 68/39(50) {62/37(46) - 82/50(61)} mmHg
   RR: 14 (11 - 20) insp/min
   SpO2: 97%
   Heart rhythm: AF (Atrial Fibrillation)
             Total In:
                                                                  1,990 mL
                                                                    122 mL
   PO:
             TF:
   IVF:
                                                                    940 mL
                                                                    122 mL
   Blood products:
                                                                  1,050 mL
   Total out:
                                                                  1,100 mL
                                                                    110 mL
   Urine:
                                                                  1,000 mL
                                                                    110 mL
   NG:
   Stool:
   Drains:
   Balance:
                                                                    890 mL
                                                                     12 mL
   Respiratory support
   O2 Delivery Device: Nasal cannula
   Ventilator mode: Standby
   Vt (Spontaneous): 515 (515 - 515) mL
   PS : 5 cmH2O
   RR (Spontaneous): 13
   PEEP: 5 cmH2O
   FiO2: 50%
   PIP: 10 cmH2O
   SpO2: 97%
   ABG: 7.35/44/73.</t>
        </is>
      </c>
    </row>
    <row r="952">
      <c r="A952" t="inlineStr">
        <is>
          <t>532646-flowsheet-data-vitals-0-1</t>
        </is>
      </c>
      <c r="B952" t="inlineStr"/>
      <c r="C952" t="inlineStr"/>
      <c r="D952">
        <f>HYPERLINK("http://nlpdeep.cs.uic.edu:8080/proofing/t5/532646-flowsheet-data-vitals-0-1.pdf","t5/532646-flowsheet-data-vitals-0-1.pdf")</f>
        <v/>
      </c>
      <c r="E952" t="n">
        <v>119960</v>
      </c>
      <c r="F952" t="n">
        <v>532646</v>
      </c>
      <c r="G952" t="inlineStr">
        <is>
          <t>Physician</t>
        </is>
      </c>
      <c r="H952" t="inlineStr">
        <is>
          <t>flowsheet-data-vitals</t>
        </is>
      </c>
      <c r="I952" t="inlineStr">
        <is>
          <t>[**Numeric Identifier 218**]/25/-1
   Ve: 6.3 L/min
   PaO2 / FiO2: 1</t>
        </is>
      </c>
    </row>
    <row r="953">
      <c r="A953" t="inlineStr">
        <is>
          <t>532646-flowsheet-data-vitals-0-1</t>
        </is>
      </c>
      <c r="B953" t="inlineStr"/>
      <c r="C953" t="inlineStr"/>
      <c r="D953">
        <f>HYPERLINK("http://nlpdeep.cs.uic.edu:8080/proofing/gsii/532646-flowsheet-data-vitals-0-1.pdf","gsii/532646-flowsheet-data-vitals-0-1.pdf")</f>
        <v/>
      </c>
      <c r="E953" t="n">
        <v>119960</v>
      </c>
      <c r="F953" t="n">
        <v>532646</v>
      </c>
      <c r="G953" t="inlineStr">
        <is>
          <t>Physician</t>
        </is>
      </c>
      <c r="H953" t="inlineStr">
        <is>
          <t>flowsheet-data-vitals</t>
        </is>
      </c>
      <c r="I953" t="inlineStr">
        <is>
          <t>[**Numeric Identifier 218**]/25/-1
   Ve: 6.3 L/min
   PaO2 / FiO2: 1</t>
        </is>
      </c>
    </row>
    <row r="954">
      <c r="A954" t="inlineStr">
        <is>
          <t>532646-labs-imaging-0-0</t>
        </is>
      </c>
      <c r="B954" t="inlineStr"/>
      <c r="C954" t="inlineStr"/>
      <c r="D954">
        <f>HYPERLINK("http://nlpdeep.cs.uic.edu:8080/proofing/t5/532646-labs-imaging-0-0.pdf","t5/532646-labs-imaging-0-0.pdf")</f>
        <v/>
      </c>
      <c r="E954" t="n">
        <v>119960</v>
      </c>
      <c r="F954" t="n">
        <v>532646</v>
      </c>
      <c r="G954" t="inlineStr">
        <is>
          <t>Physician</t>
        </is>
      </c>
      <c r="H954" t="inlineStr">
        <is>
          <t>labs-imaging</t>
        </is>
      </c>
      <c r="I954" t="inlineStr">
        <is>
          <t>127 K/uL
   8.4 g/dL
   71 mg/dL
   3.2 mg/dL
   25 mEq/L
   5.2 mEq/L
   64 mg/dL
   107 mEq/L
   144 mEq/L
   24.2 %
   7.7 K/uL
        [image002.jpg]
                             [**2141-4-6**]  08:20 PM
                             [**2141-4-7**]  04:57 AM
                             [**2141-4-7**]  12:45 PM
                             [**2141-4-7**]  04:12 PM
                             [**2141-4-7**]  05:30 PM
                             [**2141-4-7**]  11:17 PM
                             [**2141-4-8**]  02:48 AM
   WBC
   8.2
   5.9
   9.5
   7.7
   Hct
   22.8
   29.7
   26.1
   32
   28.0
   25.5
   24.2
   Plt
   128
   110
   131
   127
   Cr
   2.4
   2.9
   3.2
   TCO2
   25
   Glucose
   106
   60
   78
   71
   Other labs: PT / PTT / INR:13.6/32.2/1.2, Lactic Acid:1.7 mmol/L,
   Ca++:8.7 mg/dL, Mg++:1.9 mg/dL, PO4:5.8 mg/d</t>
        </is>
      </c>
    </row>
    <row r="955">
      <c r="A955" t="inlineStr">
        <is>
          <t>532646-labs-imaging-0-0</t>
        </is>
      </c>
      <c r="B955" t="inlineStr"/>
      <c r="C955" t="inlineStr"/>
      <c r="D955">
        <f>HYPERLINK("http://nlpdeep.cs.uic.edu:8080/proofing/gsii/532646-labs-imaging-0-0.pdf","gsii/532646-labs-imaging-0-0.pdf")</f>
        <v/>
      </c>
      <c r="E955" t="n">
        <v>119960</v>
      </c>
      <c r="F955" t="n">
        <v>532646</v>
      </c>
      <c r="G955" t="inlineStr">
        <is>
          <t>Physician</t>
        </is>
      </c>
      <c r="H955" t="inlineStr">
        <is>
          <t>labs-imaging</t>
        </is>
      </c>
      <c r="I955" t="inlineStr">
        <is>
          <t>127 K/uL
   8.4 g/dL
   71 mg/dL
   3.2 mg/dL
   25 mEq/L
   5.2 mEq/L
   64 mg/dL
   107 mEq/L
   144 mEq/L
   24.2 %
   7.7 K/uL
        [image002.jpg]
                             [**2141-4-6**]  08:20 PM
                             [**2141-4-7**]  04:57 AM
                             [**2141-4-7**]  12:45 PM
                             [**2141-4-7**]  04:12 PM
                             [**2141-4-7**]  05:30 PM
                             [**2141-4-7**]  11:17 PM
                             [**2141-4-8**]  02:48 AM
   WBC
   8.2
   5.9
   9.5
   7.7
   Hct
   22.8
   29.7
   26.1
   32
   28.0
   25.5
   24.2
   Plt
   128
   110
   131
   127
   Cr
   2.4
   2.9
   3.2
   TCO2
   25
   Glucose
   106
   60
   78
   71
   Other labs: PT / PTT / INR:13.6/32.2/1.2, Lactic Acid:1.7 mmol/L,
   Ca++:8.7 mg/dL, Mg++:1.9 mg/dL, PO4:5.8 mg/d</t>
        </is>
      </c>
    </row>
    <row r="956">
      <c r="A956" t="inlineStr">
        <is>
          <t>532646-assessment-and-plan-0-0</t>
        </is>
      </c>
      <c r="B956" t="inlineStr"/>
      <c r="C956" t="inlineStr"/>
      <c r="D956">
        <f>HYPERLINK("http://nlpdeep.cs.uic.edu:8080/proofing/t5/532646-assessment-and-plan-0-0.pdf","t5/532646-assessment-and-plan-0-0.pdf")</f>
        <v/>
      </c>
      <c r="E956" t="n">
        <v>119960</v>
      </c>
      <c r="F956" t="n">
        <v>532646</v>
      </c>
      <c r="G956" t="inlineStr">
        <is>
          <t>Physician</t>
        </is>
      </c>
      <c r="H956" t="inlineStr">
        <is>
          <t>assessment-and-plan</t>
        </is>
      </c>
      <c r="I956" t="inlineStr">
        <is>
          <t>RENAL FAILURE, ACUTE (ACUTE RENAL FAILURE, ARF)
 .</t>
        </is>
      </c>
    </row>
    <row r="957">
      <c r="A957" t="inlineStr">
        <is>
          <t>532646-assessment-and-plan-0-0</t>
        </is>
      </c>
      <c r="B957" t="inlineStr"/>
      <c r="C957" t="inlineStr"/>
      <c r="D957">
        <f>HYPERLINK("http://nlpdeep.cs.uic.edu:8080/proofing/gsii/532646-assessment-and-plan-0-0.pdf","gsii/532646-assessment-and-plan-0-0.pdf")</f>
        <v/>
      </c>
      <c r="E957" t="n">
        <v>119960</v>
      </c>
      <c r="F957" t="n">
        <v>532646</v>
      </c>
      <c r="G957" t="inlineStr">
        <is>
          <t>Physician</t>
        </is>
      </c>
      <c r="H957" t="inlineStr">
        <is>
          <t>assessment-and-plan</t>
        </is>
      </c>
      <c r="I957" t="inlineStr">
        <is>
          <t>RENAL FAILURE, ACUTE (ACUTE RENAL FAILURE, ARF)
 .</t>
        </is>
      </c>
    </row>
    <row r="958">
      <c r="A958" t="inlineStr">
        <is>
          <t>532646-assessment-and-plan-0-1</t>
        </is>
      </c>
      <c r="B958" t="inlineStr"/>
      <c r="C958" t="inlineStr"/>
      <c r="D958">
        <f>HYPERLINK("http://nlpdeep.cs.uic.edu:8080/proofing/t5/532646-assessment-and-plan-0-1.pdf","t5/532646-assessment-and-plan-0-1.pdf")</f>
        <v/>
      </c>
      <c r="E958" t="n">
        <v>119960</v>
      </c>
      <c r="F958" t="n">
        <v>532646</v>
      </c>
      <c r="G958" t="inlineStr">
        <is>
          <t>Physician</t>
        </is>
      </c>
      <c r="H958" t="inlineStr">
        <is>
          <t>assessment-and-plan</t>
        </is>
      </c>
      <c r="I958" t="inlineStr">
        <is>
          <t>H/O ELECTROLYTE &amp; FLUID DISORDER, OTHER
 .</t>
        </is>
      </c>
    </row>
    <row r="959">
      <c r="A959" t="inlineStr">
        <is>
          <t>532646-assessment-and-plan-0-1</t>
        </is>
      </c>
      <c r="B959" t="inlineStr"/>
      <c r="C959" t="inlineStr"/>
      <c r="D959">
        <f>HYPERLINK("http://nlpdeep.cs.uic.edu:8080/proofing/gsii/532646-assessment-and-plan-0-1.pdf","gsii/532646-assessment-and-plan-0-1.pdf")</f>
        <v/>
      </c>
      <c r="E959" t="n">
        <v>119960</v>
      </c>
      <c r="F959" t="n">
        <v>532646</v>
      </c>
      <c r="G959" t="inlineStr">
        <is>
          <t>Physician</t>
        </is>
      </c>
      <c r="H959" t="inlineStr">
        <is>
          <t>assessment-and-plan</t>
        </is>
      </c>
      <c r="I959" t="inlineStr">
        <is>
          <t>H/O ELECTROLYTE &amp; FLUID DISORDER, OTHER
 .</t>
        </is>
      </c>
    </row>
    <row r="960">
      <c r="A960" t="inlineStr">
        <is>
          <t>532646-assessment-and-plan-0-2</t>
        </is>
      </c>
      <c r="B960" t="inlineStr"/>
      <c r="C960" t="inlineStr"/>
      <c r="D960">
        <f>HYPERLINK("http://nlpdeep.cs.uic.edu:8080/proofing/t5/532646-assessment-and-plan-0-2.pdf","t5/532646-assessment-and-plan-0-2.pdf")</f>
        <v/>
      </c>
      <c r="E960" t="n">
        <v>119960</v>
      </c>
      <c r="F960" t="n">
        <v>532646</v>
      </c>
      <c r="G960" t="inlineStr">
        <is>
          <t>Physician</t>
        </is>
      </c>
      <c r="H960" t="inlineStr">
        <is>
          <t>assessment-and-plan</t>
        </is>
      </c>
      <c r="I960" t="inlineStr">
        <is>
          <t>H/O PAIN CONTROL (ACUTE PAIN, CHRONIC PAIN)
 HIP FRACTURE (FEMORAL NECK FRACTURE, FEMUR)
 HYPOTENSION (NOT SHOCK)
   ICU Care
   Nutrition:
   Glycemic Control:
   Lines:
   18 Gauge - [**2141-4-6**] 08:30 PM
   Prophylaxis:
   DVT:
   Stress ulcer:
   VAP:
   Comments:
   Communication:  Comments:</t>
        </is>
      </c>
    </row>
    <row r="961">
      <c r="A961" t="inlineStr">
        <is>
          <t>532646-assessment-and-plan-0-2</t>
        </is>
      </c>
      <c r="B961" t="inlineStr"/>
      <c r="C961" t="inlineStr"/>
      <c r="D961">
        <f>HYPERLINK("http://nlpdeep.cs.uic.edu:8080/proofing/gsii/532646-assessment-and-plan-0-2.pdf","gsii/532646-assessment-and-plan-0-2.pdf")</f>
        <v/>
      </c>
      <c r="E961" t="n">
        <v>119960</v>
      </c>
      <c r="F961" t="n">
        <v>532646</v>
      </c>
      <c r="G961" t="inlineStr">
        <is>
          <t>Physician</t>
        </is>
      </c>
      <c r="H961" t="inlineStr">
        <is>
          <t>assessment-and-plan</t>
        </is>
      </c>
      <c r="I961" t="inlineStr">
        <is>
          <t>H/O PAIN CONTROL (ACUTE PAIN, CHRONIC PAIN)
 HIP FRACTURE (FEMORAL NECK FRACTURE, FEMUR)
 HYPOTENSION (NOT SHOCK)
   ICU Care
   Nutrition:
   Glycemic Control:
   Lines:
   18 Gauge - [**2141-4-6**] 08:30 PM
   Prophylaxis:
   DVT:
   Stress ulcer:
   VAP:
   Comments:
   Communication:  Comments:</t>
        </is>
      </c>
    </row>
    <row r="962">
      <c r="A962" t="inlineStr">
        <is>
          <t>532646-code-status-0-0</t>
        </is>
      </c>
      <c r="B962" t="inlineStr"/>
      <c r="C962" t="inlineStr"/>
      <c r="D962">
        <f>HYPERLINK("http://nlpdeep.cs.uic.edu:8080/proofing/t5/532646-code-status-0-0.pdf","t5/532646-code-status-0-0.pdf")</f>
        <v/>
      </c>
      <c r="E962" t="n">
        <v>119960</v>
      </c>
      <c r="F962" t="n">
        <v>532646</v>
      </c>
      <c r="G962" t="inlineStr">
        <is>
          <t>Physician</t>
        </is>
      </c>
      <c r="H962" t="inlineStr">
        <is>
          <t>code-status</t>
        </is>
      </c>
      <c r="I962" t="inlineStr">
        <is>
          <t>Full c</t>
        </is>
      </c>
    </row>
    <row r="963">
      <c r="A963" t="inlineStr">
        <is>
          <t>532646-code-status-0-0</t>
        </is>
      </c>
      <c r="B963" t="inlineStr"/>
      <c r="C963" t="inlineStr"/>
      <c r="D963">
        <f>HYPERLINK("http://nlpdeep.cs.uic.edu:8080/proofing/gsii/532646-code-status-0-0.pdf","gsii/532646-code-status-0-0.pdf")</f>
        <v/>
      </c>
      <c r="E963" t="n">
        <v>119960</v>
      </c>
      <c r="F963" t="n">
        <v>532646</v>
      </c>
      <c r="G963" t="inlineStr">
        <is>
          <t>Physician</t>
        </is>
      </c>
      <c r="H963" t="inlineStr">
        <is>
          <t>code-status</t>
        </is>
      </c>
      <c r="I963" t="inlineStr">
        <is>
          <t>Full c</t>
        </is>
      </c>
    </row>
    <row r="964">
      <c r="A964" t="inlineStr">
        <is>
          <t>50371-allergies-0-0</t>
        </is>
      </c>
      <c r="B964" t="inlineStr"/>
      <c r="C964" t="inlineStr"/>
      <c r="D964">
        <f>HYPERLINK("http://nlpdeep.cs.uic.edu:8080/proofing/t5/50371-allergies-0-0.pdf","t5/50371-allergies-0-0.pdf")</f>
        <v/>
      </c>
      <c r="E964" t="n">
        <v>119960</v>
      </c>
      <c r="F964" t="n">
        <v>50371</v>
      </c>
      <c r="G964" t="inlineStr">
        <is>
          <t>Discharge summary</t>
        </is>
      </c>
      <c r="H964" t="inlineStr">
        <is>
          <t>allergies</t>
        </is>
      </c>
      <c r="I964" t="inlineStr">
        <is>
          <t>Quinidine / Propranolol / Heparin Agents / Warfarin / Z</t>
        </is>
      </c>
    </row>
    <row r="965">
      <c r="A965" t="inlineStr">
        <is>
          <t>50371-allergies-0-0</t>
        </is>
      </c>
      <c r="B965" t="inlineStr"/>
      <c r="C965" t="inlineStr"/>
      <c r="D965">
        <f>HYPERLINK("http://nlpdeep.cs.uic.edu:8080/proofing/gsii/50371-allergies-0-0.pdf","gsii/50371-allergies-0-0.pdf")</f>
        <v/>
      </c>
      <c r="E965" t="n">
        <v>119960</v>
      </c>
      <c r="F965" t="n">
        <v>50371</v>
      </c>
      <c r="G965" t="inlineStr">
        <is>
          <t>Discharge summary</t>
        </is>
      </c>
      <c r="H965" t="inlineStr">
        <is>
          <t>allergies</t>
        </is>
      </c>
      <c r="I965" t="inlineStr">
        <is>
          <t>Quinidine / Propranolol / Heparin Agents / Warfarin / Z</t>
        </is>
      </c>
    </row>
    <row r="966">
      <c r="A966" t="inlineStr">
        <is>
          <t>50371-chief-complaint-0-0</t>
        </is>
      </c>
      <c r="B966" t="inlineStr"/>
      <c r="C966" t="inlineStr"/>
      <c r="D966">
        <f>HYPERLINK("http://nlpdeep.cs.uic.edu:8080/proofing/t5/50371-chief-complaint-0-0.pdf","t5/50371-chief-complaint-0-0.pdf")</f>
        <v/>
      </c>
      <c r="E966" t="n">
        <v>119960</v>
      </c>
      <c r="F966" t="n">
        <v>50371</v>
      </c>
      <c r="G966" t="inlineStr">
        <is>
          <t>Discharge summary</t>
        </is>
      </c>
      <c r="H966" t="inlineStr">
        <is>
          <t>chief-complaint</t>
        </is>
      </c>
      <c r="I966" t="inlineStr">
        <is>
          <t>hypotension, hip fracture, r</t>
        </is>
      </c>
    </row>
    <row r="967">
      <c r="A967" t="inlineStr">
        <is>
          <t>50371-chief-complaint-0-0</t>
        </is>
      </c>
      <c r="B967" t="inlineStr"/>
      <c r="C967" t="inlineStr"/>
      <c r="D967">
        <f>HYPERLINK("http://nlpdeep.cs.uic.edu:8080/proofing/gsii/50371-chief-complaint-0-0.pdf","gsii/50371-chief-complaint-0-0.pdf")</f>
        <v/>
      </c>
      <c r="E967" t="n">
        <v>119960</v>
      </c>
      <c r="F967" t="n">
        <v>50371</v>
      </c>
      <c r="G967" t="inlineStr">
        <is>
          <t>Discharge summary</t>
        </is>
      </c>
      <c r="H967" t="inlineStr">
        <is>
          <t>chief-complaint</t>
        </is>
      </c>
      <c r="I967" t="inlineStr">
        <is>
          <t>hypotension, hip fracture, r</t>
        </is>
      </c>
    </row>
    <row r="968">
      <c r="A968" t="inlineStr">
        <is>
          <t>50371-major-surgical-or-invasive-procedure-0-0</t>
        </is>
      </c>
      <c r="B968" t="inlineStr"/>
      <c r="C968" t="inlineStr"/>
      <c r="D968">
        <f>HYPERLINK("http://nlpdeep.cs.uic.edu:8080/proofing/t5/50371-major-surgical-or-invasive-procedure-0-0.pdf","t5/50371-major-surgical-or-invasive-procedure-0-0.pdf")</f>
        <v/>
      </c>
      <c r="E968" t="n">
        <v>119960</v>
      </c>
      <c r="F968" t="n">
        <v>50371</v>
      </c>
      <c r="G968" t="inlineStr">
        <is>
          <t>Discharge summary</t>
        </is>
      </c>
      <c r="H968" t="inlineStr">
        <is>
          <t>major-surgical-or-invasive-procedure</t>
        </is>
      </c>
      <c r="I968" t="inlineStr">
        <is>
          <t>Left ORIF [</t>
        </is>
      </c>
    </row>
    <row r="969">
      <c r="A969" t="inlineStr">
        <is>
          <t>50371-major-surgical-or-invasive-procedure-0-0</t>
        </is>
      </c>
      <c r="B969" t="inlineStr"/>
      <c r="C969" t="inlineStr"/>
      <c r="D969">
        <f>HYPERLINK("http://nlpdeep.cs.uic.edu:8080/proofing/gsii/50371-major-surgical-or-invasive-procedure-0-0.pdf","gsii/50371-major-surgical-or-invasive-procedure-0-0.pdf")</f>
        <v/>
      </c>
      <c r="E969" t="n">
        <v>119960</v>
      </c>
      <c r="F969" t="n">
        <v>50371</v>
      </c>
      <c r="G969" t="inlineStr">
        <is>
          <t>Discharge summary</t>
        </is>
      </c>
      <c r="H969" t="inlineStr">
        <is>
          <t>major-surgical-or-invasive-procedure</t>
        </is>
      </c>
      <c r="I969" t="inlineStr">
        <is>
          <t>Left ORIF [</t>
        </is>
      </c>
    </row>
    <row r="970">
      <c r="A970" t="inlineStr">
        <is>
          <t>50371-history-of-present-illness-0-0</t>
        </is>
      </c>
      <c r="B970" t="inlineStr"/>
      <c r="C970" t="inlineStr"/>
      <c r="D970">
        <f>HYPERLINK("http://nlpdeep.cs.uic.edu:8080/proofing/t5/50371-history-of-present-illness-0-0.pdf","t5/50371-history-of-present-illness-0-0.pdf")</f>
        <v/>
      </c>
      <c r="E970" t="n">
        <v>119960</v>
      </c>
      <c r="F970" t="n">
        <v>50371</v>
      </c>
      <c r="G970" t="inlineStr">
        <is>
          <t>Discharge summary</t>
        </is>
      </c>
      <c r="H970" t="inlineStr">
        <is>
          <t>history-of-present-illness</t>
        </is>
      </c>
      <c r="I970" t="inlineStr">
        <is>
          <t>Mr. [**Known lastname **] is an 87 yo male with a history of diastolic CHF (EF
65% 1/10), AFib not on coumadin, mild AS, stage IV CKD, and HTN,
who presented from acute rehab after falling at his nursing
home.</t>
        </is>
      </c>
    </row>
    <row r="971">
      <c r="A971" t="inlineStr">
        <is>
          <t>50371-history-of-present-illness-0-0</t>
        </is>
      </c>
      <c r="B971" t="inlineStr"/>
      <c r="C971" t="inlineStr"/>
      <c r="D971">
        <f>HYPERLINK("http://nlpdeep.cs.uic.edu:8080/proofing/gsii/50371-history-of-present-illness-0-0.pdf","gsii/50371-history-of-present-illness-0-0.pdf")</f>
        <v/>
      </c>
      <c r="E971" t="n">
        <v>119960</v>
      </c>
      <c r="F971" t="n">
        <v>50371</v>
      </c>
      <c r="G971" t="inlineStr">
        <is>
          <t>Discharge summary</t>
        </is>
      </c>
      <c r="H971" t="inlineStr">
        <is>
          <t>history-of-present-illness</t>
        </is>
      </c>
      <c r="I971" t="inlineStr">
        <is>
          <t>Mr. [**Known lastname **] is an 87 yo male with a history of diastolic CHF (EF
65% 1/10), AFib not on coumadin, mild AS, stage IV CKD, and HTN,
who presented from acute rehab after falling at his nursing
home.</t>
        </is>
      </c>
    </row>
    <row r="972">
      <c r="A972" t="inlineStr">
        <is>
          <t>50371-history-of-present-illness-0-1</t>
        </is>
      </c>
      <c r="B972" t="inlineStr"/>
      <c r="C972" t="inlineStr"/>
      <c r="D972">
        <f>HYPERLINK("http://nlpdeep.cs.uic.edu:8080/proofing/t5/50371-history-of-present-illness-0-1.pdf","t5/50371-history-of-present-illness-0-1.pdf")</f>
        <v/>
      </c>
      <c r="E972" t="n">
        <v>119960</v>
      </c>
      <c r="F972" t="n">
        <v>50371</v>
      </c>
      <c r="G972" t="inlineStr">
        <is>
          <t>Discharge summary</t>
        </is>
      </c>
      <c r="H972" t="inlineStr">
        <is>
          <t>history-of-present-illness</t>
        </is>
      </c>
      <c r="I972" t="inlineStr">
        <is>
          <t xml:space="preserve"> Yesterday he had been feeling well, walking with PT
(using a walker) and feeling well. Today he was reaching onto a
shelf for batteries when he turned too quickly and twisted his
left foot under him, falling on his left side and left arm.</t>
        </is>
      </c>
    </row>
    <row r="973">
      <c r="A973" t="inlineStr">
        <is>
          <t>50371-history-of-present-illness-0-1</t>
        </is>
      </c>
      <c r="B973" t="inlineStr"/>
      <c r="C973" t="inlineStr"/>
      <c r="D973">
        <f>HYPERLINK("http://nlpdeep.cs.uic.edu:8080/proofing/gsii/50371-history-of-present-illness-0-1.pdf","gsii/50371-history-of-present-illness-0-1.pdf")</f>
        <v/>
      </c>
      <c r="E973" t="n">
        <v>119960</v>
      </c>
      <c r="F973" t="n">
        <v>50371</v>
      </c>
      <c r="G973" t="inlineStr">
        <is>
          <t>Discharge summary</t>
        </is>
      </c>
      <c r="H973" t="inlineStr">
        <is>
          <t>history-of-present-illness</t>
        </is>
      </c>
      <c r="I973" t="inlineStr">
        <is>
          <t xml:space="preserve"> Yesterday he had been feeling well, walking with PT
(using a walker) and feeling well. Today he was reaching onto a
shelf for batteries when he turned too quickly and twisted his
left foot under him, falling on his left side and left arm.</t>
        </is>
      </c>
    </row>
    <row r="974">
      <c r="A974" t="inlineStr">
        <is>
          <t>50371-history-of-present-illness-0-2</t>
        </is>
      </c>
      <c r="B974" t="inlineStr"/>
      <c r="C974" t="inlineStr"/>
      <c r="D974">
        <f>HYPERLINK("http://nlpdeep.cs.uic.edu:8080/proofing/t5/50371-history-of-present-illness-0-2.pdf","t5/50371-history-of-present-illness-0-2.pdf")</f>
        <v/>
      </c>
      <c r="E974" t="n">
        <v>119960</v>
      </c>
      <c r="F974" t="n">
        <v>50371</v>
      </c>
      <c r="G974" t="inlineStr">
        <is>
          <t>Discharge summary</t>
        </is>
      </c>
      <c r="H974" t="inlineStr">
        <is>
          <t>history-of-present-illness</t>
        </is>
      </c>
      <c r="I974" t="inlineStr">
        <is>
          <t>He
was sent from rehab to the ED.</t>
        </is>
      </c>
    </row>
    <row r="975">
      <c r="A975" t="inlineStr">
        <is>
          <t>50371-history-of-present-illness-0-2</t>
        </is>
      </c>
      <c r="B975" t="inlineStr"/>
      <c r="C975" t="inlineStr"/>
      <c r="D975">
        <f>HYPERLINK("http://nlpdeep.cs.uic.edu:8080/proofing/gsii/50371-history-of-present-illness-0-2.pdf","gsii/50371-history-of-present-illness-0-2.pdf")</f>
        <v/>
      </c>
      <c r="E975" t="n">
        <v>119960</v>
      </c>
      <c r="F975" t="n">
        <v>50371</v>
      </c>
      <c r="G975" t="inlineStr">
        <is>
          <t>Discharge summary</t>
        </is>
      </c>
      <c r="H975" t="inlineStr">
        <is>
          <t>history-of-present-illness</t>
        </is>
      </c>
      <c r="I975" t="inlineStr">
        <is>
          <t>He
was sent from rehab to the ED.</t>
        </is>
      </c>
    </row>
    <row r="976">
      <c r="A976" t="inlineStr">
        <is>
          <t>50371-history-of-present-illness-0-3</t>
        </is>
      </c>
      <c r="B976" t="inlineStr"/>
      <c r="C976" t="inlineStr"/>
      <c r="D976">
        <f>HYPERLINK("http://nlpdeep.cs.uic.edu:8080/proofing/t5/50371-history-of-present-illness-0-3.pdf","t5/50371-history-of-present-illness-0-3.pdf")</f>
        <v/>
      </c>
      <c r="E976" t="n">
        <v>119960</v>
      </c>
      <c r="F976" t="n">
        <v>50371</v>
      </c>
      <c r="G976" t="inlineStr">
        <is>
          <t>Discharge summary</t>
        </is>
      </c>
      <c r="H976" t="inlineStr">
        <is>
          <t>history-of-present-illness</t>
        </is>
      </c>
      <c r="I976" t="inlineStr">
        <is>
          <t xml:space="preserve"> On exam, his hip was externally
rotated and shortened.</t>
        </is>
      </c>
    </row>
    <row r="977">
      <c r="A977" t="inlineStr">
        <is>
          <t>50371-history-of-present-illness-0-3</t>
        </is>
      </c>
      <c r="B977" t="inlineStr"/>
      <c r="C977" t="inlineStr"/>
      <c r="D977">
        <f>HYPERLINK("http://nlpdeep.cs.uic.edu:8080/proofing/gsii/50371-history-of-present-illness-0-3.pdf","gsii/50371-history-of-present-illness-0-3.pdf")</f>
        <v/>
      </c>
      <c r="E977" t="n">
        <v>119960</v>
      </c>
      <c r="F977" t="n">
        <v>50371</v>
      </c>
      <c r="G977" t="inlineStr">
        <is>
          <t>Discharge summary</t>
        </is>
      </c>
      <c r="H977" t="inlineStr">
        <is>
          <t>history-of-present-illness</t>
        </is>
      </c>
      <c r="I977" t="inlineStr">
        <is>
          <t xml:space="preserve"> On exam, his hip was externally
rotated and shortened.</t>
        </is>
      </c>
    </row>
    <row r="978">
      <c r="A978" t="inlineStr">
        <is>
          <t>50371-history-of-present-illness-0-4</t>
        </is>
      </c>
      <c r="B978" t="inlineStr"/>
      <c r="C978" t="inlineStr"/>
      <c r="D978">
        <f>HYPERLINK("http://nlpdeep.cs.uic.edu:8080/proofing/t5/50371-history-of-present-illness-0-4.pdf","t5/50371-history-of-present-illness-0-4.pdf")</f>
        <v/>
      </c>
      <c r="E978" t="n">
        <v>119960</v>
      </c>
      <c r="F978" t="n">
        <v>50371</v>
      </c>
      <c r="G978" t="inlineStr">
        <is>
          <t>Discharge summary</t>
        </is>
      </c>
      <c r="H978" t="inlineStr">
        <is>
          <t>history-of-present-illness</t>
        </is>
      </c>
      <c r="I978" t="inlineStr">
        <is>
          <t xml:space="preserve"> He had no other complaints and denied
loss of consciousness or hitting his head on the fall.</t>
        </is>
      </c>
    </row>
    <row r="979">
      <c r="A979" t="inlineStr">
        <is>
          <t>50371-history-of-present-illness-0-4</t>
        </is>
      </c>
      <c r="B979" t="inlineStr"/>
      <c r="C979" t="inlineStr"/>
      <c r="D979">
        <f>HYPERLINK("http://nlpdeep.cs.uic.edu:8080/proofing/gsii/50371-history-of-present-illness-0-4.pdf","gsii/50371-history-of-present-illness-0-4.pdf")</f>
        <v/>
      </c>
      <c r="E979" t="n">
        <v>119960</v>
      </c>
      <c r="F979" t="n">
        <v>50371</v>
      </c>
      <c r="G979" t="inlineStr">
        <is>
          <t>Discharge summary</t>
        </is>
      </c>
      <c r="H979" t="inlineStr">
        <is>
          <t>history-of-present-illness</t>
        </is>
      </c>
      <c r="I979" t="inlineStr">
        <is>
          <t xml:space="preserve"> He had no other complaints and denied
loss of consciousness or hitting his head on the fall.</t>
        </is>
      </c>
    </row>
    <row r="980">
      <c r="A980" t="inlineStr">
        <is>
          <t>50371-history-of-present-illness-0-5</t>
        </is>
      </c>
      <c r="B980" t="inlineStr"/>
      <c r="C980" t="inlineStr"/>
      <c r="D980">
        <f>HYPERLINK("http://nlpdeep.cs.uic.edu:8080/proofing/t5/50371-history-of-present-illness-0-5.pdf","t5/50371-history-of-present-illness-0-5.pdf")</f>
        <v/>
      </c>
      <c r="E980" t="n">
        <v>119960</v>
      </c>
      <c r="F980" t="n">
        <v>50371</v>
      </c>
      <c r="G980" t="inlineStr">
        <is>
          <t>Discharge summary</t>
        </is>
      </c>
      <c r="H980" t="inlineStr">
        <is>
          <t>history-of-present-illness</t>
        </is>
      </c>
      <c r="I980" t="inlineStr">
        <is>
          <t xml:space="preserve"> Hct was
29.6 at rehab, Na 142, K 4.0, BUN 51, Creat 2.1, WBC 6.8, Plt
215.</t>
        </is>
      </c>
    </row>
    <row r="981">
      <c r="A981" t="inlineStr">
        <is>
          <t>50371-history-of-present-illness-0-5</t>
        </is>
      </c>
      <c r="B981" t="inlineStr"/>
      <c r="C981" t="inlineStr"/>
      <c r="D981">
        <f>HYPERLINK("http://nlpdeep.cs.uic.edu:8080/proofing/gsii/50371-history-of-present-illness-0-5.pdf","gsii/50371-history-of-present-illness-0-5.pdf")</f>
        <v/>
      </c>
      <c r="E981" t="n">
        <v>119960</v>
      </c>
      <c r="F981" t="n">
        <v>50371</v>
      </c>
      <c r="G981" t="inlineStr">
        <is>
          <t>Discharge summary</t>
        </is>
      </c>
      <c r="H981" t="inlineStr">
        <is>
          <t>history-of-present-illness</t>
        </is>
      </c>
      <c r="I981" t="inlineStr">
        <is>
          <t xml:space="preserve"> Hct was
29.6 at rehab, Na 142, K 4.0, BUN 51, Creat 2.1, WBC 6.8, Plt
215.</t>
        </is>
      </c>
    </row>
    <row r="982">
      <c r="A982" t="inlineStr">
        <is>
          <t>50371-history-of-present-illness-1-0</t>
        </is>
      </c>
      <c r="B982" t="inlineStr"/>
      <c r="C982" t="inlineStr"/>
      <c r="D982">
        <f>HYPERLINK("http://nlpdeep.cs.uic.edu:8080/proofing/t5/50371-history-of-present-illness-1-0.pdf","t5/50371-history-of-present-illness-1-0.pdf")</f>
        <v/>
      </c>
      <c r="E982" t="n">
        <v>119960</v>
      </c>
      <c r="F982" t="n">
        <v>50371</v>
      </c>
      <c r="G982" t="inlineStr">
        <is>
          <t>Discharge summary</t>
        </is>
      </c>
      <c r="H982" t="inlineStr">
        <is>
          <t>history-of-present-illness</t>
        </is>
      </c>
      <c r="I982" t="inlineStr">
        <is>
          <t xml:space="preserve">
In the ED, triage vs were: T 96.3 P 60 BP 107/62 R 16 O2 sat 96%
on RA, but he was then found to have systolic BP of 83-90s on
exam.</t>
        </is>
      </c>
    </row>
    <row r="983">
      <c r="A983" t="inlineStr">
        <is>
          <t>50371-history-of-present-illness-1-0</t>
        </is>
      </c>
      <c r="B983" t="inlineStr"/>
      <c r="C983" t="inlineStr"/>
      <c r="D983">
        <f>HYPERLINK("http://nlpdeep.cs.uic.edu:8080/proofing/gsii/50371-history-of-present-illness-1-0.pdf","gsii/50371-history-of-present-illness-1-0.pdf")</f>
        <v/>
      </c>
      <c r="E983" t="n">
        <v>119960</v>
      </c>
      <c r="F983" t="n">
        <v>50371</v>
      </c>
      <c r="G983" t="inlineStr">
        <is>
          <t>Discharge summary</t>
        </is>
      </c>
      <c r="H983" t="inlineStr">
        <is>
          <t>history-of-present-illness</t>
        </is>
      </c>
      <c r="I983" t="inlineStr">
        <is>
          <t xml:space="preserve">
In the ED, triage vs were: T 96.3 P 60 BP 107/62 R 16 O2 sat 96%
on RA, but he was then found to have systolic BP of 83-90s on
exam.</t>
        </is>
      </c>
    </row>
    <row r="984">
      <c r="A984" t="inlineStr">
        <is>
          <t>50371-history-of-present-illness-1-1</t>
        </is>
      </c>
      <c r="B984" t="inlineStr"/>
      <c r="C984" t="inlineStr"/>
      <c r="D984">
        <f>HYPERLINK("http://nlpdeep.cs.uic.edu:8080/proofing/t5/50371-history-of-present-illness-1-1.pdf","t5/50371-history-of-present-illness-1-1.pdf")</f>
        <v/>
      </c>
      <c r="E984" t="n">
        <v>119960</v>
      </c>
      <c r="F984" t="n">
        <v>50371</v>
      </c>
      <c r="G984" t="inlineStr">
        <is>
          <t>Discharge summary</t>
        </is>
      </c>
      <c r="H984" t="inlineStr">
        <is>
          <t>history-of-present-illness</t>
        </is>
      </c>
      <c r="I984" t="inlineStr">
        <is>
          <t>He had good peripheral pulses.</t>
        </is>
      </c>
    </row>
    <row r="985">
      <c r="A985" t="inlineStr">
        <is>
          <t>50371-history-of-present-illness-1-1</t>
        </is>
      </c>
      <c r="B985" t="inlineStr"/>
      <c r="C985" t="inlineStr"/>
      <c r="D985">
        <f>HYPERLINK("http://nlpdeep.cs.uic.edu:8080/proofing/gsii/50371-history-of-present-illness-1-1.pdf","gsii/50371-history-of-present-illness-1-1.pdf")</f>
        <v/>
      </c>
      <c r="E985" t="n">
        <v>119960</v>
      </c>
      <c r="F985" t="n">
        <v>50371</v>
      </c>
      <c r="G985" t="inlineStr">
        <is>
          <t>Discharge summary</t>
        </is>
      </c>
      <c r="H985" t="inlineStr">
        <is>
          <t>history-of-present-illness</t>
        </is>
      </c>
      <c r="I985" t="inlineStr">
        <is>
          <t>He had good peripheral pulses.</t>
        </is>
      </c>
    </row>
    <row r="986">
      <c r="A986" t="inlineStr">
        <is>
          <t>50371-history-of-present-illness-1-2</t>
        </is>
      </c>
      <c r="B986" t="inlineStr"/>
      <c r="C986" t="inlineStr"/>
      <c r="D986">
        <f>HYPERLINK("http://nlpdeep.cs.uic.edu:8080/proofing/t5/50371-history-of-present-illness-1-2.pdf","t5/50371-history-of-present-illness-1-2.pdf")</f>
        <v/>
      </c>
      <c r="E986" t="n">
        <v>119960</v>
      </c>
      <c r="F986" t="n">
        <v>50371</v>
      </c>
      <c r="G986" t="inlineStr">
        <is>
          <t>Discharge summary</t>
        </is>
      </c>
      <c r="H986" t="inlineStr">
        <is>
          <t>history-of-present-illness</t>
        </is>
      </c>
      <c r="I986" t="inlineStr">
        <is>
          <t xml:space="preserve"> He was evaluated for
trauma and plain films of the left hip and femur were completed,
showing multiple comminuted fractures for which the patient
would need a THR.</t>
        </is>
      </c>
    </row>
    <row r="987">
      <c r="A987" t="inlineStr">
        <is>
          <t>50371-history-of-present-illness-1-2</t>
        </is>
      </c>
      <c r="B987" t="inlineStr"/>
      <c r="C987" t="inlineStr"/>
      <c r="D987">
        <f>HYPERLINK("http://nlpdeep.cs.uic.edu:8080/proofing/gsii/50371-history-of-present-illness-1-2.pdf","gsii/50371-history-of-present-illness-1-2.pdf")</f>
        <v/>
      </c>
      <c r="E987" t="n">
        <v>119960</v>
      </c>
      <c r="F987" t="n">
        <v>50371</v>
      </c>
      <c r="G987" t="inlineStr">
        <is>
          <t>Discharge summary</t>
        </is>
      </c>
      <c r="H987" t="inlineStr">
        <is>
          <t>history-of-present-illness</t>
        </is>
      </c>
      <c r="I987" t="inlineStr">
        <is>
          <t xml:space="preserve"> He was evaluated for
trauma and plain films of the left hip and femur were completed,
showing multiple comminuted fractures for which the patient
would need a THR.</t>
        </is>
      </c>
    </row>
    <row r="988">
      <c r="A988" t="inlineStr">
        <is>
          <t>50371-history-of-present-illness-1-3</t>
        </is>
      </c>
      <c r="B988" t="inlineStr"/>
      <c r="C988" t="inlineStr"/>
      <c r="D988">
        <f>HYPERLINK("http://nlpdeep.cs.uic.edu:8080/proofing/t5/50371-history-of-present-illness-1-3.pdf","t5/50371-history-of-present-illness-1-3.pdf")</f>
        <v/>
      </c>
      <c r="E988" t="n">
        <v>119960</v>
      </c>
      <c r="F988" t="n">
        <v>50371</v>
      </c>
      <c r="G988" t="inlineStr">
        <is>
          <t>Discharge summary</t>
        </is>
      </c>
      <c r="H988" t="inlineStr">
        <is>
          <t>history-of-present-illness</t>
        </is>
      </c>
      <c r="I988" t="inlineStr">
        <is>
          <t xml:space="preserve"> CT C-spine showed no fracture or
malalignment, and moderate multilevel degenerative change on
preliminary read.</t>
        </is>
      </c>
    </row>
    <row r="989">
      <c r="A989" t="inlineStr">
        <is>
          <t>50371-history-of-present-illness-1-3</t>
        </is>
      </c>
      <c r="B989" t="inlineStr"/>
      <c r="C989" t="inlineStr"/>
      <c r="D989">
        <f>HYPERLINK("http://nlpdeep.cs.uic.edu:8080/proofing/gsii/50371-history-of-present-illness-1-3.pdf","gsii/50371-history-of-present-illness-1-3.pdf")</f>
        <v/>
      </c>
      <c r="E989" t="n">
        <v>119960</v>
      </c>
      <c r="F989" t="n">
        <v>50371</v>
      </c>
      <c r="G989" t="inlineStr">
        <is>
          <t>Discharge summary</t>
        </is>
      </c>
      <c r="H989" t="inlineStr">
        <is>
          <t>history-of-present-illness</t>
        </is>
      </c>
      <c r="I989" t="inlineStr">
        <is>
          <t xml:space="preserve"> CT C-spine showed no fracture or
malalignment, and moderate multilevel degenerative change on
preliminary read.</t>
        </is>
      </c>
    </row>
    <row r="990">
      <c r="A990" t="inlineStr">
        <is>
          <t>50371-history-of-present-illness-1-4</t>
        </is>
      </c>
      <c r="B990" t="inlineStr"/>
      <c r="C990" t="inlineStr"/>
      <c r="D990">
        <f>HYPERLINK("http://nlpdeep.cs.uic.edu:8080/proofing/t5/50371-history-of-present-illness-1-4.pdf","t5/50371-history-of-present-illness-1-4.pdf")</f>
        <v/>
      </c>
      <c r="E990" t="n">
        <v>119960</v>
      </c>
      <c r="F990" t="n">
        <v>50371</v>
      </c>
      <c r="G990" t="inlineStr">
        <is>
          <t>Discharge summary</t>
        </is>
      </c>
      <c r="H990" t="inlineStr">
        <is>
          <t>history-of-present-illness</t>
        </is>
      </c>
      <c r="I990" t="inlineStr">
        <is>
          <t>CT head without contrast showed no fracture or
hemorrhage (preliminary read).</t>
        </is>
      </c>
    </row>
    <row r="991">
      <c r="A991" t="inlineStr">
        <is>
          <t>50371-history-of-present-illness-1-4</t>
        </is>
      </c>
      <c r="B991" t="inlineStr"/>
      <c r="C991" t="inlineStr"/>
      <c r="D991">
        <f>HYPERLINK("http://nlpdeep.cs.uic.edu:8080/proofing/gsii/50371-history-of-present-illness-1-4.pdf","gsii/50371-history-of-present-illness-1-4.pdf")</f>
        <v/>
      </c>
      <c r="E991" t="n">
        <v>119960</v>
      </c>
      <c r="F991" t="n">
        <v>50371</v>
      </c>
      <c r="G991" t="inlineStr">
        <is>
          <t>Discharge summary</t>
        </is>
      </c>
      <c r="H991" t="inlineStr">
        <is>
          <t>history-of-present-illness</t>
        </is>
      </c>
      <c r="I991" t="inlineStr">
        <is>
          <t>CT head without contrast showed no fracture or
hemorrhage (preliminary read).</t>
        </is>
      </c>
    </row>
    <row r="992">
      <c r="A992" t="inlineStr">
        <is>
          <t>50371-history-of-present-illness-2-0</t>
        </is>
      </c>
      <c r="B992" t="inlineStr"/>
      <c r="C992" t="inlineStr"/>
      <c r="D992">
        <f>HYPERLINK("http://nlpdeep.cs.uic.edu:8080/proofing/t5/50371-history-of-present-illness-2-0.pdf","t5/50371-history-of-present-illness-2-0.pdf")</f>
        <v/>
      </c>
      <c r="E992" t="n">
        <v>119960</v>
      </c>
      <c r="F992" t="n">
        <v>50371</v>
      </c>
      <c r="G992" t="inlineStr">
        <is>
          <t>Discharge summary</t>
        </is>
      </c>
      <c r="H992" t="inlineStr">
        <is>
          <t>history-of-present-illness</t>
        </is>
      </c>
      <c r="I992" t="inlineStr">
        <is>
          <t xml:space="preserve">
The patient was given 1L IVF and fentanyl 100 mcg for pain.</t>
        </is>
      </c>
    </row>
    <row r="993">
      <c r="A993" t="inlineStr">
        <is>
          <t>50371-history-of-present-illness-2-0</t>
        </is>
      </c>
      <c r="B993" t="inlineStr"/>
      <c r="C993" t="inlineStr"/>
      <c r="D993">
        <f>HYPERLINK("http://nlpdeep.cs.uic.edu:8080/proofing/gsii/50371-history-of-present-illness-2-0.pdf","gsii/50371-history-of-present-illness-2-0.pdf")</f>
        <v/>
      </c>
      <c r="E993" t="n">
        <v>119960</v>
      </c>
      <c r="F993" t="n">
        <v>50371</v>
      </c>
      <c r="G993" t="inlineStr">
        <is>
          <t>Discharge summary</t>
        </is>
      </c>
      <c r="H993" t="inlineStr">
        <is>
          <t>history-of-present-illness</t>
        </is>
      </c>
      <c r="I993" t="inlineStr">
        <is>
          <t xml:space="preserve">
The patient was given 1L IVF and fentanyl 100 mcg for pain.</t>
        </is>
      </c>
    </row>
    <row r="994">
      <c r="A994" t="inlineStr">
        <is>
          <t>50371-history-of-present-illness-2-1</t>
        </is>
      </c>
      <c r="B994" t="inlineStr"/>
      <c r="C994" t="inlineStr"/>
      <c r="D994">
        <f>HYPERLINK("http://nlpdeep.cs.uic.edu:8080/proofing/t5/50371-history-of-present-illness-2-1.pdf","t5/50371-history-of-present-illness-2-1.pdf")</f>
        <v/>
      </c>
      <c r="E994" t="n">
        <v>119960</v>
      </c>
      <c r="F994" t="n">
        <v>50371</v>
      </c>
      <c r="G994" t="inlineStr">
        <is>
          <t>Discharge summary</t>
        </is>
      </c>
      <c r="H994" t="inlineStr">
        <is>
          <t>history-of-present-illness</t>
        </is>
      </c>
      <c r="I994" t="inlineStr">
        <is>
          <t>His
SBPs persisted in the 80s/90s.</t>
        </is>
      </c>
    </row>
    <row r="995">
      <c r="A995" t="inlineStr">
        <is>
          <t>50371-history-of-present-illness-2-1</t>
        </is>
      </c>
      <c r="B995" t="inlineStr"/>
      <c r="C995" t="inlineStr"/>
      <c r="D995">
        <f>HYPERLINK("http://nlpdeep.cs.uic.edu:8080/proofing/gsii/50371-history-of-present-illness-2-1.pdf","gsii/50371-history-of-present-illness-2-1.pdf")</f>
        <v/>
      </c>
      <c r="E995" t="n">
        <v>119960</v>
      </c>
      <c r="F995" t="n">
        <v>50371</v>
      </c>
      <c r="G995" t="inlineStr">
        <is>
          <t>Discharge summary</t>
        </is>
      </c>
      <c r="H995" t="inlineStr">
        <is>
          <t>history-of-present-illness</t>
        </is>
      </c>
      <c r="I995" t="inlineStr">
        <is>
          <t>His
SBPs persisted in the 80s/90s.</t>
        </is>
      </c>
    </row>
    <row r="996">
      <c r="A996" t="inlineStr">
        <is>
          <t>50371-history-of-present-illness-2-2</t>
        </is>
      </c>
      <c r="B996" t="inlineStr"/>
      <c r="C996" t="inlineStr"/>
      <c r="D996">
        <f>HYPERLINK("http://nlpdeep.cs.uic.edu:8080/proofing/t5/50371-history-of-present-illness-2-2.pdf","t5/50371-history-of-present-illness-2-2.pdf")</f>
        <v/>
      </c>
      <c r="E996" t="n">
        <v>119960</v>
      </c>
      <c r="F996" t="n">
        <v>50371</v>
      </c>
      <c r="G996" t="inlineStr">
        <is>
          <t>Discharge summary</t>
        </is>
      </c>
      <c r="H996" t="inlineStr">
        <is>
          <t>history-of-present-illness</t>
        </is>
      </c>
      <c r="I996" t="inlineStr">
        <is>
          <t>His Hct was found to be 24, down
[**4-3**] points.</t>
        </is>
      </c>
    </row>
    <row r="997">
      <c r="A997" t="inlineStr">
        <is>
          <t>50371-history-of-present-illness-2-2</t>
        </is>
      </c>
      <c r="B997" t="inlineStr"/>
      <c r="C997" t="inlineStr"/>
      <c r="D997">
        <f>HYPERLINK("http://nlpdeep.cs.uic.edu:8080/proofing/gsii/50371-history-of-present-illness-2-2.pdf","gsii/50371-history-of-present-illness-2-2.pdf")</f>
        <v/>
      </c>
      <c r="E997" t="n">
        <v>119960</v>
      </c>
      <c r="F997" t="n">
        <v>50371</v>
      </c>
      <c r="G997" t="inlineStr">
        <is>
          <t>Discharge summary</t>
        </is>
      </c>
      <c r="H997" t="inlineStr">
        <is>
          <t>history-of-present-illness</t>
        </is>
      </c>
      <c r="I997" t="inlineStr">
        <is>
          <t>His Hct was found to be 24, down
[**4-3**] points.</t>
        </is>
      </c>
    </row>
    <row r="998">
      <c r="A998" t="inlineStr">
        <is>
          <t>50371-history-of-present-illness-2-3</t>
        </is>
      </c>
      <c r="B998" t="inlineStr"/>
      <c r="C998" t="inlineStr"/>
      <c r="D998">
        <f>HYPERLINK("http://nlpdeep.cs.uic.edu:8080/proofing/t5/50371-history-of-present-illness-2-3.pdf","t5/50371-history-of-present-illness-2-3.pdf")</f>
        <v/>
      </c>
      <c r="E998" t="n">
        <v>119960</v>
      </c>
      <c r="F998" t="n">
        <v>50371</v>
      </c>
      <c r="G998" t="inlineStr">
        <is>
          <t>Discharge summary</t>
        </is>
      </c>
      <c r="H998" t="inlineStr">
        <is>
          <t>history-of-present-illness</t>
        </is>
      </c>
      <c r="I998" t="inlineStr">
        <is>
          <t>CT ab/pelvis was performed in the setting of the Hct
drop, showing left hip intertrochanteric fracture, a large
retroperitoneal mass likely from left adrenal gland (non-urgent
MR recommended for further evaluation), and no retroperitoneal
hematoma on preliminary read.</t>
        </is>
      </c>
    </row>
    <row r="999">
      <c r="A999" t="inlineStr">
        <is>
          <t>50371-history-of-present-illness-2-3</t>
        </is>
      </c>
      <c r="B999" t="inlineStr"/>
      <c r="C999" t="inlineStr"/>
      <c r="D999">
        <f>HYPERLINK("http://nlpdeep.cs.uic.edu:8080/proofing/gsii/50371-history-of-present-illness-2-3.pdf","gsii/50371-history-of-present-illness-2-3.pdf")</f>
        <v/>
      </c>
      <c r="E999" t="n">
        <v>119960</v>
      </c>
      <c r="F999" t="n">
        <v>50371</v>
      </c>
      <c r="G999" t="inlineStr">
        <is>
          <t>Discharge summary</t>
        </is>
      </c>
      <c r="H999" t="inlineStr">
        <is>
          <t>history-of-present-illness</t>
        </is>
      </c>
      <c r="I999" t="inlineStr">
        <is>
          <t>CT ab/pelvis was performed in the setting of the Hct
drop, showing left hip intertrochanteric fracture, a large
retroperitoneal mass likely from left adrenal gland (non-urgent
MR recommended for further evaluation), and no retroperitoneal
hematoma on preliminary read.</t>
        </is>
      </c>
    </row>
    <row r="1000">
      <c r="A1000" t="inlineStr">
        <is>
          <t>50371-history-of-present-illness-2-4</t>
        </is>
      </c>
      <c r="B1000" t="inlineStr"/>
      <c r="C1000" t="inlineStr"/>
      <c r="D1000">
        <f>HYPERLINK("http://nlpdeep.cs.uic.edu:8080/proofing/t5/50371-history-of-present-illness-2-4.pdf","t5/50371-history-of-present-illness-2-4.pdf")</f>
        <v/>
      </c>
      <c r="E1000" t="n">
        <v>119960</v>
      </c>
      <c r="F1000" t="n">
        <v>50371</v>
      </c>
      <c r="G1000" t="inlineStr">
        <is>
          <t>Discharge summary</t>
        </is>
      </c>
      <c r="H1000" t="inlineStr">
        <is>
          <t>history-of-present-illness</t>
        </is>
      </c>
      <c r="I1000" t="inlineStr">
        <is>
          <t>He was found to be guaiac
negative.</t>
        </is>
      </c>
    </row>
    <row r="1001">
      <c r="A1001" t="inlineStr">
        <is>
          <t>50371-history-of-present-illness-2-4</t>
        </is>
      </c>
      <c r="B1001" t="inlineStr"/>
      <c r="C1001" t="inlineStr"/>
      <c r="D1001">
        <f>HYPERLINK("http://nlpdeep.cs.uic.edu:8080/proofing/gsii/50371-history-of-present-illness-2-4.pdf","gsii/50371-history-of-present-illness-2-4.pdf")</f>
        <v/>
      </c>
      <c r="E1001" t="n">
        <v>119960</v>
      </c>
      <c r="F1001" t="n">
        <v>50371</v>
      </c>
      <c r="G1001" t="inlineStr">
        <is>
          <t>Discharge summary</t>
        </is>
      </c>
      <c r="H1001" t="inlineStr">
        <is>
          <t>history-of-present-illness</t>
        </is>
      </c>
      <c r="I1001" t="inlineStr">
        <is>
          <t>He was found to be guaiac
negative.</t>
        </is>
      </c>
    </row>
    <row r="1002">
      <c r="A1002" t="inlineStr">
        <is>
          <t>50371-history-of-present-illness-2-5</t>
        </is>
      </c>
      <c r="B1002" t="inlineStr"/>
      <c r="C1002" t="inlineStr"/>
      <c r="D1002">
        <f>HYPERLINK("http://nlpdeep.cs.uic.edu:8080/proofing/t5/50371-history-of-present-illness-2-5.pdf","t5/50371-history-of-present-illness-2-5.pdf")</f>
        <v/>
      </c>
      <c r="E1002" t="n">
        <v>119960</v>
      </c>
      <c r="F1002" t="n">
        <v>50371</v>
      </c>
      <c r="G1002" t="inlineStr">
        <is>
          <t>Discharge summary</t>
        </is>
      </c>
      <c r="H1002" t="inlineStr">
        <is>
          <t>history-of-present-illness</t>
        </is>
      </c>
      <c r="I1002" t="inlineStr">
        <is>
          <t>He continued with HR in 60s and systolics in 90s,
received an additional 1L IVF (and a second liter was begun
prior to transfer), and was typed and crossed for 2 units pRBC.</t>
        </is>
      </c>
    </row>
    <row r="1003">
      <c r="A1003" t="inlineStr">
        <is>
          <t>50371-history-of-present-illness-2-5</t>
        </is>
      </c>
      <c r="B1003" t="inlineStr"/>
      <c r="C1003" t="inlineStr"/>
      <c r="D1003">
        <f>HYPERLINK("http://nlpdeep.cs.uic.edu:8080/proofing/gsii/50371-history-of-present-illness-2-5.pdf","gsii/50371-history-of-present-illness-2-5.pdf")</f>
        <v/>
      </c>
      <c r="E1003" t="n">
        <v>119960</v>
      </c>
      <c r="F1003" t="n">
        <v>50371</v>
      </c>
      <c r="G1003" t="inlineStr">
        <is>
          <t>Discharge summary</t>
        </is>
      </c>
      <c r="H1003" t="inlineStr">
        <is>
          <t>history-of-present-illness</t>
        </is>
      </c>
      <c r="I1003" t="inlineStr">
        <is>
          <t>He continued with HR in 60s and systolics in 90s,
received an additional 1L IVF (and a second liter was begun
prior to transfer), and was typed and crossed for 2 units pRBC.</t>
        </is>
      </c>
    </row>
    <row r="1004">
      <c r="A1004" t="inlineStr">
        <is>
          <t>50371-history-of-present-illness-2-6</t>
        </is>
      </c>
      <c r="B1004" t="inlineStr"/>
      <c r="C1004" t="inlineStr"/>
      <c r="D1004">
        <f>HYPERLINK("http://nlpdeep.cs.uic.edu:8080/proofing/t5/50371-history-of-present-illness-2-6.pdf","t5/50371-history-of-present-illness-2-6.pdf")</f>
        <v/>
      </c>
      <c r="E1004" t="n">
        <v>119960</v>
      </c>
      <c r="F1004" t="n">
        <v>50371</v>
      </c>
      <c r="G1004" t="inlineStr">
        <is>
          <t>Discharge summary</t>
        </is>
      </c>
      <c r="H1004" t="inlineStr">
        <is>
          <t>history-of-present-illness</t>
        </is>
      </c>
      <c r="I1004" t="inlineStr">
        <is>
          <t xml:space="preserve">
CXR showed a retrocardiac opacity and he was given levofloxacin
750 mg for empiric pneumonia coverage after a single blood
culture was drawn.</t>
        </is>
      </c>
    </row>
    <row r="1005">
      <c r="A1005" t="inlineStr">
        <is>
          <t>50371-history-of-present-illness-2-6</t>
        </is>
      </c>
      <c r="B1005" t="inlineStr"/>
      <c r="C1005" t="inlineStr"/>
      <c r="D1005">
        <f>HYPERLINK("http://nlpdeep.cs.uic.edu:8080/proofing/gsii/50371-history-of-present-illness-2-6.pdf","gsii/50371-history-of-present-illness-2-6.pdf")</f>
        <v/>
      </c>
      <c r="E1005" t="n">
        <v>119960</v>
      </c>
      <c r="F1005" t="n">
        <v>50371</v>
      </c>
      <c r="G1005" t="inlineStr">
        <is>
          <t>Discharge summary</t>
        </is>
      </c>
      <c r="H1005" t="inlineStr">
        <is>
          <t>history-of-present-illness</t>
        </is>
      </c>
      <c r="I1005" t="inlineStr">
        <is>
          <t xml:space="preserve">
CXR showed a retrocardiac opacity and he was given levofloxacin
750 mg for empiric pneumonia coverage after a single blood
culture was drawn.</t>
        </is>
      </c>
    </row>
    <row r="1006">
      <c r="A1006" t="inlineStr">
        <is>
          <t>50371-history-of-present-illness-2-7</t>
        </is>
      </c>
      <c r="B1006" t="inlineStr"/>
      <c r="C1006" t="inlineStr"/>
      <c r="D1006">
        <f>HYPERLINK("http://nlpdeep.cs.uic.edu:8080/proofing/t5/50371-history-of-present-illness-2-7.pdf","t5/50371-history-of-present-illness-2-7.pdf")</f>
        <v/>
      </c>
      <c r="E1006" t="n">
        <v>119960</v>
      </c>
      <c r="F1006" t="n">
        <v>50371</v>
      </c>
      <c r="G1006" t="inlineStr">
        <is>
          <t>Discharge summary</t>
        </is>
      </c>
      <c r="H1006" t="inlineStr">
        <is>
          <t>history-of-present-illness</t>
        </is>
      </c>
      <c r="I1006" t="inlineStr">
        <is>
          <t>A Foley was placed.</t>
        </is>
      </c>
    </row>
    <row r="1007">
      <c r="A1007" t="inlineStr">
        <is>
          <t>50371-history-of-present-illness-2-7</t>
        </is>
      </c>
      <c r="B1007" t="inlineStr"/>
      <c r="C1007" t="inlineStr"/>
      <c r="D1007">
        <f>HYPERLINK("http://nlpdeep.cs.uic.edu:8080/proofing/gsii/50371-history-of-present-illness-2-7.pdf","gsii/50371-history-of-present-illness-2-7.pdf")</f>
        <v/>
      </c>
      <c r="E1007" t="n">
        <v>119960</v>
      </c>
      <c r="F1007" t="n">
        <v>50371</v>
      </c>
      <c r="G1007" t="inlineStr">
        <is>
          <t>Discharge summary</t>
        </is>
      </c>
      <c r="H1007" t="inlineStr">
        <is>
          <t>history-of-present-illness</t>
        </is>
      </c>
      <c r="I1007" t="inlineStr">
        <is>
          <t>A Foley was placed.</t>
        </is>
      </c>
    </row>
    <row r="1008">
      <c r="A1008" t="inlineStr">
        <is>
          <t>50371-history-of-present-illness-2-8</t>
        </is>
      </c>
      <c r="B1008" t="inlineStr"/>
      <c r="C1008" t="inlineStr"/>
      <c r="D1008">
        <f>HYPERLINK("http://nlpdeep.cs.uic.edu:8080/proofing/t5/50371-history-of-present-illness-2-8.pdf","t5/50371-history-of-present-illness-2-8.pdf")</f>
        <v/>
      </c>
      <c r="E1008" t="n">
        <v>119960</v>
      </c>
      <c r="F1008" t="n">
        <v>50371</v>
      </c>
      <c r="G1008" t="inlineStr">
        <is>
          <t>Discharge summary</t>
        </is>
      </c>
      <c r="H1008" t="inlineStr">
        <is>
          <t>history-of-present-illness</t>
        </is>
      </c>
      <c r="I1008" t="inlineStr">
        <is>
          <t>Transfer vitals in the ED
were HR 64, RR19 100% on 4L (desatted after NS to low 90s),
88/48.</t>
        </is>
      </c>
    </row>
    <row r="1009">
      <c r="A1009" t="inlineStr">
        <is>
          <t>50371-history-of-present-illness-2-8</t>
        </is>
      </c>
      <c r="B1009" t="inlineStr"/>
      <c r="C1009" t="inlineStr"/>
      <c r="D1009">
        <f>HYPERLINK("http://nlpdeep.cs.uic.edu:8080/proofing/gsii/50371-history-of-present-illness-2-8.pdf","gsii/50371-history-of-present-illness-2-8.pdf")</f>
        <v/>
      </c>
      <c r="E1009" t="n">
        <v>119960</v>
      </c>
      <c r="F1009" t="n">
        <v>50371</v>
      </c>
      <c r="G1009" t="inlineStr">
        <is>
          <t>Discharge summary</t>
        </is>
      </c>
      <c r="H1009" t="inlineStr">
        <is>
          <t>history-of-present-illness</t>
        </is>
      </c>
      <c r="I1009" t="inlineStr">
        <is>
          <t>Transfer vitals in the ED
were HR 64, RR19 100% on 4L (desatted after NS to low 90s),
88/48.</t>
        </is>
      </c>
    </row>
    <row r="1010">
      <c r="A1010" t="inlineStr">
        <is>
          <t>50371-history-of-present-illness-3-0</t>
        </is>
      </c>
      <c r="B1010" t="inlineStr"/>
      <c r="C1010" t="inlineStr"/>
      <c r="D1010">
        <f>HYPERLINK("http://nlpdeep.cs.uic.edu:8080/proofing/t5/50371-history-of-present-illness-3-0.pdf","t5/50371-history-of-present-illness-3-0.pdf")</f>
        <v/>
      </c>
      <c r="E1010" t="n">
        <v>119960</v>
      </c>
      <c r="F1010" t="n">
        <v>50371</v>
      </c>
      <c r="G1010" t="inlineStr">
        <is>
          <t>Discharge summary</t>
        </is>
      </c>
      <c r="H1010" t="inlineStr">
        <is>
          <t>history-of-present-illness</t>
        </is>
      </c>
      <c r="I1010" t="inlineStr">
        <is>
          <t xml:space="preserve">
The patient was admitted to the MICU, where initial vitals were
HR 69 BP 102/63-120/75, RR 32-20, SpO2 100% on 1L NC.</t>
        </is>
      </c>
    </row>
    <row r="1011">
      <c r="A1011" t="inlineStr">
        <is>
          <t>50371-history-of-present-illness-3-0</t>
        </is>
      </c>
      <c r="B1011" t="inlineStr"/>
      <c r="C1011" t="inlineStr"/>
      <c r="D1011">
        <f>HYPERLINK("http://nlpdeep.cs.uic.edu:8080/proofing/gsii/50371-history-of-present-illness-3-0.pdf","gsii/50371-history-of-present-illness-3-0.pdf")</f>
        <v/>
      </c>
      <c r="E1011" t="n">
        <v>119960</v>
      </c>
      <c r="F1011" t="n">
        <v>50371</v>
      </c>
      <c r="G1011" t="inlineStr">
        <is>
          <t>Discharge summary</t>
        </is>
      </c>
      <c r="H1011" t="inlineStr">
        <is>
          <t>history-of-present-illness</t>
        </is>
      </c>
      <c r="I1011" t="inlineStr">
        <is>
          <t xml:space="preserve">
The patient was admitted to the MICU, where initial vitals were
HR 69 BP 102/63-120/75, RR 32-20, SpO2 100% on 1L NC.</t>
        </is>
      </c>
    </row>
    <row r="1012">
      <c r="A1012" t="inlineStr">
        <is>
          <t>50371-history-of-present-illness-4-0</t>
        </is>
      </c>
      <c r="B1012" t="inlineStr"/>
      <c r="C1012" t="inlineStr"/>
      <c r="D1012">
        <f>HYPERLINK("http://nlpdeep.cs.uic.edu:8080/proofing/t5/50371-history-of-present-illness-4-0.pdf","t5/50371-history-of-present-illness-4-0.pdf")</f>
        <v/>
      </c>
      <c r="E1012" t="n">
        <v>119960</v>
      </c>
      <c r="F1012" t="n">
        <v>50371</v>
      </c>
      <c r="G1012" t="inlineStr">
        <is>
          <t>Discharge summary</t>
        </is>
      </c>
      <c r="H1012" t="inlineStr">
        <is>
          <t>history-of-present-illness</t>
        </is>
      </c>
      <c r="I1012" t="inlineStr">
        <is>
          <t xml:space="preserve">
On ROS, the patient denies any LOC, dizziness/lightheadedness,
recent diarrhea (though had diarrhea in prior admission).</t>
        </is>
      </c>
    </row>
    <row r="1013">
      <c r="A1013" t="inlineStr">
        <is>
          <t>50371-history-of-present-illness-4-0</t>
        </is>
      </c>
      <c r="B1013" t="inlineStr"/>
      <c r="C1013" t="inlineStr"/>
      <c r="D1013">
        <f>HYPERLINK("http://nlpdeep.cs.uic.edu:8080/proofing/gsii/50371-history-of-present-illness-4-0.pdf","gsii/50371-history-of-present-illness-4-0.pdf")</f>
        <v/>
      </c>
      <c r="E1013" t="n">
        <v>119960</v>
      </c>
      <c r="F1013" t="n">
        <v>50371</v>
      </c>
      <c r="G1013" t="inlineStr">
        <is>
          <t>Discharge summary</t>
        </is>
      </c>
      <c r="H1013" t="inlineStr">
        <is>
          <t>history-of-present-illness</t>
        </is>
      </c>
      <c r="I1013" t="inlineStr">
        <is>
          <t xml:space="preserve">
On ROS, the patient denies any LOC, dizziness/lightheadedness,
recent diarrhea (though had diarrhea in prior admission).</t>
        </is>
      </c>
    </row>
    <row r="1014">
      <c r="A1014" t="inlineStr">
        <is>
          <t>50371-history-of-present-illness-4-1</t>
        </is>
      </c>
      <c r="B1014" t="inlineStr"/>
      <c r="C1014" t="inlineStr"/>
      <c r="D1014">
        <f>HYPERLINK("http://nlpdeep.cs.uic.edu:8080/proofing/t5/50371-history-of-present-illness-4-1.pdf","t5/50371-history-of-present-illness-4-1.pdf")</f>
        <v/>
      </c>
      <c r="E1014" t="n">
        <v>119960</v>
      </c>
      <c r="F1014" t="n">
        <v>50371</v>
      </c>
      <c r="G1014" t="inlineStr">
        <is>
          <t>Discharge summary</t>
        </is>
      </c>
      <c r="H1014" t="inlineStr">
        <is>
          <t>history-of-present-illness</t>
        </is>
      </c>
      <c r="I1014" t="inlineStr">
        <is>
          <t>+cough
with small amounts of yellowish sputum but not in past few days.</t>
        </is>
      </c>
    </row>
    <row r="1015">
      <c r="A1015" t="inlineStr">
        <is>
          <t>50371-history-of-present-illness-4-1</t>
        </is>
      </c>
      <c r="B1015" t="inlineStr"/>
      <c r="C1015" t="inlineStr"/>
      <c r="D1015">
        <f>HYPERLINK("http://nlpdeep.cs.uic.edu:8080/proofing/gsii/50371-history-of-present-illness-4-1.pdf","gsii/50371-history-of-present-illness-4-1.pdf")</f>
        <v/>
      </c>
      <c r="E1015" t="n">
        <v>119960</v>
      </c>
      <c r="F1015" t="n">
        <v>50371</v>
      </c>
      <c r="G1015" t="inlineStr">
        <is>
          <t>Discharge summary</t>
        </is>
      </c>
      <c r="H1015" t="inlineStr">
        <is>
          <t>history-of-present-illness</t>
        </is>
      </c>
      <c r="I1015" t="inlineStr">
        <is>
          <t>+cough
with small amounts of yellowish sputum but not in past few days.</t>
        </is>
      </c>
    </row>
    <row r="1016">
      <c r="A1016" t="inlineStr">
        <is>
          <t>50371-history-of-present-illness-4-2</t>
        </is>
      </c>
      <c r="B1016" t="inlineStr"/>
      <c r="C1016" t="inlineStr"/>
      <c r="D1016">
        <f>HYPERLINK("http://nlpdeep.cs.uic.edu:8080/proofing/t5/50371-history-of-present-illness-4-2.pdf","t5/50371-history-of-present-illness-4-2.pdf")</f>
        <v/>
      </c>
      <c r="E1016" t="n">
        <v>119960</v>
      </c>
      <c r="F1016" t="n">
        <v>50371</v>
      </c>
      <c r="G1016" t="inlineStr">
        <is>
          <t>Discharge summary</t>
        </is>
      </c>
      <c r="H1016" t="inlineStr">
        <is>
          <t>history-of-present-illness</t>
        </is>
      </c>
      <c r="I1016" t="inlineStr">
        <is>
          <t xml:space="preserve">
No fevers.</t>
        </is>
      </c>
    </row>
    <row r="1017">
      <c r="A1017" t="inlineStr">
        <is>
          <t>50371-history-of-present-illness-4-2</t>
        </is>
      </c>
      <c r="B1017" t="inlineStr"/>
      <c r="C1017" t="inlineStr"/>
      <c r="D1017">
        <f>HYPERLINK("http://nlpdeep.cs.uic.edu:8080/proofing/gsii/50371-history-of-present-illness-4-2.pdf","gsii/50371-history-of-present-illness-4-2.pdf")</f>
        <v/>
      </c>
      <c r="E1017" t="n">
        <v>119960</v>
      </c>
      <c r="F1017" t="n">
        <v>50371</v>
      </c>
      <c r="G1017" t="inlineStr">
        <is>
          <t>Discharge summary</t>
        </is>
      </c>
      <c r="H1017" t="inlineStr">
        <is>
          <t>history-of-present-illness</t>
        </is>
      </c>
      <c r="I1017" t="inlineStr">
        <is>
          <t xml:space="preserve">
No fevers.</t>
        </is>
      </c>
    </row>
    <row r="1018">
      <c r="A1018" t="inlineStr">
        <is>
          <t>50371-past-medical-history-0-0</t>
        </is>
      </c>
      <c r="B1018" t="inlineStr"/>
      <c r="C1018" t="inlineStr"/>
      <c r="D1018">
        <f>HYPERLINK("http://nlpdeep.cs.uic.edu:8080/proofing/t5/50371-past-medical-history-0-0.pdf","t5/50371-past-medical-history-0-0.pdf")</f>
        <v/>
      </c>
      <c r="E1018" t="n">
        <v>119960</v>
      </c>
      <c r="F1018" t="n">
        <v>50371</v>
      </c>
      <c r="G1018" t="inlineStr">
        <is>
          <t>Discharge summary</t>
        </is>
      </c>
      <c r="H1018" t="inlineStr">
        <is>
          <t>past-medical-history</t>
        </is>
      </c>
      <c r="I1018" t="inlineStr">
        <is>
          <t>-Congestive heart failure with preserved LVEF (65% 1/10) --&gt; per
DCS from [**2-8**], thought to have left HF leading to right HF
without primary pulm HTN
-Chronic Atrial fibrillation, not on warfarin given recent UGIB
([**2-8**])
-Pulmonary artery hypertension (30mmHg + RA [**11-6**])
-Mild MR, moderate TR, mild AI, mild AS (peak 25 mmHg [**11-6**])
-Mild ascending aortic dilatation (3.7 cm)
-Left ventricular hypertrophy
-Prostate enlargement (followed by Dr. [**Last Name (STitle) **] [**Last Name (STitle) 79**])
-Hypertension
-Hypercholesterolemia
-Severe essential tremor, since [**2076**] (WWII)
-Venous stasis, followed by Dr.</t>
        </is>
      </c>
    </row>
    <row r="1019">
      <c r="A1019" t="inlineStr">
        <is>
          <t>50371-past-medical-history-0-0</t>
        </is>
      </c>
      <c r="B1019" t="inlineStr"/>
      <c r="C1019" t="inlineStr"/>
      <c r="D1019">
        <f>HYPERLINK("http://nlpdeep.cs.uic.edu:8080/proofing/gsii/50371-past-medical-history-0-0.pdf","gsii/50371-past-medical-history-0-0.pdf")</f>
        <v/>
      </c>
      <c r="E1019" t="n">
        <v>119960</v>
      </c>
      <c r="F1019" t="n">
        <v>50371</v>
      </c>
      <c r="G1019" t="inlineStr">
        <is>
          <t>Discharge summary</t>
        </is>
      </c>
      <c r="H1019" t="inlineStr">
        <is>
          <t>past-medical-history</t>
        </is>
      </c>
      <c r="I1019" t="inlineStr">
        <is>
          <t>-Congestive heart failure with preserved LVEF (65% 1/10) --&gt; per
DCS from [**2-8**], thought to have left HF leading to right HF
without primary pulm HTN
-Chronic Atrial fibrillation, not on warfarin given recent UGIB
([**2-8**])
-Pulmonary artery hypertension (30mmHg + RA [**11-6**])
-Mild MR, moderate TR, mild AI, mild AS (peak 25 mmHg [**11-6**])
-Mild ascending aortic dilatation (3.7 cm)
-Left ventricular hypertrophy
-Prostate enlargement (followed by Dr. [**Last Name (STitle) **] [**Last Name (STitle) 79**])
-Hypertension
-Hypercholesterolemia
-Severe essential tremor, since [**2076**] (WWII)
-Venous stasis, followed by Dr.</t>
        </is>
      </c>
    </row>
    <row r="1020">
      <c r="A1020" t="inlineStr">
        <is>
          <t>50371-past-medical-history-0-1</t>
        </is>
      </c>
      <c r="B1020" t="inlineStr"/>
      <c r="C1020" t="inlineStr"/>
      <c r="D1020">
        <f>HYPERLINK("http://nlpdeep.cs.uic.edu:8080/proofing/t5/50371-past-medical-history-0-1.pdf","t5/50371-past-medical-history-0-1.pdf")</f>
        <v/>
      </c>
      <c r="E1020" t="n">
        <v>119960</v>
      </c>
      <c r="F1020" t="n">
        <v>50371</v>
      </c>
      <c r="G1020" t="inlineStr">
        <is>
          <t>Discharge summary</t>
        </is>
      </c>
      <c r="H1020" t="inlineStr">
        <is>
          <t>past-medical-history</t>
        </is>
      </c>
      <c r="I1020" t="inlineStr">
        <is>
          <t>[**Last Name (STitle) **]
[**Name (STitle) 104985**] hernia repair
-Anemia, multifactorial (chronic illness, CKD, recent GIB)
-Hemorrhoid repair
-History of MRSA cellulitis ([**2-7**])
-Chronic Renal Failure [**1-31**] poor forward flow from CHF: Stage IV
with eGFR of 24 ml/min (MDRD).</t>
        </is>
      </c>
    </row>
    <row r="1021">
      <c r="A1021" t="inlineStr">
        <is>
          <t>50371-past-medical-history-0-1</t>
        </is>
      </c>
      <c r="B1021" t="inlineStr"/>
      <c r="C1021" t="inlineStr"/>
      <c r="D1021">
        <f>HYPERLINK("http://nlpdeep.cs.uic.edu:8080/proofing/gsii/50371-past-medical-history-0-1.pdf","gsii/50371-past-medical-history-0-1.pdf")</f>
        <v/>
      </c>
      <c r="E1021" t="n">
        <v>119960</v>
      </c>
      <c r="F1021" t="n">
        <v>50371</v>
      </c>
      <c r="G1021" t="inlineStr">
        <is>
          <t>Discharge summary</t>
        </is>
      </c>
      <c r="H1021" t="inlineStr">
        <is>
          <t>past-medical-history</t>
        </is>
      </c>
      <c r="I1021" t="inlineStr">
        <is>
          <t>[**Last Name (STitle) **]
[**Name (STitle) 104985**] hernia repair
-Anemia, multifactorial (chronic illness, CKD, recent GIB)
-Hemorrhoid repair
-History of MRSA cellulitis ([**2-7**])
-Chronic Renal Failure [**1-31**] poor forward flow from CHF: Stage IV
with eGFR of 24 ml/min (MDRD).</t>
        </is>
      </c>
    </row>
    <row r="1022">
      <c r="A1022" t="inlineStr">
        <is>
          <t>50371-past-medical-history-0-2</t>
        </is>
      </c>
      <c r="B1022" t="inlineStr"/>
      <c r="C1022" t="inlineStr"/>
      <c r="D1022">
        <f>HYPERLINK("http://nlpdeep.cs.uic.edu:8080/proofing/t5/50371-past-medical-history-0-2.pdf","t5/50371-past-medical-history-0-2.pdf")</f>
        <v/>
      </c>
      <c r="E1022" t="n">
        <v>119960</v>
      </c>
      <c r="F1022" t="n">
        <v>50371</v>
      </c>
      <c r="G1022" t="inlineStr">
        <is>
          <t>Discharge summary</t>
        </is>
      </c>
      <c r="H1022" t="inlineStr">
        <is>
          <t>past-medical-history</t>
        </is>
      </c>
      <c r="I1022" t="inlineStr">
        <is>
          <t>Near dialysis.</t>
        </is>
      </c>
    </row>
    <row r="1023">
      <c r="A1023" t="inlineStr">
        <is>
          <t>50371-past-medical-history-0-2</t>
        </is>
      </c>
      <c r="B1023" t="inlineStr"/>
      <c r="C1023" t="inlineStr"/>
      <c r="D1023">
        <f>HYPERLINK("http://nlpdeep.cs.uic.edu:8080/proofing/gsii/50371-past-medical-history-0-2.pdf","gsii/50371-past-medical-history-0-2.pdf")</f>
        <v/>
      </c>
      <c r="E1023" t="n">
        <v>119960</v>
      </c>
      <c r="F1023" t="n">
        <v>50371</v>
      </c>
      <c r="G1023" t="inlineStr">
        <is>
          <t>Discharge summary</t>
        </is>
      </c>
      <c r="H1023" t="inlineStr">
        <is>
          <t>past-medical-history</t>
        </is>
      </c>
      <c r="I1023" t="inlineStr">
        <is>
          <t>Near dialysis.</t>
        </is>
      </c>
    </row>
    <row r="1024">
      <c r="A1024" t="inlineStr">
        <is>
          <t>50371-past-medical-history-0-3</t>
        </is>
      </c>
      <c r="B1024" t="inlineStr"/>
      <c r="C1024" t="inlineStr"/>
      <c r="D1024">
        <f>HYPERLINK("http://nlpdeep.cs.uic.edu:8080/proofing/t5/50371-past-medical-history-0-3.pdf","t5/50371-past-medical-history-0-3.pdf")</f>
        <v/>
      </c>
      <c r="E1024" t="n">
        <v>119960</v>
      </c>
      <c r="F1024" t="n">
        <v>50371</v>
      </c>
      <c r="G1024" t="inlineStr">
        <is>
          <t>Discharge summary</t>
        </is>
      </c>
      <c r="H1024" t="inlineStr">
        <is>
          <t>past-medical-history</t>
        </is>
      </c>
      <c r="I1024" t="inlineStr">
        <is>
          <t>Recommend to check
PTH every 3 months with target of 70-110.</t>
        </is>
      </c>
    </row>
    <row r="1025">
      <c r="A1025" t="inlineStr">
        <is>
          <t>50371-past-medical-history-0-3</t>
        </is>
      </c>
      <c r="B1025" t="inlineStr"/>
      <c r="C1025" t="inlineStr"/>
      <c r="D1025">
        <f>HYPERLINK("http://nlpdeep.cs.uic.edu:8080/proofing/gsii/50371-past-medical-history-0-3.pdf","gsii/50371-past-medical-history-0-3.pdf")</f>
        <v/>
      </c>
      <c r="E1025" t="n">
        <v>119960</v>
      </c>
      <c r="F1025" t="n">
        <v>50371</v>
      </c>
      <c r="G1025" t="inlineStr">
        <is>
          <t>Discharge summary</t>
        </is>
      </c>
      <c r="H1025" t="inlineStr">
        <is>
          <t>past-medical-history</t>
        </is>
      </c>
      <c r="I1025" t="inlineStr">
        <is>
          <t>Recommend to check
PTH every 3 months with target of 70-110.</t>
        </is>
      </c>
    </row>
    <row r="1026">
      <c r="A1026" t="inlineStr">
        <is>
          <t>50371-past-medical-history-0-4</t>
        </is>
      </c>
      <c r="B1026" t="inlineStr"/>
      <c r="C1026" t="inlineStr"/>
      <c r="D1026">
        <f>HYPERLINK("http://nlpdeep.cs.uic.edu:8080/proofing/t5/50371-past-medical-history-0-4.pdf","t5/50371-past-medical-history-0-4.pdf")</f>
        <v/>
      </c>
      <c r="E1026" t="n">
        <v>119960</v>
      </c>
      <c r="F1026" t="n">
        <v>50371</v>
      </c>
      <c r="G1026" t="inlineStr">
        <is>
          <t>Discharge summary</t>
        </is>
      </c>
      <c r="H1026" t="inlineStr">
        <is>
          <t>past-medical-history</t>
        </is>
      </c>
      <c r="I1026" t="inlineStr">
        <is>
          <t xml:space="preserve">
-Left foot abscess s/p I&amp;D
-Multiple episodes of C.</t>
        </is>
      </c>
    </row>
    <row r="1027">
      <c r="A1027" t="inlineStr">
        <is>
          <t>50371-past-medical-history-0-4</t>
        </is>
      </c>
      <c r="B1027" t="inlineStr"/>
      <c r="C1027" t="inlineStr"/>
      <c r="D1027">
        <f>HYPERLINK("http://nlpdeep.cs.uic.edu:8080/proofing/gsii/50371-past-medical-history-0-4.pdf","gsii/50371-past-medical-history-0-4.pdf")</f>
        <v/>
      </c>
      <c r="E1027" t="n">
        <v>119960</v>
      </c>
      <c r="F1027" t="n">
        <v>50371</v>
      </c>
      <c r="G1027" t="inlineStr">
        <is>
          <t>Discharge summary</t>
        </is>
      </c>
      <c r="H1027" t="inlineStr">
        <is>
          <t>past-medical-history</t>
        </is>
      </c>
      <c r="I1027" t="inlineStr">
        <is>
          <t xml:space="preserve">
-Left foot abscess s/p I&amp;D
-Multiple episodes of C.</t>
        </is>
      </c>
    </row>
    <row r="1028">
      <c r="A1028" t="inlineStr">
        <is>
          <t>50371-past-medical-history-0-5</t>
        </is>
      </c>
      <c r="B1028" t="inlineStr"/>
      <c r="C1028" t="inlineStr"/>
      <c r="D1028">
        <f>HYPERLINK("http://nlpdeep.cs.uic.edu:8080/proofing/t5/50371-past-medical-history-0-5.pdf","t5/50371-past-medical-history-0-5.pdf")</f>
        <v/>
      </c>
      <c r="E1028" t="n">
        <v>119960</v>
      </c>
      <c r="F1028" t="n">
        <v>50371</v>
      </c>
      <c r="G1028" t="inlineStr">
        <is>
          <t>Discharge summary</t>
        </is>
      </c>
      <c r="H1028" t="inlineStr">
        <is>
          <t>past-medical-history</t>
        </is>
      </c>
      <c r="I1028" t="inlineStr"/>
    </row>
    <row r="1029">
      <c r="A1029" t="inlineStr">
        <is>
          <t>50371-past-medical-history-0-5</t>
        </is>
      </c>
      <c r="B1029" t="inlineStr"/>
      <c r="C1029" t="inlineStr"/>
      <c r="D1029">
        <f>HYPERLINK("http://nlpdeep.cs.uic.edu:8080/proofing/gsii/50371-past-medical-history-0-5.pdf","gsii/50371-past-medical-history-0-5.pdf")</f>
        <v/>
      </c>
      <c r="E1029" t="n">
        <v>119960</v>
      </c>
      <c r="F1029" t="n">
        <v>50371</v>
      </c>
      <c r="G1029" t="inlineStr">
        <is>
          <t>Discharge summary</t>
        </is>
      </c>
      <c r="H1029" t="inlineStr">
        <is>
          <t>past-medical-history</t>
        </is>
      </c>
      <c r="I1029" t="inlineStr"/>
    </row>
    <row r="1030">
      <c r="A1030" t="inlineStr">
        <is>
          <t>50371-past-medical-history-1-0</t>
        </is>
      </c>
      <c r="B1030" t="inlineStr"/>
      <c r="C1030" t="inlineStr"/>
      <c r="D1030">
        <f>HYPERLINK("http://nlpdeep.cs.uic.edu:8080/proofing/t5/50371-past-medical-history-1-0.pdf","t5/50371-past-medical-history-1-0.pdf")</f>
        <v/>
      </c>
      <c r="E1030" t="n">
        <v>119960</v>
      </c>
      <c r="F1030" t="n">
        <v>50371</v>
      </c>
      <c r="G1030" t="inlineStr">
        <is>
          <t>Discharge summary</t>
        </is>
      </c>
      <c r="H1030" t="inlineStr">
        <is>
          <t>past-medical-history</t>
        </is>
      </c>
      <c r="I1030" t="inlineStr"/>
    </row>
    <row r="1031">
      <c r="A1031" t="inlineStr">
        <is>
          <t>50371-past-medical-history-1-0</t>
        </is>
      </c>
      <c r="B1031" t="inlineStr"/>
      <c r="C1031" t="inlineStr"/>
      <c r="D1031">
        <f>HYPERLINK("http://nlpdeep.cs.uic.edu:8080/proofing/gsii/50371-past-medical-history-1-0.pdf","gsii/50371-past-medical-history-1-0.pdf")</f>
        <v/>
      </c>
      <c r="E1031" t="n">
        <v>119960</v>
      </c>
      <c r="F1031" t="n">
        <v>50371</v>
      </c>
      <c r="G1031" t="inlineStr">
        <is>
          <t>Discharge summary</t>
        </is>
      </c>
      <c r="H1031" t="inlineStr">
        <is>
          <t>past-medical-history</t>
        </is>
      </c>
      <c r="I1031" t="inlineStr"/>
    </row>
    <row r="1032">
      <c r="A1032" t="inlineStr">
        <is>
          <t>50371-past-medical-history-2-0</t>
        </is>
      </c>
      <c r="B1032" t="inlineStr"/>
      <c r="C1032" t="inlineStr"/>
      <c r="D1032">
        <f>HYPERLINK("http://nlpdeep.cs.uic.edu:8080/proofing/t5/50371-past-medical-history-2-0.pdf","t5/50371-past-medical-history-2-0.pdf")</f>
        <v/>
      </c>
      <c r="E1032" t="n">
        <v>119960</v>
      </c>
      <c r="F1032" t="n">
        <v>50371</v>
      </c>
      <c r="G1032" t="inlineStr">
        <is>
          <t>Discharge summary</t>
        </is>
      </c>
      <c r="H1032" t="inlineStr">
        <is>
          <t>past-medical-history</t>
        </is>
      </c>
      <c r="I1032" t="inlineStr">
        <is>
          <t xml:space="preserve">
[**2141-1-31**] to [**2141-2-15**]
-- also for CHF exacerbation, given lasix ggt and metolazone
-- supratherapeutic INR on admission, complicated by epistaxis
and melena (GI followed but endoscopy was deferred)
-- C diff colitis treated with ?</t>
        </is>
      </c>
    </row>
    <row r="1033">
      <c r="A1033" t="inlineStr">
        <is>
          <t>50371-past-medical-history-2-0</t>
        </is>
      </c>
      <c r="B1033" t="inlineStr"/>
      <c r="C1033" t="inlineStr"/>
      <c r="D1033">
        <f>HYPERLINK("http://nlpdeep.cs.uic.edu:8080/proofing/gsii/50371-past-medical-history-2-0.pdf","gsii/50371-past-medical-history-2-0.pdf")</f>
        <v/>
      </c>
      <c r="E1033" t="n">
        <v>119960</v>
      </c>
      <c r="F1033" t="n">
        <v>50371</v>
      </c>
      <c r="G1033" t="inlineStr">
        <is>
          <t>Discharge summary</t>
        </is>
      </c>
      <c r="H1033" t="inlineStr">
        <is>
          <t>past-medical-history</t>
        </is>
      </c>
      <c r="I1033" t="inlineStr">
        <is>
          <t xml:space="preserve">
[**2141-1-31**] to [**2141-2-15**]
-- also for CHF exacerbation, given lasix ggt and metolazone
-- supratherapeutic INR on admission, complicated by epistaxis
and melena (GI followed but endoscopy was deferred)
-- C diff colitis treated with ?</t>
        </is>
      </c>
    </row>
    <row r="1034">
      <c r="A1034" t="inlineStr">
        <is>
          <t>50371-past-medical-history-2-1</t>
        </is>
      </c>
      <c r="B1034" t="inlineStr"/>
      <c r="C1034" t="inlineStr"/>
      <c r="D1034">
        <f>HYPERLINK("http://nlpdeep.cs.uic.edu:8080/proofing/t5/50371-past-medical-history-2-1.pdf","t5/50371-past-medical-history-2-1.pdf")</f>
        <v/>
      </c>
      <c r="E1034" t="n">
        <v>119960</v>
      </c>
      <c r="F1034" t="n">
        <v>50371</v>
      </c>
      <c r="G1034" t="inlineStr">
        <is>
          <t>Discharge summary</t>
        </is>
      </c>
      <c r="H1034" t="inlineStr">
        <is>
          <t>past-medical-history</t>
        </is>
      </c>
      <c r="I1034" t="inlineStr"/>
    </row>
    <row r="1035">
      <c r="A1035" t="inlineStr">
        <is>
          <t>50371-past-medical-history-2-1</t>
        </is>
      </c>
      <c r="B1035" t="inlineStr"/>
      <c r="C1035" t="inlineStr"/>
      <c r="D1035">
        <f>HYPERLINK("http://nlpdeep.cs.uic.edu:8080/proofing/gsii/50371-past-medical-history-2-1.pdf","gsii/50371-past-medical-history-2-1.pdf")</f>
        <v/>
      </c>
      <c r="E1035" t="n">
        <v>119960</v>
      </c>
      <c r="F1035" t="n">
        <v>50371</v>
      </c>
      <c r="G1035" t="inlineStr">
        <is>
          <t>Discharge summary</t>
        </is>
      </c>
      <c r="H1035" t="inlineStr">
        <is>
          <t>past-medical-history</t>
        </is>
      </c>
      <c r="I1035" t="inlineStr"/>
    </row>
    <row r="1036">
      <c r="A1036" t="inlineStr">
        <is>
          <t>50371-past-medical-history-3-0</t>
        </is>
      </c>
      <c r="B1036" t="inlineStr"/>
      <c r="C1036" t="inlineStr"/>
      <c r="D1036">
        <f>HYPERLINK("http://nlpdeep.cs.uic.edu:8080/proofing/t5/50371-past-medical-history-3-0.pdf","t5/50371-past-medical-history-3-0.pdf")</f>
        <v/>
      </c>
      <c r="E1036" t="n">
        <v>119960</v>
      </c>
      <c r="F1036" t="n">
        <v>50371</v>
      </c>
      <c r="G1036" t="inlineStr">
        <is>
          <t>Discharge summary</t>
        </is>
      </c>
      <c r="H1036" t="inlineStr">
        <is>
          <t>past-medical-history</t>
        </is>
      </c>
      <c r="I1036" t="inlineStr"/>
    </row>
    <row r="1037">
      <c r="A1037" t="inlineStr">
        <is>
          <t>50371-past-medical-history-3-0</t>
        </is>
      </c>
      <c r="B1037" t="inlineStr"/>
      <c r="C1037" t="inlineStr"/>
      <c r="D1037">
        <f>HYPERLINK("http://nlpdeep.cs.uic.edu:8080/proofing/gsii/50371-past-medical-history-3-0.pdf","gsii/50371-past-medical-history-3-0.pdf")</f>
        <v/>
      </c>
      <c r="E1037" t="n">
        <v>119960</v>
      </c>
      <c r="F1037" t="n">
        <v>50371</v>
      </c>
      <c r="G1037" t="inlineStr">
        <is>
          <t>Discharge summary</t>
        </is>
      </c>
      <c r="H1037" t="inlineStr">
        <is>
          <t>past-medical-history</t>
        </is>
      </c>
      <c r="I1037" t="inlineStr"/>
    </row>
    <row r="1038">
      <c r="A1038" t="inlineStr">
        <is>
          <t>50371-past-medical-history-4-0</t>
        </is>
      </c>
      <c r="B1038" t="inlineStr"/>
      <c r="C1038" t="inlineStr"/>
      <c r="D1038">
        <f>HYPERLINK("http://nlpdeep.cs.uic.edu:8080/proofing/t5/50371-past-medical-history-4-0.pdf","t5/50371-past-medical-history-4-0.pdf")</f>
        <v/>
      </c>
      <c r="E1038" t="n">
        <v>119960</v>
      </c>
      <c r="F1038" t="n">
        <v>50371</v>
      </c>
      <c r="G1038" t="inlineStr">
        <is>
          <t>Discharge summary</t>
        </is>
      </c>
      <c r="H1038" t="inlineStr">
        <is>
          <t>past-medical-history</t>
        </is>
      </c>
      <c r="I1038" t="inlineStr">
        <is>
          <t xml:space="preserve">
[**2141-3-17**] to [**2141-3-31**]
-- Sent in by rehab for sleepiness, low Hct, weight gain, cough.</t>
        </is>
      </c>
    </row>
    <row r="1039">
      <c r="A1039" t="inlineStr">
        <is>
          <t>50371-past-medical-history-4-0</t>
        </is>
      </c>
      <c r="B1039" t="inlineStr"/>
      <c r="C1039" t="inlineStr"/>
      <c r="D1039">
        <f>HYPERLINK("http://nlpdeep.cs.uic.edu:8080/proofing/gsii/50371-past-medical-history-4-0.pdf","gsii/50371-past-medical-history-4-0.pdf")</f>
        <v/>
      </c>
      <c r="E1039" t="n">
        <v>119960</v>
      </c>
      <c r="F1039" t="n">
        <v>50371</v>
      </c>
      <c r="G1039" t="inlineStr">
        <is>
          <t>Discharge summary</t>
        </is>
      </c>
      <c r="H1039" t="inlineStr">
        <is>
          <t>past-medical-history</t>
        </is>
      </c>
      <c r="I1039" t="inlineStr">
        <is>
          <t xml:space="preserve">
[**2141-3-17**] to [**2141-3-31**]
-- Sent in by rehab for sleepiness, low Hct, weight gain, cough.</t>
        </is>
      </c>
    </row>
    <row r="1040">
      <c r="A1040" t="inlineStr">
        <is>
          <t>50371-past-medical-history-4-1</t>
        </is>
      </c>
      <c r="B1040" t="inlineStr"/>
      <c r="C1040" t="inlineStr"/>
      <c r="D1040">
        <f>HYPERLINK("http://nlpdeep.cs.uic.edu:8080/proofing/t5/50371-past-medical-history-4-1.pdf","t5/50371-past-medical-history-4-1.pdf")</f>
        <v/>
      </c>
      <c r="E1040" t="n">
        <v>119960</v>
      </c>
      <c r="F1040" t="n">
        <v>50371</v>
      </c>
      <c r="G1040" t="inlineStr">
        <is>
          <t>Discharge summary</t>
        </is>
      </c>
      <c r="H1040" t="inlineStr">
        <is>
          <t>past-medical-history</t>
        </is>
      </c>
      <c r="I1040" t="inlineStr">
        <is>
          <t xml:space="preserve">
-- C.</t>
        </is>
      </c>
    </row>
    <row r="1041">
      <c r="A1041" t="inlineStr">
        <is>
          <t>50371-past-medical-history-4-1</t>
        </is>
      </c>
      <c r="B1041" t="inlineStr"/>
      <c r="C1041" t="inlineStr"/>
      <c r="D1041">
        <f>HYPERLINK("http://nlpdeep.cs.uic.edu:8080/proofing/gsii/50371-past-medical-history-4-1.pdf","gsii/50371-past-medical-history-4-1.pdf")</f>
        <v/>
      </c>
      <c r="E1041" t="n">
        <v>119960</v>
      </c>
      <c r="F1041" t="n">
        <v>50371</v>
      </c>
      <c r="G1041" t="inlineStr">
        <is>
          <t>Discharge summary</t>
        </is>
      </c>
      <c r="H1041" t="inlineStr">
        <is>
          <t>past-medical-history</t>
        </is>
      </c>
      <c r="I1041" t="inlineStr">
        <is>
          <t xml:space="preserve">
-- C.</t>
        </is>
      </c>
    </row>
    <row r="1042">
      <c r="A1042" t="inlineStr">
        <is>
          <t>50371-past-medical-history-4-2</t>
        </is>
      </c>
      <c r="B1042" t="inlineStr"/>
      <c r="C1042" t="inlineStr"/>
      <c r="D1042">
        <f>HYPERLINK("http://nlpdeep.cs.uic.edu:8080/proofing/t5/50371-past-medical-history-4-2.pdf","t5/50371-past-medical-history-4-2.pdf")</f>
        <v/>
      </c>
      <c r="E1042" t="n">
        <v>119960</v>
      </c>
      <c r="F1042" t="n">
        <v>50371</v>
      </c>
      <c r="G1042" t="inlineStr">
        <is>
          <t>Discharge summary</t>
        </is>
      </c>
      <c r="H1042" t="inlineStr">
        <is>
          <t>past-medical-history</t>
        </is>
      </c>
      <c r="I1042" t="inlineStr">
        <is>
          <t>Diff colitis
-- GIB (Guaiac positive, had been on coumadin until [**Month (only) 956**]
when had presumed UGIB requiring 1U pRBC); transfused for Hct
23.5 (but near baseline of 24)
-- Hypotension to the 70s systolic (baseline 90-100s)
-- CHF
-- UTI
-- Acute on chronic kidney disease
-- Pancytopenia: found to be HIT antibody positive but serotonin
assay negative so not likely HIT; nonetheless heparin products
were avoided.</t>
        </is>
      </c>
    </row>
    <row r="1043">
      <c r="A1043" t="inlineStr">
        <is>
          <t>50371-past-medical-history-4-2</t>
        </is>
      </c>
      <c r="B1043" t="inlineStr"/>
      <c r="C1043" t="inlineStr"/>
      <c r="D1043">
        <f>HYPERLINK("http://nlpdeep.cs.uic.edu:8080/proofing/gsii/50371-past-medical-history-4-2.pdf","gsii/50371-past-medical-history-4-2.pdf")</f>
        <v/>
      </c>
      <c r="E1043" t="n">
        <v>119960</v>
      </c>
      <c r="F1043" t="n">
        <v>50371</v>
      </c>
      <c r="G1043" t="inlineStr">
        <is>
          <t>Discharge summary</t>
        </is>
      </c>
      <c r="H1043" t="inlineStr">
        <is>
          <t>past-medical-history</t>
        </is>
      </c>
      <c r="I1043" t="inlineStr">
        <is>
          <t>Diff colitis
-- GIB (Guaiac positive, had been on coumadin until [**Month (only) 956**]
when had presumed UGIB requiring 1U pRBC); transfused for Hct
23.5 (but near baseline of 24)
-- Hypotension to the 70s systolic (baseline 90-100s)
-- CHF
-- UTI
-- Acute on chronic kidney disease
-- Pancytopenia: found to be HIT antibody positive but serotonin
assay negative so not likely HIT; nonetheless heparin products
were avoided.</t>
        </is>
      </c>
    </row>
    <row r="1044">
      <c r="A1044" t="inlineStr">
        <is>
          <t>50371-past-medical-history-4-3</t>
        </is>
      </c>
      <c r="B1044" t="inlineStr"/>
      <c r="C1044" t="inlineStr"/>
      <c r="D1044">
        <f>HYPERLINK("http://nlpdeep.cs.uic.edu:8080/proofing/t5/50371-past-medical-history-4-3.pdf","t5/50371-past-medical-history-4-3.pdf")</f>
        <v/>
      </c>
      <c r="E1044" t="n">
        <v>119960</v>
      </c>
      <c r="F1044" t="n">
        <v>50371</v>
      </c>
      <c r="G1044" t="inlineStr">
        <is>
          <t>Discharge summary</t>
        </is>
      </c>
      <c r="H1044" t="inlineStr">
        <is>
          <t>past-medical-history</t>
        </is>
      </c>
      <c r="I1044" t="inlineStr">
        <is>
          <t>Pancytopenia improved over hospital course;
thought to be infection related.</t>
        </is>
      </c>
    </row>
    <row r="1045">
      <c r="A1045" t="inlineStr">
        <is>
          <t>50371-past-medical-history-4-3</t>
        </is>
      </c>
      <c r="B1045" t="inlineStr"/>
      <c r="C1045" t="inlineStr"/>
      <c r="D1045">
        <f>HYPERLINK("http://nlpdeep.cs.uic.edu:8080/proofing/gsii/50371-past-medical-history-4-3.pdf","gsii/50371-past-medical-history-4-3.pdf")</f>
        <v/>
      </c>
      <c r="E1045" t="n">
        <v>119960</v>
      </c>
      <c r="F1045" t="n">
        <v>50371</v>
      </c>
      <c r="G1045" t="inlineStr">
        <is>
          <t>Discharge summary</t>
        </is>
      </c>
      <c r="H1045" t="inlineStr">
        <is>
          <t>past-medical-history</t>
        </is>
      </c>
      <c r="I1045" t="inlineStr">
        <is>
          <t>Pancytopenia improved over hospital course;
thought to be infection related.</t>
        </is>
      </c>
    </row>
    <row r="1046">
      <c r="A1046" t="inlineStr">
        <is>
          <t>50371-past-medical-history-4-4</t>
        </is>
      </c>
      <c r="B1046" t="inlineStr"/>
      <c r="C1046" t="inlineStr"/>
      <c r="D1046">
        <f>HYPERLINK("http://nlpdeep.cs.uic.edu:8080/proofing/t5/50371-past-medical-history-4-4.pdf","t5/50371-past-medical-history-4-4.pdf")</f>
        <v/>
      </c>
      <c r="E1046" t="n">
        <v>119960</v>
      </c>
      <c r="F1046" t="n">
        <v>50371</v>
      </c>
      <c r="G1046" t="inlineStr">
        <is>
          <t>Discharge summary</t>
        </is>
      </c>
      <c r="H1046" t="inlineStr">
        <is>
          <t>past-medical-history</t>
        </is>
      </c>
      <c r="I1046" t="inlineStr">
        <is>
          <t xml:space="preserve">
-- Increased AP and GGT with elevated lipase and an abnormality
on ultrasound suggestive of a pancreatic mass.</t>
        </is>
      </c>
    </row>
    <row r="1047">
      <c r="A1047" t="inlineStr">
        <is>
          <t>50371-past-medical-history-4-4</t>
        </is>
      </c>
      <c r="B1047" t="inlineStr"/>
      <c r="C1047" t="inlineStr"/>
      <c r="D1047">
        <f>HYPERLINK("http://nlpdeep.cs.uic.edu:8080/proofing/gsii/50371-past-medical-history-4-4.pdf","gsii/50371-past-medical-history-4-4.pdf")</f>
        <v/>
      </c>
      <c r="E1047" t="n">
        <v>119960</v>
      </c>
      <c r="F1047" t="n">
        <v>50371</v>
      </c>
      <c r="G1047" t="inlineStr">
        <is>
          <t>Discharge summary</t>
        </is>
      </c>
      <c r="H1047" t="inlineStr">
        <is>
          <t>past-medical-history</t>
        </is>
      </c>
      <c r="I1047" t="inlineStr">
        <is>
          <t xml:space="preserve">
-- Increased AP and GGT with elevated lipase and an abnormality
on ultrasound suggestive of a pancreatic mass.</t>
        </is>
      </c>
    </row>
    <row r="1048">
      <c r="A1048" t="inlineStr">
        <is>
          <t>50371-past-medical-history-4-5</t>
        </is>
      </c>
      <c r="B1048" t="inlineStr"/>
      <c r="C1048" t="inlineStr"/>
      <c r="D1048">
        <f>HYPERLINK("http://nlpdeep.cs.uic.edu:8080/proofing/t5/50371-past-medical-history-4-5.pdf","t5/50371-past-medical-history-4-5.pdf")</f>
        <v/>
      </c>
      <c r="E1048" t="n">
        <v>119960</v>
      </c>
      <c r="F1048" t="n">
        <v>50371</v>
      </c>
      <c r="G1048" t="inlineStr">
        <is>
          <t>Discharge summary</t>
        </is>
      </c>
      <c r="H1048" t="inlineStr">
        <is>
          <t>past-medical-history</t>
        </is>
      </c>
      <c r="I1048" t="inlineStr">
        <is>
          <t>GI was consulted
and recommended an outpatient MRCP.</t>
        </is>
      </c>
    </row>
    <row r="1049">
      <c r="A1049" t="inlineStr">
        <is>
          <t>50371-past-medical-history-4-5</t>
        </is>
      </c>
      <c r="B1049" t="inlineStr"/>
      <c r="C1049" t="inlineStr"/>
      <c r="D1049">
        <f>HYPERLINK("http://nlpdeep.cs.uic.edu:8080/proofing/gsii/50371-past-medical-history-4-5.pdf","gsii/50371-past-medical-history-4-5.pdf")</f>
        <v/>
      </c>
      <c r="E1049" t="n">
        <v>119960</v>
      </c>
      <c r="F1049" t="n">
        <v>50371</v>
      </c>
      <c r="G1049" t="inlineStr">
        <is>
          <t>Discharge summary</t>
        </is>
      </c>
      <c r="H1049" t="inlineStr">
        <is>
          <t>past-medical-history</t>
        </is>
      </c>
      <c r="I1049" t="inlineStr">
        <is>
          <t>GI was consulted
and recommended an outpatient MRCP.</t>
        </is>
      </c>
    </row>
    <row r="1050">
      <c r="A1050" t="inlineStr">
        <is>
          <t>50371-social-history-0-0</t>
        </is>
      </c>
      <c r="B1050" t="inlineStr"/>
      <c r="C1050" t="inlineStr"/>
      <c r="D1050">
        <f>HYPERLINK("http://nlpdeep.cs.uic.edu:8080/proofing/t5/50371-social-history-0-0.pdf","t5/50371-social-history-0-0.pdf")</f>
        <v/>
      </c>
      <c r="E1050" t="n">
        <v>119960</v>
      </c>
      <c r="F1050" t="n">
        <v>50371</v>
      </c>
      <c r="G1050" t="inlineStr">
        <is>
          <t>Discharge summary</t>
        </is>
      </c>
      <c r="H1050" t="inlineStr">
        <is>
          <t>social-history</t>
        </is>
      </c>
      <c r="I1050" t="inlineStr">
        <is>
          <t>Usually lives with wife, married for &gt;50yrs, currently at [**Hospital 100**]
Rehab.</t>
        </is>
      </c>
    </row>
    <row r="1051">
      <c r="A1051" t="inlineStr">
        <is>
          <t>50371-social-history-0-0</t>
        </is>
      </c>
      <c r="B1051" t="inlineStr"/>
      <c r="C1051" t="inlineStr"/>
      <c r="D1051">
        <f>HYPERLINK("http://nlpdeep.cs.uic.edu:8080/proofing/gsii/50371-social-history-0-0.pdf","gsii/50371-social-history-0-0.pdf")</f>
        <v/>
      </c>
      <c r="E1051" t="n">
        <v>119960</v>
      </c>
      <c r="F1051" t="n">
        <v>50371</v>
      </c>
      <c r="G1051" t="inlineStr">
        <is>
          <t>Discharge summary</t>
        </is>
      </c>
      <c r="H1051" t="inlineStr">
        <is>
          <t>social-history</t>
        </is>
      </c>
      <c r="I1051" t="inlineStr">
        <is>
          <t>Usually lives with wife, married for &gt;50yrs, currently at [**Hospital 100**]
Rehab.</t>
        </is>
      </c>
    </row>
    <row r="1052">
      <c r="A1052" t="inlineStr">
        <is>
          <t>50371-social-history-0-1</t>
        </is>
      </c>
      <c r="B1052" t="inlineStr"/>
      <c r="C1052" t="inlineStr"/>
      <c r="D1052">
        <f>HYPERLINK("http://nlpdeep.cs.uic.edu:8080/proofing/t5/50371-social-history-0-1.pdf","t5/50371-social-history-0-1.pdf")</f>
        <v/>
      </c>
      <c r="E1052" t="n">
        <v>119960</v>
      </c>
      <c r="F1052" t="n">
        <v>50371</v>
      </c>
      <c r="G1052" t="inlineStr">
        <is>
          <t>Discharge summary</t>
        </is>
      </c>
      <c r="H1052" t="inlineStr">
        <is>
          <t>social-history</t>
        </is>
      </c>
      <c r="I1052" t="inlineStr">
        <is>
          <t>3 children.</t>
        </is>
      </c>
    </row>
    <row r="1053">
      <c r="A1053" t="inlineStr">
        <is>
          <t>50371-social-history-0-1</t>
        </is>
      </c>
      <c r="B1053" t="inlineStr"/>
      <c r="C1053" t="inlineStr"/>
      <c r="D1053">
        <f>HYPERLINK("http://nlpdeep.cs.uic.edu:8080/proofing/gsii/50371-social-history-0-1.pdf","gsii/50371-social-history-0-1.pdf")</f>
        <v/>
      </c>
      <c r="E1053" t="n">
        <v>119960</v>
      </c>
      <c r="F1053" t="n">
        <v>50371</v>
      </c>
      <c r="G1053" t="inlineStr">
        <is>
          <t>Discharge summary</t>
        </is>
      </c>
      <c r="H1053" t="inlineStr">
        <is>
          <t>social-history</t>
        </is>
      </c>
      <c r="I1053" t="inlineStr">
        <is>
          <t>3 children.</t>
        </is>
      </c>
    </row>
    <row r="1054">
      <c r="A1054" t="inlineStr">
        <is>
          <t>50371-social-history-0-2</t>
        </is>
      </c>
      <c r="B1054" t="inlineStr"/>
      <c r="C1054" t="inlineStr"/>
      <c r="D1054">
        <f>HYPERLINK("http://nlpdeep.cs.uic.edu:8080/proofing/t5/50371-social-history-0-2.pdf","t5/50371-social-history-0-2.pdf")</f>
        <v/>
      </c>
      <c r="E1054" t="n">
        <v>119960</v>
      </c>
      <c r="F1054" t="n">
        <v>50371</v>
      </c>
      <c r="G1054" t="inlineStr">
        <is>
          <t>Discharge summary</t>
        </is>
      </c>
      <c r="H1054" t="inlineStr">
        <is>
          <t>social-history</t>
        </is>
      </c>
      <c r="I1054" t="inlineStr">
        <is>
          <t>No tobacco, EtOH, IVDU.</t>
        </is>
      </c>
    </row>
    <row r="1055">
      <c r="A1055" t="inlineStr">
        <is>
          <t>50371-social-history-0-2</t>
        </is>
      </c>
      <c r="B1055" t="inlineStr"/>
      <c r="C1055" t="inlineStr"/>
      <c r="D1055">
        <f>HYPERLINK("http://nlpdeep.cs.uic.edu:8080/proofing/gsii/50371-social-history-0-2.pdf","gsii/50371-social-history-0-2.pdf")</f>
        <v/>
      </c>
      <c r="E1055" t="n">
        <v>119960</v>
      </c>
      <c r="F1055" t="n">
        <v>50371</v>
      </c>
      <c r="G1055" t="inlineStr">
        <is>
          <t>Discharge summary</t>
        </is>
      </c>
      <c r="H1055" t="inlineStr">
        <is>
          <t>social-history</t>
        </is>
      </c>
      <c r="I1055" t="inlineStr">
        <is>
          <t>No tobacco, EtOH, IVDU.</t>
        </is>
      </c>
    </row>
    <row r="1056">
      <c r="A1056" t="inlineStr">
        <is>
          <t>50371-social-history-0-3</t>
        </is>
      </c>
      <c r="B1056" t="inlineStr"/>
      <c r="C1056" t="inlineStr"/>
      <c r="D1056">
        <f>HYPERLINK("http://nlpdeep.cs.uic.edu:8080/proofing/t5/50371-social-history-0-3.pdf","t5/50371-social-history-0-3.pdf")</f>
        <v/>
      </c>
      <c r="E1056" t="n">
        <v>119960</v>
      </c>
      <c r="F1056" t="n">
        <v>50371</v>
      </c>
      <c r="G1056" t="inlineStr">
        <is>
          <t>Discharge summary</t>
        </is>
      </c>
      <c r="H1056" t="inlineStr">
        <is>
          <t>social-history</t>
        </is>
      </c>
      <c r="I1056" t="inlineStr">
        <is>
          <t>Retired, formerly
worked manufacturing and distributing batteries.</t>
        </is>
      </c>
    </row>
    <row r="1057">
      <c r="A1057" t="inlineStr">
        <is>
          <t>50371-social-history-0-3</t>
        </is>
      </c>
      <c r="B1057" t="inlineStr"/>
      <c r="C1057" t="inlineStr"/>
      <c r="D1057">
        <f>HYPERLINK("http://nlpdeep.cs.uic.edu:8080/proofing/gsii/50371-social-history-0-3.pdf","gsii/50371-social-history-0-3.pdf")</f>
        <v/>
      </c>
      <c r="E1057" t="n">
        <v>119960</v>
      </c>
      <c r="F1057" t="n">
        <v>50371</v>
      </c>
      <c r="G1057" t="inlineStr">
        <is>
          <t>Discharge summary</t>
        </is>
      </c>
      <c r="H1057" t="inlineStr">
        <is>
          <t>social-history</t>
        </is>
      </c>
      <c r="I1057" t="inlineStr">
        <is>
          <t>Retired, formerly
worked manufacturing and distributing batteries.</t>
        </is>
      </c>
    </row>
    <row r="1058">
      <c r="A1058" t="inlineStr">
        <is>
          <t>50371-social-history-0-4</t>
        </is>
      </c>
      <c r="B1058" t="inlineStr"/>
      <c r="C1058" t="inlineStr"/>
      <c r="D1058">
        <f>HYPERLINK("http://nlpdeep.cs.uic.edu:8080/proofing/t5/50371-social-history-0-4.pdf","t5/50371-social-history-0-4.pdf")</f>
        <v/>
      </c>
      <c r="E1058" t="n">
        <v>119960</v>
      </c>
      <c r="F1058" t="n">
        <v>50371</v>
      </c>
      <c r="G1058" t="inlineStr">
        <is>
          <t>Discharge summary</t>
        </is>
      </c>
      <c r="H1058" t="inlineStr">
        <is>
          <t>social-history</t>
        </is>
      </c>
      <c r="I1058" t="inlineStr">
        <is>
          <t>He smoked
cigars for 2-3 years and quit &gt;45 years ago.</t>
        </is>
      </c>
    </row>
    <row r="1059">
      <c r="A1059" t="inlineStr">
        <is>
          <t>50371-social-history-0-4</t>
        </is>
      </c>
      <c r="B1059" t="inlineStr"/>
      <c r="C1059" t="inlineStr"/>
      <c r="D1059">
        <f>HYPERLINK("http://nlpdeep.cs.uic.edu:8080/proofing/gsii/50371-social-history-0-4.pdf","gsii/50371-social-history-0-4.pdf")</f>
        <v/>
      </c>
      <c r="E1059" t="n">
        <v>119960</v>
      </c>
      <c r="F1059" t="n">
        <v>50371</v>
      </c>
      <c r="G1059" t="inlineStr">
        <is>
          <t>Discharge summary</t>
        </is>
      </c>
      <c r="H1059" t="inlineStr">
        <is>
          <t>social-history</t>
        </is>
      </c>
      <c r="I1059" t="inlineStr">
        <is>
          <t>He smoked
cigars for 2-3 years and quit &gt;45 years ago.</t>
        </is>
      </c>
    </row>
    <row r="1060">
      <c r="A1060" t="inlineStr">
        <is>
          <t>50371-social-history-0-5</t>
        </is>
      </c>
      <c r="B1060" t="inlineStr"/>
      <c r="C1060" t="inlineStr"/>
      <c r="D1060">
        <f>HYPERLINK("http://nlpdeep.cs.uic.edu:8080/proofing/t5/50371-social-history-0-5.pdf","t5/50371-social-history-0-5.pdf")</f>
        <v/>
      </c>
      <c r="E1060" t="n">
        <v>119960</v>
      </c>
      <c r="F1060" t="n">
        <v>50371</v>
      </c>
      <c r="G1060" t="inlineStr">
        <is>
          <t>Discharge summary</t>
        </is>
      </c>
      <c r="H1060" t="inlineStr">
        <is>
          <t>social-history</t>
        </is>
      </c>
      <c r="I1060" t="inlineStr">
        <is>
          <t>He has not smoked
cigarettes.</t>
        </is>
      </c>
    </row>
    <row r="1061">
      <c r="A1061" t="inlineStr">
        <is>
          <t>50371-social-history-0-5</t>
        </is>
      </c>
      <c r="B1061" t="inlineStr"/>
      <c r="C1061" t="inlineStr"/>
      <c r="D1061">
        <f>HYPERLINK("http://nlpdeep.cs.uic.edu:8080/proofing/gsii/50371-social-history-0-5.pdf","gsii/50371-social-history-0-5.pdf")</f>
        <v/>
      </c>
      <c r="E1061" t="n">
        <v>119960</v>
      </c>
      <c r="F1061" t="n">
        <v>50371</v>
      </c>
      <c r="G1061" t="inlineStr">
        <is>
          <t>Discharge summary</t>
        </is>
      </c>
      <c r="H1061" t="inlineStr">
        <is>
          <t>social-history</t>
        </is>
      </c>
      <c r="I1061" t="inlineStr">
        <is>
          <t>He has not smoked
cigarettes.</t>
        </is>
      </c>
    </row>
    <row r="1062">
      <c r="A1062" t="inlineStr">
        <is>
          <t>50371-social-history-0-6</t>
        </is>
      </c>
      <c r="B1062" t="inlineStr"/>
      <c r="C1062" t="inlineStr"/>
      <c r="D1062">
        <f>HYPERLINK("http://nlpdeep.cs.uic.edu:8080/proofing/t5/50371-social-history-0-6.pdf","t5/50371-social-history-0-6.pdf")</f>
        <v/>
      </c>
      <c r="E1062" t="n">
        <v>119960</v>
      </c>
      <c r="F1062" t="n">
        <v>50371</v>
      </c>
      <c r="G1062" t="inlineStr">
        <is>
          <t>Discharge summary</t>
        </is>
      </c>
      <c r="H1062" t="inlineStr">
        <is>
          <t>social-history</t>
        </is>
      </c>
      <c r="I1062" t="inlineStr">
        <is>
          <t>He does not drink alcohol on a regular basis.</t>
        </is>
      </c>
    </row>
    <row r="1063">
      <c r="A1063" t="inlineStr">
        <is>
          <t>50371-social-history-0-6</t>
        </is>
      </c>
      <c r="B1063" t="inlineStr"/>
      <c r="C1063" t="inlineStr"/>
      <c r="D1063">
        <f>HYPERLINK("http://nlpdeep.cs.uic.edu:8080/proofing/gsii/50371-social-history-0-6.pdf","gsii/50371-social-history-0-6.pdf")</f>
        <v/>
      </c>
      <c r="E1063" t="n">
        <v>119960</v>
      </c>
      <c r="F1063" t="n">
        <v>50371</v>
      </c>
      <c r="G1063" t="inlineStr">
        <is>
          <t>Discharge summary</t>
        </is>
      </c>
      <c r="H1063" t="inlineStr">
        <is>
          <t>social-history</t>
        </is>
      </c>
      <c r="I1063" t="inlineStr">
        <is>
          <t>He does not drink alcohol on a regular basis.</t>
        </is>
      </c>
    </row>
    <row r="1064">
      <c r="A1064" t="inlineStr">
        <is>
          <t>50371-social-history-0-7</t>
        </is>
      </c>
      <c r="B1064" t="inlineStr"/>
      <c r="C1064" t="inlineStr"/>
      <c r="D1064">
        <f>HYPERLINK("http://nlpdeep.cs.uic.edu:8080/proofing/t5/50371-social-history-0-7.pdf","t5/50371-social-history-0-7.pdf")</f>
        <v/>
      </c>
      <c r="E1064" t="n">
        <v>119960</v>
      </c>
      <c r="F1064" t="n">
        <v>50371</v>
      </c>
      <c r="G1064" t="inlineStr">
        <is>
          <t>Discharge summary</t>
        </is>
      </c>
      <c r="H1064" t="inlineStr">
        <is>
          <t>social-history</t>
        </is>
      </c>
      <c r="I1064" t="inlineStr">
        <is>
          <t>Denies
IV, illicit, or herbal drug use.</t>
        </is>
      </c>
    </row>
    <row r="1065">
      <c r="A1065" t="inlineStr">
        <is>
          <t>50371-social-history-0-7</t>
        </is>
      </c>
      <c r="B1065" t="inlineStr"/>
      <c r="C1065" t="inlineStr"/>
      <c r="D1065">
        <f>HYPERLINK("http://nlpdeep.cs.uic.edu:8080/proofing/gsii/50371-social-history-0-7.pdf","gsii/50371-social-history-0-7.pdf")</f>
        <v/>
      </c>
      <c r="E1065" t="n">
        <v>119960</v>
      </c>
      <c r="F1065" t="n">
        <v>50371</v>
      </c>
      <c r="G1065" t="inlineStr">
        <is>
          <t>Discharge summary</t>
        </is>
      </c>
      <c r="H1065" t="inlineStr">
        <is>
          <t>social-history</t>
        </is>
      </c>
      <c r="I1065" t="inlineStr">
        <is>
          <t>Denies
IV, illicit, or herbal drug use.</t>
        </is>
      </c>
    </row>
    <row r="1066">
      <c r="A1066" t="inlineStr">
        <is>
          <t>50371-family-history-0-0</t>
        </is>
      </c>
      <c r="B1066" t="inlineStr"/>
      <c r="C1066" t="inlineStr"/>
      <c r="D1066">
        <f>HYPERLINK("http://nlpdeep.cs.uic.edu:8080/proofing/t5/50371-family-history-0-0.pdf","t5/50371-family-history-0-0.pdf")</f>
        <v/>
      </c>
      <c r="E1066" t="n">
        <v>119960</v>
      </c>
      <c r="F1066" t="n">
        <v>50371</v>
      </c>
      <c r="G1066" t="inlineStr">
        <is>
          <t>Discharge summary</t>
        </is>
      </c>
      <c r="H1066" t="inlineStr">
        <is>
          <t>family-history</t>
        </is>
      </c>
      <c r="I1066" t="inlineStr">
        <is>
          <t>Parents are both deceased.</t>
        </is>
      </c>
    </row>
    <row r="1067">
      <c r="A1067" t="inlineStr">
        <is>
          <t>50371-family-history-0-0</t>
        </is>
      </c>
      <c r="B1067" t="inlineStr"/>
      <c r="C1067" t="inlineStr"/>
      <c r="D1067">
        <f>HYPERLINK("http://nlpdeep.cs.uic.edu:8080/proofing/gsii/50371-family-history-0-0.pdf","gsii/50371-family-history-0-0.pdf")</f>
        <v/>
      </c>
      <c r="E1067" t="n">
        <v>119960</v>
      </c>
      <c r="F1067" t="n">
        <v>50371</v>
      </c>
      <c r="G1067" t="inlineStr">
        <is>
          <t>Discharge summary</t>
        </is>
      </c>
      <c r="H1067" t="inlineStr">
        <is>
          <t>family-history</t>
        </is>
      </c>
      <c r="I1067" t="inlineStr">
        <is>
          <t>Parents are both deceased.</t>
        </is>
      </c>
    </row>
    <row r="1068">
      <c r="A1068" t="inlineStr">
        <is>
          <t>50371-family-history-0-1</t>
        </is>
      </c>
      <c r="B1068" t="inlineStr"/>
      <c r="C1068" t="inlineStr"/>
      <c r="D1068">
        <f>HYPERLINK("http://nlpdeep.cs.uic.edu:8080/proofing/t5/50371-family-history-0-1.pdf","t5/50371-family-history-0-1.pdf")</f>
        <v/>
      </c>
      <c r="E1068" t="n">
        <v>119960</v>
      </c>
      <c r="F1068" t="n">
        <v>50371</v>
      </c>
      <c r="G1068" t="inlineStr">
        <is>
          <t>Discharge summary</t>
        </is>
      </c>
      <c r="H1068" t="inlineStr">
        <is>
          <t>family-history</t>
        </is>
      </c>
      <c r="I1068" t="inlineStr">
        <is>
          <t>Father (73 years; "heart" disease);
Mother (48 years; stomach cancer).</t>
        </is>
      </c>
    </row>
    <row r="1069">
      <c r="A1069" t="inlineStr">
        <is>
          <t>50371-family-history-0-1</t>
        </is>
      </c>
      <c r="B1069" t="inlineStr"/>
      <c r="C1069" t="inlineStr"/>
      <c r="D1069">
        <f>HYPERLINK("http://nlpdeep.cs.uic.edu:8080/proofing/gsii/50371-family-history-0-1.pdf","gsii/50371-family-history-0-1.pdf")</f>
        <v/>
      </c>
      <c r="E1069" t="n">
        <v>119960</v>
      </c>
      <c r="F1069" t="n">
        <v>50371</v>
      </c>
      <c r="G1069" t="inlineStr">
        <is>
          <t>Discharge summary</t>
        </is>
      </c>
      <c r="H1069" t="inlineStr">
        <is>
          <t>family-history</t>
        </is>
      </c>
      <c r="I1069" t="inlineStr">
        <is>
          <t>Father (73 years; "heart" disease);
Mother (48 years; stomach cancer).</t>
        </is>
      </c>
    </row>
    <row r="1070">
      <c r="A1070" t="inlineStr">
        <is>
          <t>50371-family-history-0-2</t>
        </is>
      </c>
      <c r="B1070" t="inlineStr"/>
      <c r="C1070" t="inlineStr"/>
      <c r="D1070">
        <f>HYPERLINK("http://nlpdeep.cs.uic.edu:8080/proofing/t5/50371-family-history-0-2.pdf","t5/50371-family-history-0-2.pdf")</f>
        <v/>
      </c>
      <c r="E1070" t="n">
        <v>119960</v>
      </c>
      <c r="F1070" t="n">
        <v>50371</v>
      </c>
      <c r="G1070" t="inlineStr">
        <is>
          <t>Discharge summary</t>
        </is>
      </c>
      <c r="H1070" t="inlineStr">
        <is>
          <t>family-history</t>
        </is>
      </c>
      <c r="I1070" t="inlineStr">
        <is>
          <t>He has 2 siblings (80- breast
cancer, brother with ? abdominal cancer).</t>
        </is>
      </c>
    </row>
    <row r="1071">
      <c r="A1071" t="inlineStr">
        <is>
          <t>50371-family-history-0-2</t>
        </is>
      </c>
      <c r="B1071" t="inlineStr"/>
      <c r="C1071" t="inlineStr"/>
      <c r="D1071">
        <f>HYPERLINK("http://nlpdeep.cs.uic.edu:8080/proofing/gsii/50371-family-history-0-2.pdf","gsii/50371-family-history-0-2.pdf")</f>
        <v/>
      </c>
      <c r="E1071" t="n">
        <v>119960</v>
      </c>
      <c r="F1071" t="n">
        <v>50371</v>
      </c>
      <c r="G1071" t="inlineStr">
        <is>
          <t>Discharge summary</t>
        </is>
      </c>
      <c r="H1071" t="inlineStr">
        <is>
          <t>family-history</t>
        </is>
      </c>
      <c r="I1071" t="inlineStr">
        <is>
          <t>He has 2 siblings (80- breast
cancer, brother with ? abdominal cancer).</t>
        </is>
      </c>
    </row>
    <row r="1072">
      <c r="A1072" t="inlineStr">
        <is>
          <t>50371-family-history-0-3</t>
        </is>
      </c>
      <c r="B1072" t="inlineStr"/>
      <c r="C1072" t="inlineStr"/>
      <c r="D1072">
        <f>HYPERLINK("http://nlpdeep.cs.uic.edu:8080/proofing/t5/50371-family-history-0-3.pdf","t5/50371-family-history-0-3.pdf")</f>
        <v/>
      </c>
      <c r="E1072" t="n">
        <v>119960</v>
      </c>
      <c r="F1072" t="n">
        <v>50371</v>
      </c>
      <c r="G1072" t="inlineStr">
        <is>
          <t>Discharge summary</t>
        </is>
      </c>
      <c r="H1072" t="inlineStr">
        <is>
          <t>family-history</t>
        </is>
      </c>
      <c r="I1072" t="inlineStr">
        <is>
          <t>He has 3 children (55,
53, 49 years; all well).</t>
        </is>
      </c>
    </row>
    <row r="1073">
      <c r="A1073" t="inlineStr">
        <is>
          <t>50371-family-history-0-3</t>
        </is>
      </c>
      <c r="B1073" t="inlineStr"/>
      <c r="C1073" t="inlineStr"/>
      <c r="D1073">
        <f>HYPERLINK("http://nlpdeep.cs.uic.edu:8080/proofing/gsii/50371-family-history-0-3.pdf","gsii/50371-family-history-0-3.pdf")</f>
        <v/>
      </c>
      <c r="E1073" t="n">
        <v>119960</v>
      </c>
      <c r="F1073" t="n">
        <v>50371</v>
      </c>
      <c r="G1073" t="inlineStr">
        <is>
          <t>Discharge summary</t>
        </is>
      </c>
      <c r="H1073" t="inlineStr">
        <is>
          <t>family-history</t>
        </is>
      </c>
      <c r="I1073" t="inlineStr">
        <is>
          <t>He has 3 children (55,
53, 49 years; all well).</t>
        </is>
      </c>
    </row>
    <row r="1074">
      <c r="A1074" t="inlineStr">
        <is>
          <t>50371-family-history-0-4</t>
        </is>
      </c>
      <c r="B1074" t="inlineStr"/>
      <c r="C1074" t="inlineStr"/>
      <c r="D1074">
        <f>HYPERLINK("http://nlpdeep.cs.uic.edu:8080/proofing/t5/50371-family-history-0-4.pdf","t5/50371-family-history-0-4.pdf")</f>
        <v/>
      </c>
      <c r="E1074" t="n">
        <v>119960</v>
      </c>
      <c r="F1074" t="n">
        <v>50371</v>
      </c>
      <c r="G1074" t="inlineStr">
        <is>
          <t>Discharge summary</t>
        </is>
      </c>
      <c r="H1074" t="inlineStr">
        <is>
          <t>family-history</t>
        </is>
      </c>
      <c r="I1074" t="inlineStr">
        <is>
          <t>A son [**Doctor Last Name **] has atrial fibrillation.</t>
        </is>
      </c>
    </row>
    <row r="1075">
      <c r="A1075" t="inlineStr">
        <is>
          <t>50371-family-history-0-4</t>
        </is>
      </c>
      <c r="B1075" t="inlineStr"/>
      <c r="C1075" t="inlineStr"/>
      <c r="D1075">
        <f>HYPERLINK("http://nlpdeep.cs.uic.edu:8080/proofing/gsii/50371-family-history-0-4.pdf","gsii/50371-family-history-0-4.pdf")</f>
        <v/>
      </c>
      <c r="E1075" t="n">
        <v>119960</v>
      </c>
      <c r="F1075" t="n">
        <v>50371</v>
      </c>
      <c r="G1075" t="inlineStr">
        <is>
          <t>Discharge summary</t>
        </is>
      </c>
      <c r="H1075" t="inlineStr">
        <is>
          <t>family-history</t>
        </is>
      </c>
      <c r="I1075" t="inlineStr">
        <is>
          <t>A son [**Doctor Last Name **] has atrial fibrillation.</t>
        </is>
      </c>
    </row>
    <row r="1076">
      <c r="A1076" t="inlineStr">
        <is>
          <t>50371-physical-examination-0-0</t>
        </is>
      </c>
      <c r="B1076" t="inlineStr"/>
      <c r="C1076" t="inlineStr"/>
      <c r="D1076">
        <f>HYPERLINK("http://nlpdeep.cs.uic.edu:8080/proofing/t5/50371-physical-examination-0-0.pdf","t5/50371-physical-examination-0-0.pdf")</f>
        <v/>
      </c>
      <c r="E1076" t="n">
        <v>119960</v>
      </c>
      <c r="F1076" t="n">
        <v>50371</v>
      </c>
      <c r="G1076" t="inlineStr">
        <is>
          <t>Discharge summary</t>
        </is>
      </c>
      <c r="H1076" t="inlineStr">
        <is>
          <t>physical-examination</t>
        </is>
      </c>
      <c r="I1076" t="inlineStr">
        <is>
          <t>T 91.2 (axillary) HR 69 BP 102/63-120/75, RR 32-20, SpO2 100% on
1L NC.</t>
        </is>
      </c>
    </row>
    <row r="1077">
      <c r="A1077" t="inlineStr">
        <is>
          <t>50371-physical-examination-0-0</t>
        </is>
      </c>
      <c r="B1077" t="inlineStr"/>
      <c r="C1077" t="inlineStr"/>
      <c r="D1077">
        <f>HYPERLINK("http://nlpdeep.cs.uic.edu:8080/proofing/gsii/50371-physical-examination-0-0.pdf","gsii/50371-physical-examination-0-0.pdf")</f>
        <v/>
      </c>
      <c r="E1077" t="n">
        <v>119960</v>
      </c>
      <c r="F1077" t="n">
        <v>50371</v>
      </c>
      <c r="G1077" t="inlineStr">
        <is>
          <t>Discharge summary</t>
        </is>
      </c>
      <c r="H1077" t="inlineStr">
        <is>
          <t>physical-examination</t>
        </is>
      </c>
      <c r="I1077" t="inlineStr">
        <is>
          <t>T 91.2 (axillary) HR 69 BP 102/63-120/75, RR 32-20, SpO2 100% on
1L NC.</t>
        </is>
      </c>
    </row>
    <row r="1078">
      <c r="A1078" t="inlineStr">
        <is>
          <t>50371-physical-examination-0-1</t>
        </is>
      </c>
      <c r="B1078" t="inlineStr"/>
      <c r="C1078" t="inlineStr"/>
      <c r="D1078">
        <f>HYPERLINK("http://nlpdeep.cs.uic.edu:8080/proofing/t5/50371-physical-examination-0-1.pdf","t5/50371-physical-examination-0-1.pdf")</f>
        <v/>
      </c>
      <c r="E1078" t="n">
        <v>119960</v>
      </c>
      <c r="F1078" t="n">
        <v>50371</v>
      </c>
      <c r="G1078" t="inlineStr">
        <is>
          <t>Discharge summary</t>
        </is>
      </c>
      <c r="H1078" t="inlineStr">
        <is>
          <t>physical-examination</t>
        </is>
      </c>
      <c r="I1078" t="inlineStr">
        <is>
          <t>Wt 167.</t>
        </is>
      </c>
    </row>
    <row r="1079">
      <c r="A1079" t="inlineStr">
        <is>
          <t>50371-physical-examination-0-1</t>
        </is>
      </c>
      <c r="B1079" t="inlineStr"/>
      <c r="C1079" t="inlineStr"/>
      <c r="D1079">
        <f>HYPERLINK("http://nlpdeep.cs.uic.edu:8080/proofing/gsii/50371-physical-examination-0-1.pdf","gsii/50371-physical-examination-0-1.pdf")</f>
        <v/>
      </c>
      <c r="E1079" t="n">
        <v>119960</v>
      </c>
      <c r="F1079" t="n">
        <v>50371</v>
      </c>
      <c r="G1079" t="inlineStr">
        <is>
          <t>Discharge summary</t>
        </is>
      </c>
      <c r="H1079" t="inlineStr">
        <is>
          <t>physical-examination</t>
        </is>
      </c>
      <c r="I1079" t="inlineStr">
        <is>
          <t>Wt 167.</t>
        </is>
      </c>
    </row>
    <row r="1080">
      <c r="A1080" t="inlineStr">
        <is>
          <t>50371-physical-examination-0-2</t>
        </is>
      </c>
      <c r="B1080" t="inlineStr"/>
      <c r="C1080" t="inlineStr"/>
      <c r="D1080">
        <f>HYPERLINK("http://nlpdeep.cs.uic.edu:8080/proofing/t5/50371-physical-examination-0-2.pdf","t5/50371-physical-examination-0-2.pdf")</f>
        <v/>
      </c>
      <c r="E1080" t="n">
        <v>119960</v>
      </c>
      <c r="F1080" t="n">
        <v>50371</v>
      </c>
      <c r="G1080" t="inlineStr">
        <is>
          <t>Discharge summary</t>
        </is>
      </c>
      <c r="H1080" t="inlineStr">
        <is>
          <t>physical-examination</t>
        </is>
      </c>
      <c r="I1080" t="inlineStr">
        <is>
          <t xml:space="preserve">
General: Alert, oriented, breathing heavily and appears in pain
HEENT: Sclera anicteric, MMM
Neck: supple, JVP 11 cm
Lungs: Clear to auscultation bilaterally anteriorly but
difficult to assess with much transmitted upper airway sounds,
no wheezes, rales, ronchi
CV: Irregularly irregular rhythm, normal rate, distant heart
sounds, no murmurs, rubs, gallops
Abdomen:  soft, non-tender, non-distended, bowel sounds present,
no rebound tenderness or guarding
GU: foley
Ext: cool, 2+ DP pulses bilaterally, no clubbing.</t>
        </is>
      </c>
    </row>
    <row r="1081">
      <c r="A1081" t="inlineStr">
        <is>
          <t>50371-physical-examination-0-2</t>
        </is>
      </c>
      <c r="B1081" t="inlineStr"/>
      <c r="C1081" t="inlineStr"/>
      <c r="D1081">
        <f>HYPERLINK("http://nlpdeep.cs.uic.edu:8080/proofing/gsii/50371-physical-examination-0-2.pdf","gsii/50371-physical-examination-0-2.pdf")</f>
        <v/>
      </c>
      <c r="E1081" t="n">
        <v>119960</v>
      </c>
      <c r="F1081" t="n">
        <v>50371</v>
      </c>
      <c r="G1081" t="inlineStr">
        <is>
          <t>Discharge summary</t>
        </is>
      </c>
      <c r="H1081" t="inlineStr">
        <is>
          <t>physical-examination</t>
        </is>
      </c>
      <c r="I1081" t="inlineStr">
        <is>
          <t xml:space="preserve">
General: Alert, oriented, breathing heavily and appears in pain
HEENT: Sclera anicteric, MMM
Neck: supple, JVP 11 cm
Lungs: Clear to auscultation bilaterally anteriorly but
difficult to assess with much transmitted upper airway sounds,
no wheezes, rales, ronchi
CV: Irregularly irregular rhythm, normal rate, distant heart
sounds, no murmurs, rubs, gallops
Abdomen:  soft, non-tender, non-distended, bowel sounds present,
no rebound tenderness or guarding
GU: foley
Ext: cool, 2+ DP pulses bilaterally, no clubbing.</t>
        </is>
      </c>
    </row>
    <row r="1082">
      <c r="A1082" t="inlineStr">
        <is>
          <t>50371-physical-examination-0-3</t>
        </is>
      </c>
      <c r="B1082" t="inlineStr"/>
      <c r="C1082" t="inlineStr"/>
      <c r="D1082">
        <f>HYPERLINK("http://nlpdeep.cs.uic.edu:8080/proofing/t5/50371-physical-examination-0-3.pdf","t5/50371-physical-examination-0-3.pdf")</f>
        <v/>
      </c>
      <c r="E1082" t="n">
        <v>119960</v>
      </c>
      <c r="F1082" t="n">
        <v>50371</v>
      </c>
      <c r="G1082" t="inlineStr">
        <is>
          <t>Discharge summary</t>
        </is>
      </c>
      <c r="H1082" t="inlineStr">
        <is>
          <t>physical-examination</t>
        </is>
      </c>
      <c r="I1082" t="inlineStr">
        <is>
          <t>[**2-1**]+ pitting
edema bilaterally; lower legs wrapped in ACE bandages.</t>
        </is>
      </c>
    </row>
    <row r="1083">
      <c r="A1083" t="inlineStr">
        <is>
          <t>50371-physical-examination-0-3</t>
        </is>
      </c>
      <c r="B1083" t="inlineStr"/>
      <c r="C1083" t="inlineStr"/>
      <c r="D1083">
        <f>HYPERLINK("http://nlpdeep.cs.uic.edu:8080/proofing/gsii/50371-physical-examination-0-3.pdf","gsii/50371-physical-examination-0-3.pdf")</f>
        <v/>
      </c>
      <c r="E1083" t="n">
        <v>119960</v>
      </c>
      <c r="F1083" t="n">
        <v>50371</v>
      </c>
      <c r="G1083" t="inlineStr">
        <is>
          <t>Discharge summary</t>
        </is>
      </c>
      <c r="H1083" t="inlineStr">
        <is>
          <t>physical-examination</t>
        </is>
      </c>
      <c r="I1083" t="inlineStr">
        <is>
          <t>[**2-1**]+ pitting
edema bilaterally; lower legs wrapped in ACE bandages.</t>
        </is>
      </c>
    </row>
    <row r="1084">
      <c r="A1084" t="inlineStr">
        <is>
          <t>50371-physical-examination-0-4</t>
        </is>
      </c>
      <c r="B1084" t="inlineStr"/>
      <c r="C1084" t="inlineStr"/>
      <c r="D1084">
        <f>HYPERLINK("http://nlpdeep.cs.uic.edu:8080/proofing/t5/50371-physical-examination-0-4.pdf","t5/50371-physical-examination-0-4.pdf")</f>
        <v/>
      </c>
      <c r="E1084" t="n">
        <v>119960</v>
      </c>
      <c r="F1084" t="n">
        <v>50371</v>
      </c>
      <c r="G1084" t="inlineStr">
        <is>
          <t>Discharge summary</t>
        </is>
      </c>
      <c r="H1084" t="inlineStr">
        <is>
          <t>physical-examination</t>
        </is>
      </c>
      <c r="I1084" t="inlineStr">
        <is>
          <t>Multiple
small ecchymoses on UE bilaterally.</t>
        </is>
      </c>
    </row>
    <row r="1085">
      <c r="A1085" t="inlineStr">
        <is>
          <t>50371-physical-examination-0-4</t>
        </is>
      </c>
      <c r="B1085" t="inlineStr"/>
      <c r="C1085" t="inlineStr"/>
      <c r="D1085">
        <f>HYPERLINK("http://nlpdeep.cs.uic.edu:8080/proofing/gsii/50371-physical-examination-0-4.pdf","gsii/50371-physical-examination-0-4.pdf")</f>
        <v/>
      </c>
      <c r="E1085" t="n">
        <v>119960</v>
      </c>
      <c r="F1085" t="n">
        <v>50371</v>
      </c>
      <c r="G1085" t="inlineStr">
        <is>
          <t>Discharge summary</t>
        </is>
      </c>
      <c r="H1085" t="inlineStr">
        <is>
          <t>physical-examination</t>
        </is>
      </c>
      <c r="I1085" t="inlineStr">
        <is>
          <t>Multiple
small ecchymoses on UE bilaterally.</t>
        </is>
      </c>
    </row>
    <row r="1086">
      <c r="A1086" t="inlineStr">
        <is>
          <t>50371-physical-examination-0-5</t>
        </is>
      </c>
      <c r="B1086" t="inlineStr"/>
      <c r="C1086" t="inlineStr"/>
      <c r="D1086">
        <f>HYPERLINK("http://nlpdeep.cs.uic.edu:8080/proofing/t5/50371-physical-examination-0-5.pdf","t5/50371-physical-examination-0-5.pdf")</f>
        <v/>
      </c>
      <c r="E1086" t="n">
        <v>119960</v>
      </c>
      <c r="F1086" t="n">
        <v>50371</v>
      </c>
      <c r="G1086" t="inlineStr">
        <is>
          <t>Discharge summary</t>
        </is>
      </c>
      <c r="H1086" t="inlineStr">
        <is>
          <t>physical-examination</t>
        </is>
      </c>
      <c r="I1086" t="inlineStr">
        <is>
          <t>Left leg externally rotated
and shortened, with ecchymosis noted on lateral hip area.</t>
        </is>
      </c>
    </row>
    <row r="1087">
      <c r="A1087" t="inlineStr">
        <is>
          <t>50371-physical-examination-0-5</t>
        </is>
      </c>
      <c r="B1087" t="inlineStr"/>
      <c r="C1087" t="inlineStr"/>
      <c r="D1087">
        <f>HYPERLINK("http://nlpdeep.cs.uic.edu:8080/proofing/gsii/50371-physical-examination-0-5.pdf","gsii/50371-physical-examination-0-5.pdf")</f>
        <v/>
      </c>
      <c r="E1087" t="n">
        <v>119960</v>
      </c>
      <c r="F1087" t="n">
        <v>50371</v>
      </c>
      <c r="G1087" t="inlineStr">
        <is>
          <t>Discharge summary</t>
        </is>
      </c>
      <c r="H1087" t="inlineStr">
        <is>
          <t>physical-examination</t>
        </is>
      </c>
      <c r="I1087" t="inlineStr">
        <is>
          <t>Left leg externally rotated
and shortened, with ecchymosis noted on lateral hip area.</t>
        </is>
      </c>
    </row>
    <row r="1088">
      <c r="A1088" t="inlineStr">
        <is>
          <t>50371-physical-examination-1-0</t>
        </is>
      </c>
      <c r="B1088" t="inlineStr"/>
      <c r="C1088" t="inlineStr"/>
      <c r="D1088">
        <f>HYPERLINK("http://nlpdeep.cs.uic.edu:8080/proofing/t5/50371-physical-examination-1-0.pdf","t5/50371-physical-examination-1-0.pdf")</f>
        <v/>
      </c>
      <c r="E1088" t="n">
        <v>119960</v>
      </c>
      <c r="F1088" t="n">
        <v>50371</v>
      </c>
      <c r="G1088" t="inlineStr">
        <is>
          <t>Discharge summary</t>
        </is>
      </c>
      <c r="H1088" t="inlineStr">
        <is>
          <t>physical-examination</t>
        </is>
      </c>
      <c r="I1088" t="inlineStr">
        <is>
          <t xml:space="preserve">
On discharge:
VSS, BPs in 80s-100s systolic.</t>
        </is>
      </c>
    </row>
    <row r="1089">
      <c r="A1089" t="inlineStr">
        <is>
          <t>50371-physical-examination-1-0</t>
        </is>
      </c>
      <c r="B1089" t="inlineStr"/>
      <c r="C1089" t="inlineStr"/>
      <c r="D1089">
        <f>HYPERLINK("http://nlpdeep.cs.uic.edu:8080/proofing/gsii/50371-physical-examination-1-0.pdf","gsii/50371-physical-examination-1-0.pdf")</f>
        <v/>
      </c>
      <c r="E1089" t="n">
        <v>119960</v>
      </c>
      <c r="F1089" t="n">
        <v>50371</v>
      </c>
      <c r="G1089" t="inlineStr">
        <is>
          <t>Discharge summary</t>
        </is>
      </c>
      <c r="H1089" t="inlineStr">
        <is>
          <t>physical-examination</t>
        </is>
      </c>
      <c r="I1089" t="inlineStr">
        <is>
          <t xml:space="preserve">
On discharge:
VSS, BPs in 80s-100s systolic.</t>
        </is>
      </c>
    </row>
    <row r="1090">
      <c r="A1090" t="inlineStr">
        <is>
          <t>50371-physical-examination-1-1</t>
        </is>
      </c>
      <c r="B1090" t="inlineStr"/>
      <c r="C1090" t="inlineStr"/>
      <c r="D1090">
        <f>HYPERLINK("http://nlpdeep.cs.uic.edu:8080/proofing/t5/50371-physical-examination-1-1.pdf","t5/50371-physical-examination-1-1.pdf")</f>
        <v/>
      </c>
      <c r="E1090" t="n">
        <v>119960</v>
      </c>
      <c r="F1090" t="n">
        <v>50371</v>
      </c>
      <c r="G1090" t="inlineStr">
        <is>
          <t>Discharge summary</t>
        </is>
      </c>
      <c r="H1090" t="inlineStr">
        <is>
          <t>physical-examination</t>
        </is>
      </c>
      <c r="I1090" t="inlineStr">
        <is>
          <t xml:space="preserve"> Jaundiced with icteric sclera.</t>
        </is>
      </c>
    </row>
    <row r="1091">
      <c r="A1091" t="inlineStr">
        <is>
          <t>50371-physical-examination-1-1</t>
        </is>
      </c>
      <c r="B1091" t="inlineStr"/>
      <c r="C1091" t="inlineStr"/>
      <c r="D1091">
        <f>HYPERLINK("http://nlpdeep.cs.uic.edu:8080/proofing/gsii/50371-physical-examination-1-1.pdf","gsii/50371-physical-examination-1-1.pdf")</f>
        <v/>
      </c>
      <c r="E1091" t="n">
        <v>119960</v>
      </c>
      <c r="F1091" t="n">
        <v>50371</v>
      </c>
      <c r="G1091" t="inlineStr">
        <is>
          <t>Discharge summary</t>
        </is>
      </c>
      <c r="H1091" t="inlineStr">
        <is>
          <t>physical-examination</t>
        </is>
      </c>
      <c r="I1091" t="inlineStr">
        <is>
          <t xml:space="preserve"> Jaundiced with icteric sclera.</t>
        </is>
      </c>
    </row>
    <row r="1092">
      <c r="A1092" t="inlineStr">
        <is>
          <t>50371-physical-examination-1-2</t>
        </is>
      </c>
      <c r="B1092" t="inlineStr"/>
      <c r="C1092" t="inlineStr"/>
      <c r="D1092">
        <f>HYPERLINK("http://nlpdeep.cs.uic.edu:8080/proofing/t5/50371-physical-examination-1-2.pdf","t5/50371-physical-examination-1-2.pdf")</f>
        <v/>
      </c>
      <c r="E1092" t="n">
        <v>119960</v>
      </c>
      <c r="F1092" t="n">
        <v>50371</v>
      </c>
      <c r="G1092" t="inlineStr">
        <is>
          <t>Discharge summary</t>
        </is>
      </c>
      <c r="H1092" t="inlineStr">
        <is>
          <t>physical-examination</t>
        </is>
      </c>
      <c r="I1092" t="inlineStr">
        <is>
          <t xml:space="preserve">
JVP at earlobe.</t>
        </is>
      </c>
    </row>
    <row r="1093">
      <c r="A1093" t="inlineStr">
        <is>
          <t>50371-physical-examination-1-2</t>
        </is>
      </c>
      <c r="B1093" t="inlineStr"/>
      <c r="C1093" t="inlineStr"/>
      <c r="D1093">
        <f>HYPERLINK("http://nlpdeep.cs.uic.edu:8080/proofing/gsii/50371-physical-examination-1-2.pdf","gsii/50371-physical-examination-1-2.pdf")</f>
        <v/>
      </c>
      <c r="E1093" t="n">
        <v>119960</v>
      </c>
      <c r="F1093" t="n">
        <v>50371</v>
      </c>
      <c r="G1093" t="inlineStr">
        <is>
          <t>Discharge summary</t>
        </is>
      </c>
      <c r="H1093" t="inlineStr">
        <is>
          <t>physical-examination</t>
        </is>
      </c>
      <c r="I1093" t="inlineStr">
        <is>
          <t xml:space="preserve">
JVP at earlobe.</t>
        </is>
      </c>
    </row>
    <row r="1094">
      <c r="A1094" t="inlineStr">
        <is>
          <t>50371-physical-examination-1-3</t>
        </is>
      </c>
      <c r="B1094" t="inlineStr"/>
      <c r="C1094" t="inlineStr"/>
      <c r="D1094">
        <f>HYPERLINK("http://nlpdeep.cs.uic.edu:8080/proofing/t5/50371-physical-examination-1-3.pdf","t5/50371-physical-examination-1-3.pdf")</f>
        <v/>
      </c>
      <c r="E1094" t="n">
        <v>119960</v>
      </c>
      <c r="F1094" t="n">
        <v>50371</v>
      </c>
      <c r="G1094" t="inlineStr">
        <is>
          <t>Discharge summary</t>
        </is>
      </c>
      <c r="H1094" t="inlineStr">
        <is>
          <t>physical-examination</t>
        </is>
      </c>
      <c r="I1094" t="inlineStr">
        <is>
          <t xml:space="preserve"> Lungs clear, irregular rate, LE edema improved,
surgical scar covered.</t>
        </is>
      </c>
    </row>
    <row r="1095">
      <c r="A1095" t="inlineStr">
        <is>
          <t>50371-physical-examination-1-3</t>
        </is>
      </c>
      <c r="B1095" t="inlineStr"/>
      <c r="C1095" t="inlineStr"/>
      <c r="D1095">
        <f>HYPERLINK("http://nlpdeep.cs.uic.edu:8080/proofing/gsii/50371-physical-examination-1-3.pdf","gsii/50371-physical-examination-1-3.pdf")</f>
        <v/>
      </c>
      <c r="E1095" t="n">
        <v>119960</v>
      </c>
      <c r="F1095" t="n">
        <v>50371</v>
      </c>
      <c r="G1095" t="inlineStr">
        <is>
          <t>Discharge summary</t>
        </is>
      </c>
      <c r="H1095" t="inlineStr">
        <is>
          <t>physical-examination</t>
        </is>
      </c>
      <c r="I1095" t="inlineStr">
        <is>
          <t xml:space="preserve"> Lungs clear, irregular rate, LE edema improved,
surgical scar covered.</t>
        </is>
      </c>
    </row>
    <row r="1096">
      <c r="A1096" t="inlineStr">
        <is>
          <t>50371-labs-imaging-0-0</t>
        </is>
      </c>
      <c r="B1096" t="inlineStr"/>
      <c r="C1096" t="inlineStr"/>
      <c r="D1096">
        <f>HYPERLINK("http://nlpdeep.cs.uic.edu:8080/proofing/t5/50371-labs-imaging-0-0.pdf","t5/50371-labs-imaging-0-0.pdf")</f>
        <v/>
      </c>
      <c r="E1096" t="n">
        <v>119960</v>
      </c>
      <c r="F1096" t="n">
        <v>50371</v>
      </c>
      <c r="G1096" t="inlineStr">
        <is>
          <t>Discharge summary</t>
        </is>
      </c>
      <c r="H1096" t="inlineStr">
        <is>
          <t>labs-imaging</t>
        </is>
      </c>
      <c r="I1096" t="inlineStr"/>
    </row>
    <row r="1097">
      <c r="A1097" t="inlineStr">
        <is>
          <t>50371-labs-imaging-0-0</t>
        </is>
      </c>
      <c r="B1097" t="inlineStr"/>
      <c r="C1097" t="inlineStr"/>
      <c r="D1097">
        <f>HYPERLINK("http://nlpdeep.cs.uic.edu:8080/proofing/gsii/50371-labs-imaging-0-0.pdf","gsii/50371-labs-imaging-0-0.pdf")</f>
        <v/>
      </c>
      <c r="E1097" t="n">
        <v>119960</v>
      </c>
      <c r="F1097" t="n">
        <v>50371</v>
      </c>
      <c r="G1097" t="inlineStr">
        <is>
          <t>Discharge summary</t>
        </is>
      </c>
      <c r="H1097" t="inlineStr">
        <is>
          <t>labs-imaging</t>
        </is>
      </c>
      <c r="I1097" t="inlineStr"/>
    </row>
    <row r="1098">
      <c r="A1098" t="inlineStr">
        <is>
          <t>50371-labs-imaging-1-0</t>
        </is>
      </c>
      <c r="B1098" t="inlineStr"/>
      <c r="C1098" t="inlineStr"/>
      <c r="D1098">
        <f>HYPERLINK("http://nlpdeep.cs.uic.edu:8080/proofing/t5/50371-labs-imaging-1-0.pdf","t5/50371-labs-imaging-1-0.pdf")</f>
        <v/>
      </c>
      <c r="E1098" t="n">
        <v>119960</v>
      </c>
      <c r="F1098" t="n">
        <v>50371</v>
      </c>
      <c r="G1098" t="inlineStr">
        <is>
          <t>Discharge summary</t>
        </is>
      </c>
      <c r="H1098" t="inlineStr">
        <is>
          <t>labs-imaging</t>
        </is>
      </c>
      <c r="I1098" t="inlineStr"/>
    </row>
    <row r="1099">
      <c r="A1099" t="inlineStr">
        <is>
          <t>50371-labs-imaging-1-0</t>
        </is>
      </c>
      <c r="B1099" t="inlineStr"/>
      <c r="C1099" t="inlineStr"/>
      <c r="D1099">
        <f>HYPERLINK("http://nlpdeep.cs.uic.edu:8080/proofing/gsii/50371-labs-imaging-1-0.pdf","gsii/50371-labs-imaging-1-0.pdf")</f>
        <v/>
      </c>
      <c r="E1099" t="n">
        <v>119960</v>
      </c>
      <c r="F1099" t="n">
        <v>50371</v>
      </c>
      <c r="G1099" t="inlineStr">
        <is>
          <t>Discharge summary</t>
        </is>
      </c>
      <c r="H1099" t="inlineStr">
        <is>
          <t>labs-imaging</t>
        </is>
      </c>
      <c r="I1099" t="inlineStr"/>
    </row>
    <row r="1100">
      <c r="A1100" t="inlineStr">
        <is>
          <t>50371-labs-imaging-2-0</t>
        </is>
      </c>
      <c r="B1100" t="inlineStr"/>
      <c r="C1100" t="inlineStr"/>
      <c r="D1100">
        <f>HYPERLINK("http://nlpdeep.cs.uic.edu:8080/proofing/t5/50371-labs-imaging-2-0.pdf","t5/50371-labs-imaging-2-0.pdf")</f>
        <v/>
      </c>
      <c r="E1100" t="n">
        <v>119960</v>
      </c>
      <c r="F1100" t="n">
        <v>50371</v>
      </c>
      <c r="G1100" t="inlineStr">
        <is>
          <t>Discharge summary</t>
        </is>
      </c>
      <c r="H1100" t="inlineStr">
        <is>
          <t>labs-imaging</t>
        </is>
      </c>
      <c r="I1100" t="inlineStr"/>
    </row>
    <row r="1101">
      <c r="A1101" t="inlineStr">
        <is>
          <t>50371-labs-imaging-2-0</t>
        </is>
      </c>
      <c r="B1101" t="inlineStr"/>
      <c r="C1101" t="inlineStr"/>
      <c r="D1101">
        <f>HYPERLINK("http://nlpdeep.cs.uic.edu:8080/proofing/gsii/50371-labs-imaging-2-0.pdf","gsii/50371-labs-imaging-2-0.pdf")</f>
        <v/>
      </c>
      <c r="E1101" t="n">
        <v>119960</v>
      </c>
      <c r="F1101" t="n">
        <v>50371</v>
      </c>
      <c r="G1101" t="inlineStr">
        <is>
          <t>Discharge summary</t>
        </is>
      </c>
      <c r="H1101" t="inlineStr">
        <is>
          <t>labs-imaging</t>
        </is>
      </c>
      <c r="I1101" t="inlineStr"/>
    </row>
    <row r="1102">
      <c r="A1102" t="inlineStr">
        <is>
          <t>50371-labs-imaging-3-0</t>
        </is>
      </c>
      <c r="B1102" t="inlineStr"/>
      <c r="C1102" t="inlineStr"/>
      <c r="D1102">
        <f>HYPERLINK("http://nlpdeep.cs.uic.edu:8080/proofing/t5/50371-labs-imaging-3-0.pdf","t5/50371-labs-imaging-3-0.pdf")</f>
        <v/>
      </c>
      <c r="E1102" t="n">
        <v>119960</v>
      </c>
      <c r="F1102" t="n">
        <v>50371</v>
      </c>
      <c r="G1102" t="inlineStr">
        <is>
          <t>Discharge summary</t>
        </is>
      </c>
      <c r="H1102" t="inlineStr">
        <is>
          <t>labs-imaging</t>
        </is>
      </c>
      <c r="I1102" t="inlineStr"/>
    </row>
    <row r="1103">
      <c r="A1103" t="inlineStr">
        <is>
          <t>50371-labs-imaging-3-0</t>
        </is>
      </c>
      <c r="B1103" t="inlineStr"/>
      <c r="C1103" t="inlineStr"/>
      <c r="D1103">
        <f>HYPERLINK("http://nlpdeep.cs.uic.edu:8080/proofing/gsii/50371-labs-imaging-3-0.pdf","gsii/50371-labs-imaging-3-0.pdf")</f>
        <v/>
      </c>
      <c r="E1103" t="n">
        <v>119960</v>
      </c>
      <c r="F1103" t="n">
        <v>50371</v>
      </c>
      <c r="G1103" t="inlineStr">
        <is>
          <t>Discharge summary</t>
        </is>
      </c>
      <c r="H1103" t="inlineStr">
        <is>
          <t>labs-imaging</t>
        </is>
      </c>
      <c r="I1103" t="inlineStr"/>
    </row>
    <row r="1104">
      <c r="A1104" t="inlineStr">
        <is>
          <t>50371-labs-imaging-4-0</t>
        </is>
      </c>
      <c r="B1104" t="inlineStr"/>
      <c r="C1104" t="inlineStr"/>
      <c r="D1104">
        <f>HYPERLINK("http://nlpdeep.cs.uic.edu:8080/proofing/t5/50371-labs-imaging-4-0.pdf","t5/50371-labs-imaging-4-0.pdf")</f>
        <v/>
      </c>
      <c r="E1104" t="n">
        <v>119960</v>
      </c>
      <c r="F1104" t="n">
        <v>50371</v>
      </c>
      <c r="G1104" t="inlineStr">
        <is>
          <t>Discharge summary</t>
        </is>
      </c>
      <c r="H1104" t="inlineStr">
        <is>
          <t>labs-imaging</t>
        </is>
      </c>
      <c r="I1104" t="inlineStr">
        <is>
          <t xml:space="preserve">
Radiologic Studies:
[**4-6**] CT Ab/pelvis w/o contrast: 1.</t>
        </is>
      </c>
    </row>
    <row r="1105">
      <c r="A1105" t="inlineStr">
        <is>
          <t>50371-labs-imaging-4-0</t>
        </is>
      </c>
      <c r="B1105" t="inlineStr"/>
      <c r="C1105" t="inlineStr"/>
      <c r="D1105">
        <f>HYPERLINK("http://nlpdeep.cs.uic.edu:8080/proofing/gsii/50371-labs-imaging-4-0.pdf","gsii/50371-labs-imaging-4-0.pdf")</f>
        <v/>
      </c>
      <c r="E1105" t="n">
        <v>119960</v>
      </c>
      <c r="F1105" t="n">
        <v>50371</v>
      </c>
      <c r="G1105" t="inlineStr">
        <is>
          <t>Discharge summary</t>
        </is>
      </c>
      <c r="H1105" t="inlineStr">
        <is>
          <t>labs-imaging</t>
        </is>
      </c>
      <c r="I1105" t="inlineStr">
        <is>
          <t xml:space="preserve">
Radiologic Studies:
[**4-6**] CT Ab/pelvis w/o contrast: 1.</t>
        </is>
      </c>
    </row>
    <row r="1106">
      <c r="A1106" t="inlineStr">
        <is>
          <t>50371-labs-imaging-4-1</t>
        </is>
      </c>
      <c r="B1106" t="inlineStr"/>
      <c r="C1106" t="inlineStr"/>
      <c r="D1106">
        <f>HYPERLINK("http://nlpdeep.cs.uic.edu:8080/proofing/t5/50371-labs-imaging-4-1.pdf","t5/50371-labs-imaging-4-1.pdf")</f>
        <v/>
      </c>
      <c r="E1106" t="n">
        <v>119960</v>
      </c>
      <c r="F1106" t="n">
        <v>50371</v>
      </c>
      <c r="G1106" t="inlineStr">
        <is>
          <t>Discharge summary</t>
        </is>
      </c>
      <c r="H1106" t="inlineStr">
        <is>
          <t>labs-imaging</t>
        </is>
      </c>
      <c r="I1106" t="inlineStr">
        <is>
          <t>Left intertrochanteric hip
fracture.</t>
        </is>
      </c>
    </row>
    <row r="1107">
      <c r="A1107" t="inlineStr">
        <is>
          <t>50371-labs-imaging-4-1</t>
        </is>
      </c>
      <c r="B1107" t="inlineStr"/>
      <c r="C1107" t="inlineStr"/>
      <c r="D1107">
        <f>HYPERLINK("http://nlpdeep.cs.uic.edu:8080/proofing/gsii/50371-labs-imaging-4-1.pdf","gsii/50371-labs-imaging-4-1.pdf")</f>
        <v/>
      </c>
      <c r="E1107" t="n">
        <v>119960</v>
      </c>
      <c r="F1107" t="n">
        <v>50371</v>
      </c>
      <c r="G1107" t="inlineStr">
        <is>
          <t>Discharge summary</t>
        </is>
      </c>
      <c r="H1107" t="inlineStr">
        <is>
          <t>labs-imaging</t>
        </is>
      </c>
      <c r="I1107" t="inlineStr">
        <is>
          <t>Left intertrochanteric hip
fracture.</t>
        </is>
      </c>
    </row>
    <row r="1108">
      <c r="A1108" t="inlineStr">
        <is>
          <t>50371-labs-imaging-4-2</t>
        </is>
      </c>
      <c r="B1108" t="inlineStr"/>
      <c r="C1108" t="inlineStr"/>
      <c r="D1108">
        <f>HYPERLINK("http://nlpdeep.cs.uic.edu:8080/proofing/t5/50371-labs-imaging-4-2.pdf","t5/50371-labs-imaging-4-2.pdf")</f>
        <v/>
      </c>
      <c r="E1108" t="n">
        <v>119960</v>
      </c>
      <c r="F1108" t="n">
        <v>50371</v>
      </c>
      <c r="G1108" t="inlineStr">
        <is>
          <t>Discharge summary</t>
        </is>
      </c>
      <c r="H1108" t="inlineStr">
        <is>
          <t>labs-imaging</t>
        </is>
      </c>
      <c r="I1108" t="inlineStr">
        <is>
          <t>Large left adrenal mass, which is not
characterized on non-contrast examination.</t>
        </is>
      </c>
    </row>
    <row r="1109">
      <c r="A1109" t="inlineStr">
        <is>
          <t>50371-labs-imaging-4-2</t>
        </is>
      </c>
      <c r="B1109" t="inlineStr"/>
      <c r="C1109" t="inlineStr"/>
      <c r="D1109">
        <f>HYPERLINK("http://nlpdeep.cs.uic.edu:8080/proofing/gsii/50371-labs-imaging-4-2.pdf","gsii/50371-labs-imaging-4-2.pdf")</f>
        <v/>
      </c>
      <c r="E1109" t="n">
        <v>119960</v>
      </c>
      <c r="F1109" t="n">
        <v>50371</v>
      </c>
      <c r="G1109" t="inlineStr">
        <is>
          <t>Discharge summary</t>
        </is>
      </c>
      <c r="H1109" t="inlineStr">
        <is>
          <t>labs-imaging</t>
        </is>
      </c>
      <c r="I1109" t="inlineStr">
        <is>
          <t>Large left adrenal mass, which is not
characterized on non-contrast examination.</t>
        </is>
      </c>
    </row>
    <row r="1110">
      <c r="A1110" t="inlineStr">
        <is>
          <t>50371-labs-imaging-4-3</t>
        </is>
      </c>
      <c r="B1110" t="inlineStr"/>
      <c r="C1110" t="inlineStr"/>
      <c r="D1110">
        <f>HYPERLINK("http://nlpdeep.cs.uic.edu:8080/proofing/t5/50371-labs-imaging-4-3.pdf","t5/50371-labs-imaging-4-3.pdf")</f>
        <v/>
      </c>
      <c r="E1110" t="n">
        <v>119960</v>
      </c>
      <c r="F1110" t="n">
        <v>50371</v>
      </c>
      <c r="G1110" t="inlineStr">
        <is>
          <t>Discharge summary</t>
        </is>
      </c>
      <c r="H1110" t="inlineStr">
        <is>
          <t>labs-imaging</t>
        </is>
      </c>
      <c r="I1110" t="inlineStr">
        <is>
          <t>However, the imaging
features are not consistent with an adrenal hematoma.</t>
        </is>
      </c>
    </row>
    <row r="1111">
      <c r="A1111" t="inlineStr">
        <is>
          <t>50371-labs-imaging-4-3</t>
        </is>
      </c>
      <c r="B1111" t="inlineStr"/>
      <c r="C1111" t="inlineStr"/>
      <c r="D1111">
        <f>HYPERLINK("http://nlpdeep.cs.uic.edu:8080/proofing/gsii/50371-labs-imaging-4-3.pdf","gsii/50371-labs-imaging-4-3.pdf")</f>
        <v/>
      </c>
      <c r="E1111" t="n">
        <v>119960</v>
      </c>
      <c r="F1111" t="n">
        <v>50371</v>
      </c>
      <c r="G1111" t="inlineStr">
        <is>
          <t>Discharge summary</t>
        </is>
      </c>
      <c r="H1111" t="inlineStr">
        <is>
          <t>labs-imaging</t>
        </is>
      </c>
      <c r="I1111" t="inlineStr">
        <is>
          <t>However, the imaging
features are not consistent with an adrenal hematoma.</t>
        </is>
      </c>
    </row>
    <row r="1112">
      <c r="A1112" t="inlineStr">
        <is>
          <t>50371-labs-imaging-4-4</t>
        </is>
      </c>
      <c r="B1112" t="inlineStr"/>
      <c r="C1112" t="inlineStr"/>
      <c r="D1112">
        <f>HYPERLINK("http://nlpdeep.cs.uic.edu:8080/proofing/t5/50371-labs-imaging-4-4.pdf","t5/50371-labs-imaging-4-4.pdf")</f>
        <v/>
      </c>
      <c r="E1112" t="n">
        <v>119960</v>
      </c>
      <c r="F1112" t="n">
        <v>50371</v>
      </c>
      <c r="G1112" t="inlineStr">
        <is>
          <t>Discharge summary</t>
        </is>
      </c>
      <c r="H1112" t="inlineStr">
        <is>
          <t>labs-imaging</t>
        </is>
      </c>
      <c r="I1112" t="inlineStr">
        <is>
          <t>A
nonurgent adrenal MR recommended for further characterization.</t>
        </is>
      </c>
    </row>
    <row r="1113">
      <c r="A1113" t="inlineStr">
        <is>
          <t>50371-labs-imaging-4-4</t>
        </is>
      </c>
      <c r="B1113" t="inlineStr"/>
      <c r="C1113" t="inlineStr"/>
      <c r="D1113">
        <f>HYPERLINK("http://nlpdeep.cs.uic.edu:8080/proofing/gsii/50371-labs-imaging-4-4.pdf","gsii/50371-labs-imaging-4-4.pdf")</f>
        <v/>
      </c>
      <c r="E1113" t="n">
        <v>119960</v>
      </c>
      <c r="F1113" t="n">
        <v>50371</v>
      </c>
      <c r="G1113" t="inlineStr">
        <is>
          <t>Discharge summary</t>
        </is>
      </c>
      <c r="H1113" t="inlineStr">
        <is>
          <t>labs-imaging</t>
        </is>
      </c>
      <c r="I1113" t="inlineStr">
        <is>
          <t>A
nonurgent adrenal MR recommended for further characterization.</t>
        </is>
      </c>
    </row>
    <row r="1114">
      <c r="A1114" t="inlineStr">
        <is>
          <t>50371-labs-imaging-4-5</t>
        </is>
      </c>
      <c r="B1114" t="inlineStr"/>
      <c r="C1114" t="inlineStr"/>
      <c r="D1114">
        <f>HYPERLINK("http://nlpdeep.cs.uic.edu:8080/proofing/t5/50371-labs-imaging-4-5.pdf","t5/50371-labs-imaging-4-5.pdf")</f>
        <v/>
      </c>
      <c r="E1114" t="n">
        <v>119960</v>
      </c>
      <c r="F1114" t="n">
        <v>50371</v>
      </c>
      <c r="G1114" t="inlineStr">
        <is>
          <t>Discharge summary</t>
        </is>
      </c>
      <c r="H1114" t="inlineStr">
        <is>
          <t>labs-imaging</t>
        </is>
      </c>
      <c r="I1114" t="inlineStr">
        <is>
          <t>Cholelithiasis.</t>
        </is>
      </c>
    </row>
    <row r="1115">
      <c r="A1115" t="inlineStr">
        <is>
          <t>50371-labs-imaging-4-5</t>
        </is>
      </c>
      <c r="B1115" t="inlineStr"/>
      <c r="C1115" t="inlineStr"/>
      <c r="D1115">
        <f>HYPERLINK("http://nlpdeep.cs.uic.edu:8080/proofing/gsii/50371-labs-imaging-4-5.pdf","gsii/50371-labs-imaging-4-5.pdf")</f>
        <v/>
      </c>
      <c r="E1115" t="n">
        <v>119960</v>
      </c>
      <c r="F1115" t="n">
        <v>50371</v>
      </c>
      <c r="G1115" t="inlineStr">
        <is>
          <t>Discharge summary</t>
        </is>
      </c>
      <c r="H1115" t="inlineStr">
        <is>
          <t>labs-imaging</t>
        </is>
      </c>
      <c r="I1115" t="inlineStr">
        <is>
          <t>Cholelithiasis.</t>
        </is>
      </c>
    </row>
    <row r="1116">
      <c r="A1116" t="inlineStr">
        <is>
          <t>50371-labs-imaging-4-6</t>
        </is>
      </c>
      <c r="B1116" t="inlineStr"/>
      <c r="C1116" t="inlineStr"/>
      <c r="D1116">
        <f>HYPERLINK("http://nlpdeep.cs.uic.edu:8080/proofing/t5/50371-labs-imaging-4-6.pdf","t5/50371-labs-imaging-4-6.pdf")</f>
        <v/>
      </c>
      <c r="E1116" t="n">
        <v>119960</v>
      </c>
      <c r="F1116" t="n">
        <v>50371</v>
      </c>
      <c r="G1116" t="inlineStr">
        <is>
          <t>Discharge summary</t>
        </is>
      </c>
      <c r="H1116" t="inlineStr">
        <is>
          <t>labs-imaging</t>
        </is>
      </c>
      <c r="I1116" t="inlineStr">
        <is>
          <t>Atherosclerotic calcification of the
abdominal aorta and its branches.</t>
        </is>
      </c>
    </row>
    <row r="1117">
      <c r="A1117" t="inlineStr">
        <is>
          <t>50371-labs-imaging-4-6</t>
        </is>
      </c>
      <c r="B1117" t="inlineStr"/>
      <c r="C1117" t="inlineStr"/>
      <c r="D1117">
        <f>HYPERLINK("http://nlpdeep.cs.uic.edu:8080/proofing/gsii/50371-labs-imaging-4-6.pdf","gsii/50371-labs-imaging-4-6.pdf")</f>
        <v/>
      </c>
      <c r="E1117" t="n">
        <v>119960</v>
      </c>
      <c r="F1117" t="n">
        <v>50371</v>
      </c>
      <c r="G1117" t="inlineStr">
        <is>
          <t>Discharge summary</t>
        </is>
      </c>
      <c r="H1117" t="inlineStr">
        <is>
          <t>labs-imaging</t>
        </is>
      </c>
      <c r="I1117" t="inlineStr">
        <is>
          <t>Atherosclerotic calcification of the
abdominal aorta and its branches.</t>
        </is>
      </c>
    </row>
    <row r="1118">
      <c r="A1118" t="inlineStr">
        <is>
          <t>50371-labs-imaging-4-7</t>
        </is>
      </c>
      <c r="B1118" t="inlineStr"/>
      <c r="C1118" t="inlineStr"/>
      <c r="D1118">
        <f>HYPERLINK("http://nlpdeep.cs.uic.edu:8080/proofing/t5/50371-labs-imaging-4-7.pdf","t5/50371-labs-imaging-4-7.pdf")</f>
        <v/>
      </c>
      <c r="E1118" t="n">
        <v>119960</v>
      </c>
      <c r="F1118" t="n">
        <v>50371</v>
      </c>
      <c r="G1118" t="inlineStr">
        <is>
          <t>Discharge summary</t>
        </is>
      </c>
      <c r="H1118" t="inlineStr">
        <is>
          <t>labs-imaging</t>
        </is>
      </c>
      <c r="I1118" t="inlineStr">
        <is>
          <t>No evidence of
retroperitoneal hematoma.</t>
        </is>
      </c>
    </row>
    <row r="1119">
      <c r="A1119" t="inlineStr">
        <is>
          <t>50371-labs-imaging-4-7</t>
        </is>
      </c>
      <c r="B1119" t="inlineStr"/>
      <c r="C1119" t="inlineStr"/>
      <c r="D1119">
        <f>HYPERLINK("http://nlpdeep.cs.uic.edu:8080/proofing/gsii/50371-labs-imaging-4-7.pdf","gsii/50371-labs-imaging-4-7.pdf")</f>
        <v/>
      </c>
      <c r="E1119" t="n">
        <v>119960</v>
      </c>
      <c r="F1119" t="n">
        <v>50371</v>
      </c>
      <c r="G1119" t="inlineStr">
        <is>
          <t>Discharge summary</t>
        </is>
      </c>
      <c r="H1119" t="inlineStr">
        <is>
          <t>labs-imaging</t>
        </is>
      </c>
      <c r="I1119" t="inlineStr">
        <is>
          <t>No evidence of
retroperitoneal hematoma.</t>
        </is>
      </c>
    </row>
    <row r="1120">
      <c r="A1120" t="inlineStr">
        <is>
          <t>50371-labs-imaging-4-8</t>
        </is>
      </c>
      <c r="B1120" t="inlineStr"/>
      <c r="C1120" t="inlineStr"/>
      <c r="D1120">
        <f>HYPERLINK("http://nlpdeep.cs.uic.edu:8080/proofing/t5/50371-labs-imaging-4-8.pdf","t5/50371-labs-imaging-4-8.pdf")</f>
        <v/>
      </c>
      <c r="E1120" t="n">
        <v>119960</v>
      </c>
      <c r="F1120" t="n">
        <v>50371</v>
      </c>
      <c r="G1120" t="inlineStr">
        <is>
          <t>Discharge summary</t>
        </is>
      </c>
      <c r="H1120" t="inlineStr">
        <is>
          <t>labs-imaging</t>
        </is>
      </c>
      <c r="I1120" t="inlineStr">
        <is>
          <t>Prostatic enlargement.</t>
        </is>
      </c>
    </row>
    <row r="1121">
      <c r="A1121" t="inlineStr">
        <is>
          <t>50371-labs-imaging-4-8</t>
        </is>
      </c>
      <c r="B1121" t="inlineStr"/>
      <c r="C1121" t="inlineStr"/>
      <c r="D1121">
        <f>HYPERLINK("http://nlpdeep.cs.uic.edu:8080/proofing/gsii/50371-labs-imaging-4-8.pdf","gsii/50371-labs-imaging-4-8.pdf")</f>
        <v/>
      </c>
      <c r="E1121" t="n">
        <v>119960</v>
      </c>
      <c r="F1121" t="n">
        <v>50371</v>
      </c>
      <c r="G1121" t="inlineStr">
        <is>
          <t>Discharge summary</t>
        </is>
      </c>
      <c r="H1121" t="inlineStr">
        <is>
          <t>labs-imaging</t>
        </is>
      </c>
      <c r="I1121" t="inlineStr">
        <is>
          <t>Prostatic enlargement.</t>
        </is>
      </c>
    </row>
    <row r="1122">
      <c r="A1122" t="inlineStr">
        <is>
          <t>50371-labs-imaging-5-0</t>
        </is>
      </c>
      <c r="B1122" t="inlineStr"/>
      <c r="C1122" t="inlineStr"/>
      <c r="D1122">
        <f>HYPERLINK("http://nlpdeep.cs.uic.edu:8080/proofing/t5/50371-labs-imaging-5-0.pdf","t5/50371-labs-imaging-5-0.pdf")</f>
        <v/>
      </c>
      <c r="E1122" t="n">
        <v>119960</v>
      </c>
      <c r="F1122" t="n">
        <v>50371</v>
      </c>
      <c r="G1122" t="inlineStr">
        <is>
          <t>Discharge summary</t>
        </is>
      </c>
      <c r="H1122" t="inlineStr">
        <is>
          <t>labs-imaging</t>
        </is>
      </c>
      <c r="I1122" t="inlineStr">
        <is>
          <t xml:space="preserve">
[**4-6**] Plain film hip - LEFT HIP, TWO VIEWS: There is a comminuted
and impacted intertrochanteric
fracture of the left femur with superior displacement of the
fracture
fragments and varus angulation of the femoral shaft.</t>
        </is>
      </c>
    </row>
    <row r="1123">
      <c r="A1123" t="inlineStr">
        <is>
          <t>50371-labs-imaging-5-0</t>
        </is>
      </c>
      <c r="B1123" t="inlineStr"/>
      <c r="C1123" t="inlineStr"/>
      <c r="D1123">
        <f>HYPERLINK("http://nlpdeep.cs.uic.edu:8080/proofing/gsii/50371-labs-imaging-5-0.pdf","gsii/50371-labs-imaging-5-0.pdf")</f>
        <v/>
      </c>
      <c r="E1123" t="n">
        <v>119960</v>
      </c>
      <c r="F1123" t="n">
        <v>50371</v>
      </c>
      <c r="G1123" t="inlineStr">
        <is>
          <t>Discharge summary</t>
        </is>
      </c>
      <c r="H1123" t="inlineStr">
        <is>
          <t>labs-imaging</t>
        </is>
      </c>
      <c r="I1123" t="inlineStr">
        <is>
          <t xml:space="preserve">
[**4-6**] Plain film hip - LEFT HIP, TWO VIEWS: There is a comminuted
and impacted intertrochanteric
fracture of the left femur with superior displacement of the
fracture
fragments and varus angulation of the femoral shaft.</t>
        </is>
      </c>
    </row>
    <row r="1124">
      <c r="A1124" t="inlineStr">
        <is>
          <t>50371-labs-imaging-5-1</t>
        </is>
      </c>
      <c r="B1124" t="inlineStr"/>
      <c r="C1124" t="inlineStr"/>
      <c r="D1124">
        <f>HYPERLINK("http://nlpdeep.cs.uic.edu:8080/proofing/t5/50371-labs-imaging-5-1.pdf","t5/50371-labs-imaging-5-1.pdf")</f>
        <v/>
      </c>
      <c r="E1124" t="n">
        <v>119960</v>
      </c>
      <c r="F1124" t="n">
        <v>50371</v>
      </c>
      <c r="G1124" t="inlineStr">
        <is>
          <t>Discharge summary</t>
        </is>
      </c>
      <c r="H1124" t="inlineStr">
        <is>
          <t>labs-imaging</t>
        </is>
      </c>
      <c r="I1124" t="inlineStr">
        <is>
          <t>The femoral
head remains
seated within the acetabulum.</t>
        </is>
      </c>
    </row>
    <row r="1125">
      <c r="A1125" t="inlineStr">
        <is>
          <t>50371-labs-imaging-5-1</t>
        </is>
      </c>
      <c r="B1125" t="inlineStr"/>
      <c r="C1125" t="inlineStr"/>
      <c r="D1125">
        <f>HYPERLINK("http://nlpdeep.cs.uic.edu:8080/proofing/gsii/50371-labs-imaging-5-1.pdf","gsii/50371-labs-imaging-5-1.pdf")</f>
        <v/>
      </c>
      <c r="E1125" t="n">
        <v>119960</v>
      </c>
      <c r="F1125" t="n">
        <v>50371</v>
      </c>
      <c r="G1125" t="inlineStr">
        <is>
          <t>Discharge summary</t>
        </is>
      </c>
      <c r="H1125" t="inlineStr">
        <is>
          <t>labs-imaging</t>
        </is>
      </c>
      <c r="I1125" t="inlineStr">
        <is>
          <t>The femoral
head remains
seated within the acetabulum.</t>
        </is>
      </c>
    </row>
    <row r="1126">
      <c r="A1126" t="inlineStr">
        <is>
          <t>50371-labs-imaging-5-2</t>
        </is>
      </c>
      <c r="B1126" t="inlineStr"/>
      <c r="C1126" t="inlineStr"/>
      <c r="D1126">
        <f>HYPERLINK("http://nlpdeep.cs.uic.edu:8080/proofing/t5/50371-labs-imaging-5-2.pdf","t5/50371-labs-imaging-5-2.pdf")</f>
        <v/>
      </c>
      <c r="E1126" t="n">
        <v>119960</v>
      </c>
      <c r="F1126" t="n">
        <v>50371</v>
      </c>
      <c r="G1126" t="inlineStr">
        <is>
          <t>Discharge summary</t>
        </is>
      </c>
      <c r="H1126" t="inlineStr">
        <is>
          <t>labs-imaging</t>
        </is>
      </c>
      <c r="I1126" t="inlineStr">
        <is>
          <t>The SI joints and right hip joint
remain
preserved.</t>
        </is>
      </c>
    </row>
    <row r="1127">
      <c r="A1127" t="inlineStr">
        <is>
          <t>50371-labs-imaging-5-2</t>
        </is>
      </c>
      <c r="B1127" t="inlineStr"/>
      <c r="C1127" t="inlineStr"/>
      <c r="D1127">
        <f>HYPERLINK("http://nlpdeep.cs.uic.edu:8080/proofing/gsii/50371-labs-imaging-5-2.pdf","gsii/50371-labs-imaging-5-2.pdf")</f>
        <v/>
      </c>
      <c r="E1127" t="n">
        <v>119960</v>
      </c>
      <c r="F1127" t="n">
        <v>50371</v>
      </c>
      <c r="G1127" t="inlineStr">
        <is>
          <t>Discharge summary</t>
        </is>
      </c>
      <c r="H1127" t="inlineStr">
        <is>
          <t>labs-imaging</t>
        </is>
      </c>
      <c r="I1127" t="inlineStr">
        <is>
          <t>The SI joints and right hip joint
remain
preserved.</t>
        </is>
      </c>
    </row>
    <row r="1128">
      <c r="A1128" t="inlineStr">
        <is>
          <t>50371-labs-imaging-5-3</t>
        </is>
      </c>
      <c r="B1128" t="inlineStr"/>
      <c r="C1128" t="inlineStr"/>
      <c r="D1128">
        <f>HYPERLINK("http://nlpdeep.cs.uic.edu:8080/proofing/t5/50371-labs-imaging-5-3.pdf","t5/50371-labs-imaging-5-3.pdf")</f>
        <v/>
      </c>
      <c r="E1128" t="n">
        <v>119960</v>
      </c>
      <c r="F1128" t="n">
        <v>50371</v>
      </c>
      <c r="G1128" t="inlineStr">
        <is>
          <t>Discharge summary</t>
        </is>
      </c>
      <c r="H1128" t="inlineStr">
        <is>
          <t>labs-imaging</t>
        </is>
      </c>
      <c r="I1128" t="inlineStr">
        <is>
          <t>There is no pubic symphysis diastasis.</t>
        </is>
      </c>
    </row>
    <row r="1129">
      <c r="A1129" t="inlineStr">
        <is>
          <t>50371-labs-imaging-5-3</t>
        </is>
      </c>
      <c r="B1129" t="inlineStr"/>
      <c r="C1129" t="inlineStr"/>
      <c r="D1129">
        <f>HYPERLINK("http://nlpdeep.cs.uic.edu:8080/proofing/gsii/50371-labs-imaging-5-3.pdf","gsii/50371-labs-imaging-5-3.pdf")</f>
        <v/>
      </c>
      <c r="E1129" t="n">
        <v>119960</v>
      </c>
      <c r="F1129" t="n">
        <v>50371</v>
      </c>
      <c r="G1129" t="inlineStr">
        <is>
          <t>Discharge summary</t>
        </is>
      </c>
      <c r="H1129" t="inlineStr">
        <is>
          <t>labs-imaging</t>
        </is>
      </c>
      <c r="I1129" t="inlineStr">
        <is>
          <t>There is no pubic symphysis diastasis.</t>
        </is>
      </c>
    </row>
    <row r="1130">
      <c r="A1130" t="inlineStr">
        <is>
          <t>50371-labs-imaging-5-4</t>
        </is>
      </c>
      <c r="B1130" t="inlineStr"/>
      <c r="C1130" t="inlineStr"/>
      <c r="D1130">
        <f>HYPERLINK("http://nlpdeep.cs.uic.edu:8080/proofing/t5/50371-labs-imaging-5-4.pdf","t5/50371-labs-imaging-5-4.pdf")</f>
        <v/>
      </c>
      <c r="E1130" t="n">
        <v>119960</v>
      </c>
      <c r="F1130" t="n">
        <v>50371</v>
      </c>
      <c r="G1130" t="inlineStr">
        <is>
          <t>Discharge summary</t>
        </is>
      </c>
      <c r="H1130" t="inlineStr">
        <is>
          <t>labs-imaging</t>
        </is>
      </c>
      <c r="I1130" t="inlineStr">
        <is>
          <t>The distal
left femur and
proximal tibia appear unremarkable without fracture or
malalignment.</t>
        </is>
      </c>
    </row>
    <row r="1131">
      <c r="A1131" t="inlineStr">
        <is>
          <t>50371-labs-imaging-5-4</t>
        </is>
      </c>
      <c r="B1131" t="inlineStr"/>
      <c r="C1131" t="inlineStr"/>
      <c r="D1131">
        <f>HYPERLINK("http://nlpdeep.cs.uic.edu:8080/proofing/gsii/50371-labs-imaging-5-4.pdf","gsii/50371-labs-imaging-5-4.pdf")</f>
        <v/>
      </c>
      <c r="E1131" t="n">
        <v>119960</v>
      </c>
      <c r="F1131" t="n">
        <v>50371</v>
      </c>
      <c r="G1131" t="inlineStr">
        <is>
          <t>Discharge summary</t>
        </is>
      </c>
      <c r="H1131" t="inlineStr">
        <is>
          <t>labs-imaging</t>
        </is>
      </c>
      <c r="I1131" t="inlineStr">
        <is>
          <t>The distal
left femur and
proximal tibia appear unremarkable without fracture or
malalignment.</t>
        </is>
      </c>
    </row>
    <row r="1132">
      <c r="A1132" t="inlineStr">
        <is>
          <t>50371-labs-imaging-5-5</t>
        </is>
      </c>
      <c r="B1132" t="inlineStr"/>
      <c r="C1132" t="inlineStr"/>
      <c r="D1132">
        <f>HYPERLINK("http://nlpdeep.cs.uic.edu:8080/proofing/t5/50371-labs-imaging-5-5.pdf","t5/50371-labs-imaging-5-5.pdf")</f>
        <v/>
      </c>
      <c r="E1132" t="n">
        <v>119960</v>
      </c>
      <c r="F1132" t="n">
        <v>50371</v>
      </c>
      <c r="G1132" t="inlineStr">
        <is>
          <t>Discharge summary</t>
        </is>
      </c>
      <c r="H1132" t="inlineStr">
        <is>
          <t>labs-imaging</t>
        </is>
      </c>
      <c r="I1132" t="inlineStr">
        <is>
          <t>A focal
sclerotic lesion projecting over the right acetabulum is
unchanged since at
least [**2139**].</t>
        </is>
      </c>
    </row>
    <row r="1133">
      <c r="A1133" t="inlineStr">
        <is>
          <t>50371-labs-imaging-5-5</t>
        </is>
      </c>
      <c r="B1133" t="inlineStr"/>
      <c r="C1133" t="inlineStr"/>
      <c r="D1133">
        <f>HYPERLINK("http://nlpdeep.cs.uic.edu:8080/proofing/gsii/50371-labs-imaging-5-5.pdf","gsii/50371-labs-imaging-5-5.pdf")</f>
        <v/>
      </c>
      <c r="E1133" t="n">
        <v>119960</v>
      </c>
      <c r="F1133" t="n">
        <v>50371</v>
      </c>
      <c r="G1133" t="inlineStr">
        <is>
          <t>Discharge summary</t>
        </is>
      </c>
      <c r="H1133" t="inlineStr">
        <is>
          <t>labs-imaging</t>
        </is>
      </c>
      <c r="I1133" t="inlineStr">
        <is>
          <t>A focal
sclerotic lesion projecting over the right acetabulum is
unchanged since at
least [**2139**].</t>
        </is>
      </c>
    </row>
    <row r="1134">
      <c r="A1134" t="inlineStr">
        <is>
          <t>50371-labs-imaging-5-6</t>
        </is>
      </c>
      <c r="B1134" t="inlineStr"/>
      <c r="C1134" t="inlineStr"/>
      <c r="D1134">
        <f>HYPERLINK("http://nlpdeep.cs.uic.edu:8080/proofing/t5/50371-labs-imaging-5-6.pdf","t5/50371-labs-imaging-5-6.pdf")</f>
        <v/>
      </c>
      <c r="E1134" t="n">
        <v>119960</v>
      </c>
      <c r="F1134" t="n">
        <v>50371</v>
      </c>
      <c r="G1134" t="inlineStr">
        <is>
          <t>Discharge summary</t>
        </is>
      </c>
      <c r="H1134" t="inlineStr">
        <is>
          <t>labs-imaging</t>
        </is>
      </c>
      <c r="I1134" t="inlineStr">
        <is>
          <t>Incidental note is made of vascular calcifications.</t>
        </is>
      </c>
    </row>
    <row r="1135">
      <c r="A1135" t="inlineStr">
        <is>
          <t>50371-labs-imaging-5-6</t>
        </is>
      </c>
      <c r="B1135" t="inlineStr"/>
      <c r="C1135" t="inlineStr"/>
      <c r="D1135">
        <f>HYPERLINK("http://nlpdeep.cs.uic.edu:8080/proofing/gsii/50371-labs-imaging-5-6.pdf","gsii/50371-labs-imaging-5-6.pdf")</f>
        <v/>
      </c>
      <c r="E1135" t="n">
        <v>119960</v>
      </c>
      <c r="F1135" t="n">
        <v>50371</v>
      </c>
      <c r="G1135" t="inlineStr">
        <is>
          <t>Discharge summary</t>
        </is>
      </c>
      <c r="H1135" t="inlineStr">
        <is>
          <t>labs-imaging</t>
        </is>
      </c>
      <c r="I1135" t="inlineStr">
        <is>
          <t>Incidental note is made of vascular calcifications.</t>
        </is>
      </c>
    </row>
    <row r="1136">
      <c r="A1136" t="inlineStr">
        <is>
          <t>50371-labs-imaging-6-0</t>
        </is>
      </c>
      <c r="B1136" t="inlineStr"/>
      <c r="C1136" t="inlineStr"/>
      <c r="D1136">
        <f>HYPERLINK("http://nlpdeep.cs.uic.edu:8080/proofing/t5/50371-labs-imaging-6-0.pdf","t5/50371-labs-imaging-6-0.pdf")</f>
        <v/>
      </c>
      <c r="E1136" t="n">
        <v>119960</v>
      </c>
      <c r="F1136" t="n">
        <v>50371</v>
      </c>
      <c r="G1136" t="inlineStr">
        <is>
          <t>Discharge summary</t>
        </is>
      </c>
      <c r="H1136" t="inlineStr">
        <is>
          <t>labs-imaging</t>
        </is>
      </c>
      <c r="I1136" t="inlineStr">
        <is>
          <t xml:space="preserve">
IMPRESSION: Comminuted and impacted intertrochanteric fracture
of the left
femur.</t>
        </is>
      </c>
    </row>
    <row r="1137">
      <c r="A1137" t="inlineStr">
        <is>
          <t>50371-labs-imaging-6-0</t>
        </is>
      </c>
      <c r="B1137" t="inlineStr"/>
      <c r="C1137" t="inlineStr"/>
      <c r="D1137">
        <f>HYPERLINK("http://nlpdeep.cs.uic.edu:8080/proofing/gsii/50371-labs-imaging-6-0.pdf","gsii/50371-labs-imaging-6-0.pdf")</f>
        <v/>
      </c>
      <c r="E1137" t="n">
        <v>119960</v>
      </c>
      <c r="F1137" t="n">
        <v>50371</v>
      </c>
      <c r="G1137" t="inlineStr">
        <is>
          <t>Discharge summary</t>
        </is>
      </c>
      <c r="H1137" t="inlineStr">
        <is>
          <t>labs-imaging</t>
        </is>
      </c>
      <c r="I1137" t="inlineStr">
        <is>
          <t xml:space="preserve">
IMPRESSION: Comminuted and impacted intertrochanteric fracture
of the left
femur.</t>
        </is>
      </c>
    </row>
    <row r="1138">
      <c r="A1138" t="inlineStr">
        <is>
          <t>50371-labs-imaging-7-0</t>
        </is>
      </c>
      <c r="B1138" t="inlineStr"/>
      <c r="C1138" t="inlineStr"/>
      <c r="D1138">
        <f>HYPERLINK("http://nlpdeep.cs.uic.edu:8080/proofing/t5/50371-labs-imaging-7-0.pdf","t5/50371-labs-imaging-7-0.pdf")</f>
        <v/>
      </c>
      <c r="E1138" t="n">
        <v>119960</v>
      </c>
      <c r="F1138" t="n">
        <v>50371</v>
      </c>
      <c r="G1138" t="inlineStr">
        <is>
          <t>Discharge summary</t>
        </is>
      </c>
      <c r="H1138" t="inlineStr">
        <is>
          <t>labs-imaging</t>
        </is>
      </c>
      <c r="I1138" t="inlineStr">
        <is>
          <t xml:space="preserve">
[**4-6**] CXR - CHEST, SINGLE VIEW: Evaluation is significantly
limited by patient rotation.</t>
        </is>
      </c>
    </row>
    <row r="1139">
      <c r="A1139" t="inlineStr">
        <is>
          <t>50371-labs-imaging-7-0</t>
        </is>
      </c>
      <c r="B1139" t="inlineStr"/>
      <c r="C1139" t="inlineStr"/>
      <c r="D1139">
        <f>HYPERLINK("http://nlpdeep.cs.uic.edu:8080/proofing/gsii/50371-labs-imaging-7-0.pdf","gsii/50371-labs-imaging-7-0.pdf")</f>
        <v/>
      </c>
      <c r="E1139" t="n">
        <v>119960</v>
      </c>
      <c r="F1139" t="n">
        <v>50371</v>
      </c>
      <c r="G1139" t="inlineStr">
        <is>
          <t>Discharge summary</t>
        </is>
      </c>
      <c r="H1139" t="inlineStr">
        <is>
          <t>labs-imaging</t>
        </is>
      </c>
      <c r="I1139" t="inlineStr">
        <is>
          <t xml:space="preserve">
[**4-6**] CXR - CHEST, SINGLE VIEW: Evaluation is significantly
limited by patient rotation.</t>
        </is>
      </c>
    </row>
    <row r="1140">
      <c r="A1140" t="inlineStr">
        <is>
          <t>50371-labs-imaging-7-1</t>
        </is>
      </c>
      <c r="B1140" t="inlineStr"/>
      <c r="C1140" t="inlineStr"/>
      <c r="D1140">
        <f>HYPERLINK("http://nlpdeep.cs.uic.edu:8080/proofing/t5/50371-labs-imaging-7-1.pdf","t5/50371-labs-imaging-7-1.pdf")</f>
        <v/>
      </c>
      <c r="E1140" t="n">
        <v>119960</v>
      </c>
      <c r="F1140" t="n">
        <v>50371</v>
      </c>
      <c r="G1140" t="inlineStr">
        <is>
          <t>Discharge summary</t>
        </is>
      </c>
      <c r="H1140" t="inlineStr">
        <is>
          <t>labs-imaging</t>
        </is>
      </c>
      <c r="I1140" t="inlineStr">
        <is>
          <t xml:space="preserve">
Within that limitation, there is stable mild cardiomegaly with
likely tortuous
descending aorta.</t>
        </is>
      </c>
    </row>
    <row r="1141">
      <c r="A1141" t="inlineStr">
        <is>
          <t>50371-labs-imaging-7-1</t>
        </is>
      </c>
      <c r="B1141" t="inlineStr"/>
      <c r="C1141" t="inlineStr"/>
      <c r="D1141">
        <f>HYPERLINK("http://nlpdeep.cs.uic.edu:8080/proofing/gsii/50371-labs-imaging-7-1.pdf","gsii/50371-labs-imaging-7-1.pdf")</f>
        <v/>
      </c>
      <c r="E1141" t="n">
        <v>119960</v>
      </c>
      <c r="F1141" t="n">
        <v>50371</v>
      </c>
      <c r="G1141" t="inlineStr">
        <is>
          <t>Discharge summary</t>
        </is>
      </c>
      <c r="H1141" t="inlineStr">
        <is>
          <t>labs-imaging</t>
        </is>
      </c>
      <c r="I1141" t="inlineStr">
        <is>
          <t xml:space="preserve">
Within that limitation, there is stable mild cardiomegaly with
likely tortuous
descending aorta.</t>
        </is>
      </c>
    </row>
    <row r="1142">
      <c r="A1142" t="inlineStr">
        <is>
          <t>50371-labs-imaging-7-2</t>
        </is>
      </c>
      <c r="B1142" t="inlineStr"/>
      <c r="C1142" t="inlineStr"/>
      <c r="D1142">
        <f>HYPERLINK("http://nlpdeep.cs.uic.edu:8080/proofing/t5/50371-labs-imaging-7-2.pdf","t5/50371-labs-imaging-7-2.pdf")</f>
        <v/>
      </c>
      <c r="E1142" t="n">
        <v>119960</v>
      </c>
      <c r="F1142" t="n">
        <v>50371</v>
      </c>
      <c r="G1142" t="inlineStr">
        <is>
          <t>Discharge summary</t>
        </is>
      </c>
      <c r="H1142" t="inlineStr">
        <is>
          <t>labs-imaging</t>
        </is>
      </c>
      <c r="I1142" t="inlineStr">
        <is>
          <t>Increased retrocardiac opacity likely
represents
atelectasis in the left lung base.</t>
        </is>
      </c>
    </row>
    <row r="1143">
      <c r="A1143" t="inlineStr">
        <is>
          <t>50371-labs-imaging-7-2</t>
        </is>
      </c>
      <c r="B1143" t="inlineStr"/>
      <c r="C1143" t="inlineStr"/>
      <c r="D1143">
        <f>HYPERLINK("http://nlpdeep.cs.uic.edu:8080/proofing/gsii/50371-labs-imaging-7-2.pdf","gsii/50371-labs-imaging-7-2.pdf")</f>
        <v/>
      </c>
      <c r="E1143" t="n">
        <v>119960</v>
      </c>
      <c r="F1143" t="n">
        <v>50371</v>
      </c>
      <c r="G1143" t="inlineStr">
        <is>
          <t>Discharge summary</t>
        </is>
      </c>
      <c r="H1143" t="inlineStr">
        <is>
          <t>labs-imaging</t>
        </is>
      </c>
      <c r="I1143" t="inlineStr">
        <is>
          <t>Increased retrocardiac opacity likely
represents
atelectasis in the left lung base.</t>
        </is>
      </c>
    </row>
    <row r="1144">
      <c r="A1144" t="inlineStr">
        <is>
          <t>50371-labs-imaging-7-3</t>
        </is>
      </c>
      <c r="B1144" t="inlineStr"/>
      <c r="C1144" t="inlineStr"/>
      <c r="D1144">
        <f>HYPERLINK("http://nlpdeep.cs.uic.edu:8080/proofing/t5/50371-labs-imaging-7-3.pdf","t5/50371-labs-imaging-7-3.pdf")</f>
        <v/>
      </c>
      <c r="E1144" t="n">
        <v>119960</v>
      </c>
      <c r="F1144" t="n">
        <v>50371</v>
      </c>
      <c r="G1144" t="inlineStr">
        <is>
          <t>Discharge summary</t>
        </is>
      </c>
      <c r="H1144" t="inlineStr">
        <is>
          <t>labs-imaging</t>
        </is>
      </c>
      <c r="I1144" t="inlineStr">
        <is>
          <t>A small left pleural effusion
likely
persists.</t>
        </is>
      </c>
    </row>
    <row r="1145">
      <c r="A1145" t="inlineStr">
        <is>
          <t>50371-labs-imaging-7-3</t>
        </is>
      </c>
      <c r="B1145" t="inlineStr"/>
      <c r="C1145" t="inlineStr"/>
      <c r="D1145">
        <f>HYPERLINK("http://nlpdeep.cs.uic.edu:8080/proofing/gsii/50371-labs-imaging-7-3.pdf","gsii/50371-labs-imaging-7-3.pdf")</f>
        <v/>
      </c>
      <c r="E1145" t="n">
        <v>119960</v>
      </c>
      <c r="F1145" t="n">
        <v>50371</v>
      </c>
      <c r="G1145" t="inlineStr">
        <is>
          <t>Discharge summary</t>
        </is>
      </c>
      <c r="H1145" t="inlineStr">
        <is>
          <t>labs-imaging</t>
        </is>
      </c>
      <c r="I1145" t="inlineStr">
        <is>
          <t>A small left pleural effusion
likely
persists.</t>
        </is>
      </c>
    </row>
    <row r="1146">
      <c r="A1146" t="inlineStr">
        <is>
          <t>50371-labs-imaging-7-4</t>
        </is>
      </c>
      <c r="B1146" t="inlineStr"/>
      <c r="C1146" t="inlineStr"/>
      <c r="D1146">
        <f>HYPERLINK("http://nlpdeep.cs.uic.edu:8080/proofing/t5/50371-labs-imaging-7-4.pdf","t5/50371-labs-imaging-7-4.pdf")</f>
        <v/>
      </c>
      <c r="E1146" t="n">
        <v>119960</v>
      </c>
      <c r="F1146" t="n">
        <v>50371</v>
      </c>
      <c r="G1146" t="inlineStr">
        <is>
          <t>Discharge summary</t>
        </is>
      </c>
      <c r="H1146" t="inlineStr">
        <is>
          <t>labs-imaging</t>
        </is>
      </c>
      <c r="I1146" t="inlineStr">
        <is>
          <t>The right lung appears clear.</t>
        </is>
      </c>
    </row>
    <row r="1147">
      <c r="A1147" t="inlineStr">
        <is>
          <t>50371-labs-imaging-7-4</t>
        </is>
      </c>
      <c r="B1147" t="inlineStr"/>
      <c r="C1147" t="inlineStr"/>
      <c r="D1147">
        <f>HYPERLINK("http://nlpdeep.cs.uic.edu:8080/proofing/gsii/50371-labs-imaging-7-4.pdf","gsii/50371-labs-imaging-7-4.pdf")</f>
        <v/>
      </c>
      <c r="E1147" t="n">
        <v>119960</v>
      </c>
      <c r="F1147" t="n">
        <v>50371</v>
      </c>
      <c r="G1147" t="inlineStr">
        <is>
          <t>Discharge summary</t>
        </is>
      </c>
      <c r="H1147" t="inlineStr">
        <is>
          <t>labs-imaging</t>
        </is>
      </c>
      <c r="I1147" t="inlineStr">
        <is>
          <t>The right lung appears clear.</t>
        </is>
      </c>
    </row>
    <row r="1148">
      <c r="A1148" t="inlineStr">
        <is>
          <t>50371-labs-imaging-7-5</t>
        </is>
      </c>
      <c r="B1148" t="inlineStr"/>
      <c r="C1148" t="inlineStr"/>
      <c r="D1148">
        <f>HYPERLINK("http://nlpdeep.cs.uic.edu:8080/proofing/t5/50371-labs-imaging-7-5.pdf","t5/50371-labs-imaging-7-5.pdf")</f>
        <v/>
      </c>
      <c r="E1148" t="n">
        <v>119960</v>
      </c>
      <c r="F1148" t="n">
        <v>50371</v>
      </c>
      <c r="G1148" t="inlineStr">
        <is>
          <t>Discharge summary</t>
        </is>
      </c>
      <c r="H1148" t="inlineStr">
        <is>
          <t>labs-imaging</t>
        </is>
      </c>
      <c r="I1148" t="inlineStr">
        <is>
          <t>There is no pneumothorax
or
pulmonary edema.</t>
        </is>
      </c>
    </row>
    <row r="1149">
      <c r="A1149" t="inlineStr">
        <is>
          <t>50371-labs-imaging-7-5</t>
        </is>
      </c>
      <c r="B1149" t="inlineStr"/>
      <c r="C1149" t="inlineStr"/>
      <c r="D1149">
        <f>HYPERLINK("http://nlpdeep.cs.uic.edu:8080/proofing/gsii/50371-labs-imaging-7-5.pdf","gsii/50371-labs-imaging-7-5.pdf")</f>
        <v/>
      </c>
      <c r="E1149" t="n">
        <v>119960</v>
      </c>
      <c r="F1149" t="n">
        <v>50371</v>
      </c>
      <c r="G1149" t="inlineStr">
        <is>
          <t>Discharge summary</t>
        </is>
      </c>
      <c r="H1149" t="inlineStr">
        <is>
          <t>labs-imaging</t>
        </is>
      </c>
      <c r="I1149" t="inlineStr">
        <is>
          <t>There is no pneumothorax
or
pulmonary edema.</t>
        </is>
      </c>
    </row>
    <row r="1150">
      <c r="A1150" t="inlineStr">
        <is>
          <t>50371-labs-imaging-7-6</t>
        </is>
      </c>
      <c r="B1150" t="inlineStr"/>
      <c r="C1150" t="inlineStr"/>
      <c r="D1150">
        <f>HYPERLINK("http://nlpdeep.cs.uic.edu:8080/proofing/t5/50371-labs-imaging-7-6.pdf","t5/50371-labs-imaging-7-6.pdf")</f>
        <v/>
      </c>
      <c r="E1150" t="n">
        <v>119960</v>
      </c>
      <c r="F1150" t="n">
        <v>50371</v>
      </c>
      <c r="G1150" t="inlineStr">
        <is>
          <t>Discharge summary</t>
        </is>
      </c>
      <c r="H1150" t="inlineStr">
        <is>
          <t>labs-imaging</t>
        </is>
      </c>
      <c r="I1150" t="inlineStr">
        <is>
          <t>No acute displaced fracture is identified.</t>
        </is>
      </c>
    </row>
    <row r="1151">
      <c r="A1151" t="inlineStr">
        <is>
          <t>50371-labs-imaging-7-6</t>
        </is>
      </c>
      <c r="B1151" t="inlineStr"/>
      <c r="C1151" t="inlineStr"/>
      <c r="D1151">
        <f>HYPERLINK("http://nlpdeep.cs.uic.edu:8080/proofing/gsii/50371-labs-imaging-7-6.pdf","gsii/50371-labs-imaging-7-6.pdf")</f>
        <v/>
      </c>
      <c r="E1151" t="n">
        <v>119960</v>
      </c>
      <c r="F1151" t="n">
        <v>50371</v>
      </c>
      <c r="G1151" t="inlineStr">
        <is>
          <t>Discharge summary</t>
        </is>
      </c>
      <c r="H1151" t="inlineStr">
        <is>
          <t>labs-imaging</t>
        </is>
      </c>
      <c r="I1151" t="inlineStr">
        <is>
          <t>No acute displaced fracture is identified.</t>
        </is>
      </c>
    </row>
    <row r="1152">
      <c r="A1152" t="inlineStr">
        <is>
          <t>50371-labs-imaging-8-0</t>
        </is>
      </c>
      <c r="B1152" t="inlineStr"/>
      <c r="C1152" t="inlineStr"/>
      <c r="D1152">
        <f>HYPERLINK("http://nlpdeep.cs.uic.edu:8080/proofing/t5/50371-labs-imaging-8-0.pdf","t5/50371-labs-imaging-8-0.pdf")</f>
        <v/>
      </c>
      <c r="E1152" t="n">
        <v>119960</v>
      </c>
      <c r="F1152" t="n">
        <v>50371</v>
      </c>
      <c r="G1152" t="inlineStr">
        <is>
          <t>Discharge summary</t>
        </is>
      </c>
      <c r="H1152" t="inlineStr">
        <is>
          <t>labs-imaging</t>
        </is>
      </c>
      <c r="I1152" t="inlineStr">
        <is>
          <t xml:space="preserve">
IMPRESSION: Limited study demonstrates stable cardiomegaly with
likely
persistent left pleural effusion with basilar atelectasis.</t>
        </is>
      </c>
    </row>
    <row r="1153">
      <c r="A1153" t="inlineStr">
        <is>
          <t>50371-labs-imaging-8-0</t>
        </is>
      </c>
      <c r="B1153" t="inlineStr"/>
      <c r="C1153" t="inlineStr"/>
      <c r="D1153">
        <f>HYPERLINK("http://nlpdeep.cs.uic.edu:8080/proofing/gsii/50371-labs-imaging-8-0.pdf","gsii/50371-labs-imaging-8-0.pdf")</f>
        <v/>
      </c>
      <c r="E1153" t="n">
        <v>119960</v>
      </c>
      <c r="F1153" t="n">
        <v>50371</v>
      </c>
      <c r="G1153" t="inlineStr">
        <is>
          <t>Discharge summary</t>
        </is>
      </c>
      <c r="H1153" t="inlineStr">
        <is>
          <t>labs-imaging</t>
        </is>
      </c>
      <c r="I1153" t="inlineStr">
        <is>
          <t xml:space="preserve">
IMPRESSION: Limited study demonstrates stable cardiomegaly with
likely
persistent left pleural effusion with basilar atelectasis.</t>
        </is>
      </c>
    </row>
    <row r="1154">
      <c r="A1154" t="inlineStr">
        <is>
          <t>50371-labs-imaging-8-1</t>
        </is>
      </c>
      <c r="B1154" t="inlineStr"/>
      <c r="C1154" t="inlineStr"/>
      <c r="D1154">
        <f>HYPERLINK("http://nlpdeep.cs.uic.edu:8080/proofing/t5/50371-labs-imaging-8-1.pdf","t5/50371-labs-imaging-8-1.pdf")</f>
        <v/>
      </c>
      <c r="E1154" t="n">
        <v>119960</v>
      </c>
      <c r="F1154" t="n">
        <v>50371</v>
      </c>
      <c r="G1154" t="inlineStr">
        <is>
          <t>Discharge summary</t>
        </is>
      </c>
      <c r="H1154" t="inlineStr">
        <is>
          <t>labs-imaging</t>
        </is>
      </c>
      <c r="I1154" t="inlineStr">
        <is>
          <t xml:space="preserve">
Concurrent
underlying infection cannot be excluded.</t>
        </is>
      </c>
    </row>
    <row r="1155">
      <c r="A1155" t="inlineStr">
        <is>
          <t>50371-labs-imaging-8-1</t>
        </is>
      </c>
      <c r="B1155" t="inlineStr"/>
      <c r="C1155" t="inlineStr"/>
      <c r="D1155">
        <f>HYPERLINK("http://nlpdeep.cs.uic.edu:8080/proofing/gsii/50371-labs-imaging-8-1.pdf","gsii/50371-labs-imaging-8-1.pdf")</f>
        <v/>
      </c>
      <c r="E1155" t="n">
        <v>119960</v>
      </c>
      <c r="F1155" t="n">
        <v>50371</v>
      </c>
      <c r="G1155" t="inlineStr">
        <is>
          <t>Discharge summary</t>
        </is>
      </c>
      <c r="H1155" t="inlineStr">
        <is>
          <t>labs-imaging</t>
        </is>
      </c>
      <c r="I1155" t="inlineStr">
        <is>
          <t xml:space="preserve">
Concurrent
underlying infection cannot be excluded.</t>
        </is>
      </c>
    </row>
    <row r="1156">
      <c r="A1156" t="inlineStr">
        <is>
          <t>50371-labs-imaging-8-2</t>
        </is>
      </c>
      <c r="B1156" t="inlineStr"/>
      <c r="C1156" t="inlineStr"/>
      <c r="D1156">
        <f>HYPERLINK("http://nlpdeep.cs.uic.edu:8080/proofing/t5/50371-labs-imaging-8-2.pdf","t5/50371-labs-imaging-8-2.pdf")</f>
        <v/>
      </c>
      <c r="E1156" t="n">
        <v>119960</v>
      </c>
      <c r="F1156" t="n">
        <v>50371</v>
      </c>
      <c r="G1156" t="inlineStr">
        <is>
          <t>Discharge summary</t>
        </is>
      </c>
      <c r="H1156" t="inlineStr">
        <is>
          <t>labs-imaging</t>
        </is>
      </c>
      <c r="I1156" t="inlineStr">
        <is>
          <t>If clinically
indicated, repeat
study may be obtained with PA and lateral views and optimized
technique.</t>
        </is>
      </c>
    </row>
    <row r="1157">
      <c r="A1157" t="inlineStr">
        <is>
          <t>50371-labs-imaging-8-2</t>
        </is>
      </c>
      <c r="B1157" t="inlineStr"/>
      <c r="C1157" t="inlineStr"/>
      <c r="D1157">
        <f>HYPERLINK("http://nlpdeep.cs.uic.edu:8080/proofing/gsii/50371-labs-imaging-8-2.pdf","gsii/50371-labs-imaging-8-2.pdf")</f>
        <v/>
      </c>
      <c r="E1157" t="n">
        <v>119960</v>
      </c>
      <c r="F1157" t="n">
        <v>50371</v>
      </c>
      <c r="G1157" t="inlineStr">
        <is>
          <t>Discharge summary</t>
        </is>
      </c>
      <c r="H1157" t="inlineStr">
        <is>
          <t>labs-imaging</t>
        </is>
      </c>
      <c r="I1157" t="inlineStr">
        <is>
          <t>If clinically
indicated, repeat
study may be obtained with PA and lateral views and optimized
technique.</t>
        </is>
      </c>
    </row>
    <row r="1158">
      <c r="A1158" t="inlineStr">
        <is>
          <t>50371-labs-imaging-9-0</t>
        </is>
      </c>
      <c r="B1158" t="inlineStr"/>
      <c r="C1158" t="inlineStr"/>
      <c r="D1158">
        <f>HYPERLINK("http://nlpdeep.cs.uic.edu:8080/proofing/t5/50371-labs-imaging-9-0.pdf","t5/50371-labs-imaging-9-0.pdf")</f>
        <v/>
      </c>
      <c r="E1158" t="n">
        <v>119960</v>
      </c>
      <c r="F1158" t="n">
        <v>50371</v>
      </c>
      <c r="G1158" t="inlineStr">
        <is>
          <t>Discharge summary</t>
        </is>
      </c>
      <c r="H1158" t="inlineStr">
        <is>
          <t>labs-imaging</t>
        </is>
      </c>
      <c r="I1158" t="inlineStr">
        <is>
          <t xml:space="preserve">
[**4-6**] CT C-spine w/o contrast - 1.</t>
        </is>
      </c>
    </row>
    <row r="1159">
      <c r="A1159" t="inlineStr">
        <is>
          <t>50371-labs-imaging-9-0</t>
        </is>
      </c>
      <c r="B1159" t="inlineStr"/>
      <c r="C1159" t="inlineStr"/>
      <c r="D1159">
        <f>HYPERLINK("http://nlpdeep.cs.uic.edu:8080/proofing/gsii/50371-labs-imaging-9-0.pdf","gsii/50371-labs-imaging-9-0.pdf")</f>
        <v/>
      </c>
      <c r="E1159" t="n">
        <v>119960</v>
      </c>
      <c r="F1159" t="n">
        <v>50371</v>
      </c>
      <c r="G1159" t="inlineStr">
        <is>
          <t>Discharge summary</t>
        </is>
      </c>
      <c r="H1159" t="inlineStr">
        <is>
          <t>labs-imaging</t>
        </is>
      </c>
      <c r="I1159" t="inlineStr">
        <is>
          <t xml:space="preserve">
[**4-6**] CT C-spine w/o contrast - 1.</t>
        </is>
      </c>
    </row>
    <row r="1160">
      <c r="A1160" t="inlineStr">
        <is>
          <t>50371-labs-imaging-9-1</t>
        </is>
      </c>
      <c r="B1160" t="inlineStr"/>
      <c r="C1160" t="inlineStr"/>
      <c r="D1160">
        <f>HYPERLINK("http://nlpdeep.cs.uic.edu:8080/proofing/t5/50371-labs-imaging-9-1.pdf","t5/50371-labs-imaging-9-1.pdf")</f>
        <v/>
      </c>
      <c r="E1160" t="n">
        <v>119960</v>
      </c>
      <c r="F1160" t="n">
        <v>50371</v>
      </c>
      <c r="G1160" t="inlineStr">
        <is>
          <t>Discharge summary</t>
        </is>
      </c>
      <c r="H1160" t="inlineStr">
        <is>
          <t>labs-imaging</t>
        </is>
      </c>
      <c r="I1160" t="inlineStr">
        <is>
          <t>No fracture.</t>
        </is>
      </c>
    </row>
    <row r="1161">
      <c r="A1161" t="inlineStr">
        <is>
          <t>50371-labs-imaging-9-1</t>
        </is>
      </c>
      <c r="B1161" t="inlineStr"/>
      <c r="C1161" t="inlineStr"/>
      <c r="D1161">
        <f>HYPERLINK("http://nlpdeep.cs.uic.edu:8080/proofing/gsii/50371-labs-imaging-9-1.pdf","gsii/50371-labs-imaging-9-1.pdf")</f>
        <v/>
      </c>
      <c r="E1161" t="n">
        <v>119960</v>
      </c>
      <c r="F1161" t="n">
        <v>50371</v>
      </c>
      <c r="G1161" t="inlineStr">
        <is>
          <t>Discharge summary</t>
        </is>
      </c>
      <c r="H1161" t="inlineStr">
        <is>
          <t>labs-imaging</t>
        </is>
      </c>
      <c r="I1161" t="inlineStr">
        <is>
          <t>No fracture.</t>
        </is>
      </c>
    </row>
    <row r="1162">
      <c r="A1162" t="inlineStr">
        <is>
          <t>50371-labs-imaging-9-2</t>
        </is>
      </c>
      <c r="B1162" t="inlineStr"/>
      <c r="C1162" t="inlineStr"/>
      <c r="D1162">
        <f>HYPERLINK("http://nlpdeep.cs.uic.edu:8080/proofing/t5/50371-labs-imaging-9-2.pdf","t5/50371-labs-imaging-9-2.pdf")</f>
        <v/>
      </c>
      <c r="E1162" t="n">
        <v>119960</v>
      </c>
      <c r="F1162" t="n">
        <v>50371</v>
      </c>
      <c r="G1162" t="inlineStr">
        <is>
          <t>Discharge summary</t>
        </is>
      </c>
      <c r="H1162" t="inlineStr">
        <is>
          <t>labs-imaging</t>
        </is>
      </c>
      <c r="I1162" t="inlineStr">
        <is>
          <t>Multilevel
degenerative change.</t>
        </is>
      </c>
    </row>
    <row r="1163">
      <c r="A1163" t="inlineStr">
        <is>
          <t>50371-labs-imaging-9-2</t>
        </is>
      </c>
      <c r="B1163" t="inlineStr"/>
      <c r="C1163" t="inlineStr"/>
      <c r="D1163">
        <f>HYPERLINK("http://nlpdeep.cs.uic.edu:8080/proofing/gsii/50371-labs-imaging-9-2.pdf","gsii/50371-labs-imaging-9-2.pdf")</f>
        <v/>
      </c>
      <c r="E1163" t="n">
        <v>119960</v>
      </c>
      <c r="F1163" t="n">
        <v>50371</v>
      </c>
      <c r="G1163" t="inlineStr">
        <is>
          <t>Discharge summary</t>
        </is>
      </c>
      <c r="H1163" t="inlineStr">
        <is>
          <t>labs-imaging</t>
        </is>
      </c>
      <c r="I1163" t="inlineStr">
        <is>
          <t>Multilevel
degenerative change.</t>
        </is>
      </c>
    </row>
    <row r="1164">
      <c r="A1164" t="inlineStr">
        <is>
          <t>50371-labs-imaging-9-3</t>
        </is>
      </c>
      <c r="B1164" t="inlineStr"/>
      <c r="C1164" t="inlineStr"/>
      <c r="D1164">
        <f>HYPERLINK("http://nlpdeep.cs.uic.edu:8080/proofing/t5/50371-labs-imaging-9-3.pdf","t5/50371-labs-imaging-9-3.pdf")</f>
        <v/>
      </c>
      <c r="E1164" t="n">
        <v>119960</v>
      </c>
      <c r="F1164" t="n">
        <v>50371</v>
      </c>
      <c r="G1164" t="inlineStr">
        <is>
          <t>Discharge summary</t>
        </is>
      </c>
      <c r="H1164" t="inlineStr">
        <is>
          <t>labs-imaging</t>
        </is>
      </c>
      <c r="I1164" t="inlineStr">
        <is>
          <t>Grade I anterolisthesis of C7 on T1 and
T1 on T2, presumably degenerative in nature.</t>
        </is>
      </c>
    </row>
    <row r="1165">
      <c r="A1165" t="inlineStr">
        <is>
          <t>50371-labs-imaging-9-3</t>
        </is>
      </c>
      <c r="B1165" t="inlineStr"/>
      <c r="C1165" t="inlineStr"/>
      <c r="D1165">
        <f>HYPERLINK("http://nlpdeep.cs.uic.edu:8080/proofing/gsii/50371-labs-imaging-9-3.pdf","gsii/50371-labs-imaging-9-3.pdf")</f>
        <v/>
      </c>
      <c r="E1165" t="n">
        <v>119960</v>
      </c>
      <c r="F1165" t="n">
        <v>50371</v>
      </c>
      <c r="G1165" t="inlineStr">
        <is>
          <t>Discharge summary</t>
        </is>
      </c>
      <c r="H1165" t="inlineStr">
        <is>
          <t>labs-imaging</t>
        </is>
      </c>
      <c r="I1165" t="inlineStr">
        <is>
          <t>Grade I anterolisthesis of C7 on T1 and
T1 on T2, presumably degenerative in nature.</t>
        </is>
      </c>
    </row>
    <row r="1166">
      <c r="A1166" t="inlineStr">
        <is>
          <t>50371-labs-imaging-10-0</t>
        </is>
      </c>
      <c r="B1166" t="inlineStr"/>
      <c r="C1166" t="inlineStr"/>
      <c r="D1166">
        <f>HYPERLINK("http://nlpdeep.cs.uic.edu:8080/proofing/t5/50371-labs-imaging-10-0.pdf","t5/50371-labs-imaging-10-0.pdf")</f>
        <v/>
      </c>
      <c r="E1166" t="n">
        <v>119960</v>
      </c>
      <c r="F1166" t="n">
        <v>50371</v>
      </c>
      <c r="G1166" t="inlineStr">
        <is>
          <t>Discharge summary</t>
        </is>
      </c>
      <c r="H1166" t="inlineStr">
        <is>
          <t>labs-imaging</t>
        </is>
      </c>
      <c r="I1166" t="inlineStr">
        <is>
          <t xml:space="preserve">
[**4-6**] CT head w/o contrast - There is no hemorrhage, edema, mass
effect, shift of midline structures, or evidence of major
vascular territorial infarction.</t>
        </is>
      </c>
    </row>
    <row r="1167">
      <c r="A1167" t="inlineStr">
        <is>
          <t>50371-labs-imaging-10-0</t>
        </is>
      </c>
      <c r="B1167" t="inlineStr"/>
      <c r="C1167" t="inlineStr"/>
      <c r="D1167">
        <f>HYPERLINK("http://nlpdeep.cs.uic.edu:8080/proofing/gsii/50371-labs-imaging-10-0.pdf","gsii/50371-labs-imaging-10-0.pdf")</f>
        <v/>
      </c>
      <c r="E1167" t="n">
        <v>119960</v>
      </c>
      <c r="F1167" t="n">
        <v>50371</v>
      </c>
      <c r="G1167" t="inlineStr">
        <is>
          <t>Discharge summary</t>
        </is>
      </c>
      <c r="H1167" t="inlineStr">
        <is>
          <t>labs-imaging</t>
        </is>
      </c>
      <c r="I1167" t="inlineStr">
        <is>
          <t xml:space="preserve">
[**4-6**] CT head w/o contrast - There is no hemorrhage, edema, mass
effect, shift of midline structures, or evidence of major
vascular territorial infarction.</t>
        </is>
      </c>
    </row>
    <row r="1168">
      <c r="A1168" t="inlineStr">
        <is>
          <t>50371-labs-imaging-10-1</t>
        </is>
      </c>
      <c r="B1168" t="inlineStr"/>
      <c r="C1168" t="inlineStr"/>
      <c r="D1168">
        <f>HYPERLINK("http://nlpdeep.cs.uic.edu:8080/proofing/t5/50371-labs-imaging-10-1.pdf","t5/50371-labs-imaging-10-1.pdf")</f>
        <v/>
      </c>
      <c r="E1168" t="n">
        <v>119960</v>
      </c>
      <c r="F1168" t="n">
        <v>50371</v>
      </c>
      <c r="G1168" t="inlineStr">
        <is>
          <t>Discharge summary</t>
        </is>
      </c>
      <c r="H1168" t="inlineStr">
        <is>
          <t>labs-imaging</t>
        </is>
      </c>
      <c r="I1168" t="inlineStr">
        <is>
          <t>There is no acute fracture.</t>
        </is>
      </c>
    </row>
    <row r="1169">
      <c r="A1169" t="inlineStr">
        <is>
          <t>50371-labs-imaging-10-1</t>
        </is>
      </c>
      <c r="B1169" t="inlineStr"/>
      <c r="C1169" t="inlineStr"/>
      <c r="D1169">
        <f>HYPERLINK("http://nlpdeep.cs.uic.edu:8080/proofing/gsii/50371-labs-imaging-10-1.pdf","gsii/50371-labs-imaging-10-1.pdf")</f>
        <v/>
      </c>
      <c r="E1169" t="n">
        <v>119960</v>
      </c>
      <c r="F1169" t="n">
        <v>50371</v>
      </c>
      <c r="G1169" t="inlineStr">
        <is>
          <t>Discharge summary</t>
        </is>
      </c>
      <c r="H1169" t="inlineStr">
        <is>
          <t>labs-imaging</t>
        </is>
      </c>
      <c r="I1169" t="inlineStr">
        <is>
          <t>There is no acute fracture.</t>
        </is>
      </c>
    </row>
    <row r="1170">
      <c r="A1170" t="inlineStr">
        <is>
          <t>50371-labs-imaging-10-2</t>
        </is>
      </c>
      <c r="B1170" t="inlineStr"/>
      <c r="C1170" t="inlineStr"/>
      <c r="D1170">
        <f>HYPERLINK("http://nlpdeep.cs.uic.edu:8080/proofing/t5/50371-labs-imaging-10-2.pdf","t5/50371-labs-imaging-10-2.pdf")</f>
        <v/>
      </c>
      <c r="E1170" t="n">
        <v>119960</v>
      </c>
      <c r="F1170" t="n">
        <v>50371</v>
      </c>
      <c r="G1170" t="inlineStr">
        <is>
          <t>Discharge summary</t>
        </is>
      </c>
      <c r="H1170" t="inlineStr">
        <is>
          <t>labs-imaging</t>
        </is>
      </c>
      <c r="I1170" t="inlineStr">
        <is>
          <t xml:space="preserve">
There is prominence of ventricles and sulci consistent with
age-related parenchymal involutional change.</t>
        </is>
      </c>
    </row>
    <row r="1171">
      <c r="A1171" t="inlineStr">
        <is>
          <t>50371-labs-imaging-10-2</t>
        </is>
      </c>
      <c r="B1171" t="inlineStr"/>
      <c r="C1171" t="inlineStr"/>
      <c r="D1171">
        <f>HYPERLINK("http://nlpdeep.cs.uic.edu:8080/proofing/gsii/50371-labs-imaging-10-2.pdf","gsii/50371-labs-imaging-10-2.pdf")</f>
        <v/>
      </c>
      <c r="E1171" t="n">
        <v>119960</v>
      </c>
      <c r="F1171" t="n">
        <v>50371</v>
      </c>
      <c r="G1171" t="inlineStr">
        <is>
          <t>Discharge summary</t>
        </is>
      </c>
      <c r="H1171" t="inlineStr">
        <is>
          <t>labs-imaging</t>
        </is>
      </c>
      <c r="I1171" t="inlineStr">
        <is>
          <t xml:space="preserve">
There is prominence of ventricles and sulci consistent with
age-related parenchymal involutional change.</t>
        </is>
      </c>
    </row>
    <row r="1172">
      <c r="A1172" t="inlineStr">
        <is>
          <t>50371-labs-imaging-10-3</t>
        </is>
      </c>
      <c r="B1172" t="inlineStr"/>
      <c r="C1172" t="inlineStr"/>
      <c r="D1172">
        <f>HYPERLINK("http://nlpdeep.cs.uic.edu:8080/proofing/t5/50371-labs-imaging-10-3.pdf","t5/50371-labs-imaging-10-3.pdf")</f>
        <v/>
      </c>
      <c r="E1172" t="n">
        <v>119960</v>
      </c>
      <c r="F1172" t="n">
        <v>50371</v>
      </c>
      <c r="G1172" t="inlineStr">
        <is>
          <t>Discharge summary</t>
        </is>
      </c>
      <c r="H1172" t="inlineStr">
        <is>
          <t>labs-imaging</t>
        </is>
      </c>
      <c r="I1172" t="inlineStr">
        <is>
          <t>There is
periventricular hypodensity consistent with chronic small vessel
ischemic change.</t>
        </is>
      </c>
    </row>
    <row r="1173">
      <c r="A1173" t="inlineStr">
        <is>
          <t>50371-labs-imaging-10-3</t>
        </is>
      </c>
      <c r="B1173" t="inlineStr"/>
      <c r="C1173" t="inlineStr"/>
      <c r="D1173">
        <f>HYPERLINK("http://nlpdeep.cs.uic.edu:8080/proofing/gsii/50371-labs-imaging-10-3.pdf","gsii/50371-labs-imaging-10-3.pdf")</f>
        <v/>
      </c>
      <c r="E1173" t="n">
        <v>119960</v>
      </c>
      <c r="F1173" t="n">
        <v>50371</v>
      </c>
      <c r="G1173" t="inlineStr">
        <is>
          <t>Discharge summary</t>
        </is>
      </c>
      <c r="H1173" t="inlineStr">
        <is>
          <t>labs-imaging</t>
        </is>
      </c>
      <c r="I1173" t="inlineStr">
        <is>
          <t>There is
periventricular hypodensity consistent with chronic small vessel
ischemic change.</t>
        </is>
      </c>
    </row>
    <row r="1174">
      <c r="A1174" t="inlineStr">
        <is>
          <t>50371-labs-imaging-10-4</t>
        </is>
      </c>
      <c r="B1174" t="inlineStr"/>
      <c r="C1174" t="inlineStr"/>
      <c r="D1174">
        <f>HYPERLINK("http://nlpdeep.cs.uic.edu:8080/proofing/t5/50371-labs-imaging-10-4.pdf","t5/50371-labs-imaging-10-4.pdf")</f>
        <v/>
      </c>
      <c r="E1174" t="n">
        <v>119960</v>
      </c>
      <c r="F1174" t="n">
        <v>50371</v>
      </c>
      <c r="G1174" t="inlineStr">
        <is>
          <t>Discharge summary</t>
        </is>
      </c>
      <c r="H1174" t="inlineStr">
        <is>
          <t>labs-imaging</t>
        </is>
      </c>
      <c r="I1174" t="inlineStr">
        <is>
          <t>There is a subcentimeter right frontal sinus
osteoma (2:16).</t>
        </is>
      </c>
    </row>
    <row r="1175">
      <c r="A1175" t="inlineStr">
        <is>
          <t>50371-labs-imaging-10-4</t>
        </is>
      </c>
      <c r="B1175" t="inlineStr"/>
      <c r="C1175" t="inlineStr"/>
      <c r="D1175">
        <f>HYPERLINK("http://nlpdeep.cs.uic.edu:8080/proofing/gsii/50371-labs-imaging-10-4.pdf","gsii/50371-labs-imaging-10-4.pdf")</f>
        <v/>
      </c>
      <c r="E1175" t="n">
        <v>119960</v>
      </c>
      <c r="F1175" t="n">
        <v>50371</v>
      </c>
      <c r="G1175" t="inlineStr">
        <is>
          <t>Discharge summary</t>
        </is>
      </c>
      <c r="H1175" t="inlineStr">
        <is>
          <t>labs-imaging</t>
        </is>
      </c>
      <c r="I1175" t="inlineStr">
        <is>
          <t>There is a subcentimeter right frontal sinus
osteoma (2:16).</t>
        </is>
      </c>
    </row>
    <row r="1176">
      <c r="A1176" t="inlineStr">
        <is>
          <t>50371-labs-imaging-11-0</t>
        </is>
      </c>
      <c r="B1176" t="inlineStr"/>
      <c r="C1176" t="inlineStr"/>
      <c r="D1176">
        <f>HYPERLINK("http://nlpdeep.cs.uic.edu:8080/proofing/t5/50371-labs-imaging-11-0.pdf","t5/50371-labs-imaging-11-0.pdf")</f>
        <v/>
      </c>
      <c r="E1176" t="n">
        <v>119960</v>
      </c>
      <c r="F1176" t="n">
        <v>50371</v>
      </c>
      <c r="G1176" t="inlineStr">
        <is>
          <t>Discharge summary</t>
        </is>
      </c>
      <c r="H1176" t="inlineStr">
        <is>
          <t>labs-imaging</t>
        </is>
      </c>
      <c r="I1176" t="inlineStr">
        <is>
          <t xml:space="preserve">
STUDY: Left humerus two views [**2141-4-8**].</t>
        </is>
      </c>
    </row>
    <row r="1177">
      <c r="A1177" t="inlineStr">
        <is>
          <t>50371-labs-imaging-11-0</t>
        </is>
      </c>
      <c r="B1177" t="inlineStr"/>
      <c r="C1177" t="inlineStr"/>
      <c r="D1177">
        <f>HYPERLINK("http://nlpdeep.cs.uic.edu:8080/proofing/gsii/50371-labs-imaging-11-0.pdf","gsii/50371-labs-imaging-11-0.pdf")</f>
        <v/>
      </c>
      <c r="E1177" t="n">
        <v>119960</v>
      </c>
      <c r="F1177" t="n">
        <v>50371</v>
      </c>
      <c r="G1177" t="inlineStr">
        <is>
          <t>Discharge summary</t>
        </is>
      </c>
      <c r="H1177" t="inlineStr">
        <is>
          <t>labs-imaging</t>
        </is>
      </c>
      <c r="I1177" t="inlineStr">
        <is>
          <t xml:space="preserve">
STUDY: Left humerus two views [**2141-4-8**].</t>
        </is>
      </c>
    </row>
    <row r="1178">
      <c r="A1178" t="inlineStr">
        <is>
          <t>50371-labs-imaging-12-0</t>
        </is>
      </c>
      <c r="B1178" t="inlineStr"/>
      <c r="C1178" t="inlineStr"/>
      <c r="D1178">
        <f>HYPERLINK("http://nlpdeep.cs.uic.edu:8080/proofing/t5/50371-labs-imaging-12-0.pdf","t5/50371-labs-imaging-12-0.pdf")</f>
        <v/>
      </c>
      <c r="E1178" t="n">
        <v>119960</v>
      </c>
      <c r="F1178" t="n">
        <v>50371</v>
      </c>
      <c r="G1178" t="inlineStr">
        <is>
          <t>Discharge summary</t>
        </is>
      </c>
      <c r="H1178" t="inlineStr">
        <is>
          <t>labs-imaging</t>
        </is>
      </c>
      <c r="I1178" t="inlineStr">
        <is>
          <t xml:space="preserve">
HISTORY: 87-year-old man with mechanical fall, now with shoulder
pain.</t>
        </is>
      </c>
    </row>
    <row r="1179">
      <c r="A1179" t="inlineStr">
        <is>
          <t>50371-labs-imaging-12-0</t>
        </is>
      </c>
      <c r="B1179" t="inlineStr"/>
      <c r="C1179" t="inlineStr"/>
      <c r="D1179">
        <f>HYPERLINK("http://nlpdeep.cs.uic.edu:8080/proofing/gsii/50371-labs-imaging-12-0.pdf","gsii/50371-labs-imaging-12-0.pdf")</f>
        <v/>
      </c>
      <c r="E1179" t="n">
        <v>119960</v>
      </c>
      <c r="F1179" t="n">
        <v>50371</v>
      </c>
      <c r="G1179" t="inlineStr">
        <is>
          <t>Discharge summary</t>
        </is>
      </c>
      <c r="H1179" t="inlineStr">
        <is>
          <t>labs-imaging</t>
        </is>
      </c>
      <c r="I1179" t="inlineStr">
        <is>
          <t xml:space="preserve">
HISTORY: 87-year-old man with mechanical fall, now with shoulder
pain.</t>
        </is>
      </c>
    </row>
    <row r="1180">
      <c r="A1180" t="inlineStr">
        <is>
          <t>50371-labs-imaging-12-1</t>
        </is>
      </c>
      <c r="B1180" t="inlineStr"/>
      <c r="C1180" t="inlineStr"/>
      <c r="D1180">
        <f>HYPERLINK("http://nlpdeep.cs.uic.edu:8080/proofing/t5/50371-labs-imaging-12-1.pdf","t5/50371-labs-imaging-12-1.pdf")</f>
        <v/>
      </c>
      <c r="E1180" t="n">
        <v>119960</v>
      </c>
      <c r="F1180" t="n">
        <v>50371</v>
      </c>
      <c r="G1180" t="inlineStr">
        <is>
          <t>Discharge summary</t>
        </is>
      </c>
      <c r="H1180" t="inlineStr">
        <is>
          <t>labs-imaging</t>
        </is>
      </c>
      <c r="I1180" t="inlineStr">
        <is>
          <t xml:space="preserve">
Evaluate for fracture.</t>
        </is>
      </c>
    </row>
    <row r="1181">
      <c r="A1181" t="inlineStr">
        <is>
          <t>50371-labs-imaging-12-1</t>
        </is>
      </c>
      <c r="B1181" t="inlineStr"/>
      <c r="C1181" t="inlineStr"/>
      <c r="D1181">
        <f>HYPERLINK("http://nlpdeep.cs.uic.edu:8080/proofing/gsii/50371-labs-imaging-12-1.pdf","gsii/50371-labs-imaging-12-1.pdf")</f>
        <v/>
      </c>
      <c r="E1181" t="n">
        <v>119960</v>
      </c>
      <c r="F1181" t="n">
        <v>50371</v>
      </c>
      <c r="G1181" t="inlineStr">
        <is>
          <t>Discharge summary</t>
        </is>
      </c>
      <c r="H1181" t="inlineStr">
        <is>
          <t>labs-imaging</t>
        </is>
      </c>
      <c r="I1181" t="inlineStr">
        <is>
          <t xml:space="preserve">
Evaluate for fracture.</t>
        </is>
      </c>
    </row>
    <row r="1182">
      <c r="A1182" t="inlineStr">
        <is>
          <t>50371-labs-imaging-13-0</t>
        </is>
      </c>
      <c r="B1182" t="inlineStr"/>
      <c r="C1182" t="inlineStr"/>
      <c r="D1182">
        <f>HYPERLINK("http://nlpdeep.cs.uic.edu:8080/proofing/t5/50371-labs-imaging-13-0.pdf","t5/50371-labs-imaging-13-0.pdf")</f>
        <v/>
      </c>
      <c r="E1182" t="n">
        <v>119960</v>
      </c>
      <c r="F1182" t="n">
        <v>50371</v>
      </c>
      <c r="G1182" t="inlineStr">
        <is>
          <t>Discharge summary</t>
        </is>
      </c>
      <c r="H1182" t="inlineStr">
        <is>
          <t>labs-imaging</t>
        </is>
      </c>
      <c r="I1182" t="inlineStr">
        <is>
          <t xml:space="preserve">
FINDINGS: Two views of the left humerus demonstrate no fractures
or
dislocations.</t>
        </is>
      </c>
    </row>
    <row r="1183">
      <c r="A1183" t="inlineStr">
        <is>
          <t>50371-labs-imaging-13-0</t>
        </is>
      </c>
      <c r="B1183" t="inlineStr"/>
      <c r="C1183" t="inlineStr"/>
      <c r="D1183">
        <f>HYPERLINK("http://nlpdeep.cs.uic.edu:8080/proofing/gsii/50371-labs-imaging-13-0.pdf","gsii/50371-labs-imaging-13-0.pdf")</f>
        <v/>
      </c>
      <c r="E1183" t="n">
        <v>119960</v>
      </c>
      <c r="F1183" t="n">
        <v>50371</v>
      </c>
      <c r="G1183" t="inlineStr">
        <is>
          <t>Discharge summary</t>
        </is>
      </c>
      <c r="H1183" t="inlineStr">
        <is>
          <t>labs-imaging</t>
        </is>
      </c>
      <c r="I1183" t="inlineStr">
        <is>
          <t xml:space="preserve">
FINDINGS: Two views of the left humerus demonstrate no fractures
or
dislocations.</t>
        </is>
      </c>
    </row>
    <row r="1184">
      <c r="A1184" t="inlineStr">
        <is>
          <t>50371-labs-imaging-13-1</t>
        </is>
      </c>
      <c r="B1184" t="inlineStr"/>
      <c r="C1184" t="inlineStr"/>
      <c r="D1184">
        <f>HYPERLINK("http://nlpdeep.cs.uic.edu:8080/proofing/t5/50371-labs-imaging-13-1.pdf","t5/50371-labs-imaging-13-1.pdf")</f>
        <v/>
      </c>
      <c r="E1184" t="n">
        <v>119960</v>
      </c>
      <c r="F1184" t="n">
        <v>50371</v>
      </c>
      <c r="G1184" t="inlineStr">
        <is>
          <t>Discharge summary</t>
        </is>
      </c>
      <c r="H1184" t="inlineStr">
        <is>
          <t>labs-imaging</t>
        </is>
      </c>
      <c r="I1184" t="inlineStr">
        <is>
          <t>Left shoulder and elbow joints are grossly intact
as well.</t>
        </is>
      </c>
    </row>
    <row r="1185">
      <c r="A1185" t="inlineStr">
        <is>
          <t>50371-labs-imaging-13-1</t>
        </is>
      </c>
      <c r="B1185" t="inlineStr"/>
      <c r="C1185" t="inlineStr"/>
      <c r="D1185">
        <f>HYPERLINK("http://nlpdeep.cs.uic.edu:8080/proofing/gsii/50371-labs-imaging-13-1.pdf","gsii/50371-labs-imaging-13-1.pdf")</f>
        <v/>
      </c>
      <c r="E1185" t="n">
        <v>119960</v>
      </c>
      <c r="F1185" t="n">
        <v>50371</v>
      </c>
      <c r="G1185" t="inlineStr">
        <is>
          <t>Discharge summary</t>
        </is>
      </c>
      <c r="H1185" t="inlineStr">
        <is>
          <t>labs-imaging</t>
        </is>
      </c>
      <c r="I1185" t="inlineStr">
        <is>
          <t>Left shoulder and elbow joints are grossly intact
as well.</t>
        </is>
      </c>
    </row>
    <row r="1186">
      <c r="A1186" t="inlineStr">
        <is>
          <t>50371-labs-imaging-13-2</t>
        </is>
      </c>
      <c r="B1186" t="inlineStr"/>
      <c r="C1186" t="inlineStr"/>
      <c r="D1186">
        <f>HYPERLINK("http://nlpdeep.cs.uic.edu:8080/proofing/t5/50371-labs-imaging-13-2.pdf","t5/50371-labs-imaging-13-2.pdf")</f>
        <v/>
      </c>
      <c r="E1186" t="n">
        <v>119960</v>
      </c>
      <c r="F1186" t="n">
        <v>50371</v>
      </c>
      <c r="G1186" t="inlineStr">
        <is>
          <t>Discharge summary</t>
        </is>
      </c>
      <c r="H1186" t="inlineStr">
        <is>
          <t>labs-imaging</t>
        </is>
      </c>
      <c r="I1186" t="inlineStr">
        <is>
          <t>The
visualized left lung apex is clear.</t>
        </is>
      </c>
    </row>
    <row r="1187">
      <c r="A1187" t="inlineStr">
        <is>
          <t>50371-labs-imaging-13-2</t>
        </is>
      </c>
      <c r="B1187" t="inlineStr"/>
      <c r="C1187" t="inlineStr"/>
      <c r="D1187">
        <f>HYPERLINK("http://nlpdeep.cs.uic.edu:8080/proofing/gsii/50371-labs-imaging-13-2.pdf","gsii/50371-labs-imaging-13-2.pdf")</f>
        <v/>
      </c>
      <c r="E1187" t="n">
        <v>119960</v>
      </c>
      <c r="F1187" t="n">
        <v>50371</v>
      </c>
      <c r="G1187" t="inlineStr">
        <is>
          <t>Discharge summary</t>
        </is>
      </c>
      <c r="H1187" t="inlineStr">
        <is>
          <t>labs-imaging</t>
        </is>
      </c>
      <c r="I1187" t="inlineStr">
        <is>
          <t>The
visualized left lung apex is clear.</t>
        </is>
      </c>
    </row>
    <row r="1188">
      <c r="A1188" t="inlineStr">
        <is>
          <t>50371-labs-imaging-14-0</t>
        </is>
      </c>
      <c r="B1188" t="inlineStr"/>
      <c r="C1188" t="inlineStr"/>
      <c r="D1188">
        <f>HYPERLINK("http://nlpdeep.cs.uic.edu:8080/proofing/t5/50371-labs-imaging-14-0.pdf","t5/50371-labs-imaging-14-0.pdf")</f>
        <v/>
      </c>
      <c r="E1188" t="n">
        <v>119960</v>
      </c>
      <c r="F1188" t="n">
        <v>50371</v>
      </c>
      <c r="G1188" t="inlineStr">
        <is>
          <t>Discharge summary</t>
        </is>
      </c>
      <c r="H1188" t="inlineStr">
        <is>
          <t>labs-imaging</t>
        </is>
      </c>
      <c r="I1188" t="inlineStr">
        <is>
          <t xml:space="preserve">
[**4-7**] CXR: Left lower lobe atelectasis or consolidation.</t>
        </is>
      </c>
    </row>
    <row r="1189">
      <c r="A1189" t="inlineStr">
        <is>
          <t>50371-labs-imaging-14-0</t>
        </is>
      </c>
      <c r="B1189" t="inlineStr"/>
      <c r="C1189" t="inlineStr"/>
      <c r="D1189">
        <f>HYPERLINK("http://nlpdeep.cs.uic.edu:8080/proofing/gsii/50371-labs-imaging-14-0.pdf","gsii/50371-labs-imaging-14-0.pdf")</f>
        <v/>
      </c>
      <c r="E1189" t="n">
        <v>119960</v>
      </c>
      <c r="F1189" t="n">
        <v>50371</v>
      </c>
      <c r="G1189" t="inlineStr">
        <is>
          <t>Discharge summary</t>
        </is>
      </c>
      <c r="H1189" t="inlineStr">
        <is>
          <t>labs-imaging</t>
        </is>
      </c>
      <c r="I1189" t="inlineStr">
        <is>
          <t xml:space="preserve">
[**4-7**] CXR: Left lower lobe atelectasis or consolidation.</t>
        </is>
      </c>
    </row>
    <row r="1190">
      <c r="A1190" t="inlineStr">
        <is>
          <t>50371-labs-imaging-14-1</t>
        </is>
      </c>
      <c r="B1190" t="inlineStr"/>
      <c r="C1190" t="inlineStr"/>
      <c r="D1190">
        <f>HYPERLINK("http://nlpdeep.cs.uic.edu:8080/proofing/t5/50371-labs-imaging-14-1.pdf","t5/50371-labs-imaging-14-1.pdf")</f>
        <v/>
      </c>
      <c r="E1190" t="n">
        <v>119960</v>
      </c>
      <c r="F1190" t="n">
        <v>50371</v>
      </c>
      <c r="G1190" t="inlineStr">
        <is>
          <t>Discharge summary</t>
        </is>
      </c>
      <c r="H1190" t="inlineStr">
        <is>
          <t>labs-imaging</t>
        </is>
      </c>
      <c r="I1190" t="inlineStr">
        <is>
          <t xml:space="preserve">
Persistent
cardiomegaly and moderate left effusion.</t>
        </is>
      </c>
    </row>
    <row r="1191">
      <c r="A1191" t="inlineStr">
        <is>
          <t>50371-labs-imaging-14-1</t>
        </is>
      </c>
      <c r="B1191" t="inlineStr"/>
      <c r="C1191" t="inlineStr"/>
      <c r="D1191">
        <f>HYPERLINK("http://nlpdeep.cs.uic.edu:8080/proofing/gsii/50371-labs-imaging-14-1.pdf","gsii/50371-labs-imaging-14-1.pdf")</f>
        <v/>
      </c>
      <c r="E1191" t="n">
        <v>119960</v>
      </c>
      <c r="F1191" t="n">
        <v>50371</v>
      </c>
      <c r="G1191" t="inlineStr">
        <is>
          <t>Discharge summary</t>
        </is>
      </c>
      <c r="H1191" t="inlineStr">
        <is>
          <t>labs-imaging</t>
        </is>
      </c>
      <c r="I1191" t="inlineStr">
        <is>
          <t xml:space="preserve">
Persistent
cardiomegaly and moderate left effusion.</t>
        </is>
      </c>
    </row>
    <row r="1192">
      <c r="A1192" t="inlineStr">
        <is>
          <t>50371-labs-imaging-15-0</t>
        </is>
      </c>
      <c r="B1192" t="inlineStr"/>
      <c r="C1192" t="inlineStr"/>
      <c r="D1192">
        <f>HYPERLINK("http://nlpdeep.cs.uic.edu:8080/proofing/t5/50371-labs-imaging-15-0.pdf","t5/50371-labs-imaging-15-0.pdf")</f>
        <v/>
      </c>
      <c r="E1192" t="n">
        <v>119960</v>
      </c>
      <c r="F1192" t="n">
        <v>50371</v>
      </c>
      <c r="G1192" t="inlineStr">
        <is>
          <t>Discharge summary</t>
        </is>
      </c>
      <c r="H1192" t="inlineStr">
        <is>
          <t>labs-imaging</t>
        </is>
      </c>
      <c r="I1192" t="inlineStr">
        <is>
          <t xml:space="preserve">
[**4-8**] CXR: There is cardiomegaly which is stable when compared to
the prior
study from [**2141-4-7**].</t>
        </is>
      </c>
    </row>
    <row r="1193">
      <c r="A1193" t="inlineStr">
        <is>
          <t>50371-labs-imaging-15-0</t>
        </is>
      </c>
      <c r="B1193" t="inlineStr"/>
      <c r="C1193" t="inlineStr"/>
      <c r="D1193">
        <f>HYPERLINK("http://nlpdeep.cs.uic.edu:8080/proofing/gsii/50371-labs-imaging-15-0.pdf","gsii/50371-labs-imaging-15-0.pdf")</f>
        <v/>
      </c>
      <c r="E1193" t="n">
        <v>119960</v>
      </c>
      <c r="F1193" t="n">
        <v>50371</v>
      </c>
      <c r="G1193" t="inlineStr">
        <is>
          <t>Discharge summary</t>
        </is>
      </c>
      <c r="H1193" t="inlineStr">
        <is>
          <t>labs-imaging</t>
        </is>
      </c>
      <c r="I1193" t="inlineStr">
        <is>
          <t xml:space="preserve">
[**4-8**] CXR: There is cardiomegaly which is stable when compared to
the prior
study from [**2141-4-7**].</t>
        </is>
      </c>
    </row>
    <row r="1194">
      <c r="A1194" t="inlineStr">
        <is>
          <t>50371-labs-imaging-15-1</t>
        </is>
      </c>
      <c r="B1194" t="inlineStr"/>
      <c r="C1194" t="inlineStr"/>
      <c r="D1194">
        <f>HYPERLINK("http://nlpdeep.cs.uic.edu:8080/proofing/t5/50371-labs-imaging-15-1.pdf","t5/50371-labs-imaging-15-1.pdf")</f>
        <v/>
      </c>
      <c r="E1194" t="n">
        <v>119960</v>
      </c>
      <c r="F1194" t="n">
        <v>50371</v>
      </c>
      <c r="G1194" t="inlineStr">
        <is>
          <t>Discharge summary</t>
        </is>
      </c>
      <c r="H1194" t="inlineStr">
        <is>
          <t>labs-imaging</t>
        </is>
      </c>
      <c r="I1194" t="inlineStr">
        <is>
          <t>There is a left retrocardiac opacity,
which is
likely due to atelectasis or consolidation.</t>
        </is>
      </c>
    </row>
    <row r="1195">
      <c r="A1195" t="inlineStr">
        <is>
          <t>50371-labs-imaging-15-1</t>
        </is>
      </c>
      <c r="B1195" t="inlineStr"/>
      <c r="C1195" t="inlineStr"/>
      <c r="D1195">
        <f>HYPERLINK("http://nlpdeep.cs.uic.edu:8080/proofing/gsii/50371-labs-imaging-15-1.pdf","gsii/50371-labs-imaging-15-1.pdf")</f>
        <v/>
      </c>
      <c r="E1195" t="n">
        <v>119960</v>
      </c>
      <c r="F1195" t="n">
        <v>50371</v>
      </c>
      <c r="G1195" t="inlineStr">
        <is>
          <t>Discharge summary</t>
        </is>
      </c>
      <c r="H1195" t="inlineStr">
        <is>
          <t>labs-imaging</t>
        </is>
      </c>
      <c r="I1195" t="inlineStr">
        <is>
          <t>There is a left retrocardiac opacity,
which is
likely due to atelectasis or consolidation.</t>
        </is>
      </c>
    </row>
    <row r="1196">
      <c r="A1196" t="inlineStr">
        <is>
          <t>50371-labs-imaging-15-2</t>
        </is>
      </c>
      <c r="B1196" t="inlineStr"/>
      <c r="C1196" t="inlineStr"/>
      <c r="D1196">
        <f>HYPERLINK("http://nlpdeep.cs.uic.edu:8080/proofing/t5/50371-labs-imaging-15-2.pdf","t5/50371-labs-imaging-15-2.pdf")</f>
        <v/>
      </c>
      <c r="E1196" t="n">
        <v>119960</v>
      </c>
      <c r="F1196" t="n">
        <v>50371</v>
      </c>
      <c r="G1196" t="inlineStr">
        <is>
          <t>Discharge summary</t>
        </is>
      </c>
      <c r="H1196" t="inlineStr">
        <is>
          <t>labs-imaging</t>
        </is>
      </c>
      <c r="I1196" t="inlineStr">
        <is>
          <t>There is also a
small left-sided pleural effusion.</t>
        </is>
      </c>
    </row>
    <row r="1197">
      <c r="A1197" t="inlineStr">
        <is>
          <t>50371-labs-imaging-15-2</t>
        </is>
      </c>
      <c r="B1197" t="inlineStr"/>
      <c r="C1197" t="inlineStr"/>
      <c r="D1197">
        <f>HYPERLINK("http://nlpdeep.cs.uic.edu:8080/proofing/gsii/50371-labs-imaging-15-2.pdf","gsii/50371-labs-imaging-15-2.pdf")</f>
        <v/>
      </c>
      <c r="E1197" t="n">
        <v>119960</v>
      </c>
      <c r="F1197" t="n">
        <v>50371</v>
      </c>
      <c r="G1197" t="inlineStr">
        <is>
          <t>Discharge summary</t>
        </is>
      </c>
      <c r="H1197" t="inlineStr">
        <is>
          <t>labs-imaging</t>
        </is>
      </c>
      <c r="I1197" t="inlineStr">
        <is>
          <t>There is also a
small left-sided pleural effusion.</t>
        </is>
      </c>
    </row>
    <row r="1198">
      <c r="A1198" t="inlineStr">
        <is>
          <t>50371-labs-imaging-15-3</t>
        </is>
      </c>
      <c r="B1198" t="inlineStr"/>
      <c r="C1198" t="inlineStr"/>
      <c r="D1198">
        <f>HYPERLINK("http://nlpdeep.cs.uic.edu:8080/proofing/t5/50371-labs-imaging-15-3.pdf","t5/50371-labs-imaging-15-3.pdf")</f>
        <v/>
      </c>
      <c r="E1198" t="n">
        <v>119960</v>
      </c>
      <c r="F1198" t="n">
        <v>50371</v>
      </c>
      <c r="G1198" t="inlineStr">
        <is>
          <t>Discharge summary</t>
        </is>
      </c>
      <c r="H1198" t="inlineStr">
        <is>
          <t>labs-imaging</t>
        </is>
      </c>
      <c r="I1198" t="inlineStr">
        <is>
          <t>There are no signs for overt
pulmonary edema.</t>
        </is>
      </c>
    </row>
    <row r="1199">
      <c r="A1199" t="inlineStr">
        <is>
          <t>50371-labs-imaging-15-3</t>
        </is>
      </c>
      <c r="B1199" t="inlineStr"/>
      <c r="C1199" t="inlineStr"/>
      <c r="D1199">
        <f>HYPERLINK("http://nlpdeep.cs.uic.edu:8080/proofing/gsii/50371-labs-imaging-15-3.pdf","gsii/50371-labs-imaging-15-3.pdf")</f>
        <v/>
      </c>
      <c r="E1199" t="n">
        <v>119960</v>
      </c>
      <c r="F1199" t="n">
        <v>50371</v>
      </c>
      <c r="G1199" t="inlineStr">
        <is>
          <t>Discharge summary</t>
        </is>
      </c>
      <c r="H1199" t="inlineStr">
        <is>
          <t>labs-imaging</t>
        </is>
      </c>
      <c r="I1199" t="inlineStr">
        <is>
          <t>There are no signs for overt
pulmonary edema.</t>
        </is>
      </c>
    </row>
    <row r="1200">
      <c r="A1200" t="inlineStr">
        <is>
          <t>50371-labs-imaging-15-4</t>
        </is>
      </c>
      <c r="B1200" t="inlineStr"/>
      <c r="C1200" t="inlineStr"/>
      <c r="D1200">
        <f>HYPERLINK("http://nlpdeep.cs.uic.edu:8080/proofing/t5/50371-labs-imaging-15-4.pdf","t5/50371-labs-imaging-15-4.pdf")</f>
        <v/>
      </c>
      <c r="E1200" t="n">
        <v>119960</v>
      </c>
      <c r="F1200" t="n">
        <v>50371</v>
      </c>
      <c r="G1200" t="inlineStr">
        <is>
          <t>Discharge summary</t>
        </is>
      </c>
      <c r="H1200" t="inlineStr">
        <is>
          <t>labs-imaging</t>
        </is>
      </c>
      <c r="I1200" t="inlineStr">
        <is>
          <t>The right lung is grossly clear.</t>
        </is>
      </c>
    </row>
    <row r="1201">
      <c r="A1201" t="inlineStr">
        <is>
          <t>50371-labs-imaging-15-4</t>
        </is>
      </c>
      <c r="B1201" t="inlineStr"/>
      <c r="C1201" t="inlineStr"/>
      <c r="D1201">
        <f>HYPERLINK("http://nlpdeep.cs.uic.edu:8080/proofing/gsii/50371-labs-imaging-15-4.pdf","gsii/50371-labs-imaging-15-4.pdf")</f>
        <v/>
      </c>
      <c r="E1201" t="n">
        <v>119960</v>
      </c>
      <c r="F1201" t="n">
        <v>50371</v>
      </c>
      <c r="G1201" t="inlineStr">
        <is>
          <t>Discharge summary</t>
        </is>
      </c>
      <c r="H1201" t="inlineStr">
        <is>
          <t>labs-imaging</t>
        </is>
      </c>
      <c r="I1201" t="inlineStr">
        <is>
          <t>The right lung is grossly clear.</t>
        </is>
      </c>
    </row>
    <row r="1202">
      <c r="A1202" t="inlineStr">
        <is>
          <t>50371-labs-imaging-15-5</t>
        </is>
      </c>
      <c r="B1202" t="inlineStr"/>
      <c r="C1202" t="inlineStr"/>
      <c r="D1202">
        <f>HYPERLINK("http://nlpdeep.cs.uic.edu:8080/proofing/t5/50371-labs-imaging-15-5.pdf","t5/50371-labs-imaging-15-5.pdf")</f>
        <v/>
      </c>
      <c r="E1202" t="n">
        <v>119960</v>
      </c>
      <c r="F1202" t="n">
        <v>50371</v>
      </c>
      <c r="G1202" t="inlineStr">
        <is>
          <t>Discharge summary</t>
        </is>
      </c>
      <c r="H1202" t="inlineStr">
        <is>
          <t>labs-imaging</t>
        </is>
      </c>
      <c r="I1202" t="inlineStr">
        <is>
          <t>There is a
small right-sided pleural effusion that has developed in the
interim.</t>
        </is>
      </c>
    </row>
    <row r="1203">
      <c r="A1203" t="inlineStr">
        <is>
          <t>50371-labs-imaging-15-5</t>
        </is>
      </c>
      <c r="B1203" t="inlineStr"/>
      <c r="C1203" t="inlineStr"/>
      <c r="D1203">
        <f>HYPERLINK("http://nlpdeep.cs.uic.edu:8080/proofing/gsii/50371-labs-imaging-15-5.pdf","gsii/50371-labs-imaging-15-5.pdf")</f>
        <v/>
      </c>
      <c r="E1203" t="n">
        <v>119960</v>
      </c>
      <c r="F1203" t="n">
        <v>50371</v>
      </c>
      <c r="G1203" t="inlineStr">
        <is>
          <t>Discharge summary</t>
        </is>
      </c>
      <c r="H1203" t="inlineStr">
        <is>
          <t>labs-imaging</t>
        </is>
      </c>
      <c r="I1203" t="inlineStr">
        <is>
          <t>There is a
small right-sided pleural effusion that has developed in the
interim.</t>
        </is>
      </c>
    </row>
    <row r="1204">
      <c r="A1204" t="inlineStr">
        <is>
          <t>50371-labs-imaging-16-0</t>
        </is>
      </c>
      <c r="B1204" t="inlineStr"/>
      <c r="C1204" t="inlineStr"/>
      <c r="D1204">
        <f>HYPERLINK("http://nlpdeep.cs.uic.edu:8080/proofing/t5/50371-labs-imaging-16-0.pdf","t5/50371-labs-imaging-16-0.pdf")</f>
        <v/>
      </c>
      <c r="E1204" t="n">
        <v>119960</v>
      </c>
      <c r="F1204" t="n">
        <v>50371</v>
      </c>
      <c r="G1204" t="inlineStr">
        <is>
          <t>Discharge summary</t>
        </is>
      </c>
      <c r="H1204" t="inlineStr">
        <is>
          <t>labs-imaging</t>
        </is>
      </c>
      <c r="I1204" t="inlineStr">
        <is>
          <t xml:space="preserve">
[**2141-4-8**] Humerus AP and lat: Two views of the left humerus
demonstrate no fractures or dislocations.</t>
        </is>
      </c>
    </row>
    <row r="1205">
      <c r="A1205" t="inlineStr">
        <is>
          <t>50371-labs-imaging-16-0</t>
        </is>
      </c>
      <c r="B1205" t="inlineStr"/>
      <c r="C1205" t="inlineStr"/>
      <c r="D1205">
        <f>HYPERLINK("http://nlpdeep.cs.uic.edu:8080/proofing/gsii/50371-labs-imaging-16-0.pdf","gsii/50371-labs-imaging-16-0.pdf")</f>
        <v/>
      </c>
      <c r="E1205" t="n">
        <v>119960</v>
      </c>
      <c r="F1205" t="n">
        <v>50371</v>
      </c>
      <c r="G1205" t="inlineStr">
        <is>
          <t>Discharge summary</t>
        </is>
      </c>
      <c r="H1205" t="inlineStr">
        <is>
          <t>labs-imaging</t>
        </is>
      </c>
      <c r="I1205" t="inlineStr">
        <is>
          <t xml:space="preserve">
[**2141-4-8**] Humerus AP and lat: Two views of the left humerus
demonstrate no fractures or dislocations.</t>
        </is>
      </c>
    </row>
    <row r="1206">
      <c r="A1206" t="inlineStr">
        <is>
          <t>50371-labs-imaging-16-1</t>
        </is>
      </c>
      <c r="B1206" t="inlineStr"/>
      <c r="C1206" t="inlineStr"/>
      <c r="D1206">
        <f>HYPERLINK("http://nlpdeep.cs.uic.edu:8080/proofing/t5/50371-labs-imaging-16-1.pdf","t5/50371-labs-imaging-16-1.pdf")</f>
        <v/>
      </c>
      <c r="E1206" t="n">
        <v>119960</v>
      </c>
      <c r="F1206" t="n">
        <v>50371</v>
      </c>
      <c r="G1206" t="inlineStr">
        <is>
          <t>Discharge summary</t>
        </is>
      </c>
      <c r="H1206" t="inlineStr">
        <is>
          <t>labs-imaging</t>
        </is>
      </c>
      <c r="I1206" t="inlineStr">
        <is>
          <t>Left shoulder and
elbow joints are grossly intact as well.</t>
        </is>
      </c>
    </row>
    <row r="1207">
      <c r="A1207" t="inlineStr">
        <is>
          <t>50371-labs-imaging-16-1</t>
        </is>
      </c>
      <c r="B1207" t="inlineStr"/>
      <c r="C1207" t="inlineStr"/>
      <c r="D1207">
        <f>HYPERLINK("http://nlpdeep.cs.uic.edu:8080/proofing/gsii/50371-labs-imaging-16-1.pdf","gsii/50371-labs-imaging-16-1.pdf")</f>
        <v/>
      </c>
      <c r="E1207" t="n">
        <v>119960</v>
      </c>
      <c r="F1207" t="n">
        <v>50371</v>
      </c>
      <c r="G1207" t="inlineStr">
        <is>
          <t>Discharge summary</t>
        </is>
      </c>
      <c r="H1207" t="inlineStr">
        <is>
          <t>labs-imaging</t>
        </is>
      </c>
      <c r="I1207" t="inlineStr">
        <is>
          <t>Left shoulder and
elbow joints are grossly intact as well.</t>
        </is>
      </c>
    </row>
    <row r="1208">
      <c r="A1208" t="inlineStr">
        <is>
          <t>50371-labs-imaging-16-2</t>
        </is>
      </c>
      <c r="B1208" t="inlineStr"/>
      <c r="C1208" t="inlineStr"/>
      <c r="D1208">
        <f>HYPERLINK("http://nlpdeep.cs.uic.edu:8080/proofing/t5/50371-labs-imaging-16-2.pdf","t5/50371-labs-imaging-16-2.pdf")</f>
        <v/>
      </c>
      <c r="E1208" t="n">
        <v>119960</v>
      </c>
      <c r="F1208" t="n">
        <v>50371</v>
      </c>
      <c r="G1208" t="inlineStr">
        <is>
          <t>Discharge summary</t>
        </is>
      </c>
      <c r="H1208" t="inlineStr">
        <is>
          <t>labs-imaging</t>
        </is>
      </c>
      <c r="I1208" t="inlineStr">
        <is>
          <t>The visualized left
lung apex is clear.</t>
        </is>
      </c>
    </row>
    <row r="1209">
      <c r="A1209" t="inlineStr">
        <is>
          <t>50371-labs-imaging-16-2</t>
        </is>
      </c>
      <c r="B1209" t="inlineStr"/>
      <c r="C1209" t="inlineStr"/>
      <c r="D1209">
        <f>HYPERLINK("http://nlpdeep.cs.uic.edu:8080/proofing/gsii/50371-labs-imaging-16-2.pdf","gsii/50371-labs-imaging-16-2.pdf")</f>
        <v/>
      </c>
      <c r="E1209" t="n">
        <v>119960</v>
      </c>
      <c r="F1209" t="n">
        <v>50371</v>
      </c>
      <c r="G1209" t="inlineStr">
        <is>
          <t>Discharge summary</t>
        </is>
      </c>
      <c r="H1209" t="inlineStr">
        <is>
          <t>labs-imaging</t>
        </is>
      </c>
      <c r="I1209" t="inlineStr">
        <is>
          <t>The visualized left
lung apex is clear.</t>
        </is>
      </c>
    </row>
    <row r="1210">
      <c r="A1210" t="inlineStr">
        <is>
          <t>50371-labs-imaging-17-0</t>
        </is>
      </c>
      <c r="B1210" t="inlineStr"/>
      <c r="C1210" t="inlineStr"/>
      <c r="D1210">
        <f>HYPERLINK("http://nlpdeep.cs.uic.edu:8080/proofing/t5/50371-labs-imaging-17-0.pdf","t5/50371-labs-imaging-17-0.pdf")</f>
        <v/>
      </c>
      <c r="E1210" t="n">
        <v>119960</v>
      </c>
      <c r="F1210" t="n">
        <v>50371</v>
      </c>
      <c r="G1210" t="inlineStr">
        <is>
          <t>Discharge summary</t>
        </is>
      </c>
      <c r="H1210" t="inlineStr">
        <is>
          <t>labs-imaging</t>
        </is>
      </c>
      <c r="I1210" t="inlineStr">
        <is>
          <t xml:space="preserve">
[**2141-4-9**]: renal US
1.</t>
        </is>
      </c>
    </row>
    <row r="1211">
      <c r="A1211" t="inlineStr">
        <is>
          <t>50371-labs-imaging-17-0</t>
        </is>
      </c>
      <c r="B1211" t="inlineStr"/>
      <c r="C1211" t="inlineStr"/>
      <c r="D1211">
        <f>HYPERLINK("http://nlpdeep.cs.uic.edu:8080/proofing/gsii/50371-labs-imaging-17-0.pdf","gsii/50371-labs-imaging-17-0.pdf")</f>
        <v/>
      </c>
      <c r="E1211" t="n">
        <v>119960</v>
      </c>
      <c r="F1211" t="n">
        <v>50371</v>
      </c>
      <c r="G1211" t="inlineStr">
        <is>
          <t>Discharge summary</t>
        </is>
      </c>
      <c r="H1211" t="inlineStr">
        <is>
          <t>labs-imaging</t>
        </is>
      </c>
      <c r="I1211" t="inlineStr">
        <is>
          <t xml:space="preserve">
[**2141-4-9**]: renal US
1.</t>
        </is>
      </c>
    </row>
    <row r="1212">
      <c r="A1212" t="inlineStr">
        <is>
          <t>50371-labs-imaging-17-1</t>
        </is>
      </c>
      <c r="B1212" t="inlineStr"/>
      <c r="C1212" t="inlineStr"/>
      <c r="D1212">
        <f>HYPERLINK("http://nlpdeep.cs.uic.edu:8080/proofing/t5/50371-labs-imaging-17-1.pdf","t5/50371-labs-imaging-17-1.pdf")</f>
        <v/>
      </c>
      <c r="E1212" t="n">
        <v>119960</v>
      </c>
      <c r="F1212" t="n">
        <v>50371</v>
      </c>
      <c r="G1212" t="inlineStr">
        <is>
          <t>Discharge summary</t>
        </is>
      </c>
      <c r="H1212" t="inlineStr">
        <is>
          <t>labs-imaging</t>
        </is>
      </c>
      <c r="I1212" t="inlineStr">
        <is>
          <t>No evidence of hydronephrosis.</t>
        </is>
      </c>
    </row>
    <row r="1213">
      <c r="A1213" t="inlineStr">
        <is>
          <t>50371-labs-imaging-17-1</t>
        </is>
      </c>
      <c r="B1213" t="inlineStr"/>
      <c r="C1213" t="inlineStr"/>
      <c r="D1213">
        <f>HYPERLINK("http://nlpdeep.cs.uic.edu:8080/proofing/gsii/50371-labs-imaging-17-1.pdf","gsii/50371-labs-imaging-17-1.pdf")</f>
        <v/>
      </c>
      <c r="E1213" t="n">
        <v>119960</v>
      </c>
      <c r="F1213" t="n">
        <v>50371</v>
      </c>
      <c r="G1213" t="inlineStr">
        <is>
          <t>Discharge summary</t>
        </is>
      </c>
      <c r="H1213" t="inlineStr">
        <is>
          <t>labs-imaging</t>
        </is>
      </c>
      <c r="I1213" t="inlineStr">
        <is>
          <t>No evidence of hydronephrosis.</t>
        </is>
      </c>
    </row>
    <row r="1214">
      <c r="A1214" t="inlineStr">
        <is>
          <t>50371-labs-imaging-17-2</t>
        </is>
      </c>
      <c r="B1214" t="inlineStr"/>
      <c r="C1214" t="inlineStr"/>
      <c r="D1214">
        <f>HYPERLINK("http://nlpdeep.cs.uic.edu:8080/proofing/t5/50371-labs-imaging-17-2.pdf","t5/50371-labs-imaging-17-2.pdf")</f>
        <v/>
      </c>
      <c r="E1214" t="n">
        <v>119960</v>
      </c>
      <c r="F1214" t="n">
        <v>50371</v>
      </c>
      <c r="G1214" t="inlineStr">
        <is>
          <t>Discharge summary</t>
        </is>
      </c>
      <c r="H1214" t="inlineStr">
        <is>
          <t>labs-imaging</t>
        </is>
      </c>
      <c r="I1214" t="inlineStr">
        <is>
          <t>Left adrenal mass.</t>
        </is>
      </c>
    </row>
    <row r="1215">
      <c r="A1215" t="inlineStr">
        <is>
          <t>50371-labs-imaging-17-2</t>
        </is>
      </c>
      <c r="B1215" t="inlineStr"/>
      <c r="C1215" t="inlineStr"/>
      <c r="D1215">
        <f>HYPERLINK("http://nlpdeep.cs.uic.edu:8080/proofing/gsii/50371-labs-imaging-17-2.pdf","gsii/50371-labs-imaging-17-2.pdf")</f>
        <v/>
      </c>
      <c r="E1215" t="n">
        <v>119960</v>
      </c>
      <c r="F1215" t="n">
        <v>50371</v>
      </c>
      <c r="G1215" t="inlineStr">
        <is>
          <t>Discharge summary</t>
        </is>
      </c>
      <c r="H1215" t="inlineStr">
        <is>
          <t>labs-imaging</t>
        </is>
      </c>
      <c r="I1215" t="inlineStr">
        <is>
          <t>Left adrenal mass.</t>
        </is>
      </c>
    </row>
    <row r="1216">
      <c r="A1216" t="inlineStr">
        <is>
          <t>50371-labs-imaging-17-3</t>
        </is>
      </c>
      <c r="B1216" t="inlineStr"/>
      <c r="C1216" t="inlineStr"/>
      <c r="D1216">
        <f>HYPERLINK("http://nlpdeep.cs.uic.edu:8080/proofing/t5/50371-labs-imaging-17-3.pdf","t5/50371-labs-imaging-17-3.pdf")</f>
        <v/>
      </c>
      <c r="E1216" t="n">
        <v>119960</v>
      </c>
      <c r="F1216" t="n">
        <v>50371</v>
      </c>
      <c r="G1216" t="inlineStr">
        <is>
          <t>Discharge summary</t>
        </is>
      </c>
      <c r="H1216" t="inlineStr">
        <is>
          <t>labs-imaging</t>
        </is>
      </c>
      <c r="I1216" t="inlineStr">
        <is>
          <t>Recommend MRI for further evaluation.</t>
        </is>
      </c>
    </row>
    <row r="1217">
      <c r="A1217" t="inlineStr">
        <is>
          <t>50371-labs-imaging-17-3</t>
        </is>
      </c>
      <c r="B1217" t="inlineStr"/>
      <c r="C1217" t="inlineStr"/>
      <c r="D1217">
        <f>HYPERLINK("http://nlpdeep.cs.uic.edu:8080/proofing/gsii/50371-labs-imaging-17-3.pdf","gsii/50371-labs-imaging-17-3.pdf")</f>
        <v/>
      </c>
      <c r="E1217" t="n">
        <v>119960</v>
      </c>
      <c r="F1217" t="n">
        <v>50371</v>
      </c>
      <c r="G1217" t="inlineStr">
        <is>
          <t>Discharge summary</t>
        </is>
      </c>
      <c r="H1217" t="inlineStr">
        <is>
          <t>labs-imaging</t>
        </is>
      </c>
      <c r="I1217" t="inlineStr">
        <is>
          <t>Recommend MRI for further evaluation.</t>
        </is>
      </c>
    </row>
    <row r="1218">
      <c r="A1218" t="inlineStr">
        <is>
          <t>50371-labs-imaging-18-0</t>
        </is>
      </c>
      <c r="B1218" t="inlineStr"/>
      <c r="C1218" t="inlineStr"/>
      <c r="D1218">
        <f>HYPERLINK("http://nlpdeep.cs.uic.edu:8080/proofing/t5/50371-labs-imaging-18-0.pdf","t5/50371-labs-imaging-18-0.pdf")</f>
        <v/>
      </c>
      <c r="E1218" t="n">
        <v>119960</v>
      </c>
      <c r="F1218" t="n">
        <v>50371</v>
      </c>
      <c r="G1218" t="inlineStr">
        <is>
          <t>Discharge summary</t>
        </is>
      </c>
      <c r="H1218" t="inlineStr">
        <is>
          <t>labs-imaging</t>
        </is>
      </c>
      <c r="I1218" t="inlineStr">
        <is>
          <t xml:space="preserve">
[**2141-4-12**] liver and gallbladder US
1.</t>
        </is>
      </c>
    </row>
    <row r="1219">
      <c r="A1219" t="inlineStr">
        <is>
          <t>50371-labs-imaging-18-0</t>
        </is>
      </c>
      <c r="B1219" t="inlineStr"/>
      <c r="C1219" t="inlineStr"/>
      <c r="D1219">
        <f>HYPERLINK("http://nlpdeep.cs.uic.edu:8080/proofing/gsii/50371-labs-imaging-18-0.pdf","gsii/50371-labs-imaging-18-0.pdf")</f>
        <v/>
      </c>
      <c r="E1219" t="n">
        <v>119960</v>
      </c>
      <c r="F1219" t="n">
        <v>50371</v>
      </c>
      <c r="G1219" t="inlineStr">
        <is>
          <t>Discharge summary</t>
        </is>
      </c>
      <c r="H1219" t="inlineStr">
        <is>
          <t>labs-imaging</t>
        </is>
      </c>
      <c r="I1219" t="inlineStr">
        <is>
          <t xml:space="preserve">
[**2141-4-12**] liver and gallbladder US
1.</t>
        </is>
      </c>
    </row>
    <row r="1220">
      <c r="A1220" t="inlineStr">
        <is>
          <t>50371-labs-imaging-18-1</t>
        </is>
      </c>
      <c r="B1220" t="inlineStr"/>
      <c r="C1220" t="inlineStr"/>
      <c r="D1220">
        <f>HYPERLINK("http://nlpdeep.cs.uic.edu:8080/proofing/t5/50371-labs-imaging-18-1.pdf","t5/50371-labs-imaging-18-1.pdf")</f>
        <v/>
      </c>
      <c r="E1220" t="n">
        <v>119960</v>
      </c>
      <c r="F1220" t="n">
        <v>50371</v>
      </c>
      <c r="G1220" t="inlineStr">
        <is>
          <t>Discharge summary</t>
        </is>
      </c>
      <c r="H1220" t="inlineStr">
        <is>
          <t>labs-imaging</t>
        </is>
      </c>
      <c r="I1220" t="inlineStr">
        <is>
          <t>Cholelithiasis with gallbladder sludge and mild gallbladder
wall
thickening as well as pericholecystic fluid.</t>
        </is>
      </c>
    </row>
    <row r="1221">
      <c r="A1221" t="inlineStr">
        <is>
          <t>50371-labs-imaging-18-1</t>
        </is>
      </c>
      <c r="B1221" t="inlineStr"/>
      <c r="C1221" t="inlineStr"/>
      <c r="D1221">
        <f>HYPERLINK("http://nlpdeep.cs.uic.edu:8080/proofing/gsii/50371-labs-imaging-18-1.pdf","gsii/50371-labs-imaging-18-1.pdf")</f>
        <v/>
      </c>
      <c r="E1221" t="n">
        <v>119960</v>
      </c>
      <c r="F1221" t="n">
        <v>50371</v>
      </c>
      <c r="G1221" t="inlineStr">
        <is>
          <t>Discharge summary</t>
        </is>
      </c>
      <c r="H1221" t="inlineStr">
        <is>
          <t>labs-imaging</t>
        </is>
      </c>
      <c r="I1221" t="inlineStr">
        <is>
          <t>Cholelithiasis with gallbladder sludge and mild gallbladder
wall
thickening as well as pericholecystic fluid.</t>
        </is>
      </c>
    </row>
    <row r="1222">
      <c r="A1222" t="inlineStr">
        <is>
          <t>50371-labs-imaging-18-2</t>
        </is>
      </c>
      <c r="B1222" t="inlineStr"/>
      <c r="C1222" t="inlineStr"/>
      <c r="D1222">
        <f>HYPERLINK("http://nlpdeep.cs.uic.edu:8080/proofing/t5/50371-labs-imaging-18-2.pdf","t5/50371-labs-imaging-18-2.pdf")</f>
        <v/>
      </c>
      <c r="E1222" t="n">
        <v>119960</v>
      </c>
      <c r="F1222" t="n">
        <v>50371</v>
      </c>
      <c r="G1222" t="inlineStr">
        <is>
          <t>Discharge summary</t>
        </is>
      </c>
      <c r="H1222" t="inlineStr">
        <is>
          <t>labs-imaging</t>
        </is>
      </c>
      <c r="I1222" t="inlineStr">
        <is>
          <t>All of these
findings were seen
on the prior CT from [**2141-4-6**].</t>
        </is>
      </c>
    </row>
    <row r="1223">
      <c r="A1223" t="inlineStr">
        <is>
          <t>50371-labs-imaging-18-2</t>
        </is>
      </c>
      <c r="B1223" t="inlineStr"/>
      <c r="C1223" t="inlineStr"/>
      <c r="D1223">
        <f>HYPERLINK("http://nlpdeep.cs.uic.edu:8080/proofing/gsii/50371-labs-imaging-18-2.pdf","gsii/50371-labs-imaging-18-2.pdf")</f>
        <v/>
      </c>
      <c r="E1223" t="n">
        <v>119960</v>
      </c>
      <c r="F1223" t="n">
        <v>50371</v>
      </c>
      <c r="G1223" t="inlineStr">
        <is>
          <t>Discharge summary</t>
        </is>
      </c>
      <c r="H1223" t="inlineStr">
        <is>
          <t>labs-imaging</t>
        </is>
      </c>
      <c r="I1223" t="inlineStr">
        <is>
          <t>All of these
findings were seen
on the prior CT from [**2141-4-6**].</t>
        </is>
      </c>
    </row>
    <row r="1224">
      <c r="A1224" t="inlineStr">
        <is>
          <t>50371-labs-imaging-18-3</t>
        </is>
      </c>
      <c r="B1224" t="inlineStr"/>
      <c r="C1224" t="inlineStr"/>
      <c r="D1224">
        <f>HYPERLINK("http://nlpdeep.cs.uic.edu:8080/proofing/t5/50371-labs-imaging-18-3.pdf","t5/50371-labs-imaging-18-3.pdf")</f>
        <v/>
      </c>
      <c r="E1224" t="n">
        <v>119960</v>
      </c>
      <c r="F1224" t="n">
        <v>50371</v>
      </c>
      <c r="G1224" t="inlineStr">
        <is>
          <t>Discharge summary</t>
        </is>
      </c>
      <c r="H1224" t="inlineStr">
        <is>
          <t>labs-imaging</t>
        </is>
      </c>
      <c r="I1224" t="inlineStr">
        <is>
          <t>The lack of son[**Name (NI) 493**] [**Name2 (NI) 515**]
sign suggests the GB findings as detailed are chronic.</t>
        </is>
      </c>
    </row>
    <row r="1225">
      <c r="A1225" t="inlineStr">
        <is>
          <t>50371-labs-imaging-18-3</t>
        </is>
      </c>
      <c r="B1225" t="inlineStr"/>
      <c r="C1225" t="inlineStr"/>
      <c r="D1225">
        <f>HYPERLINK("http://nlpdeep.cs.uic.edu:8080/proofing/gsii/50371-labs-imaging-18-3.pdf","gsii/50371-labs-imaging-18-3.pdf")</f>
        <v/>
      </c>
      <c r="E1225" t="n">
        <v>119960</v>
      </c>
      <c r="F1225" t="n">
        <v>50371</v>
      </c>
      <c r="G1225" t="inlineStr">
        <is>
          <t>Discharge summary</t>
        </is>
      </c>
      <c r="H1225" t="inlineStr">
        <is>
          <t>labs-imaging</t>
        </is>
      </c>
      <c r="I1225" t="inlineStr">
        <is>
          <t>The lack of son[**Name (NI) 493**] [**Name2 (NI) 515**]
sign suggests the GB findings as detailed are chronic.</t>
        </is>
      </c>
    </row>
    <row r="1226">
      <c r="A1226" t="inlineStr">
        <is>
          <t>50371-labs-imaging-18-4</t>
        </is>
      </c>
      <c r="B1226" t="inlineStr"/>
      <c r="C1226" t="inlineStr"/>
      <c r="D1226">
        <f>HYPERLINK("http://nlpdeep.cs.uic.edu:8080/proofing/t5/50371-labs-imaging-18-4.pdf","t5/50371-labs-imaging-18-4.pdf")</f>
        <v/>
      </c>
      <c r="E1226" t="n">
        <v>119960</v>
      </c>
      <c r="F1226" t="n">
        <v>50371</v>
      </c>
      <c r="G1226" t="inlineStr">
        <is>
          <t>Discharge summary</t>
        </is>
      </c>
      <c r="H1226" t="inlineStr">
        <is>
          <t>labs-imaging</t>
        </is>
      </c>
      <c r="I1226" t="inlineStr">
        <is>
          <t>If
needed, a HIDA scan may be performed to confirm.</t>
        </is>
      </c>
    </row>
    <row r="1227">
      <c r="A1227" t="inlineStr">
        <is>
          <t>50371-labs-imaging-18-4</t>
        </is>
      </c>
      <c r="B1227" t="inlineStr"/>
      <c r="C1227" t="inlineStr"/>
      <c r="D1227">
        <f>HYPERLINK("http://nlpdeep.cs.uic.edu:8080/proofing/gsii/50371-labs-imaging-18-4.pdf","gsii/50371-labs-imaging-18-4.pdf")</f>
        <v/>
      </c>
      <c r="E1227" t="n">
        <v>119960</v>
      </c>
      <c r="F1227" t="n">
        <v>50371</v>
      </c>
      <c r="G1227" t="inlineStr">
        <is>
          <t>Discharge summary</t>
        </is>
      </c>
      <c r="H1227" t="inlineStr">
        <is>
          <t>labs-imaging</t>
        </is>
      </c>
      <c r="I1227" t="inlineStr">
        <is>
          <t>If
needed, a HIDA scan may be performed to confirm.</t>
        </is>
      </c>
    </row>
    <row r="1228">
      <c r="A1228" t="inlineStr">
        <is>
          <t>50371-labs-imaging-18-5</t>
        </is>
      </c>
      <c r="B1228" t="inlineStr"/>
      <c r="C1228" t="inlineStr"/>
      <c r="D1228">
        <f>HYPERLINK("http://nlpdeep.cs.uic.edu:8080/proofing/t5/50371-labs-imaging-18-5.pdf","t5/50371-labs-imaging-18-5.pdf")</f>
        <v/>
      </c>
      <c r="E1228" t="n">
        <v>119960</v>
      </c>
      <c r="F1228" t="n">
        <v>50371</v>
      </c>
      <c r="G1228" t="inlineStr">
        <is>
          <t>Discharge summary</t>
        </is>
      </c>
      <c r="H1228" t="inlineStr">
        <is>
          <t>labs-imaging</t>
        </is>
      </c>
      <c r="I1228" t="inlineStr">
        <is>
          <t>Echogenic right kidney compatible with chronic medical renal
disease.</t>
        </is>
      </c>
    </row>
    <row r="1229">
      <c r="A1229" t="inlineStr">
        <is>
          <t>50371-labs-imaging-18-5</t>
        </is>
      </c>
      <c r="B1229" t="inlineStr"/>
      <c r="C1229" t="inlineStr"/>
      <c r="D1229">
        <f>HYPERLINK("http://nlpdeep.cs.uic.edu:8080/proofing/gsii/50371-labs-imaging-18-5.pdf","gsii/50371-labs-imaging-18-5.pdf")</f>
        <v/>
      </c>
      <c r="E1229" t="n">
        <v>119960</v>
      </c>
      <c r="F1229" t="n">
        <v>50371</v>
      </c>
      <c r="G1229" t="inlineStr">
        <is>
          <t>Discharge summary</t>
        </is>
      </c>
      <c r="H1229" t="inlineStr">
        <is>
          <t>labs-imaging</t>
        </is>
      </c>
      <c r="I1229" t="inlineStr">
        <is>
          <t>Echogenic right kidney compatible with chronic medical renal
disease.</t>
        </is>
      </c>
    </row>
    <row r="1230">
      <c r="A1230" t="inlineStr">
        <is>
          <t>50371-labs-imaging-19-0</t>
        </is>
      </c>
      <c r="B1230" t="inlineStr"/>
      <c r="C1230" t="inlineStr"/>
      <c r="D1230">
        <f>HYPERLINK("http://nlpdeep.cs.uic.edu:8080/proofing/t5/50371-labs-imaging-19-0.pdf","t5/50371-labs-imaging-19-0.pdf")</f>
        <v/>
      </c>
      <c r="E1230" t="n">
        <v>119960</v>
      </c>
      <c r="F1230" t="n">
        <v>50371</v>
      </c>
      <c r="G1230" t="inlineStr">
        <is>
          <t>Discharge summary</t>
        </is>
      </c>
      <c r="H1230" t="inlineStr">
        <is>
          <t>labs-imaging</t>
        </is>
      </c>
      <c r="I1230" t="inlineStr"/>
    </row>
    <row r="1231">
      <c r="A1231" t="inlineStr">
        <is>
          <t>50371-labs-imaging-19-0</t>
        </is>
      </c>
      <c r="B1231" t="inlineStr"/>
      <c r="C1231" t="inlineStr"/>
      <c r="D1231">
        <f>HYPERLINK("http://nlpdeep.cs.uic.edu:8080/proofing/gsii/50371-labs-imaging-19-0.pdf","gsii/50371-labs-imaging-19-0.pdf")</f>
        <v/>
      </c>
      <c r="E1231" t="n">
        <v>119960</v>
      </c>
      <c r="F1231" t="n">
        <v>50371</v>
      </c>
      <c r="G1231" t="inlineStr">
        <is>
          <t>Discharge summary</t>
        </is>
      </c>
      <c r="H1231" t="inlineStr">
        <is>
          <t>labs-imaging</t>
        </is>
      </c>
      <c r="I1231" t="inlineStr"/>
    </row>
    <row r="1232">
      <c r="A1232" t="inlineStr">
        <is>
          <t>50371-labs-imaging-20-0</t>
        </is>
      </c>
      <c r="B1232" t="inlineStr"/>
      <c r="C1232" t="inlineStr"/>
      <c r="D1232">
        <f>HYPERLINK("http://nlpdeep.cs.uic.edu:8080/proofing/t5/50371-labs-imaging-20-0.pdf","t5/50371-labs-imaging-20-0.pdf")</f>
        <v/>
      </c>
      <c r="E1232" t="n">
        <v>119960</v>
      </c>
      <c r="F1232" t="n">
        <v>50371</v>
      </c>
      <c r="G1232" t="inlineStr">
        <is>
          <t>Discharge summary</t>
        </is>
      </c>
      <c r="H1232" t="inlineStr">
        <is>
          <t>labs-imaging</t>
        </is>
      </c>
      <c r="I1232" t="inlineStr">
        <is>
          <t>CMV: p</t>
        </is>
      </c>
    </row>
    <row r="1233">
      <c r="A1233" t="inlineStr">
        <is>
          <t>50371-labs-imaging-20-0</t>
        </is>
      </c>
      <c r="B1233" t="inlineStr"/>
      <c r="C1233" t="inlineStr"/>
      <c r="D1233">
        <f>HYPERLINK("http://nlpdeep.cs.uic.edu:8080/proofing/gsii/50371-labs-imaging-20-0.pdf","gsii/50371-labs-imaging-20-0.pdf")</f>
        <v/>
      </c>
      <c r="E1233" t="n">
        <v>119960</v>
      </c>
      <c r="F1233" t="n">
        <v>50371</v>
      </c>
      <c r="G1233" t="inlineStr">
        <is>
          <t>Discharge summary</t>
        </is>
      </c>
      <c r="H1233" t="inlineStr">
        <is>
          <t>labs-imaging</t>
        </is>
      </c>
      <c r="I1233" t="inlineStr">
        <is>
          <t>CMV: p</t>
        </is>
      </c>
    </row>
    <row r="1234">
      <c r="A1234" t="inlineStr">
        <is>
          <t>50371-hospital-course-0-0</t>
        </is>
      </c>
      <c r="B1234" t="inlineStr"/>
      <c r="C1234" t="inlineStr"/>
      <c r="D1234">
        <f>HYPERLINK("http://nlpdeep.cs.uic.edu:8080/proofing/t5/50371-hospital-course-0-0.pdf","t5/50371-hospital-course-0-0.pdf")</f>
        <v/>
      </c>
      <c r="E1234" t="n">
        <v>119960</v>
      </c>
      <c r="F1234" t="n">
        <v>50371</v>
      </c>
      <c r="G1234" t="inlineStr">
        <is>
          <t>Discharge summary</t>
        </is>
      </c>
      <c r="H1234" t="inlineStr">
        <is>
          <t>hospital-course</t>
        </is>
      </c>
      <c r="I1234" t="inlineStr">
        <is>
          <t>Mr. [**Known lastname **] is an 87 yo male with a history of diastolic CHF (EF
65% 1/10), AFib not on coumadin, mild AS, stage IV CKD, and HTN,
who presents from acute rehab after falling at his nursing home
and was found to have a left intertrochanteric fracture
initially admitted to the MICU for hypotension, fracture
repaired, floor course complicated by renal failure, persistent
hypotension and hyperbilirubinemia.</t>
        </is>
      </c>
    </row>
    <row r="1235">
      <c r="A1235" t="inlineStr">
        <is>
          <t>50371-hospital-course-0-0</t>
        </is>
      </c>
      <c r="B1235" t="inlineStr"/>
      <c r="C1235" t="inlineStr"/>
      <c r="D1235">
        <f>HYPERLINK("http://nlpdeep.cs.uic.edu:8080/proofing/gsii/50371-hospital-course-0-0.pdf","gsii/50371-hospital-course-0-0.pdf")</f>
        <v/>
      </c>
      <c r="E1235" t="n">
        <v>119960</v>
      </c>
      <c r="F1235" t="n">
        <v>50371</v>
      </c>
      <c r="G1235" t="inlineStr">
        <is>
          <t>Discharge summary</t>
        </is>
      </c>
      <c r="H1235" t="inlineStr">
        <is>
          <t>hospital-course</t>
        </is>
      </c>
      <c r="I1235" t="inlineStr">
        <is>
          <t>Mr. [**Known lastname **] is an 87 yo male with a history of diastolic CHF (EF
65% 1/10), AFib not on coumadin, mild AS, stage IV CKD, and HTN,
who presents from acute rehab after falling at his nursing home
and was found to have a left intertrochanteric fracture
initially admitted to the MICU for hypotension, fracture
repaired, floor course complicated by renal failure, persistent
hypotension and hyperbilirubinemia.</t>
        </is>
      </c>
    </row>
    <row r="1236">
      <c r="A1236" t="inlineStr">
        <is>
          <t>50371-hospital-course-1-0</t>
        </is>
      </c>
      <c r="B1236" t="inlineStr"/>
      <c r="C1236" t="inlineStr"/>
      <c r="D1236">
        <f>HYPERLINK("http://nlpdeep.cs.uic.edu:8080/proofing/t5/50371-hospital-course-1-0.pdf","t5/50371-hospital-course-1-0.pdf")</f>
        <v/>
      </c>
      <c r="E1236" t="n">
        <v>119960</v>
      </c>
      <c r="F1236" t="n">
        <v>50371</v>
      </c>
      <c r="G1236" t="inlineStr">
        <is>
          <t>Discharge summary</t>
        </is>
      </c>
      <c r="H1236" t="inlineStr">
        <is>
          <t>hospital-course</t>
        </is>
      </c>
      <c r="I1236" t="inlineStr">
        <is>
          <t xml:space="preserve">
# HYPOTENSION/ACUTE BLEED/HEMATURIA.</t>
        </is>
      </c>
    </row>
    <row r="1237">
      <c r="A1237" t="inlineStr">
        <is>
          <t>50371-hospital-course-1-0</t>
        </is>
      </c>
      <c r="B1237" t="inlineStr"/>
      <c r="C1237" t="inlineStr"/>
      <c r="D1237">
        <f>HYPERLINK("http://nlpdeep.cs.uic.edu:8080/proofing/gsii/50371-hospital-course-1-0.pdf","gsii/50371-hospital-course-1-0.pdf")</f>
        <v/>
      </c>
      <c r="E1237" t="n">
        <v>119960</v>
      </c>
      <c r="F1237" t="n">
        <v>50371</v>
      </c>
      <c r="G1237" t="inlineStr">
        <is>
          <t>Discharge summary</t>
        </is>
      </c>
      <c r="H1237" t="inlineStr">
        <is>
          <t>hospital-course</t>
        </is>
      </c>
      <c r="I1237" t="inlineStr">
        <is>
          <t xml:space="preserve">
# HYPOTENSION/ACUTE BLEED/HEMATURIA.</t>
        </is>
      </c>
    </row>
    <row r="1238">
      <c r="A1238" t="inlineStr">
        <is>
          <t>50371-hospital-course-1-1</t>
        </is>
      </c>
      <c r="B1238" t="inlineStr"/>
      <c r="C1238" t="inlineStr"/>
      <c r="D1238">
        <f>HYPERLINK("http://nlpdeep.cs.uic.edu:8080/proofing/t5/50371-hospital-course-1-1.pdf","t5/50371-hospital-course-1-1.pdf")</f>
        <v/>
      </c>
      <c r="E1238" t="n">
        <v>119960</v>
      </c>
      <c r="F1238" t="n">
        <v>50371</v>
      </c>
      <c r="G1238" t="inlineStr">
        <is>
          <t>Discharge summary</t>
        </is>
      </c>
      <c r="H1238" t="inlineStr">
        <is>
          <t>hospital-course</t>
        </is>
      </c>
      <c r="I1238" t="inlineStr">
        <is>
          <t>Baseline bp per [**3-31**]
discharge summary is sbp 90s-100.</t>
        </is>
      </c>
    </row>
    <row r="1239">
      <c r="A1239" t="inlineStr">
        <is>
          <t>50371-hospital-course-1-1</t>
        </is>
      </c>
      <c r="B1239" t="inlineStr"/>
      <c r="C1239" t="inlineStr"/>
      <c r="D1239">
        <f>HYPERLINK("http://nlpdeep.cs.uic.edu:8080/proofing/gsii/50371-hospital-course-1-1.pdf","gsii/50371-hospital-course-1-1.pdf")</f>
        <v/>
      </c>
      <c r="E1239" t="n">
        <v>119960</v>
      </c>
      <c r="F1239" t="n">
        <v>50371</v>
      </c>
      <c r="G1239" t="inlineStr">
        <is>
          <t>Discharge summary</t>
        </is>
      </c>
      <c r="H1239" t="inlineStr">
        <is>
          <t>hospital-course</t>
        </is>
      </c>
      <c r="I1239" t="inlineStr">
        <is>
          <t>Baseline bp per [**3-31**]
discharge summary is sbp 90s-100.</t>
        </is>
      </c>
    </row>
    <row r="1240">
      <c r="A1240" t="inlineStr">
        <is>
          <t>50371-hospital-course-1-2</t>
        </is>
      </c>
      <c r="B1240" t="inlineStr"/>
      <c r="C1240" t="inlineStr"/>
      <c r="D1240">
        <f>HYPERLINK("http://nlpdeep.cs.uic.edu:8080/proofing/t5/50371-hospital-course-1-2.pdf","t5/50371-hospital-course-1-2.pdf")</f>
        <v/>
      </c>
      <c r="E1240" t="n">
        <v>119960</v>
      </c>
      <c r="F1240" t="n">
        <v>50371</v>
      </c>
      <c r="G1240" t="inlineStr">
        <is>
          <t>Discharge summary</t>
        </is>
      </c>
      <c r="H1240" t="inlineStr">
        <is>
          <t>hospital-course</t>
        </is>
      </c>
      <c r="I1240" t="inlineStr">
        <is>
          <t>Patient found to have sbp in
80s in ED, improved to 100s with IVF.</t>
        </is>
      </c>
    </row>
    <row r="1241">
      <c r="A1241" t="inlineStr">
        <is>
          <t>50371-hospital-course-1-2</t>
        </is>
      </c>
      <c r="B1241" t="inlineStr"/>
      <c r="C1241" t="inlineStr"/>
      <c r="D1241">
        <f>HYPERLINK("http://nlpdeep.cs.uic.edu:8080/proofing/gsii/50371-hospital-course-1-2.pdf","gsii/50371-hospital-course-1-2.pdf")</f>
        <v/>
      </c>
      <c r="E1241" t="n">
        <v>119960</v>
      </c>
      <c r="F1241" t="n">
        <v>50371</v>
      </c>
      <c r="G1241" t="inlineStr">
        <is>
          <t>Discharge summary</t>
        </is>
      </c>
      <c r="H1241" t="inlineStr">
        <is>
          <t>hospital-course</t>
        </is>
      </c>
      <c r="I1241" t="inlineStr">
        <is>
          <t>Patient found to have sbp in
80s in ED, improved to 100s with IVF.</t>
        </is>
      </c>
    </row>
    <row r="1242">
      <c r="A1242" t="inlineStr">
        <is>
          <t>50371-hospital-course-1-3</t>
        </is>
      </c>
      <c r="B1242" t="inlineStr"/>
      <c r="C1242" t="inlineStr"/>
      <c r="D1242">
        <f>HYPERLINK("http://nlpdeep.cs.uic.edu:8080/proofing/t5/50371-hospital-course-1-3.pdf","t5/50371-hospital-course-1-3.pdf")</f>
        <v/>
      </c>
      <c r="E1242" t="n">
        <v>119960</v>
      </c>
      <c r="F1242" t="n">
        <v>50371</v>
      </c>
      <c r="G1242" t="inlineStr">
        <is>
          <t>Discharge summary</t>
        </is>
      </c>
      <c r="H1242" t="inlineStr">
        <is>
          <t>hospital-course</t>
        </is>
      </c>
      <c r="I1242" t="inlineStr">
        <is>
          <t>Ddx = septic shock (given
hypothermia, but this is pt??????s baseline per wife and chart and he
has no WBC), no evidence of bleed, vasovagal in setting of
severe pain, cardiogenic in setting of severe CHF, adrenal
insufficiency (cortisol normal).</t>
        </is>
      </c>
    </row>
    <row r="1243">
      <c r="A1243" t="inlineStr">
        <is>
          <t>50371-hospital-course-1-3</t>
        </is>
      </c>
      <c r="B1243" t="inlineStr"/>
      <c r="C1243" t="inlineStr"/>
      <c r="D1243">
        <f>HYPERLINK("http://nlpdeep.cs.uic.edu:8080/proofing/gsii/50371-hospital-course-1-3.pdf","gsii/50371-hospital-course-1-3.pdf")</f>
        <v/>
      </c>
      <c r="E1243" t="n">
        <v>119960</v>
      </c>
      <c r="F1243" t="n">
        <v>50371</v>
      </c>
      <c r="G1243" t="inlineStr">
        <is>
          <t>Discharge summary</t>
        </is>
      </c>
      <c r="H1243" t="inlineStr">
        <is>
          <t>hospital-course</t>
        </is>
      </c>
      <c r="I1243" t="inlineStr">
        <is>
          <t>Ddx = septic shock (given
hypothermia, but this is pt??????s baseline per wife and chart and he
has no WBC), no evidence of bleed, vasovagal in setting of
severe pain, cardiogenic in setting of severe CHF, adrenal
insufficiency (cortisol normal).</t>
        </is>
      </c>
    </row>
    <row r="1244">
      <c r="A1244" t="inlineStr">
        <is>
          <t>50371-hospital-course-1-4</t>
        </is>
      </c>
      <c r="B1244" t="inlineStr"/>
      <c r="C1244" t="inlineStr"/>
      <c r="D1244">
        <f>HYPERLINK("http://nlpdeep.cs.uic.edu:8080/proofing/t5/50371-hospital-course-1-4.pdf","t5/50371-hospital-course-1-4.pdf")</f>
        <v/>
      </c>
      <c r="E1244" t="n">
        <v>119960</v>
      </c>
      <c r="F1244" t="n">
        <v>50371</v>
      </c>
      <c r="G1244" t="inlineStr">
        <is>
          <t>Discharge summary</t>
        </is>
      </c>
      <c r="H1244" t="inlineStr">
        <is>
          <t>hospital-course</t>
        </is>
      </c>
      <c r="I1244" t="inlineStr">
        <is>
          <t>Most likely due to combination
of dehydration +/- acute bleed in setting of poor cardiac
function.</t>
        </is>
      </c>
    </row>
    <row r="1245">
      <c r="A1245" t="inlineStr">
        <is>
          <t>50371-hospital-course-1-4</t>
        </is>
      </c>
      <c r="B1245" t="inlineStr"/>
      <c r="C1245" t="inlineStr"/>
      <c r="D1245">
        <f>HYPERLINK("http://nlpdeep.cs.uic.edu:8080/proofing/gsii/50371-hospital-course-1-4.pdf","gsii/50371-hospital-course-1-4.pdf")</f>
        <v/>
      </c>
      <c r="E1245" t="n">
        <v>119960</v>
      </c>
      <c r="F1245" t="n">
        <v>50371</v>
      </c>
      <c r="G1245" t="inlineStr">
        <is>
          <t>Discharge summary</t>
        </is>
      </c>
      <c r="H1245" t="inlineStr">
        <is>
          <t>hospital-course</t>
        </is>
      </c>
      <c r="I1245" t="inlineStr">
        <is>
          <t>Most likely due to combination
of dehydration +/- acute bleed in setting of poor cardiac
function.</t>
        </is>
      </c>
    </row>
    <row r="1246">
      <c r="A1246" t="inlineStr">
        <is>
          <t>50371-hospital-course-1-5</t>
        </is>
      </c>
      <c r="B1246" t="inlineStr"/>
      <c r="C1246" t="inlineStr"/>
      <c r="D1246">
        <f>HYPERLINK("http://nlpdeep.cs.uic.edu:8080/proofing/t5/50371-hospital-course-1-5.pdf","t5/50371-hospital-course-1-5.pdf")</f>
        <v/>
      </c>
      <c r="E1246" t="n">
        <v>119960</v>
      </c>
      <c r="F1246" t="n">
        <v>50371</v>
      </c>
      <c r="G1246" t="inlineStr">
        <is>
          <t>Discharge summary</t>
        </is>
      </c>
      <c r="H1246" t="inlineStr">
        <is>
          <t>hospital-course</t>
        </is>
      </c>
      <c r="I1246" t="inlineStr">
        <is>
          <t xml:space="preserve"> Infx w/u was negative and pt pressures stabilized
with fluid and blood products.</t>
        </is>
      </c>
    </row>
    <row r="1247">
      <c r="A1247" t="inlineStr">
        <is>
          <t>50371-hospital-course-1-5</t>
        </is>
      </c>
      <c r="B1247" t="inlineStr"/>
      <c r="C1247" t="inlineStr"/>
      <c r="D1247">
        <f>HYPERLINK("http://nlpdeep.cs.uic.edu:8080/proofing/gsii/50371-hospital-course-1-5.pdf","gsii/50371-hospital-course-1-5.pdf")</f>
        <v/>
      </c>
      <c r="E1247" t="n">
        <v>119960</v>
      </c>
      <c r="F1247" t="n">
        <v>50371</v>
      </c>
      <c r="G1247" t="inlineStr">
        <is>
          <t>Discharge summary</t>
        </is>
      </c>
      <c r="H1247" t="inlineStr">
        <is>
          <t>hospital-course</t>
        </is>
      </c>
      <c r="I1247" t="inlineStr">
        <is>
          <t xml:space="preserve"> Infx w/u was negative and pt pressures stabilized
with fluid and blood products.</t>
        </is>
      </c>
    </row>
    <row r="1248">
      <c r="A1248" t="inlineStr">
        <is>
          <t>50371-hospital-course-1-6</t>
        </is>
      </c>
      <c r="B1248" t="inlineStr"/>
      <c r="C1248" t="inlineStr"/>
      <c r="D1248">
        <f>HYPERLINK("http://nlpdeep.cs.uic.edu:8080/proofing/t5/50371-hospital-course-1-6.pdf","t5/50371-hospital-course-1-6.pdf")</f>
        <v/>
      </c>
      <c r="E1248" t="n">
        <v>119960</v>
      </c>
      <c r="F1248" t="n">
        <v>50371</v>
      </c>
      <c r="G1248" t="inlineStr">
        <is>
          <t>Discharge summary</t>
        </is>
      </c>
      <c r="H1248" t="inlineStr">
        <is>
          <t>hospital-course</t>
        </is>
      </c>
      <c r="I1248" t="inlineStr">
        <is>
          <t xml:space="preserve"> Aspirin was initially held out
of concern for bleed but was restarted on dc.</t>
        </is>
      </c>
    </row>
    <row r="1249">
      <c r="A1249" t="inlineStr">
        <is>
          <t>50371-hospital-course-1-6</t>
        </is>
      </c>
      <c r="B1249" t="inlineStr"/>
      <c r="C1249" t="inlineStr"/>
      <c r="D1249">
        <f>HYPERLINK("http://nlpdeep.cs.uic.edu:8080/proofing/gsii/50371-hospital-course-1-6.pdf","gsii/50371-hospital-course-1-6.pdf")</f>
        <v/>
      </c>
      <c r="E1249" t="n">
        <v>119960</v>
      </c>
      <c r="F1249" t="n">
        <v>50371</v>
      </c>
      <c r="G1249" t="inlineStr">
        <is>
          <t>Discharge summary</t>
        </is>
      </c>
      <c r="H1249" t="inlineStr">
        <is>
          <t>hospital-course</t>
        </is>
      </c>
      <c r="I1249" t="inlineStr">
        <is>
          <t xml:space="preserve"> Aspirin was initially held out
of concern for bleed but was restarted on dc.</t>
        </is>
      </c>
    </row>
    <row r="1250">
      <c r="A1250" t="inlineStr">
        <is>
          <t>50371-hospital-course-2-0</t>
        </is>
      </c>
      <c r="B1250" t="inlineStr"/>
      <c r="C1250" t="inlineStr"/>
      <c r="D1250">
        <f>HYPERLINK("http://nlpdeep.cs.uic.edu:8080/proofing/t5/50371-hospital-course-2-0.pdf","t5/50371-hospital-course-2-0.pdf")</f>
        <v/>
      </c>
      <c r="E1250" t="n">
        <v>119960</v>
      </c>
      <c r="F1250" t="n">
        <v>50371</v>
      </c>
      <c r="G1250" t="inlineStr">
        <is>
          <t>Discharge summary</t>
        </is>
      </c>
      <c r="H1250" t="inlineStr">
        <is>
          <t>hospital-course</t>
        </is>
      </c>
      <c r="I1250" t="inlineStr">
        <is>
          <t xml:space="preserve">
# LEFT HIP FRACTURE:  s/p ORIF with TFN.</t>
        </is>
      </c>
    </row>
    <row r="1251">
      <c r="A1251" t="inlineStr">
        <is>
          <t>50371-hospital-course-2-0</t>
        </is>
      </c>
      <c r="B1251" t="inlineStr"/>
      <c r="C1251" t="inlineStr"/>
      <c r="D1251">
        <f>HYPERLINK("http://nlpdeep.cs.uic.edu:8080/proofing/gsii/50371-hospital-course-2-0.pdf","gsii/50371-hospital-course-2-0.pdf")</f>
        <v/>
      </c>
      <c r="E1251" t="n">
        <v>119960</v>
      </c>
      <c r="F1251" t="n">
        <v>50371</v>
      </c>
      <c r="G1251" t="inlineStr">
        <is>
          <t>Discharge summary</t>
        </is>
      </c>
      <c r="H1251" t="inlineStr">
        <is>
          <t>hospital-course</t>
        </is>
      </c>
      <c r="I1251" t="inlineStr">
        <is>
          <t xml:space="preserve">
# LEFT HIP FRACTURE:  s/p ORIF with TFN.</t>
        </is>
      </c>
    </row>
    <row r="1252">
      <c r="A1252" t="inlineStr">
        <is>
          <t>50371-hospital-course-2-1</t>
        </is>
      </c>
      <c r="B1252" t="inlineStr"/>
      <c r="C1252" t="inlineStr"/>
      <c r="D1252">
        <f>HYPERLINK("http://nlpdeep.cs.uic.edu:8080/proofing/t5/50371-hospital-course-2-1.pdf","t5/50371-hospital-course-2-1.pdf")</f>
        <v/>
      </c>
      <c r="E1252" t="n">
        <v>119960</v>
      </c>
      <c r="F1252" t="n">
        <v>50371</v>
      </c>
      <c r="G1252" t="inlineStr">
        <is>
          <t>Discharge summary</t>
        </is>
      </c>
      <c r="H1252" t="inlineStr">
        <is>
          <t>hospital-course</t>
        </is>
      </c>
      <c r="I1252" t="inlineStr">
        <is>
          <t xml:space="preserve"> Pt recovered well with
adequate pain control on oxycodone.</t>
        </is>
      </c>
    </row>
    <row r="1253">
      <c r="A1253" t="inlineStr">
        <is>
          <t>50371-hospital-course-2-1</t>
        </is>
      </c>
      <c r="B1253" t="inlineStr"/>
      <c r="C1253" t="inlineStr"/>
      <c r="D1253">
        <f>HYPERLINK("http://nlpdeep.cs.uic.edu:8080/proofing/gsii/50371-hospital-course-2-1.pdf","gsii/50371-hospital-course-2-1.pdf")</f>
        <v/>
      </c>
      <c r="E1253" t="n">
        <v>119960</v>
      </c>
      <c r="F1253" t="n">
        <v>50371</v>
      </c>
      <c r="G1253" t="inlineStr">
        <is>
          <t>Discharge summary</t>
        </is>
      </c>
      <c r="H1253" t="inlineStr">
        <is>
          <t>hospital-course</t>
        </is>
      </c>
      <c r="I1253" t="inlineStr">
        <is>
          <t xml:space="preserve"> Pt recovered well with
adequate pain control on oxycodone.</t>
        </is>
      </c>
    </row>
    <row r="1254">
      <c r="A1254" t="inlineStr">
        <is>
          <t>50371-hospital-course-2-2</t>
        </is>
      </c>
      <c r="B1254" t="inlineStr"/>
      <c r="C1254" t="inlineStr"/>
      <c r="D1254">
        <f>HYPERLINK("http://nlpdeep.cs.uic.edu:8080/proofing/t5/50371-hospital-course-2-2.pdf","t5/50371-hospital-course-2-2.pdf")</f>
        <v/>
      </c>
      <c r="E1254" t="n">
        <v>119960</v>
      </c>
      <c r="F1254" t="n">
        <v>50371</v>
      </c>
      <c r="G1254" t="inlineStr">
        <is>
          <t>Discharge summary</t>
        </is>
      </c>
      <c r="H1254" t="inlineStr">
        <is>
          <t>hospital-course</t>
        </is>
      </c>
      <c r="I1254" t="inlineStr">
        <is>
          <t xml:space="preserve"> He was started on
enoxaparin which will be continued through [**2141-5-9**].</t>
        </is>
      </c>
    </row>
    <row r="1255">
      <c r="A1255" t="inlineStr">
        <is>
          <t>50371-hospital-course-2-2</t>
        </is>
      </c>
      <c r="B1255" t="inlineStr"/>
      <c r="C1255" t="inlineStr"/>
      <c r="D1255">
        <f>HYPERLINK("http://nlpdeep.cs.uic.edu:8080/proofing/gsii/50371-hospital-course-2-2.pdf","gsii/50371-hospital-course-2-2.pdf")</f>
        <v/>
      </c>
      <c r="E1255" t="n">
        <v>119960</v>
      </c>
      <c r="F1255" t="n">
        <v>50371</v>
      </c>
      <c r="G1255" t="inlineStr">
        <is>
          <t>Discharge summary</t>
        </is>
      </c>
      <c r="H1255" t="inlineStr">
        <is>
          <t>hospital-course</t>
        </is>
      </c>
      <c r="I1255" t="inlineStr">
        <is>
          <t xml:space="preserve"> He was started on
enoxaparin which will be continued through [**2141-5-9**].</t>
        </is>
      </c>
    </row>
    <row r="1256">
      <c r="A1256" t="inlineStr">
        <is>
          <t>50371-hospital-course-2-3</t>
        </is>
      </c>
      <c r="B1256" t="inlineStr"/>
      <c r="C1256" t="inlineStr"/>
      <c r="D1256">
        <f>HYPERLINK("http://nlpdeep.cs.uic.edu:8080/proofing/t5/50371-hospital-course-2-3.pdf","t5/50371-hospital-course-2-3.pdf")</f>
        <v/>
      </c>
      <c r="E1256" t="n">
        <v>119960</v>
      </c>
      <c r="F1256" t="n">
        <v>50371</v>
      </c>
      <c r="G1256" t="inlineStr">
        <is>
          <t>Discharge summary</t>
        </is>
      </c>
      <c r="H1256" t="inlineStr">
        <is>
          <t>hospital-course</t>
        </is>
      </c>
      <c r="I1256" t="inlineStr">
        <is>
          <t xml:space="preserve"> Pt to f/u
with ortho 2 wks after dc.</t>
        </is>
      </c>
    </row>
    <row r="1257">
      <c r="A1257" t="inlineStr">
        <is>
          <t>50371-hospital-course-2-3</t>
        </is>
      </c>
      <c r="B1257" t="inlineStr"/>
      <c r="C1257" t="inlineStr"/>
      <c r="D1257">
        <f>HYPERLINK("http://nlpdeep.cs.uic.edu:8080/proofing/gsii/50371-hospital-course-2-3.pdf","gsii/50371-hospital-course-2-3.pdf")</f>
        <v/>
      </c>
      <c r="E1257" t="n">
        <v>119960</v>
      </c>
      <c r="F1257" t="n">
        <v>50371</v>
      </c>
      <c r="G1257" t="inlineStr">
        <is>
          <t>Discharge summary</t>
        </is>
      </c>
      <c r="H1257" t="inlineStr">
        <is>
          <t>hospital-course</t>
        </is>
      </c>
      <c r="I1257" t="inlineStr">
        <is>
          <t xml:space="preserve"> Pt to f/u
with ortho 2 wks after dc.</t>
        </is>
      </c>
    </row>
    <row r="1258">
      <c r="A1258" t="inlineStr">
        <is>
          <t>50371-hospital-course-3-0</t>
        </is>
      </c>
      <c r="B1258" t="inlineStr"/>
      <c r="C1258" t="inlineStr"/>
      <c r="D1258">
        <f>HYPERLINK("http://nlpdeep.cs.uic.edu:8080/proofing/t5/50371-hospital-course-3-0.pdf","t5/50371-hospital-course-3-0.pdf")</f>
        <v/>
      </c>
      <c r="E1258" t="n">
        <v>119960</v>
      </c>
      <c r="F1258" t="n">
        <v>50371</v>
      </c>
      <c r="G1258" t="inlineStr">
        <is>
          <t>Discharge summary</t>
        </is>
      </c>
      <c r="H1258" t="inlineStr">
        <is>
          <t>hospital-course</t>
        </is>
      </c>
      <c r="I1258" t="inlineStr">
        <is>
          <t xml:space="preserve">
# CKD - stage IV, likely due to hypotension, ATN.</t>
        </is>
      </c>
    </row>
    <row r="1259">
      <c r="A1259" t="inlineStr">
        <is>
          <t>50371-hospital-course-3-0</t>
        </is>
      </c>
      <c r="B1259" t="inlineStr"/>
      <c r="C1259" t="inlineStr"/>
      <c r="D1259">
        <f>HYPERLINK("http://nlpdeep.cs.uic.edu:8080/proofing/gsii/50371-hospital-course-3-0.pdf","gsii/50371-hospital-course-3-0.pdf")</f>
        <v/>
      </c>
      <c r="E1259" t="n">
        <v>119960</v>
      </c>
      <c r="F1259" t="n">
        <v>50371</v>
      </c>
      <c r="G1259" t="inlineStr">
        <is>
          <t>Discharge summary</t>
        </is>
      </c>
      <c r="H1259" t="inlineStr">
        <is>
          <t>hospital-course</t>
        </is>
      </c>
      <c r="I1259" t="inlineStr">
        <is>
          <t xml:space="preserve">
# CKD - stage IV, likely due to hypotension, ATN.</t>
        </is>
      </c>
    </row>
    <row r="1260">
      <c r="A1260" t="inlineStr">
        <is>
          <t>50371-hospital-course-3-1</t>
        </is>
      </c>
      <c r="B1260" t="inlineStr"/>
      <c r="C1260" t="inlineStr"/>
      <c r="D1260">
        <f>HYPERLINK("http://nlpdeep.cs.uic.edu:8080/proofing/t5/50371-hospital-course-3-1.pdf","t5/50371-hospital-course-3-1.pdf")</f>
        <v/>
      </c>
      <c r="E1260" t="n">
        <v>119960</v>
      </c>
      <c r="F1260" t="n">
        <v>50371</v>
      </c>
      <c r="G1260" t="inlineStr">
        <is>
          <t>Discharge summary</t>
        </is>
      </c>
      <c r="H1260" t="inlineStr">
        <is>
          <t>hospital-course</t>
        </is>
      </c>
      <c r="I1260" t="inlineStr">
        <is>
          <t>UOP minimal
during the hospitalization.</t>
        </is>
      </c>
    </row>
    <row r="1261">
      <c r="A1261" t="inlineStr">
        <is>
          <t>50371-hospital-course-3-1</t>
        </is>
      </c>
      <c r="B1261" t="inlineStr"/>
      <c r="C1261" t="inlineStr"/>
      <c r="D1261">
        <f>HYPERLINK("http://nlpdeep.cs.uic.edu:8080/proofing/gsii/50371-hospital-course-3-1.pdf","gsii/50371-hospital-course-3-1.pdf")</f>
        <v/>
      </c>
      <c r="E1261" t="n">
        <v>119960</v>
      </c>
      <c r="F1261" t="n">
        <v>50371</v>
      </c>
      <c r="G1261" t="inlineStr">
        <is>
          <t>Discharge summary</t>
        </is>
      </c>
      <c r="H1261" t="inlineStr">
        <is>
          <t>hospital-course</t>
        </is>
      </c>
      <c r="I1261" t="inlineStr">
        <is>
          <t>UOP minimal
during the hospitalization.</t>
        </is>
      </c>
    </row>
    <row r="1262">
      <c r="A1262" t="inlineStr">
        <is>
          <t>50371-hospital-course-3-2</t>
        </is>
      </c>
      <c r="B1262" t="inlineStr"/>
      <c r="C1262" t="inlineStr"/>
      <c r="D1262">
        <f>HYPERLINK("http://nlpdeep.cs.uic.edu:8080/proofing/t5/50371-hospital-course-3-2.pdf","t5/50371-hospital-course-3-2.pdf")</f>
        <v/>
      </c>
      <c r="E1262" t="n">
        <v>119960</v>
      </c>
      <c r="F1262" t="n">
        <v>50371</v>
      </c>
      <c r="G1262" t="inlineStr">
        <is>
          <t>Discharge summary</t>
        </is>
      </c>
      <c r="H1262" t="inlineStr">
        <is>
          <t>hospital-course</t>
        </is>
      </c>
      <c r="I1262" t="inlineStr">
        <is>
          <t xml:space="preserve"> Creatinine baseline 2.0, elevated
to high of 4 during this admission and decreased to 3.5 on dc.</t>
        </is>
      </c>
    </row>
    <row r="1263">
      <c r="A1263" t="inlineStr">
        <is>
          <t>50371-hospital-course-3-2</t>
        </is>
      </c>
      <c r="B1263" t="inlineStr"/>
      <c r="C1263" t="inlineStr"/>
      <c r="D1263">
        <f>HYPERLINK("http://nlpdeep.cs.uic.edu:8080/proofing/gsii/50371-hospital-course-3-2.pdf","gsii/50371-hospital-course-3-2.pdf")</f>
        <v/>
      </c>
      <c r="E1263" t="n">
        <v>119960</v>
      </c>
      <c r="F1263" t="n">
        <v>50371</v>
      </c>
      <c r="G1263" t="inlineStr">
        <is>
          <t>Discharge summary</t>
        </is>
      </c>
      <c r="H1263" t="inlineStr">
        <is>
          <t>hospital-course</t>
        </is>
      </c>
      <c r="I1263" t="inlineStr">
        <is>
          <t xml:space="preserve"> Creatinine baseline 2.0, elevated
to high of 4 during this admission and decreased to 3.5 on dc.</t>
        </is>
      </c>
    </row>
    <row r="1264">
      <c r="A1264" t="inlineStr">
        <is>
          <t>50371-hospital-course-3-3</t>
        </is>
      </c>
      <c r="B1264" t="inlineStr"/>
      <c r="C1264" t="inlineStr"/>
      <c r="D1264">
        <f>HYPERLINK("http://nlpdeep.cs.uic.edu:8080/proofing/t5/50371-hospital-course-3-3.pdf","t5/50371-hospital-course-3-3.pdf")</f>
        <v/>
      </c>
      <c r="E1264" t="n">
        <v>119960</v>
      </c>
      <c r="F1264" t="n">
        <v>50371</v>
      </c>
      <c r="G1264" t="inlineStr">
        <is>
          <t>Discharge summary</t>
        </is>
      </c>
      <c r="H1264" t="inlineStr">
        <is>
          <t>hospital-course</t>
        </is>
      </c>
      <c r="I1264" t="inlineStr">
        <is>
          <t xml:space="preserve">
Pt seen by renal, no urgent indications for dialysis and pt does
not wish to undergo dialysis.</t>
        </is>
      </c>
    </row>
    <row r="1265">
      <c r="A1265" t="inlineStr">
        <is>
          <t>50371-hospital-course-3-3</t>
        </is>
      </c>
      <c r="B1265" t="inlineStr"/>
      <c r="C1265" t="inlineStr"/>
      <c r="D1265">
        <f>HYPERLINK("http://nlpdeep.cs.uic.edu:8080/proofing/gsii/50371-hospital-course-3-3.pdf","gsii/50371-hospital-course-3-3.pdf")</f>
        <v/>
      </c>
      <c r="E1265" t="n">
        <v>119960</v>
      </c>
      <c r="F1265" t="n">
        <v>50371</v>
      </c>
      <c r="G1265" t="inlineStr">
        <is>
          <t>Discharge summary</t>
        </is>
      </c>
      <c r="H1265" t="inlineStr">
        <is>
          <t>hospital-course</t>
        </is>
      </c>
      <c r="I1265" t="inlineStr">
        <is>
          <t xml:space="preserve">
Pt seen by renal, no urgent indications for dialysis and pt does
not wish to undergo dialysis.</t>
        </is>
      </c>
    </row>
    <row r="1266">
      <c r="A1266" t="inlineStr">
        <is>
          <t>50371-hospital-course-3-4</t>
        </is>
      </c>
      <c r="B1266" t="inlineStr"/>
      <c r="C1266" t="inlineStr"/>
      <c r="D1266">
        <f>HYPERLINK("http://nlpdeep.cs.uic.edu:8080/proofing/t5/50371-hospital-course-3-4.pdf","t5/50371-hospital-course-3-4.pdf")</f>
        <v/>
      </c>
      <c r="E1266" t="n">
        <v>119960</v>
      </c>
      <c r="F1266" t="n">
        <v>50371</v>
      </c>
      <c r="G1266" t="inlineStr">
        <is>
          <t>Discharge summary</t>
        </is>
      </c>
      <c r="H1266" t="inlineStr">
        <is>
          <t>hospital-course</t>
        </is>
      </c>
      <c r="I1266" t="inlineStr">
        <is>
          <t xml:space="preserve"> Diuretics were held, he was
provided with gentle hydration.</t>
        </is>
      </c>
    </row>
    <row r="1267">
      <c r="A1267" t="inlineStr">
        <is>
          <t>50371-hospital-course-3-4</t>
        </is>
      </c>
      <c r="B1267" t="inlineStr"/>
      <c r="C1267" t="inlineStr"/>
      <c r="D1267">
        <f>HYPERLINK("http://nlpdeep.cs.uic.edu:8080/proofing/gsii/50371-hospital-course-3-4.pdf","gsii/50371-hospital-course-3-4.pdf")</f>
        <v/>
      </c>
      <c r="E1267" t="n">
        <v>119960</v>
      </c>
      <c r="F1267" t="n">
        <v>50371</v>
      </c>
      <c r="G1267" t="inlineStr">
        <is>
          <t>Discharge summary</t>
        </is>
      </c>
      <c r="H1267" t="inlineStr">
        <is>
          <t>hospital-course</t>
        </is>
      </c>
      <c r="I1267" t="inlineStr">
        <is>
          <t xml:space="preserve"> Diuretics were held, he was
provided with gentle hydration.</t>
        </is>
      </c>
    </row>
    <row r="1268">
      <c r="A1268" t="inlineStr">
        <is>
          <t>50371-hospital-course-3-5</t>
        </is>
      </c>
      <c r="B1268" t="inlineStr"/>
      <c r="C1268" t="inlineStr"/>
      <c r="D1268">
        <f>HYPERLINK("http://nlpdeep.cs.uic.edu:8080/proofing/t5/50371-hospital-course-3-5.pdf","t5/50371-hospital-course-3-5.pdf")</f>
        <v/>
      </c>
      <c r="E1268" t="n">
        <v>119960</v>
      </c>
      <c r="F1268" t="n">
        <v>50371</v>
      </c>
      <c r="G1268" t="inlineStr">
        <is>
          <t>Discharge summary</t>
        </is>
      </c>
      <c r="H1268" t="inlineStr">
        <is>
          <t>hospital-course</t>
        </is>
      </c>
      <c r="I1268" t="inlineStr">
        <is>
          <t xml:space="preserve"> Pt will require frequent
monitoring of lytes while in rehab.</t>
        </is>
      </c>
    </row>
    <row r="1269">
      <c r="A1269" t="inlineStr">
        <is>
          <t>50371-hospital-course-3-5</t>
        </is>
      </c>
      <c r="B1269" t="inlineStr"/>
      <c r="C1269" t="inlineStr"/>
      <c r="D1269">
        <f>HYPERLINK("http://nlpdeep.cs.uic.edu:8080/proofing/gsii/50371-hospital-course-3-5.pdf","gsii/50371-hospital-course-3-5.pdf")</f>
        <v/>
      </c>
      <c r="E1269" t="n">
        <v>119960</v>
      </c>
      <c r="F1269" t="n">
        <v>50371</v>
      </c>
      <c r="G1269" t="inlineStr">
        <is>
          <t>Discharge summary</t>
        </is>
      </c>
      <c r="H1269" t="inlineStr">
        <is>
          <t>hospital-course</t>
        </is>
      </c>
      <c r="I1269" t="inlineStr">
        <is>
          <t xml:space="preserve"> Pt will require frequent
monitoring of lytes while in rehab.</t>
        </is>
      </c>
    </row>
    <row r="1270">
      <c r="A1270" t="inlineStr">
        <is>
          <t>50371-hospital-course-4-0</t>
        </is>
      </c>
      <c r="B1270" t="inlineStr"/>
      <c r="C1270" t="inlineStr"/>
      <c r="D1270">
        <f>HYPERLINK("http://nlpdeep.cs.uic.edu:8080/proofing/t5/50371-hospital-course-4-0.pdf","t5/50371-hospital-course-4-0.pdf")</f>
        <v/>
      </c>
      <c r="E1270" t="n">
        <v>119960</v>
      </c>
      <c r="F1270" t="n">
        <v>50371</v>
      </c>
      <c r="G1270" t="inlineStr">
        <is>
          <t>Discharge summary</t>
        </is>
      </c>
      <c r="H1270" t="inlineStr">
        <is>
          <t>hospital-course</t>
        </is>
      </c>
      <c r="I1270" t="inlineStr">
        <is>
          <t xml:space="preserve">
# HYPERBILIRUBINEMIA: direct&gt;indirect with elevated alk phos,
however no evidence of obstruction on US.</t>
        </is>
      </c>
    </row>
    <row r="1271">
      <c r="A1271" t="inlineStr">
        <is>
          <t>50371-hospital-course-4-0</t>
        </is>
      </c>
      <c r="B1271" t="inlineStr"/>
      <c r="C1271" t="inlineStr"/>
      <c r="D1271">
        <f>HYPERLINK("http://nlpdeep.cs.uic.edu:8080/proofing/gsii/50371-hospital-course-4-0.pdf","gsii/50371-hospital-course-4-0.pdf")</f>
        <v/>
      </c>
      <c r="E1271" t="n">
        <v>119960</v>
      </c>
      <c r="F1271" t="n">
        <v>50371</v>
      </c>
      <c r="G1271" t="inlineStr">
        <is>
          <t>Discharge summary</t>
        </is>
      </c>
      <c r="H1271" t="inlineStr">
        <is>
          <t>hospital-course</t>
        </is>
      </c>
      <c r="I1271" t="inlineStr">
        <is>
          <t xml:space="preserve">
# HYPERBILIRUBINEMIA: direct&gt;indirect with elevated alk phos,
however no evidence of obstruction on US.</t>
        </is>
      </c>
    </row>
    <row r="1272">
      <c r="A1272" t="inlineStr">
        <is>
          <t>50371-hospital-course-4-1</t>
        </is>
      </c>
      <c r="B1272" t="inlineStr"/>
      <c r="C1272" t="inlineStr"/>
      <c r="D1272">
        <f>HYPERLINK("http://nlpdeep.cs.uic.edu:8080/proofing/t5/50371-hospital-course-4-1.pdf","t5/50371-hospital-course-4-1.pdf")</f>
        <v/>
      </c>
      <c r="E1272" t="n">
        <v>119960</v>
      </c>
      <c r="F1272" t="n">
        <v>50371</v>
      </c>
      <c r="G1272" t="inlineStr">
        <is>
          <t>Discharge summary</t>
        </is>
      </c>
      <c r="H1272" t="inlineStr">
        <is>
          <t>hospital-course</t>
        </is>
      </c>
      <c r="I1272" t="inlineStr">
        <is>
          <t xml:space="preserve"> Pt was seen by liver
consult team who thought that it may be effect of vancomycin,
however recommended continuing the medication for tx of cdiff.</t>
        </is>
      </c>
    </row>
    <row r="1273">
      <c r="A1273" t="inlineStr">
        <is>
          <t>50371-hospital-course-4-1</t>
        </is>
      </c>
      <c r="B1273" t="inlineStr"/>
      <c r="C1273" t="inlineStr"/>
      <c r="D1273">
        <f>HYPERLINK("http://nlpdeep.cs.uic.edu:8080/proofing/gsii/50371-hospital-course-4-1.pdf","gsii/50371-hospital-course-4-1.pdf")</f>
        <v/>
      </c>
      <c r="E1273" t="n">
        <v>119960</v>
      </c>
      <c r="F1273" t="n">
        <v>50371</v>
      </c>
      <c r="G1273" t="inlineStr">
        <is>
          <t>Discharge summary</t>
        </is>
      </c>
      <c r="H1273" t="inlineStr">
        <is>
          <t>hospital-course</t>
        </is>
      </c>
      <c r="I1273" t="inlineStr">
        <is>
          <t xml:space="preserve"> Pt was seen by liver
consult team who thought that it may be effect of vancomycin,
however recommended continuing the medication for tx of cdiff.</t>
        </is>
      </c>
    </row>
    <row r="1274">
      <c r="A1274" t="inlineStr">
        <is>
          <t>50371-hospital-course-4-2</t>
        </is>
      </c>
      <c r="B1274" t="inlineStr"/>
      <c r="C1274" t="inlineStr"/>
      <c r="D1274">
        <f>HYPERLINK("http://nlpdeep.cs.uic.edu:8080/proofing/t5/50371-hospital-course-4-2.pdf","t5/50371-hospital-course-4-2.pdf")</f>
        <v/>
      </c>
      <c r="E1274" t="n">
        <v>119960</v>
      </c>
      <c r="F1274" t="n">
        <v>50371</v>
      </c>
      <c r="G1274" t="inlineStr">
        <is>
          <t>Discharge summary</t>
        </is>
      </c>
      <c r="H1274" t="inlineStr">
        <is>
          <t>hospital-course</t>
        </is>
      </c>
      <c r="I1274" t="inlineStr">
        <is>
          <t xml:space="preserve">
F/u liver tests ordered, including autoimmune serologies,
hepatitis serologies, iron studies, which will requrie f/u on
discharge.</t>
        </is>
      </c>
    </row>
    <row r="1275">
      <c r="A1275" t="inlineStr">
        <is>
          <t>50371-hospital-course-4-2</t>
        </is>
      </c>
      <c r="B1275" t="inlineStr"/>
      <c r="C1275" t="inlineStr"/>
      <c r="D1275">
        <f>HYPERLINK("http://nlpdeep.cs.uic.edu:8080/proofing/gsii/50371-hospital-course-4-2.pdf","gsii/50371-hospital-course-4-2.pdf")</f>
        <v/>
      </c>
      <c r="E1275" t="n">
        <v>119960</v>
      </c>
      <c r="F1275" t="n">
        <v>50371</v>
      </c>
      <c r="G1275" t="inlineStr">
        <is>
          <t>Discharge summary</t>
        </is>
      </c>
      <c r="H1275" t="inlineStr">
        <is>
          <t>hospital-course</t>
        </is>
      </c>
      <c r="I1275" t="inlineStr">
        <is>
          <t xml:space="preserve">
F/u liver tests ordered, including autoimmune serologies,
hepatitis serologies, iron studies, which will requrie f/u on
discharge.</t>
        </is>
      </c>
    </row>
    <row r="1276">
      <c r="A1276" t="inlineStr">
        <is>
          <t>50371-hospital-course-4-3</t>
        </is>
      </c>
      <c r="B1276" t="inlineStr"/>
      <c r="C1276" t="inlineStr"/>
      <c r="D1276">
        <f>HYPERLINK("http://nlpdeep.cs.uic.edu:8080/proofing/t5/50371-hospital-course-4-3.pdf","t5/50371-hospital-course-4-3.pdf")</f>
        <v/>
      </c>
      <c r="E1276" t="n">
        <v>119960</v>
      </c>
      <c r="F1276" t="n">
        <v>50371</v>
      </c>
      <c r="G1276" t="inlineStr">
        <is>
          <t>Discharge summary</t>
        </is>
      </c>
      <c r="H1276" t="inlineStr">
        <is>
          <t>hospital-course</t>
        </is>
      </c>
      <c r="I1276" t="inlineStr">
        <is>
          <t xml:space="preserve"> Pt has scheduled follow up with liver clinic on
discharge.</t>
        </is>
      </c>
    </row>
    <row r="1277">
      <c r="A1277" t="inlineStr">
        <is>
          <t>50371-hospital-course-4-3</t>
        </is>
      </c>
      <c r="B1277" t="inlineStr"/>
      <c r="C1277" t="inlineStr"/>
      <c r="D1277">
        <f>HYPERLINK("http://nlpdeep.cs.uic.edu:8080/proofing/gsii/50371-hospital-course-4-3.pdf","gsii/50371-hospital-course-4-3.pdf")</f>
        <v/>
      </c>
      <c r="E1277" t="n">
        <v>119960</v>
      </c>
      <c r="F1277" t="n">
        <v>50371</v>
      </c>
      <c r="G1277" t="inlineStr">
        <is>
          <t>Discharge summary</t>
        </is>
      </c>
      <c r="H1277" t="inlineStr">
        <is>
          <t>hospital-course</t>
        </is>
      </c>
      <c r="I1277" t="inlineStr">
        <is>
          <t xml:space="preserve"> Pt has scheduled follow up with liver clinic on
discharge.</t>
        </is>
      </c>
    </row>
    <row r="1278">
      <c r="A1278" t="inlineStr">
        <is>
          <t>50371-hospital-course-5-0</t>
        </is>
      </c>
      <c r="B1278" t="inlineStr"/>
      <c r="C1278" t="inlineStr"/>
      <c r="D1278">
        <f>HYPERLINK("http://nlpdeep.cs.uic.edu:8080/proofing/t5/50371-hospital-course-5-0.pdf","t5/50371-hospital-course-5-0.pdf")</f>
        <v/>
      </c>
      <c r="E1278" t="n">
        <v>119960</v>
      </c>
      <c r="F1278" t="n">
        <v>50371</v>
      </c>
      <c r="G1278" t="inlineStr">
        <is>
          <t>Discharge summary</t>
        </is>
      </c>
      <c r="H1278" t="inlineStr">
        <is>
          <t>hospital-course</t>
        </is>
      </c>
      <c r="I1278" t="inlineStr">
        <is>
          <t xml:space="preserve">
# LEFT ARM/SHOULDER PAIN:  Patient may have injured LUE during
fall ?????? he landed on his left side, but is unable to recall
whether he had pain in his arm at that time.</t>
        </is>
      </c>
    </row>
    <row r="1279">
      <c r="A1279" t="inlineStr">
        <is>
          <t>50371-hospital-course-5-0</t>
        </is>
      </c>
      <c r="B1279" t="inlineStr"/>
      <c r="C1279" t="inlineStr"/>
      <c r="D1279">
        <f>HYPERLINK("http://nlpdeep.cs.uic.edu:8080/proofing/gsii/50371-hospital-course-5-0.pdf","gsii/50371-hospital-course-5-0.pdf")</f>
        <v/>
      </c>
      <c r="E1279" t="n">
        <v>119960</v>
      </c>
      <c r="F1279" t="n">
        <v>50371</v>
      </c>
      <c r="G1279" t="inlineStr">
        <is>
          <t>Discharge summary</t>
        </is>
      </c>
      <c r="H1279" t="inlineStr">
        <is>
          <t>hospital-course</t>
        </is>
      </c>
      <c r="I1279" t="inlineStr">
        <is>
          <t xml:space="preserve">
# LEFT ARM/SHOULDER PAIN:  Patient may have injured LUE during
fall ?????? he landed on his left side, but is unable to recall
whether he had pain in his arm at that time.</t>
        </is>
      </c>
    </row>
    <row r="1280">
      <c r="A1280" t="inlineStr">
        <is>
          <t>50371-hospital-course-5-1</t>
        </is>
      </c>
      <c r="B1280" t="inlineStr"/>
      <c r="C1280" t="inlineStr"/>
      <c r="D1280">
        <f>HYPERLINK("http://nlpdeep.cs.uic.edu:8080/proofing/t5/50371-hospital-course-5-1.pdf","t5/50371-hospital-course-5-1.pdf")</f>
        <v/>
      </c>
      <c r="E1280" t="n">
        <v>119960</v>
      </c>
      <c r="F1280" t="n">
        <v>50371</v>
      </c>
      <c r="G1280" t="inlineStr">
        <is>
          <t>Discharge summary</t>
        </is>
      </c>
      <c r="H1280" t="inlineStr">
        <is>
          <t>hospital-course</t>
        </is>
      </c>
      <c r="I1280" t="inlineStr">
        <is>
          <t>Limited
internal/external rotation of L shoulder on exam.</t>
        </is>
      </c>
    </row>
    <row r="1281">
      <c r="A1281" t="inlineStr">
        <is>
          <t>50371-hospital-course-5-1</t>
        </is>
      </c>
      <c r="B1281" t="inlineStr"/>
      <c r="C1281" t="inlineStr"/>
      <c r="D1281">
        <f>HYPERLINK("http://nlpdeep.cs.uic.edu:8080/proofing/gsii/50371-hospital-course-5-1.pdf","gsii/50371-hospital-course-5-1.pdf")</f>
        <v/>
      </c>
      <c r="E1281" t="n">
        <v>119960</v>
      </c>
      <c r="F1281" t="n">
        <v>50371</v>
      </c>
      <c r="G1281" t="inlineStr">
        <is>
          <t>Discharge summary</t>
        </is>
      </c>
      <c r="H1281" t="inlineStr">
        <is>
          <t>hospital-course</t>
        </is>
      </c>
      <c r="I1281" t="inlineStr">
        <is>
          <t>Limited
internal/external rotation of L shoulder on exam.</t>
        </is>
      </c>
    </row>
    <row r="1282">
      <c r="A1282" t="inlineStr">
        <is>
          <t>50371-hospital-course-5-2</t>
        </is>
      </c>
      <c r="B1282" t="inlineStr"/>
      <c r="C1282" t="inlineStr"/>
      <c r="D1282">
        <f>HYPERLINK("http://nlpdeep.cs.uic.edu:8080/proofing/t5/50371-hospital-course-5-2.pdf","t5/50371-hospital-course-5-2.pdf")</f>
        <v/>
      </c>
      <c r="E1282" t="n">
        <v>119960</v>
      </c>
      <c r="F1282" t="n">
        <v>50371</v>
      </c>
      <c r="G1282" t="inlineStr">
        <is>
          <t>Discharge summary</t>
        </is>
      </c>
      <c r="H1282" t="inlineStr">
        <is>
          <t>hospital-course</t>
        </is>
      </c>
      <c r="I1282" t="inlineStr"/>
    </row>
    <row r="1283">
      <c r="A1283" t="inlineStr">
        <is>
          <t>50371-hospital-course-5-2</t>
        </is>
      </c>
      <c r="B1283" t="inlineStr"/>
      <c r="C1283" t="inlineStr"/>
      <c r="D1283">
        <f>HYPERLINK("http://nlpdeep.cs.uic.edu:8080/proofing/gsii/50371-hospital-course-5-2.pdf","gsii/50371-hospital-course-5-2.pdf")</f>
        <v/>
      </c>
      <c r="E1283" t="n">
        <v>119960</v>
      </c>
      <c r="F1283" t="n">
        <v>50371</v>
      </c>
      <c r="G1283" t="inlineStr">
        <is>
          <t>Discharge summary</t>
        </is>
      </c>
      <c r="H1283" t="inlineStr">
        <is>
          <t>hospital-course</t>
        </is>
      </c>
      <c r="I1283" t="inlineStr"/>
    </row>
    <row r="1284">
      <c r="A1284" t="inlineStr">
        <is>
          <t>50371-hospital-course-6-0</t>
        </is>
      </c>
      <c r="B1284" t="inlineStr"/>
      <c r="C1284" t="inlineStr"/>
      <c r="D1284">
        <f>HYPERLINK("http://nlpdeep.cs.uic.edu:8080/proofing/t5/50371-hospital-course-6-0.pdf","t5/50371-hospital-course-6-0.pdf")</f>
        <v/>
      </c>
      <c r="E1284" t="n">
        <v>119960</v>
      </c>
      <c r="F1284" t="n">
        <v>50371</v>
      </c>
      <c r="G1284" t="inlineStr">
        <is>
          <t>Discharge summary</t>
        </is>
      </c>
      <c r="H1284" t="inlineStr">
        <is>
          <t>hospital-course</t>
        </is>
      </c>
      <c r="I1284" t="inlineStr">
        <is>
          <t xml:space="preserve">
# CHF - endstage, pt followed by Dr. [**Last Name (STitle) 696**] who saw him while
in the hospital.</t>
        </is>
      </c>
    </row>
    <row r="1285">
      <c r="A1285" t="inlineStr">
        <is>
          <t>50371-hospital-course-6-0</t>
        </is>
      </c>
      <c r="B1285" t="inlineStr"/>
      <c r="C1285" t="inlineStr"/>
      <c r="D1285">
        <f>HYPERLINK("http://nlpdeep.cs.uic.edu:8080/proofing/gsii/50371-hospital-course-6-0.pdf","gsii/50371-hospital-course-6-0.pdf")</f>
        <v/>
      </c>
      <c r="E1285" t="n">
        <v>119960</v>
      </c>
      <c r="F1285" t="n">
        <v>50371</v>
      </c>
      <c r="G1285" t="inlineStr">
        <is>
          <t>Discharge summary</t>
        </is>
      </c>
      <c r="H1285" t="inlineStr">
        <is>
          <t>hospital-course</t>
        </is>
      </c>
      <c r="I1285" t="inlineStr">
        <is>
          <t xml:space="preserve">
# CHF - endstage, pt followed by Dr. [**Last Name (STitle) 696**] who saw him while
in the hospital.</t>
        </is>
      </c>
    </row>
    <row r="1286">
      <c r="A1286" t="inlineStr">
        <is>
          <t>50371-hospital-course-6-1</t>
        </is>
      </c>
      <c r="B1286" t="inlineStr"/>
      <c r="C1286" t="inlineStr"/>
      <c r="D1286">
        <f>HYPERLINK("http://nlpdeep.cs.uic.edu:8080/proofing/t5/50371-hospital-course-6-1.pdf","t5/50371-hospital-course-6-1.pdf")</f>
        <v/>
      </c>
      <c r="E1286" t="n">
        <v>119960</v>
      </c>
      <c r="F1286" t="n">
        <v>50371</v>
      </c>
      <c r="G1286" t="inlineStr">
        <is>
          <t>Discharge summary</t>
        </is>
      </c>
      <c r="H1286" t="inlineStr">
        <is>
          <t>hospital-course</t>
        </is>
      </c>
      <c r="I1286" t="inlineStr">
        <is>
          <t>Difficult to titrate meds in setting of CKD,
however no evidence of volume overload while on the medicine
floor.</t>
        </is>
      </c>
    </row>
    <row r="1287">
      <c r="A1287" t="inlineStr">
        <is>
          <t>50371-hospital-course-6-1</t>
        </is>
      </c>
      <c r="B1287" t="inlineStr"/>
      <c r="C1287" t="inlineStr"/>
      <c r="D1287">
        <f>HYPERLINK("http://nlpdeep.cs.uic.edu:8080/proofing/gsii/50371-hospital-course-6-1.pdf","gsii/50371-hospital-course-6-1.pdf")</f>
        <v/>
      </c>
      <c r="E1287" t="n">
        <v>119960</v>
      </c>
      <c r="F1287" t="n">
        <v>50371</v>
      </c>
      <c r="G1287" t="inlineStr">
        <is>
          <t>Discharge summary</t>
        </is>
      </c>
      <c r="H1287" t="inlineStr">
        <is>
          <t>hospital-course</t>
        </is>
      </c>
      <c r="I1287" t="inlineStr">
        <is>
          <t>Difficult to titrate meds in setting of CKD,
however no evidence of volume overload while on the medicine
floor.</t>
        </is>
      </c>
    </row>
    <row r="1288">
      <c r="A1288" t="inlineStr">
        <is>
          <t>50371-hospital-course-6-2</t>
        </is>
      </c>
      <c r="B1288" t="inlineStr"/>
      <c r="C1288" t="inlineStr"/>
      <c r="D1288">
        <f>HYPERLINK("http://nlpdeep.cs.uic.edu:8080/proofing/t5/50371-hospital-course-6-2.pdf","t5/50371-hospital-course-6-2.pdf")</f>
        <v/>
      </c>
      <c r="E1288" t="n">
        <v>119960</v>
      </c>
      <c r="F1288" t="n">
        <v>50371</v>
      </c>
      <c r="G1288" t="inlineStr">
        <is>
          <t>Discharge summary</t>
        </is>
      </c>
      <c r="H1288" t="inlineStr">
        <is>
          <t>hospital-course</t>
        </is>
      </c>
      <c r="I1288" t="inlineStr">
        <is>
          <t xml:space="preserve"> His diuretics were held while in the hospital and on
discharge in the setting of hypotension and renal failure,
however may need to be restarted on discharge.</t>
        </is>
      </c>
    </row>
    <row r="1289">
      <c r="A1289" t="inlineStr">
        <is>
          <t>50371-hospital-course-6-2</t>
        </is>
      </c>
      <c r="B1289" t="inlineStr"/>
      <c r="C1289" t="inlineStr"/>
      <c r="D1289">
        <f>HYPERLINK("http://nlpdeep.cs.uic.edu:8080/proofing/gsii/50371-hospital-course-6-2.pdf","gsii/50371-hospital-course-6-2.pdf")</f>
        <v/>
      </c>
      <c r="E1289" t="n">
        <v>119960</v>
      </c>
      <c r="F1289" t="n">
        <v>50371</v>
      </c>
      <c r="G1289" t="inlineStr">
        <is>
          <t>Discharge summary</t>
        </is>
      </c>
      <c r="H1289" t="inlineStr">
        <is>
          <t>hospital-course</t>
        </is>
      </c>
      <c r="I1289" t="inlineStr">
        <is>
          <t xml:space="preserve"> His diuretics were held while in the hospital and on
discharge in the setting of hypotension and renal failure,
however may need to be restarted on discharge.</t>
        </is>
      </c>
    </row>
    <row r="1290">
      <c r="A1290" t="inlineStr">
        <is>
          <t>50371-hospital-course-6-3</t>
        </is>
      </c>
      <c r="B1290" t="inlineStr"/>
      <c r="C1290" t="inlineStr"/>
      <c r="D1290">
        <f>HYPERLINK("http://nlpdeep.cs.uic.edu:8080/proofing/t5/50371-hospital-course-6-3.pdf","t5/50371-hospital-course-6-3.pdf")</f>
        <v/>
      </c>
      <c r="E1290" t="n">
        <v>119960</v>
      </c>
      <c r="F1290" t="n">
        <v>50371</v>
      </c>
      <c r="G1290" t="inlineStr">
        <is>
          <t>Discharge summary</t>
        </is>
      </c>
      <c r="H1290" t="inlineStr">
        <is>
          <t>hospital-course</t>
        </is>
      </c>
      <c r="I1290" t="inlineStr">
        <is>
          <t xml:space="preserve"> His BBlocker was
continued while in the hospital, however often was held due to
hypotension.</t>
        </is>
      </c>
    </row>
    <row r="1291">
      <c r="A1291" t="inlineStr">
        <is>
          <t>50371-hospital-course-6-3</t>
        </is>
      </c>
      <c r="B1291" t="inlineStr"/>
      <c r="C1291" t="inlineStr"/>
      <c r="D1291">
        <f>HYPERLINK("http://nlpdeep.cs.uic.edu:8080/proofing/gsii/50371-hospital-course-6-3.pdf","gsii/50371-hospital-course-6-3.pdf")</f>
        <v/>
      </c>
      <c r="E1291" t="n">
        <v>119960</v>
      </c>
      <c r="F1291" t="n">
        <v>50371</v>
      </c>
      <c r="G1291" t="inlineStr">
        <is>
          <t>Discharge summary</t>
        </is>
      </c>
      <c r="H1291" t="inlineStr">
        <is>
          <t>hospital-course</t>
        </is>
      </c>
      <c r="I1291" t="inlineStr">
        <is>
          <t xml:space="preserve"> His BBlocker was
continued while in the hospital, however often was held due to
hypotension.</t>
        </is>
      </c>
    </row>
    <row r="1292">
      <c r="A1292" t="inlineStr">
        <is>
          <t>50371-hospital-course-6-4</t>
        </is>
      </c>
      <c r="B1292" t="inlineStr"/>
      <c r="C1292" t="inlineStr"/>
      <c r="D1292">
        <f>HYPERLINK("http://nlpdeep.cs.uic.edu:8080/proofing/t5/50371-hospital-course-6-4.pdf","t5/50371-hospital-course-6-4.pdf")</f>
        <v/>
      </c>
      <c r="E1292" t="n">
        <v>119960</v>
      </c>
      <c r="F1292" t="n">
        <v>50371</v>
      </c>
      <c r="G1292" t="inlineStr">
        <is>
          <t>Discharge summary</t>
        </is>
      </c>
      <c r="H1292" t="inlineStr">
        <is>
          <t>hospital-course</t>
        </is>
      </c>
      <c r="I1292" t="inlineStr">
        <is>
          <t xml:space="preserve"> Aspirin was restarted on dc, statin held in the
setting of liver disease.</t>
        </is>
      </c>
    </row>
    <row r="1293">
      <c r="A1293" t="inlineStr">
        <is>
          <t>50371-hospital-course-6-4</t>
        </is>
      </c>
      <c r="B1293" t="inlineStr"/>
      <c r="C1293" t="inlineStr"/>
      <c r="D1293">
        <f>HYPERLINK("http://nlpdeep.cs.uic.edu:8080/proofing/gsii/50371-hospital-course-6-4.pdf","gsii/50371-hospital-course-6-4.pdf")</f>
        <v/>
      </c>
      <c r="E1293" t="n">
        <v>119960</v>
      </c>
      <c r="F1293" t="n">
        <v>50371</v>
      </c>
      <c r="G1293" t="inlineStr">
        <is>
          <t>Discharge summary</t>
        </is>
      </c>
      <c r="H1293" t="inlineStr">
        <is>
          <t>hospital-course</t>
        </is>
      </c>
      <c r="I1293" t="inlineStr">
        <is>
          <t xml:space="preserve"> Aspirin was restarted on dc, statin held in the
setting of liver disease.</t>
        </is>
      </c>
    </row>
    <row r="1294">
      <c r="A1294" t="inlineStr">
        <is>
          <t>50371-hospital-course-7-0</t>
        </is>
      </c>
      <c r="B1294" t="inlineStr"/>
      <c r="C1294" t="inlineStr"/>
      <c r="D1294">
        <f>HYPERLINK("http://nlpdeep.cs.uic.edu:8080/proofing/t5/50371-hospital-course-7-0.pdf","t5/50371-hospital-course-7-0.pdf")</f>
        <v/>
      </c>
      <c r="E1294" t="n">
        <v>119960</v>
      </c>
      <c r="F1294" t="n">
        <v>50371</v>
      </c>
      <c r="G1294" t="inlineStr">
        <is>
          <t>Discharge summary</t>
        </is>
      </c>
      <c r="H1294" t="inlineStr">
        <is>
          <t>hospital-course</t>
        </is>
      </c>
      <c r="I1294" t="inlineStr"/>
    </row>
    <row r="1295">
      <c r="A1295" t="inlineStr">
        <is>
          <t>50371-hospital-course-7-0</t>
        </is>
      </c>
      <c r="B1295" t="inlineStr"/>
      <c r="C1295" t="inlineStr"/>
      <c r="D1295">
        <f>HYPERLINK("http://nlpdeep.cs.uic.edu:8080/proofing/gsii/50371-hospital-course-7-0.pdf","gsii/50371-hospital-course-7-0.pdf")</f>
        <v/>
      </c>
      <c r="E1295" t="n">
        <v>119960</v>
      </c>
      <c r="F1295" t="n">
        <v>50371</v>
      </c>
      <c r="G1295" t="inlineStr">
        <is>
          <t>Discharge summary</t>
        </is>
      </c>
      <c r="H1295" t="inlineStr">
        <is>
          <t>hospital-course</t>
        </is>
      </c>
      <c r="I1295" t="inlineStr"/>
    </row>
    <row r="1296">
      <c r="A1296" t="inlineStr">
        <is>
          <t>50371-hospital-course-8-0</t>
        </is>
      </c>
      <c r="B1296" t="inlineStr"/>
      <c r="C1296" t="inlineStr"/>
      <c r="D1296">
        <f>HYPERLINK("http://nlpdeep.cs.uic.edu:8080/proofing/t5/50371-hospital-course-8-0.pdf","t5/50371-hospital-course-8-0.pdf")</f>
        <v/>
      </c>
      <c r="E1296" t="n">
        <v>119960</v>
      </c>
      <c r="F1296" t="n">
        <v>50371</v>
      </c>
      <c r="G1296" t="inlineStr">
        <is>
          <t>Discharge summary</t>
        </is>
      </c>
      <c r="H1296" t="inlineStr">
        <is>
          <t>hospital-course</t>
        </is>
      </c>
      <c r="I1296" t="inlineStr">
        <is>
          <t xml:space="preserve">
# RETROPERITONEAL MASS: Adrenal mass seen on CT this admission
(8x6.2 cm).</t>
        </is>
      </c>
    </row>
    <row r="1297">
      <c r="A1297" t="inlineStr">
        <is>
          <t>50371-hospital-course-8-0</t>
        </is>
      </c>
      <c r="B1297" t="inlineStr"/>
      <c r="C1297" t="inlineStr"/>
      <c r="D1297">
        <f>HYPERLINK("http://nlpdeep.cs.uic.edu:8080/proofing/gsii/50371-hospital-course-8-0.pdf","gsii/50371-hospital-course-8-0.pdf")</f>
        <v/>
      </c>
      <c r="E1297" t="n">
        <v>119960</v>
      </c>
      <c r="F1297" t="n">
        <v>50371</v>
      </c>
      <c r="G1297" t="inlineStr">
        <is>
          <t>Discharge summary</t>
        </is>
      </c>
      <c r="H1297" t="inlineStr">
        <is>
          <t>hospital-course</t>
        </is>
      </c>
      <c r="I1297" t="inlineStr">
        <is>
          <t xml:space="preserve">
# RETROPERITONEAL MASS: Adrenal mass seen on CT this admission
(8x6.2 cm).</t>
        </is>
      </c>
    </row>
    <row r="1298">
      <c r="A1298" t="inlineStr">
        <is>
          <t>50371-hospital-course-8-1</t>
        </is>
      </c>
      <c r="B1298" t="inlineStr"/>
      <c r="C1298" t="inlineStr"/>
      <c r="D1298">
        <f>HYPERLINK("http://nlpdeep.cs.uic.edu:8080/proofing/t5/50371-hospital-course-8-1.pdf","t5/50371-hospital-course-8-1.pdf")</f>
        <v/>
      </c>
      <c r="E1298" t="n">
        <v>119960</v>
      </c>
      <c r="F1298" t="n">
        <v>50371</v>
      </c>
      <c r="G1298" t="inlineStr">
        <is>
          <t>Discharge summary</t>
        </is>
      </c>
      <c r="H1298" t="inlineStr">
        <is>
          <t>hospital-course</t>
        </is>
      </c>
      <c r="I1298" t="inlineStr">
        <is>
          <t>Non-urgent adrenal MRI recommended by radiology for
further characterization.</t>
        </is>
      </c>
    </row>
    <row r="1299">
      <c r="A1299" t="inlineStr">
        <is>
          <t>50371-hospital-course-8-1</t>
        </is>
      </c>
      <c r="B1299" t="inlineStr"/>
      <c r="C1299" t="inlineStr"/>
      <c r="D1299">
        <f>HYPERLINK("http://nlpdeep.cs.uic.edu:8080/proofing/gsii/50371-hospital-course-8-1.pdf","gsii/50371-hospital-course-8-1.pdf")</f>
        <v/>
      </c>
      <c r="E1299" t="n">
        <v>119960</v>
      </c>
      <c r="F1299" t="n">
        <v>50371</v>
      </c>
      <c r="G1299" t="inlineStr">
        <is>
          <t>Discharge summary</t>
        </is>
      </c>
      <c r="H1299" t="inlineStr">
        <is>
          <t>hospital-course</t>
        </is>
      </c>
      <c r="I1299" t="inlineStr">
        <is>
          <t>Non-urgent adrenal MRI recommended by radiology for
further characterization.</t>
        </is>
      </c>
    </row>
    <row r="1300">
      <c r="A1300" t="inlineStr">
        <is>
          <t>50371-hospital-course-8-2</t>
        </is>
      </c>
      <c r="B1300" t="inlineStr"/>
      <c r="C1300" t="inlineStr"/>
      <c r="D1300">
        <f>HYPERLINK("http://nlpdeep.cs.uic.edu:8080/proofing/t5/50371-hospital-course-8-2.pdf","t5/50371-hospital-course-8-2.pdf")</f>
        <v/>
      </c>
      <c r="E1300" t="n">
        <v>119960</v>
      </c>
      <c r="F1300" t="n">
        <v>50371</v>
      </c>
      <c r="G1300" t="inlineStr">
        <is>
          <t>Discharge summary</t>
        </is>
      </c>
      <c r="H1300" t="inlineStr">
        <is>
          <t>hospital-course</t>
        </is>
      </c>
      <c r="I1300" t="inlineStr">
        <is>
          <t>Not evident on prior MRI [**2-7**], but
"Large but poorly assessed hypoechoic area (4 cm) in the region
of the left upper pole, for which differential considerations
include an adrenal or renal mass, or a renal cyst" seen on
abdominal ultrasound [**1-8**].</t>
        </is>
      </c>
    </row>
    <row r="1301">
      <c r="A1301" t="inlineStr">
        <is>
          <t>50371-hospital-course-8-2</t>
        </is>
      </c>
      <c r="B1301" t="inlineStr"/>
      <c r="C1301" t="inlineStr"/>
      <c r="D1301">
        <f>HYPERLINK("http://nlpdeep.cs.uic.edu:8080/proofing/gsii/50371-hospital-course-8-2.pdf","gsii/50371-hospital-course-8-2.pdf")</f>
        <v/>
      </c>
      <c r="E1301" t="n">
        <v>119960</v>
      </c>
      <c r="F1301" t="n">
        <v>50371</v>
      </c>
      <c r="G1301" t="inlineStr">
        <is>
          <t>Discharge summary</t>
        </is>
      </c>
      <c r="H1301" t="inlineStr">
        <is>
          <t>hospital-course</t>
        </is>
      </c>
      <c r="I1301" t="inlineStr">
        <is>
          <t>Not evident on prior MRI [**2-7**], but
"Large but poorly assessed hypoechoic area (4 cm) in the region
of the left upper pole, for which differential considerations
include an adrenal or renal mass, or a renal cyst" seen on
abdominal ultrasound [**1-8**].</t>
        </is>
      </c>
    </row>
    <row r="1302">
      <c r="A1302" t="inlineStr">
        <is>
          <t>50371-hospital-course-8-3</t>
        </is>
      </c>
      <c r="B1302" t="inlineStr"/>
      <c r="C1302" t="inlineStr"/>
      <c r="D1302">
        <f>HYPERLINK("http://nlpdeep.cs.uic.edu:8080/proofing/t5/50371-hospital-course-8-3.pdf","t5/50371-hospital-course-8-3.pdf")</f>
        <v/>
      </c>
      <c r="E1302" t="n">
        <v>119960</v>
      </c>
      <c r="F1302" t="n">
        <v>50371</v>
      </c>
      <c r="G1302" t="inlineStr">
        <is>
          <t>Discharge summary</t>
        </is>
      </c>
      <c r="H1302" t="inlineStr">
        <is>
          <t>hospital-course</t>
        </is>
      </c>
      <c r="I1302" t="inlineStr">
        <is>
          <t>Cortisol wnl.</t>
        </is>
      </c>
    </row>
    <row r="1303">
      <c r="A1303" t="inlineStr">
        <is>
          <t>50371-hospital-course-8-3</t>
        </is>
      </c>
      <c r="B1303" t="inlineStr"/>
      <c r="C1303" t="inlineStr"/>
      <c r="D1303">
        <f>HYPERLINK("http://nlpdeep.cs.uic.edu:8080/proofing/gsii/50371-hospital-course-8-3.pdf","gsii/50371-hospital-course-8-3.pdf")</f>
        <v/>
      </c>
      <c r="E1303" t="n">
        <v>119960</v>
      </c>
      <c r="F1303" t="n">
        <v>50371</v>
      </c>
      <c r="G1303" t="inlineStr">
        <is>
          <t>Discharge summary</t>
        </is>
      </c>
      <c r="H1303" t="inlineStr">
        <is>
          <t>hospital-course</t>
        </is>
      </c>
      <c r="I1303" t="inlineStr">
        <is>
          <t>Cortisol wnl.</t>
        </is>
      </c>
    </row>
    <row r="1304">
      <c r="A1304" t="inlineStr">
        <is>
          <t>50371-hospital-course-8-4</t>
        </is>
      </c>
      <c r="B1304" t="inlineStr"/>
      <c r="C1304" t="inlineStr"/>
      <c r="D1304">
        <f>HYPERLINK("http://nlpdeep.cs.uic.edu:8080/proofing/t5/50371-hospital-course-8-4.pdf","t5/50371-hospital-course-8-4.pdf")</f>
        <v/>
      </c>
      <c r="E1304" t="n">
        <v>119960</v>
      </c>
      <c r="F1304" t="n">
        <v>50371</v>
      </c>
      <c r="G1304" t="inlineStr">
        <is>
          <t>Discharge summary</t>
        </is>
      </c>
      <c r="H1304" t="inlineStr">
        <is>
          <t>hospital-course</t>
        </is>
      </c>
      <c r="I1304" t="inlineStr">
        <is>
          <t>Pt will require
non-urgent MRI as an outpt.</t>
        </is>
      </c>
    </row>
    <row r="1305">
      <c r="A1305" t="inlineStr">
        <is>
          <t>50371-hospital-course-8-4</t>
        </is>
      </c>
      <c r="B1305" t="inlineStr"/>
      <c r="C1305" t="inlineStr"/>
      <c r="D1305">
        <f>HYPERLINK("http://nlpdeep.cs.uic.edu:8080/proofing/gsii/50371-hospital-course-8-4.pdf","gsii/50371-hospital-course-8-4.pdf")</f>
        <v/>
      </c>
      <c r="E1305" t="n">
        <v>119960</v>
      </c>
      <c r="F1305" t="n">
        <v>50371</v>
      </c>
      <c r="G1305" t="inlineStr">
        <is>
          <t>Discharge summary</t>
        </is>
      </c>
      <c r="H1305" t="inlineStr">
        <is>
          <t>hospital-course</t>
        </is>
      </c>
      <c r="I1305" t="inlineStr">
        <is>
          <t>Pt will require
non-urgent MRI as an outpt.</t>
        </is>
      </c>
    </row>
    <row r="1306">
      <c r="A1306" t="inlineStr">
        <is>
          <t>50371-hospital-course-9-0</t>
        </is>
      </c>
      <c r="B1306" t="inlineStr"/>
      <c r="C1306" t="inlineStr"/>
      <c r="D1306">
        <f>HYPERLINK("http://nlpdeep.cs.uic.edu:8080/proofing/t5/50371-hospital-course-9-0.pdf","t5/50371-hospital-course-9-0.pdf")</f>
        <v/>
      </c>
      <c r="E1306" t="n">
        <v>119960</v>
      </c>
      <c r="F1306" t="n">
        <v>50371</v>
      </c>
      <c r="G1306" t="inlineStr">
        <is>
          <t>Discharge summary</t>
        </is>
      </c>
      <c r="H1306" t="inlineStr">
        <is>
          <t>hospital-course</t>
        </is>
      </c>
      <c r="I1306" t="inlineStr">
        <is>
          <t xml:space="preserve">
# POSSIBLE PNEUMONIA.</t>
        </is>
      </c>
    </row>
    <row r="1307">
      <c r="A1307" t="inlineStr">
        <is>
          <t>50371-hospital-course-9-0</t>
        </is>
      </c>
      <c r="B1307" t="inlineStr"/>
      <c r="C1307" t="inlineStr"/>
      <c r="D1307">
        <f>HYPERLINK("http://nlpdeep.cs.uic.edu:8080/proofing/gsii/50371-hospital-course-9-0.pdf","gsii/50371-hospital-course-9-0.pdf")</f>
        <v/>
      </c>
      <c r="E1307" t="n">
        <v>119960</v>
      </c>
      <c r="F1307" t="n">
        <v>50371</v>
      </c>
      <c r="G1307" t="inlineStr">
        <is>
          <t>Discharge summary</t>
        </is>
      </c>
      <c r="H1307" t="inlineStr">
        <is>
          <t>hospital-course</t>
        </is>
      </c>
      <c r="I1307" t="inlineStr">
        <is>
          <t xml:space="preserve">
# POSSIBLE PNEUMONIA.</t>
        </is>
      </c>
    </row>
    <row r="1308">
      <c r="A1308" t="inlineStr">
        <is>
          <t>50371-hospital-course-9-1</t>
        </is>
      </c>
      <c r="B1308" t="inlineStr"/>
      <c r="C1308" t="inlineStr"/>
      <c r="D1308">
        <f>HYPERLINK("http://nlpdeep.cs.uic.edu:8080/proofing/t5/50371-hospital-course-9-1.pdf","t5/50371-hospital-course-9-1.pdf")</f>
        <v/>
      </c>
      <c r="E1308" t="n">
        <v>119960</v>
      </c>
      <c r="F1308" t="n">
        <v>50371</v>
      </c>
      <c r="G1308" t="inlineStr">
        <is>
          <t>Discharge summary</t>
        </is>
      </c>
      <c r="H1308" t="inlineStr">
        <is>
          <t>hospital-course</t>
        </is>
      </c>
      <c r="I1308" t="inlineStr">
        <is>
          <t>Initial CXR concerning for retrocardiac
opacity.</t>
        </is>
      </c>
    </row>
    <row r="1309">
      <c r="A1309" t="inlineStr">
        <is>
          <t>50371-hospital-course-9-1</t>
        </is>
      </c>
      <c r="B1309" t="inlineStr"/>
      <c r="C1309" t="inlineStr"/>
      <c r="D1309">
        <f>HYPERLINK("http://nlpdeep.cs.uic.edu:8080/proofing/gsii/50371-hospital-course-9-1.pdf","gsii/50371-hospital-course-9-1.pdf")</f>
        <v/>
      </c>
      <c r="E1309" t="n">
        <v>119960</v>
      </c>
      <c r="F1309" t="n">
        <v>50371</v>
      </c>
      <c r="G1309" t="inlineStr">
        <is>
          <t>Discharge summary</t>
        </is>
      </c>
      <c r="H1309" t="inlineStr">
        <is>
          <t>hospital-course</t>
        </is>
      </c>
      <c r="I1309" t="inlineStr">
        <is>
          <t>Initial CXR concerning for retrocardiac
opacity.</t>
        </is>
      </c>
    </row>
    <row r="1310">
      <c r="A1310" t="inlineStr">
        <is>
          <t>50371-hospital-course-9-2</t>
        </is>
      </c>
      <c r="B1310" t="inlineStr"/>
      <c r="C1310" t="inlineStr"/>
      <c r="D1310">
        <f>HYPERLINK("http://nlpdeep.cs.uic.edu:8080/proofing/t5/50371-hospital-course-9-2.pdf","t5/50371-hospital-course-9-2.pdf")</f>
        <v/>
      </c>
      <c r="E1310" t="n">
        <v>119960</v>
      </c>
      <c r="F1310" t="n">
        <v>50371</v>
      </c>
      <c r="G1310" t="inlineStr">
        <is>
          <t>Discharge summary</t>
        </is>
      </c>
      <c r="H1310" t="inlineStr">
        <is>
          <t>hospital-course</t>
        </is>
      </c>
      <c r="I1310" t="inlineStr">
        <is>
          <t>Pt received levofloxacin in ED.</t>
        </is>
      </c>
    </row>
    <row r="1311">
      <c r="A1311" t="inlineStr">
        <is>
          <t>50371-hospital-course-9-2</t>
        </is>
      </c>
      <c r="B1311" t="inlineStr"/>
      <c r="C1311" t="inlineStr"/>
      <c r="D1311">
        <f>HYPERLINK("http://nlpdeep.cs.uic.edu:8080/proofing/gsii/50371-hospital-course-9-2.pdf","gsii/50371-hospital-course-9-2.pdf")</f>
        <v/>
      </c>
      <c r="E1311" t="n">
        <v>119960</v>
      </c>
      <c r="F1311" t="n">
        <v>50371</v>
      </c>
      <c r="G1311" t="inlineStr">
        <is>
          <t>Discharge summary</t>
        </is>
      </c>
      <c r="H1311" t="inlineStr">
        <is>
          <t>hospital-course</t>
        </is>
      </c>
      <c r="I1311" t="inlineStr">
        <is>
          <t>Pt received levofloxacin in ED.</t>
        </is>
      </c>
    </row>
    <row r="1312">
      <c r="A1312" t="inlineStr">
        <is>
          <t>50371-hospital-course-9-3</t>
        </is>
      </c>
      <c r="B1312" t="inlineStr"/>
      <c r="C1312" t="inlineStr"/>
      <c r="D1312">
        <f>HYPERLINK("http://nlpdeep.cs.uic.edu:8080/proofing/t5/50371-hospital-course-9-3.pdf","t5/50371-hospital-course-9-3.pdf")</f>
        <v/>
      </c>
      <c r="E1312" t="n">
        <v>119960</v>
      </c>
      <c r="F1312" t="n">
        <v>50371</v>
      </c>
      <c r="G1312" t="inlineStr">
        <is>
          <t>Discharge summary</t>
        </is>
      </c>
      <c r="H1312" t="inlineStr">
        <is>
          <t>hospital-course</t>
        </is>
      </c>
      <c r="I1312" t="inlineStr">
        <is>
          <t>No WBC, no respiratory
symptoms, therefore further abx were held and pt remained stable
with no further respiratory complaints.</t>
        </is>
      </c>
    </row>
    <row r="1313">
      <c r="A1313" t="inlineStr">
        <is>
          <t>50371-hospital-course-9-3</t>
        </is>
      </c>
      <c r="B1313" t="inlineStr"/>
      <c r="C1313" t="inlineStr"/>
      <c r="D1313">
        <f>HYPERLINK("http://nlpdeep.cs.uic.edu:8080/proofing/gsii/50371-hospital-course-9-3.pdf","gsii/50371-hospital-course-9-3.pdf")</f>
        <v/>
      </c>
      <c r="E1313" t="n">
        <v>119960</v>
      </c>
      <c r="F1313" t="n">
        <v>50371</v>
      </c>
      <c r="G1313" t="inlineStr">
        <is>
          <t>Discharge summary</t>
        </is>
      </c>
      <c r="H1313" t="inlineStr">
        <is>
          <t>hospital-course</t>
        </is>
      </c>
      <c r="I1313" t="inlineStr">
        <is>
          <t>No WBC, no respiratory
symptoms, therefore further abx were held and pt remained stable
with no further respiratory complaints.</t>
        </is>
      </c>
    </row>
    <row r="1314">
      <c r="A1314" t="inlineStr">
        <is>
          <t>50371-hospital-course-9-4</t>
        </is>
      </c>
      <c r="B1314" t="inlineStr"/>
      <c r="C1314" t="inlineStr"/>
      <c r="D1314">
        <f>HYPERLINK("http://nlpdeep.cs.uic.edu:8080/proofing/t5/50371-hospital-course-9-4.pdf","t5/50371-hospital-course-9-4.pdf")</f>
        <v/>
      </c>
      <c r="E1314" t="n">
        <v>119960</v>
      </c>
      <c r="F1314" t="n">
        <v>50371</v>
      </c>
      <c r="G1314" t="inlineStr">
        <is>
          <t>Discharge summary</t>
        </is>
      </c>
      <c r="H1314" t="inlineStr">
        <is>
          <t>hospital-course</t>
        </is>
      </c>
      <c r="I1314" t="inlineStr">
        <is>
          <t xml:space="preserve"> Legionella was
negative.</t>
        </is>
      </c>
    </row>
    <row r="1315">
      <c r="A1315" t="inlineStr">
        <is>
          <t>50371-hospital-course-9-4</t>
        </is>
      </c>
      <c r="B1315" t="inlineStr"/>
      <c r="C1315" t="inlineStr"/>
      <c r="D1315">
        <f>HYPERLINK("http://nlpdeep.cs.uic.edu:8080/proofing/gsii/50371-hospital-course-9-4.pdf","gsii/50371-hospital-course-9-4.pdf")</f>
        <v/>
      </c>
      <c r="E1315" t="n">
        <v>119960</v>
      </c>
      <c r="F1315" t="n">
        <v>50371</v>
      </c>
      <c r="G1315" t="inlineStr">
        <is>
          <t>Discharge summary</t>
        </is>
      </c>
      <c r="H1315" t="inlineStr">
        <is>
          <t>hospital-course</t>
        </is>
      </c>
      <c r="I1315" t="inlineStr">
        <is>
          <t xml:space="preserve"> Legionella was
negative.</t>
        </is>
      </c>
    </row>
    <row r="1316">
      <c r="A1316" t="inlineStr">
        <is>
          <t>50371-hospital-course-9-5</t>
        </is>
      </c>
      <c r="B1316" t="inlineStr"/>
      <c r="C1316" t="inlineStr"/>
      <c r="D1316">
        <f>HYPERLINK("http://nlpdeep.cs.uic.edu:8080/proofing/t5/50371-hospital-course-9-5.pdf","t5/50371-hospital-course-9-5.pdf")</f>
        <v/>
      </c>
      <c r="E1316" t="n">
        <v>119960</v>
      </c>
      <c r="F1316" t="n">
        <v>50371</v>
      </c>
      <c r="G1316" t="inlineStr">
        <is>
          <t>Discharge summary</t>
        </is>
      </c>
      <c r="H1316" t="inlineStr">
        <is>
          <t>hospital-course</t>
        </is>
      </c>
      <c r="I1316" t="inlineStr">
        <is>
          <t xml:space="preserve"> He was treated symptomatically with nebs.</t>
        </is>
      </c>
    </row>
    <row r="1317">
      <c r="A1317" t="inlineStr">
        <is>
          <t>50371-hospital-course-9-5</t>
        </is>
      </c>
      <c r="B1317" t="inlineStr"/>
      <c r="C1317" t="inlineStr"/>
      <c r="D1317">
        <f>HYPERLINK("http://nlpdeep.cs.uic.edu:8080/proofing/gsii/50371-hospital-course-9-5.pdf","gsii/50371-hospital-course-9-5.pdf")</f>
        <v/>
      </c>
      <c r="E1317" t="n">
        <v>119960</v>
      </c>
      <c r="F1317" t="n">
        <v>50371</v>
      </c>
      <c r="G1317" t="inlineStr">
        <is>
          <t>Discharge summary</t>
        </is>
      </c>
      <c r="H1317" t="inlineStr">
        <is>
          <t>hospital-course</t>
        </is>
      </c>
      <c r="I1317" t="inlineStr">
        <is>
          <t xml:space="preserve"> He was treated symptomatically with nebs.</t>
        </is>
      </c>
    </row>
    <row r="1318">
      <c r="A1318" t="inlineStr">
        <is>
          <t>50371-hospital-course-10-0</t>
        </is>
      </c>
      <c r="B1318" t="inlineStr"/>
      <c r="C1318" t="inlineStr"/>
      <c r="D1318">
        <f>HYPERLINK("http://nlpdeep.cs.uic.edu:8080/proofing/t5/50371-hospital-course-10-0.pdf","t5/50371-hospital-course-10-0.pdf")</f>
        <v/>
      </c>
      <c r="E1318" t="n">
        <v>119960</v>
      </c>
      <c r="F1318" t="n">
        <v>50371</v>
      </c>
      <c r="G1318" t="inlineStr">
        <is>
          <t>Discharge summary</t>
        </is>
      </c>
      <c r="H1318" t="inlineStr">
        <is>
          <t>hospital-course</t>
        </is>
      </c>
      <c r="I1318" t="inlineStr">
        <is>
          <t xml:space="preserve">
# THROMBOCYTOPENIA.</t>
        </is>
      </c>
    </row>
    <row r="1319">
      <c r="A1319" t="inlineStr">
        <is>
          <t>50371-hospital-course-10-0</t>
        </is>
      </c>
      <c r="B1319" t="inlineStr"/>
      <c r="C1319" t="inlineStr"/>
      <c r="D1319">
        <f>HYPERLINK("http://nlpdeep.cs.uic.edu:8080/proofing/gsii/50371-hospital-course-10-0.pdf","gsii/50371-hospital-course-10-0.pdf")</f>
        <v/>
      </c>
      <c r="E1319" t="n">
        <v>119960</v>
      </c>
      <c r="F1319" t="n">
        <v>50371</v>
      </c>
      <c r="G1319" t="inlineStr">
        <is>
          <t>Discharge summary</t>
        </is>
      </c>
      <c r="H1319" t="inlineStr">
        <is>
          <t>hospital-course</t>
        </is>
      </c>
      <c r="I1319" t="inlineStr">
        <is>
          <t xml:space="preserve">
# THROMBOCYTOPENIA.</t>
        </is>
      </c>
    </row>
    <row r="1320">
      <c r="A1320" t="inlineStr">
        <is>
          <t>50371-hospital-course-10-1</t>
        </is>
      </c>
      <c r="B1320" t="inlineStr"/>
      <c r="C1320" t="inlineStr"/>
      <c r="D1320">
        <f>HYPERLINK("http://nlpdeep.cs.uic.edu:8080/proofing/t5/50371-hospital-course-10-1.pdf","t5/50371-hospital-course-10-1.pdf")</f>
        <v/>
      </c>
      <c r="E1320" t="n">
        <v>119960</v>
      </c>
      <c r="F1320" t="n">
        <v>50371</v>
      </c>
      <c r="G1320" t="inlineStr">
        <is>
          <t>Discharge summary</t>
        </is>
      </c>
      <c r="H1320" t="inlineStr">
        <is>
          <t>hospital-course</t>
        </is>
      </c>
      <c r="I1320" t="inlineStr">
        <is>
          <t>Had pancytopenia at prior admission,
normalized during admission.</t>
        </is>
      </c>
    </row>
    <row r="1321">
      <c r="A1321" t="inlineStr">
        <is>
          <t>50371-hospital-course-10-1</t>
        </is>
      </c>
      <c r="B1321" t="inlineStr"/>
      <c r="C1321" t="inlineStr"/>
      <c r="D1321">
        <f>HYPERLINK("http://nlpdeep.cs.uic.edu:8080/proofing/gsii/50371-hospital-course-10-1.pdf","gsii/50371-hospital-course-10-1.pdf")</f>
        <v/>
      </c>
      <c r="E1321" t="n">
        <v>119960</v>
      </c>
      <c r="F1321" t="n">
        <v>50371</v>
      </c>
      <c r="G1321" t="inlineStr">
        <is>
          <t>Discharge summary</t>
        </is>
      </c>
      <c r="H1321" t="inlineStr">
        <is>
          <t>hospital-course</t>
        </is>
      </c>
      <c r="I1321" t="inlineStr">
        <is>
          <t>Had pancytopenia at prior admission,
normalized during admission.</t>
        </is>
      </c>
    </row>
    <row r="1322">
      <c r="A1322" t="inlineStr">
        <is>
          <t>50371-hospital-course-10-2</t>
        </is>
      </c>
      <c r="B1322" t="inlineStr"/>
      <c r="C1322" t="inlineStr"/>
      <c r="D1322">
        <f>HYPERLINK("http://nlpdeep.cs.uic.edu:8080/proofing/t5/50371-hospital-course-10-2.pdf","t5/50371-hospital-course-10-2.pdf")</f>
        <v/>
      </c>
      <c r="E1322" t="n">
        <v>119960</v>
      </c>
      <c r="F1322" t="n">
        <v>50371</v>
      </c>
      <c r="G1322" t="inlineStr">
        <is>
          <t>Discharge summary</t>
        </is>
      </c>
      <c r="H1322" t="inlineStr">
        <is>
          <t>hospital-course</t>
        </is>
      </c>
      <c r="I1322" t="inlineStr">
        <is>
          <t>HIT ruled out, but heparin products
avoided because initial GP4 antibody positive (Serotonin assay
negative).</t>
        </is>
      </c>
    </row>
    <row r="1323">
      <c r="A1323" t="inlineStr">
        <is>
          <t>50371-hospital-course-10-2</t>
        </is>
      </c>
      <c r="B1323" t="inlineStr"/>
      <c r="C1323" t="inlineStr"/>
      <c r="D1323">
        <f>HYPERLINK("http://nlpdeep.cs.uic.edu:8080/proofing/gsii/50371-hospital-course-10-2.pdf","gsii/50371-hospital-course-10-2.pdf")</f>
        <v/>
      </c>
      <c r="E1323" t="n">
        <v>119960</v>
      </c>
      <c r="F1323" t="n">
        <v>50371</v>
      </c>
      <c r="G1323" t="inlineStr">
        <is>
          <t>Discharge summary</t>
        </is>
      </c>
      <c r="H1323" t="inlineStr">
        <is>
          <t>hospital-course</t>
        </is>
      </c>
      <c r="I1323" t="inlineStr">
        <is>
          <t>HIT ruled out, but heparin products
avoided because initial GP4 antibody positive (Serotonin assay
negative).</t>
        </is>
      </c>
    </row>
    <row r="1324">
      <c r="A1324" t="inlineStr">
        <is>
          <t>50371-hospital-course-10-3</t>
        </is>
      </c>
      <c r="B1324" t="inlineStr"/>
      <c r="C1324" t="inlineStr"/>
      <c r="D1324">
        <f>HYPERLINK("http://nlpdeep.cs.uic.edu:8080/proofing/t5/50371-hospital-course-10-3.pdf","t5/50371-hospital-course-10-3.pdf")</f>
        <v/>
      </c>
      <c r="E1324" t="n">
        <v>119960</v>
      </c>
      <c r="F1324" t="n">
        <v>50371</v>
      </c>
      <c r="G1324" t="inlineStr">
        <is>
          <t>Discharge summary</t>
        </is>
      </c>
      <c r="H1324" t="inlineStr">
        <is>
          <t>hospital-course</t>
        </is>
      </c>
      <c r="I1324" t="inlineStr">
        <is>
          <t>DDx dilutional (most likely) vs consumptive vs
chronic disease.</t>
        </is>
      </c>
    </row>
    <row r="1325">
      <c r="A1325" t="inlineStr">
        <is>
          <t>50371-hospital-course-10-3</t>
        </is>
      </c>
      <c r="B1325" t="inlineStr"/>
      <c r="C1325" t="inlineStr"/>
      <c r="D1325">
        <f>HYPERLINK("http://nlpdeep.cs.uic.edu:8080/proofing/gsii/50371-hospital-course-10-3.pdf","gsii/50371-hospital-course-10-3.pdf")</f>
        <v/>
      </c>
      <c r="E1325" t="n">
        <v>119960</v>
      </c>
      <c r="F1325" t="n">
        <v>50371</v>
      </c>
      <c r="G1325" t="inlineStr">
        <is>
          <t>Discharge summary</t>
        </is>
      </c>
      <c r="H1325" t="inlineStr">
        <is>
          <t>hospital-course</t>
        </is>
      </c>
      <c r="I1325" t="inlineStr">
        <is>
          <t>DDx dilutional (most likely) vs consumptive vs
chronic disease.</t>
        </is>
      </c>
    </row>
    <row r="1326">
      <c r="A1326" t="inlineStr">
        <is>
          <t>50371-hospital-course-11-0</t>
        </is>
      </c>
      <c r="B1326" t="inlineStr"/>
      <c r="C1326" t="inlineStr"/>
      <c r="D1326">
        <f>HYPERLINK("http://nlpdeep.cs.uic.edu:8080/proofing/t5/50371-hospital-course-11-0.pdf","t5/50371-hospital-course-11-0.pdf")</f>
        <v/>
      </c>
      <c r="E1326" t="n">
        <v>119960</v>
      </c>
      <c r="F1326" t="n">
        <v>50371</v>
      </c>
      <c r="G1326" t="inlineStr">
        <is>
          <t>Discharge summary</t>
        </is>
      </c>
      <c r="H1326" t="inlineStr">
        <is>
          <t>hospital-course</t>
        </is>
      </c>
      <c r="I1326" t="inlineStr">
        <is>
          <t xml:space="preserve">
# RECURRENT C.</t>
        </is>
      </c>
    </row>
    <row r="1327">
      <c r="A1327" t="inlineStr">
        <is>
          <t>50371-hospital-course-11-0</t>
        </is>
      </c>
      <c r="B1327" t="inlineStr"/>
      <c r="C1327" t="inlineStr"/>
      <c r="D1327">
        <f>HYPERLINK("http://nlpdeep.cs.uic.edu:8080/proofing/gsii/50371-hospital-course-11-0.pdf","gsii/50371-hospital-course-11-0.pdf")</f>
        <v/>
      </c>
      <c r="E1327" t="n">
        <v>119960</v>
      </c>
      <c r="F1327" t="n">
        <v>50371</v>
      </c>
      <c r="G1327" t="inlineStr">
        <is>
          <t>Discharge summary</t>
        </is>
      </c>
      <c r="H1327" t="inlineStr">
        <is>
          <t>hospital-course</t>
        </is>
      </c>
      <c r="I1327" t="inlineStr">
        <is>
          <t xml:space="preserve">
# RECURRENT C.</t>
        </is>
      </c>
    </row>
    <row r="1328">
      <c r="A1328" t="inlineStr">
        <is>
          <t>50371-hospital-course-11-1</t>
        </is>
      </c>
      <c r="B1328" t="inlineStr"/>
      <c r="C1328" t="inlineStr"/>
      <c r="D1328">
        <f>HYPERLINK("http://nlpdeep.cs.uic.edu:8080/proofing/t5/50371-hospital-course-11-1.pdf","t5/50371-hospital-course-11-1.pdf")</f>
        <v/>
      </c>
      <c r="E1328" t="n">
        <v>119960</v>
      </c>
      <c r="F1328" t="n">
        <v>50371</v>
      </c>
      <c r="G1328" t="inlineStr">
        <is>
          <t>Discharge summary</t>
        </is>
      </c>
      <c r="H1328" t="inlineStr">
        <is>
          <t>hospital-course</t>
        </is>
      </c>
      <c r="I1328" t="inlineStr">
        <is>
          <t>DIFF INFECTION.</t>
        </is>
      </c>
    </row>
    <row r="1329">
      <c r="A1329" t="inlineStr">
        <is>
          <t>50371-hospital-course-11-1</t>
        </is>
      </c>
      <c r="B1329" t="inlineStr"/>
      <c r="C1329" t="inlineStr"/>
      <c r="D1329">
        <f>HYPERLINK("http://nlpdeep.cs.uic.edu:8080/proofing/gsii/50371-hospital-course-11-1.pdf","gsii/50371-hospital-course-11-1.pdf")</f>
        <v/>
      </c>
      <c r="E1329" t="n">
        <v>119960</v>
      </c>
      <c r="F1329" t="n">
        <v>50371</v>
      </c>
      <c r="G1329" t="inlineStr">
        <is>
          <t>Discharge summary</t>
        </is>
      </c>
      <c r="H1329" t="inlineStr">
        <is>
          <t>hospital-course</t>
        </is>
      </c>
      <c r="I1329" t="inlineStr">
        <is>
          <t>DIFF INFECTION.</t>
        </is>
      </c>
    </row>
    <row r="1330">
      <c r="A1330" t="inlineStr">
        <is>
          <t>50371-hospital-course-11-2</t>
        </is>
      </c>
      <c r="B1330" t="inlineStr"/>
      <c r="C1330" t="inlineStr"/>
      <c r="D1330">
        <f>HYPERLINK("http://nlpdeep.cs.uic.edu:8080/proofing/t5/50371-hospital-course-11-2.pdf","t5/50371-hospital-course-11-2.pdf")</f>
        <v/>
      </c>
      <c r="E1330" t="n">
        <v>119960</v>
      </c>
      <c r="F1330" t="n">
        <v>50371</v>
      </c>
      <c r="G1330" t="inlineStr">
        <is>
          <t>Discharge summary</t>
        </is>
      </c>
      <c r="H1330" t="inlineStr">
        <is>
          <t>hospital-course</t>
        </is>
      </c>
      <c r="I1330" t="inlineStr">
        <is>
          <t>On PO Vanco taper.</t>
        </is>
      </c>
    </row>
    <row r="1331">
      <c r="A1331" t="inlineStr">
        <is>
          <t>50371-hospital-course-11-2</t>
        </is>
      </c>
      <c r="B1331" t="inlineStr"/>
      <c r="C1331" t="inlineStr"/>
      <c r="D1331">
        <f>HYPERLINK("http://nlpdeep.cs.uic.edu:8080/proofing/gsii/50371-hospital-course-11-2.pdf","gsii/50371-hospital-course-11-2.pdf")</f>
        <v/>
      </c>
      <c r="E1331" t="n">
        <v>119960</v>
      </c>
      <c r="F1331" t="n">
        <v>50371</v>
      </c>
      <c r="G1331" t="inlineStr">
        <is>
          <t>Discharge summary</t>
        </is>
      </c>
      <c r="H1331" t="inlineStr">
        <is>
          <t>hospital-course</t>
        </is>
      </c>
      <c r="I1331" t="inlineStr">
        <is>
          <t>On PO Vanco taper.</t>
        </is>
      </c>
    </row>
    <row r="1332">
      <c r="A1332" t="inlineStr">
        <is>
          <t>50371-hospital-course-11-3</t>
        </is>
      </c>
      <c r="B1332" t="inlineStr"/>
      <c r="C1332" t="inlineStr"/>
      <c r="D1332">
        <f>HYPERLINK("http://nlpdeep.cs.uic.edu:8080/proofing/t5/50371-hospital-course-11-3.pdf","t5/50371-hospital-course-11-3.pdf")</f>
        <v/>
      </c>
      <c r="E1332" t="n">
        <v>119960</v>
      </c>
      <c r="F1332" t="n">
        <v>50371</v>
      </c>
      <c r="G1332" t="inlineStr">
        <is>
          <t>Discharge summary</t>
        </is>
      </c>
      <c r="H1332" t="inlineStr">
        <is>
          <t>hospital-course</t>
        </is>
      </c>
      <c r="I1332" t="inlineStr">
        <is>
          <t>No diarrhea
currently.</t>
        </is>
      </c>
    </row>
    <row r="1333">
      <c r="A1333" t="inlineStr">
        <is>
          <t>50371-hospital-course-11-3</t>
        </is>
      </c>
      <c r="B1333" t="inlineStr"/>
      <c r="C1333" t="inlineStr"/>
      <c r="D1333">
        <f>HYPERLINK("http://nlpdeep.cs.uic.edu:8080/proofing/gsii/50371-hospital-course-11-3.pdf","gsii/50371-hospital-course-11-3.pdf")</f>
        <v/>
      </c>
      <c r="E1333" t="n">
        <v>119960</v>
      </c>
      <c r="F1333" t="n">
        <v>50371</v>
      </c>
      <c r="G1333" t="inlineStr">
        <is>
          <t>Discharge summary</t>
        </is>
      </c>
      <c r="H1333" t="inlineStr">
        <is>
          <t>hospital-course</t>
        </is>
      </c>
      <c r="I1333" t="inlineStr">
        <is>
          <t>No diarrhea
currently.</t>
        </is>
      </c>
    </row>
    <row r="1334">
      <c r="A1334" t="inlineStr">
        <is>
          <t>50371-hospital-course-11-4</t>
        </is>
      </c>
      <c r="B1334" t="inlineStr"/>
      <c r="C1334" t="inlineStr"/>
      <c r="D1334">
        <f>HYPERLINK("http://nlpdeep.cs.uic.edu:8080/proofing/t5/50371-hospital-course-11-4.pdf","t5/50371-hospital-course-11-4.pdf")</f>
        <v/>
      </c>
      <c r="E1334" t="n">
        <v>119960</v>
      </c>
      <c r="F1334" t="n">
        <v>50371</v>
      </c>
      <c r="G1334" t="inlineStr">
        <is>
          <t>Discharge summary</t>
        </is>
      </c>
      <c r="H1334" t="inlineStr">
        <is>
          <t>hospital-course</t>
        </is>
      </c>
      <c r="I1334" t="inlineStr">
        <is>
          <t xml:space="preserve"> Vanco was continued, liver consulted in setting of
hyperbili but agreed with continuation.</t>
        </is>
      </c>
    </row>
    <row r="1335">
      <c r="A1335" t="inlineStr">
        <is>
          <t>50371-hospital-course-11-4</t>
        </is>
      </c>
      <c r="B1335" t="inlineStr"/>
      <c r="C1335" t="inlineStr"/>
      <c r="D1335">
        <f>HYPERLINK("http://nlpdeep.cs.uic.edu:8080/proofing/gsii/50371-hospital-course-11-4.pdf","gsii/50371-hospital-course-11-4.pdf")</f>
        <v/>
      </c>
      <c r="E1335" t="n">
        <v>119960</v>
      </c>
      <c r="F1335" t="n">
        <v>50371</v>
      </c>
      <c r="G1335" t="inlineStr">
        <is>
          <t>Discharge summary</t>
        </is>
      </c>
      <c r="H1335" t="inlineStr">
        <is>
          <t>hospital-course</t>
        </is>
      </c>
      <c r="I1335" t="inlineStr">
        <is>
          <t xml:space="preserve"> Vanco was continued, liver consulted in setting of
hyperbili but agreed with continuation.</t>
        </is>
      </c>
    </row>
    <row r="1336">
      <c r="A1336" t="inlineStr">
        <is>
          <t>50371-hospital-course-12-0</t>
        </is>
      </c>
      <c r="B1336" t="inlineStr"/>
      <c r="C1336" t="inlineStr"/>
      <c r="D1336">
        <f>HYPERLINK("http://nlpdeep.cs.uic.edu:8080/proofing/t5/50371-hospital-course-12-0.pdf","t5/50371-hospital-course-12-0.pdf")</f>
        <v/>
      </c>
      <c r="E1336" t="n">
        <v>119960</v>
      </c>
      <c r="F1336" t="n">
        <v>50371</v>
      </c>
      <c r="G1336" t="inlineStr">
        <is>
          <t>Discharge summary</t>
        </is>
      </c>
      <c r="H1336" t="inlineStr">
        <is>
          <t>hospital-course</t>
        </is>
      </c>
      <c r="I1336" t="inlineStr">
        <is>
          <t xml:space="preserve">
# Atrial Fibrillation.</t>
        </is>
      </c>
    </row>
    <row r="1337">
      <c r="A1337" t="inlineStr">
        <is>
          <t>50371-hospital-course-12-0</t>
        </is>
      </c>
      <c r="B1337" t="inlineStr"/>
      <c r="C1337" t="inlineStr"/>
      <c r="D1337">
        <f>HYPERLINK("http://nlpdeep.cs.uic.edu:8080/proofing/gsii/50371-hospital-course-12-0.pdf","gsii/50371-hospital-course-12-0.pdf")</f>
        <v/>
      </c>
      <c r="E1337" t="n">
        <v>119960</v>
      </c>
      <c r="F1337" t="n">
        <v>50371</v>
      </c>
      <c r="G1337" t="inlineStr">
        <is>
          <t>Discharge summary</t>
        </is>
      </c>
      <c r="H1337" t="inlineStr">
        <is>
          <t>hospital-course</t>
        </is>
      </c>
      <c r="I1337" t="inlineStr">
        <is>
          <t xml:space="preserve">
# Atrial Fibrillation.</t>
        </is>
      </c>
    </row>
    <row r="1338">
      <c r="A1338" t="inlineStr">
        <is>
          <t>50371-hospital-course-12-1</t>
        </is>
      </c>
      <c r="B1338" t="inlineStr"/>
      <c r="C1338" t="inlineStr"/>
      <c r="D1338">
        <f>HYPERLINK("http://nlpdeep.cs.uic.edu:8080/proofing/t5/50371-hospital-course-12-1.pdf","t5/50371-hospital-course-12-1.pdf")</f>
        <v/>
      </c>
      <c r="E1338" t="n">
        <v>119960</v>
      </c>
      <c r="F1338" t="n">
        <v>50371</v>
      </c>
      <c r="G1338" t="inlineStr">
        <is>
          <t>Discharge summary</t>
        </is>
      </c>
      <c r="H1338" t="inlineStr">
        <is>
          <t>hospital-course</t>
        </is>
      </c>
      <c r="I1338" t="inlineStr">
        <is>
          <t>Initially held ASA in setting of low Hct;
not on Coumadin due to GIB, aspirin restarted on DC and
metoprolol continued.</t>
        </is>
      </c>
    </row>
    <row r="1339">
      <c r="A1339" t="inlineStr">
        <is>
          <t>50371-hospital-course-12-1</t>
        </is>
      </c>
      <c r="B1339" t="inlineStr"/>
      <c r="C1339" t="inlineStr"/>
      <c r="D1339">
        <f>HYPERLINK("http://nlpdeep.cs.uic.edu:8080/proofing/gsii/50371-hospital-course-12-1.pdf","gsii/50371-hospital-course-12-1.pdf")</f>
        <v/>
      </c>
      <c r="E1339" t="n">
        <v>119960</v>
      </c>
      <c r="F1339" t="n">
        <v>50371</v>
      </c>
      <c r="G1339" t="inlineStr">
        <is>
          <t>Discharge summary</t>
        </is>
      </c>
      <c r="H1339" t="inlineStr">
        <is>
          <t>hospital-course</t>
        </is>
      </c>
      <c r="I1339" t="inlineStr">
        <is>
          <t>Initially held ASA in setting of low Hct;
not on Coumadin due to GIB, aspirin restarted on DC and
metoprolol continued.</t>
        </is>
      </c>
    </row>
    <row r="1340">
      <c r="A1340" t="inlineStr">
        <is>
          <t>50371-hospital-course-13-0</t>
        </is>
      </c>
      <c r="B1340" t="inlineStr"/>
      <c r="C1340" t="inlineStr"/>
      <c r="D1340">
        <f>HYPERLINK("http://nlpdeep.cs.uic.edu:8080/proofing/t5/50371-hospital-course-13-0.pdf","t5/50371-hospital-course-13-0.pdf")</f>
        <v/>
      </c>
      <c r="E1340" t="n">
        <v>119960</v>
      </c>
      <c r="F1340" t="n">
        <v>50371</v>
      </c>
      <c r="G1340" t="inlineStr">
        <is>
          <t>Discharge summary</t>
        </is>
      </c>
      <c r="H1340" t="inlineStr">
        <is>
          <t>hospital-course</t>
        </is>
      </c>
      <c r="I1340" t="inlineStr">
        <is>
          <t xml:space="preserve">
# CHRONIC ANEMIA.</t>
        </is>
      </c>
    </row>
    <row r="1341">
      <c r="A1341" t="inlineStr">
        <is>
          <t>50371-hospital-course-13-0</t>
        </is>
      </c>
      <c r="B1341" t="inlineStr"/>
      <c r="C1341" t="inlineStr"/>
      <c r="D1341">
        <f>HYPERLINK("http://nlpdeep.cs.uic.edu:8080/proofing/gsii/50371-hospital-course-13-0.pdf","gsii/50371-hospital-course-13-0.pdf")</f>
        <v/>
      </c>
      <c r="E1341" t="n">
        <v>119960</v>
      </c>
      <c r="F1341" t="n">
        <v>50371</v>
      </c>
      <c r="G1341" t="inlineStr">
        <is>
          <t>Discharge summary</t>
        </is>
      </c>
      <c r="H1341" t="inlineStr">
        <is>
          <t>hospital-course</t>
        </is>
      </c>
      <c r="I1341" t="inlineStr">
        <is>
          <t xml:space="preserve">
# CHRONIC ANEMIA.</t>
        </is>
      </c>
    </row>
    <row r="1342">
      <c r="A1342" t="inlineStr">
        <is>
          <t>50371-hospital-course-13-1</t>
        </is>
      </c>
      <c r="B1342" t="inlineStr"/>
      <c r="C1342" t="inlineStr"/>
      <c r="D1342">
        <f>HYPERLINK("http://nlpdeep.cs.uic.edu:8080/proofing/t5/50371-hospital-course-13-1.pdf","t5/50371-hospital-course-13-1.pdf")</f>
        <v/>
      </c>
      <c r="E1342" t="n">
        <v>119960</v>
      </c>
      <c r="F1342" t="n">
        <v>50371</v>
      </c>
      <c r="G1342" t="inlineStr">
        <is>
          <t>Discharge summary</t>
        </is>
      </c>
      <c r="H1342" t="inlineStr">
        <is>
          <t>hospital-course</t>
        </is>
      </c>
      <c r="I1342" t="inlineStr">
        <is>
          <t>Baseline Hct 30; likely secondary to
CKD/chronic disease, improved and stabilized after transfusions.</t>
        </is>
      </c>
    </row>
    <row r="1343">
      <c r="A1343" t="inlineStr">
        <is>
          <t>50371-hospital-course-13-1</t>
        </is>
      </c>
      <c r="B1343" t="inlineStr"/>
      <c r="C1343" t="inlineStr"/>
      <c r="D1343">
        <f>HYPERLINK("http://nlpdeep.cs.uic.edu:8080/proofing/gsii/50371-hospital-course-13-1.pdf","gsii/50371-hospital-course-13-1.pdf")</f>
        <v/>
      </c>
      <c r="E1343" t="n">
        <v>119960</v>
      </c>
      <c r="F1343" t="n">
        <v>50371</v>
      </c>
      <c r="G1343" t="inlineStr">
        <is>
          <t>Discharge summary</t>
        </is>
      </c>
      <c r="H1343" t="inlineStr">
        <is>
          <t>hospital-course</t>
        </is>
      </c>
      <c r="I1343" t="inlineStr">
        <is>
          <t>Baseline Hct 30; likely secondary to
CKD/chronic disease, improved and stabilized after transfusions.</t>
        </is>
      </c>
    </row>
    <row r="1344">
      <c r="A1344" t="inlineStr">
        <is>
          <t>50371-hospital-course-14-0</t>
        </is>
      </c>
      <c r="B1344" t="inlineStr"/>
      <c r="C1344" t="inlineStr"/>
      <c r="D1344">
        <f>HYPERLINK("http://nlpdeep.cs.uic.edu:8080/proofing/t5/50371-hospital-course-14-0.pdf","t5/50371-hospital-course-14-0.pdf")</f>
        <v/>
      </c>
      <c r="E1344" t="n">
        <v>119960</v>
      </c>
      <c r="F1344" t="n">
        <v>50371</v>
      </c>
      <c r="G1344" t="inlineStr">
        <is>
          <t>Discharge summary</t>
        </is>
      </c>
      <c r="H1344" t="inlineStr">
        <is>
          <t>hospital-course</t>
        </is>
      </c>
      <c r="I1344" t="inlineStr">
        <is>
          <t xml:space="preserve">
# CHRONIC VENOUS STASIS: tx'd with wound care while inpatient.</t>
        </is>
      </c>
    </row>
    <row r="1345">
      <c r="A1345" t="inlineStr">
        <is>
          <t>50371-hospital-course-14-0</t>
        </is>
      </c>
      <c r="B1345" t="inlineStr"/>
      <c r="C1345" t="inlineStr"/>
      <c r="D1345">
        <f>HYPERLINK("http://nlpdeep.cs.uic.edu:8080/proofing/gsii/50371-hospital-course-14-0.pdf","gsii/50371-hospital-course-14-0.pdf")</f>
        <v/>
      </c>
      <c r="E1345" t="n">
        <v>119960</v>
      </c>
      <c r="F1345" t="n">
        <v>50371</v>
      </c>
      <c r="G1345" t="inlineStr">
        <is>
          <t>Discharge summary</t>
        </is>
      </c>
      <c r="H1345" t="inlineStr">
        <is>
          <t>hospital-course</t>
        </is>
      </c>
      <c r="I1345" t="inlineStr">
        <is>
          <t xml:space="preserve">
# CHRONIC VENOUS STASIS: tx'd with wound care while inpatient.</t>
        </is>
      </c>
    </row>
    <row r="1346">
      <c r="A1346" t="inlineStr">
        <is>
          <t>50371-hospital-course-15-0</t>
        </is>
      </c>
      <c r="B1346" t="inlineStr"/>
      <c r="C1346" t="inlineStr"/>
      <c r="D1346">
        <f>HYPERLINK("http://nlpdeep.cs.uic.edu:8080/proofing/t5/50371-hospital-course-15-0.pdf","t5/50371-hospital-course-15-0.pdf")</f>
        <v/>
      </c>
      <c r="E1346" t="n">
        <v>119960</v>
      </c>
      <c r="F1346" t="n">
        <v>50371</v>
      </c>
      <c r="G1346" t="inlineStr">
        <is>
          <t>Discharge summary</t>
        </is>
      </c>
      <c r="H1346" t="inlineStr">
        <is>
          <t>hospital-course</t>
        </is>
      </c>
      <c r="I1346" t="inlineStr">
        <is>
          <t xml:space="preserve">
# NASAL CONGESTION: saline, flonase
.</t>
        </is>
      </c>
    </row>
    <row r="1347">
      <c r="A1347" t="inlineStr">
        <is>
          <t>50371-hospital-course-15-0</t>
        </is>
      </c>
      <c r="B1347" t="inlineStr"/>
      <c r="C1347" t="inlineStr"/>
      <c r="D1347">
        <f>HYPERLINK("http://nlpdeep.cs.uic.edu:8080/proofing/gsii/50371-hospital-course-15-0.pdf","gsii/50371-hospital-course-15-0.pdf")</f>
        <v/>
      </c>
      <c r="E1347" t="n">
        <v>119960</v>
      </c>
      <c r="F1347" t="n">
        <v>50371</v>
      </c>
      <c r="G1347" t="inlineStr">
        <is>
          <t>Discharge summary</t>
        </is>
      </c>
      <c r="H1347" t="inlineStr">
        <is>
          <t>hospital-course</t>
        </is>
      </c>
      <c r="I1347" t="inlineStr">
        <is>
          <t xml:space="preserve">
# NASAL CONGESTION: saline, flonase
.</t>
        </is>
      </c>
    </row>
    <row r="1348">
      <c r="A1348" t="inlineStr">
        <is>
          <t>50371-code-status-0-0</t>
        </is>
      </c>
      <c r="B1348" t="inlineStr"/>
      <c r="C1348" t="inlineStr"/>
      <c r="D1348">
        <f>HYPERLINK("http://nlpdeep.cs.uic.edu:8080/proofing/t5/50371-code-status-0-0.pdf","t5/50371-code-status-0-0.pdf")</f>
        <v/>
      </c>
      <c r="E1348" t="n">
        <v>119960</v>
      </c>
      <c r="F1348" t="n">
        <v>50371</v>
      </c>
      <c r="G1348" t="inlineStr">
        <is>
          <t>Discharge summary</t>
        </is>
      </c>
      <c r="H1348" t="inlineStr">
        <is>
          <t>code-status</t>
        </is>
      </c>
      <c r="I1348" t="inlineStr">
        <is>
          <t>DNR/D</t>
        </is>
      </c>
    </row>
    <row r="1349">
      <c r="A1349" t="inlineStr">
        <is>
          <t>50371-code-status-0-0</t>
        </is>
      </c>
      <c r="B1349" t="inlineStr"/>
      <c r="C1349" t="inlineStr"/>
      <c r="D1349">
        <f>HYPERLINK("http://nlpdeep.cs.uic.edu:8080/proofing/gsii/50371-code-status-0-0.pdf","gsii/50371-code-status-0-0.pdf")</f>
        <v/>
      </c>
      <c r="E1349" t="n">
        <v>119960</v>
      </c>
      <c r="F1349" t="n">
        <v>50371</v>
      </c>
      <c r="G1349" t="inlineStr">
        <is>
          <t>Discharge summary</t>
        </is>
      </c>
      <c r="H1349" t="inlineStr">
        <is>
          <t>code-status</t>
        </is>
      </c>
      <c r="I1349" t="inlineStr">
        <is>
          <t>DNR/D</t>
        </is>
      </c>
    </row>
    <row r="1350">
      <c r="A1350" t="inlineStr">
        <is>
          <t>50371-medication-history-0-0</t>
        </is>
      </c>
      <c r="B1350" t="inlineStr"/>
      <c r="C1350" t="inlineStr"/>
      <c r="D1350">
        <f>HYPERLINK("http://nlpdeep.cs.uic.edu:8080/proofing/t5/50371-medication-history-0-0.pdf","t5/50371-medication-history-0-0.pdf")</f>
        <v/>
      </c>
      <c r="E1350" t="n">
        <v>119960</v>
      </c>
      <c r="F1350" t="n">
        <v>50371</v>
      </c>
      <c r="G1350" t="inlineStr">
        <is>
          <t>Discharge summary</t>
        </is>
      </c>
      <c r="H1350" t="inlineStr">
        <is>
          <t>medication-history</t>
        </is>
      </c>
      <c r="I1350" t="inlineStr">
        <is>
          <t>-Vicodin 5/500 2 tabs qd
-Pantoprazole 40 mg Tablet qd
-Vancomycin 125 mg PO Q6H; taper as follows:
     [**Date range (1) 10275**] 125mg Q6H;
     [**Date range (1) 86878**] 125mg Q12H;
     [**Date range (1) 68651**] 125mg daily;
     [**Date range (1) 46556**] 125mg; every other day
     [**Date range (1) 96735**] 125mg; every third day; then stop.</t>
        </is>
      </c>
    </row>
    <row r="1351">
      <c r="A1351" t="inlineStr">
        <is>
          <t>50371-medication-history-0-0</t>
        </is>
      </c>
      <c r="B1351" t="inlineStr"/>
      <c r="C1351" t="inlineStr"/>
      <c r="D1351">
        <f>HYPERLINK("http://nlpdeep.cs.uic.edu:8080/proofing/gsii/50371-medication-history-0-0.pdf","gsii/50371-medication-history-0-0.pdf")</f>
        <v/>
      </c>
      <c r="E1351" t="n">
        <v>119960</v>
      </c>
      <c r="F1351" t="n">
        <v>50371</v>
      </c>
      <c r="G1351" t="inlineStr">
        <is>
          <t>Discharge summary</t>
        </is>
      </c>
      <c r="H1351" t="inlineStr">
        <is>
          <t>medication-history</t>
        </is>
      </c>
      <c r="I1351" t="inlineStr">
        <is>
          <t>-Vicodin 5/500 2 tabs qd
-Pantoprazole 40 mg Tablet qd
-Vancomycin 125 mg PO Q6H; taper as follows:
     [**Date range (1) 10275**] 125mg Q6H;
     [**Date range (1) 86878**] 125mg Q12H;
     [**Date range (1) 68651**] 125mg daily;
     [**Date range (1) 46556**] 125mg; every other day
     [**Date range (1) 96735**] 125mg; every third day; then stop.</t>
        </is>
      </c>
    </row>
    <row r="1352">
      <c r="A1352" t="inlineStr">
        <is>
          <t>50371-medication-history-0-1</t>
        </is>
      </c>
      <c r="B1352" t="inlineStr"/>
      <c r="C1352" t="inlineStr"/>
      <c r="D1352">
        <f>HYPERLINK("http://nlpdeep.cs.uic.edu:8080/proofing/t5/50371-medication-history-0-1.pdf","t5/50371-medication-history-0-1.pdf")</f>
        <v/>
      </c>
      <c r="E1352" t="n">
        <v>119960</v>
      </c>
      <c r="F1352" t="n">
        <v>50371</v>
      </c>
      <c r="G1352" t="inlineStr">
        <is>
          <t>Discharge summary</t>
        </is>
      </c>
      <c r="H1352" t="inlineStr">
        <is>
          <t>medication-history</t>
        </is>
      </c>
      <c r="I1352" t="inlineStr">
        <is>
          <t xml:space="preserve">
-Ativan 0.125 mg tid prn
-Ammonium Lactate 12% Lotion Topical [**Hospital1 **]
-Ipratropium Bromide 0.5 mg Neb Inhalation Q6H PRN SOB/Wheezing.</t>
        </is>
      </c>
    </row>
    <row r="1353">
      <c r="A1353" t="inlineStr">
        <is>
          <t>50371-medication-history-0-1</t>
        </is>
      </c>
      <c r="B1353" t="inlineStr"/>
      <c r="C1353" t="inlineStr"/>
      <c r="D1353">
        <f>HYPERLINK("http://nlpdeep.cs.uic.edu:8080/proofing/gsii/50371-medication-history-0-1.pdf","gsii/50371-medication-history-0-1.pdf")</f>
        <v/>
      </c>
      <c r="E1353" t="n">
        <v>119960</v>
      </c>
      <c r="F1353" t="n">
        <v>50371</v>
      </c>
      <c r="G1353" t="inlineStr">
        <is>
          <t>Discharge summary</t>
        </is>
      </c>
      <c r="H1353" t="inlineStr">
        <is>
          <t>medication-history</t>
        </is>
      </c>
      <c r="I1353" t="inlineStr">
        <is>
          <t xml:space="preserve">
-Ativan 0.125 mg tid prn
-Ammonium Lactate 12% Lotion Topical [**Hospital1 **]
-Ipratropium Bromide 0.5 mg Neb Inhalation Q6H PRN SOB/Wheezing.</t>
        </is>
      </c>
    </row>
    <row r="1354">
      <c r="A1354" t="inlineStr">
        <is>
          <t>50371-medication-history-1-0</t>
        </is>
      </c>
      <c r="B1354" t="inlineStr"/>
      <c r="C1354" t="inlineStr"/>
      <c r="D1354">
        <f>HYPERLINK("http://nlpdeep.cs.uic.edu:8080/proofing/t5/50371-medication-history-1-0.pdf","t5/50371-medication-history-1-0.pdf")</f>
        <v/>
      </c>
      <c r="E1354" t="n">
        <v>119960</v>
      </c>
      <c r="F1354" t="n">
        <v>50371</v>
      </c>
      <c r="G1354" t="inlineStr">
        <is>
          <t>Discharge summary</t>
        </is>
      </c>
      <c r="H1354" t="inlineStr">
        <is>
          <t>medication-history</t>
        </is>
      </c>
      <c r="I1354" t="inlineStr">
        <is>
          <t xml:space="preserve">
-Torsemide 40 mg PO BID (if weight &gt; 160lbs, increase to 80mg in
the morning and 40mg at night; if weight &lt; 145lbs, decrease
torsemide to 40mg daily)
-Spironolactone 25 mg Tablet PO DAILY
-Metoprolol Tartrate 12.5 mg PO BID
-Simvastatin 40 mg PO qpm
-Ergocalciferol (Vitamin D2) 5,000 unit po weekly
-Bisacodyl suppository 10 mg qd prn
-Senna qd prn
-Aspirin 81 mg po qd
-Acetaminophen 325 mg 1-2 Tablets PO Q4H prn pain / fever.</t>
        </is>
      </c>
    </row>
    <row r="1355">
      <c r="A1355" t="inlineStr">
        <is>
          <t>50371-medication-history-1-0</t>
        </is>
      </c>
      <c r="B1355" t="inlineStr"/>
      <c r="C1355" t="inlineStr"/>
      <c r="D1355">
        <f>HYPERLINK("http://nlpdeep.cs.uic.edu:8080/proofing/gsii/50371-medication-history-1-0.pdf","gsii/50371-medication-history-1-0.pdf")</f>
        <v/>
      </c>
      <c r="E1355" t="n">
        <v>119960</v>
      </c>
      <c r="F1355" t="n">
        <v>50371</v>
      </c>
      <c r="G1355" t="inlineStr">
        <is>
          <t>Discharge summary</t>
        </is>
      </c>
      <c r="H1355" t="inlineStr">
        <is>
          <t>medication-history</t>
        </is>
      </c>
      <c r="I1355" t="inlineStr">
        <is>
          <t xml:space="preserve">
-Torsemide 40 mg PO BID (if weight &gt; 160lbs, increase to 80mg in
the morning and 40mg at night; if weight &lt; 145lbs, decrease
torsemide to 40mg daily)
-Spironolactone 25 mg Tablet PO DAILY
-Metoprolol Tartrate 12.5 mg PO BID
-Simvastatin 40 mg PO qpm
-Ergocalciferol (Vitamin D2) 5,000 unit po weekly
-Bisacodyl suppository 10 mg qd prn
-Senna qd prn
-Aspirin 81 mg po qd
-Acetaminophen 325 mg 1-2 Tablets PO Q4H prn pain / fever.</t>
        </is>
      </c>
    </row>
    <row r="1356">
      <c r="A1356" t="inlineStr">
        <is>
          <t>50371-medication-history-1-1</t>
        </is>
      </c>
      <c r="B1356" t="inlineStr"/>
      <c r="C1356" t="inlineStr"/>
      <c r="D1356">
        <f>HYPERLINK("http://nlpdeep.cs.uic.edu:8080/proofing/t5/50371-medication-history-1-1.pdf","t5/50371-medication-history-1-1.pdf")</f>
        <v/>
      </c>
      <c r="E1356" t="n">
        <v>119960</v>
      </c>
      <c r="F1356" t="n">
        <v>50371</v>
      </c>
      <c r="G1356" t="inlineStr">
        <is>
          <t>Discharge summary</t>
        </is>
      </c>
      <c r="H1356" t="inlineStr">
        <is>
          <t>medication-history</t>
        </is>
      </c>
      <c r="I1356" t="inlineStr">
        <is>
          <t>-Tums [**Hospital1 **]
-Cadexomer iodine topical gel q3d topical
-Dextromethorphan-Guaifenesin 30 mg q12hr p</t>
        </is>
      </c>
    </row>
    <row r="1357">
      <c r="A1357" t="inlineStr">
        <is>
          <t>50371-medication-history-1-1</t>
        </is>
      </c>
      <c r="B1357" t="inlineStr"/>
      <c r="C1357" t="inlineStr"/>
      <c r="D1357">
        <f>HYPERLINK("http://nlpdeep.cs.uic.edu:8080/proofing/gsii/50371-medication-history-1-1.pdf","gsii/50371-medication-history-1-1.pdf")</f>
        <v/>
      </c>
      <c r="E1357" t="n">
        <v>119960</v>
      </c>
      <c r="F1357" t="n">
        <v>50371</v>
      </c>
      <c r="G1357" t="inlineStr">
        <is>
          <t>Discharge summary</t>
        </is>
      </c>
      <c r="H1357" t="inlineStr">
        <is>
          <t>medication-history</t>
        </is>
      </c>
      <c r="I1357" t="inlineStr">
        <is>
          <t>-Tums [**Hospital1 **]
-Cadexomer iodine topical gel q3d topical
-Dextromethorphan-Guaifenesin 30 mg q12hr p</t>
        </is>
      </c>
    </row>
    <row r="1358">
      <c r="A1358" t="inlineStr">
        <is>
          <t>50371-discharge-medications-0-0</t>
        </is>
      </c>
      <c r="B1358" t="inlineStr"/>
      <c r="C1358" t="inlineStr"/>
      <c r="D1358">
        <f>HYPERLINK("http://nlpdeep.cs.uic.edu:8080/proofing/t5/50371-discharge-medications-0-0.pdf","t5/50371-discharge-medications-0-0.pdf")</f>
        <v/>
      </c>
      <c r="E1358" t="n">
        <v>119960</v>
      </c>
      <c r="F1358" t="n">
        <v>50371</v>
      </c>
      <c r="G1358" t="inlineStr">
        <is>
          <t>Discharge summary</t>
        </is>
      </c>
      <c r="H1358" t="inlineStr">
        <is>
          <t>discharge-medications</t>
        </is>
      </c>
      <c r="I1358" t="inlineStr">
        <is>
          <t>Vancomycin 125 mg Capsule Sig: One (1) Capsule PO as
directed: [**Date range (1) 86878**] 125mg Q12H;
[**Date range (1) 68651**] 125mg daily;
[**Date range (1) 46556**] 125mg; every other day
[**Date range (1) 96735**] 125mg; every third day; then stop.</t>
        </is>
      </c>
    </row>
    <row r="1359">
      <c r="A1359" t="inlineStr">
        <is>
          <t>50371-discharge-medications-0-0</t>
        </is>
      </c>
      <c r="B1359" t="inlineStr"/>
      <c r="C1359" t="inlineStr"/>
      <c r="D1359">
        <f>HYPERLINK("http://nlpdeep.cs.uic.edu:8080/proofing/gsii/50371-discharge-medications-0-0.pdf","gsii/50371-discharge-medications-0-0.pdf")</f>
        <v/>
      </c>
      <c r="E1359" t="n">
        <v>119960</v>
      </c>
      <c r="F1359" t="n">
        <v>50371</v>
      </c>
      <c r="G1359" t="inlineStr">
        <is>
          <t>Discharge summary</t>
        </is>
      </c>
      <c r="H1359" t="inlineStr">
        <is>
          <t>discharge-medications</t>
        </is>
      </c>
      <c r="I1359" t="inlineStr">
        <is>
          <t>Vancomycin 125 mg Capsule Sig: One (1) Capsule PO as
directed: [**Date range (1) 86878**] 125mg Q12H;
[**Date range (1) 68651**] 125mg daily;
[**Date range (1) 46556**] 125mg; every other day
[**Date range (1) 96735**] 125mg; every third day; then stop.</t>
        </is>
      </c>
    </row>
    <row r="1360">
      <c r="A1360" t="inlineStr">
        <is>
          <t>50371-discharge-medications-1-0</t>
        </is>
      </c>
      <c r="B1360" t="inlineStr"/>
      <c r="C1360" t="inlineStr"/>
      <c r="D1360">
        <f>HYPERLINK("http://nlpdeep.cs.uic.edu:8080/proofing/t5/50371-discharge-medications-1-0.pdf","t5/50371-discharge-medications-1-0.pdf")</f>
        <v/>
      </c>
      <c r="E1360" t="n">
        <v>119960</v>
      </c>
      <c r="F1360" t="n">
        <v>50371</v>
      </c>
      <c r="G1360" t="inlineStr">
        <is>
          <t>Discharge summary</t>
        </is>
      </c>
      <c r="H1360" t="inlineStr">
        <is>
          <t>discharge-medications</t>
        </is>
      </c>
      <c r="I1360" t="inlineStr">
        <is>
          <t>Pantoprazole 40 mg Tablet, Delayed Release (E.C.) Sig: One
(1) Tablet, Delayed Release (E.C.) PO once a day.</t>
        </is>
      </c>
    </row>
    <row r="1361">
      <c r="A1361" t="inlineStr">
        <is>
          <t>50371-discharge-medications-1-0</t>
        </is>
      </c>
      <c r="B1361" t="inlineStr"/>
      <c r="C1361" t="inlineStr"/>
      <c r="D1361">
        <f>HYPERLINK("http://nlpdeep.cs.uic.edu:8080/proofing/gsii/50371-discharge-medications-1-0.pdf","gsii/50371-discharge-medications-1-0.pdf")</f>
        <v/>
      </c>
      <c r="E1361" t="n">
        <v>119960</v>
      </c>
      <c r="F1361" t="n">
        <v>50371</v>
      </c>
      <c r="G1361" t="inlineStr">
        <is>
          <t>Discharge summary</t>
        </is>
      </c>
      <c r="H1361" t="inlineStr">
        <is>
          <t>discharge-medications</t>
        </is>
      </c>
      <c r="I1361" t="inlineStr">
        <is>
          <t>Pantoprazole 40 mg Tablet, Delayed Release (E.C.) Sig: One
(1) Tablet, Delayed Release (E.C.) PO once a day.</t>
        </is>
      </c>
    </row>
    <row r="1362">
      <c r="A1362" t="inlineStr">
        <is>
          <t>50371-discharge-medications-1-1</t>
        </is>
      </c>
      <c r="B1362" t="inlineStr"/>
      <c r="C1362" t="inlineStr"/>
      <c r="D1362">
        <f>HYPERLINK("http://nlpdeep.cs.uic.edu:8080/proofing/t5/50371-discharge-medications-1-1.pdf","t5/50371-discharge-medications-1-1.pdf")</f>
        <v/>
      </c>
      <c r="E1362" t="n">
        <v>119960</v>
      </c>
      <c r="F1362" t="n">
        <v>50371</v>
      </c>
      <c r="G1362" t="inlineStr">
        <is>
          <t>Discharge summary</t>
        </is>
      </c>
      <c r="H1362" t="inlineStr">
        <is>
          <t>discharge-medications</t>
        </is>
      </c>
      <c r="I1362" t="inlineStr">
        <is>
          <t>Ativan 0.5 mg Tablet Sig: [**12-31**] Tablet PO three times a day as
needed for anxiety.</t>
        </is>
      </c>
    </row>
    <row r="1363">
      <c r="A1363" t="inlineStr">
        <is>
          <t>50371-discharge-medications-1-1</t>
        </is>
      </c>
      <c r="B1363" t="inlineStr"/>
      <c r="C1363" t="inlineStr"/>
      <c r="D1363">
        <f>HYPERLINK("http://nlpdeep.cs.uic.edu:8080/proofing/gsii/50371-discharge-medications-1-1.pdf","gsii/50371-discharge-medications-1-1.pdf")</f>
        <v/>
      </c>
      <c r="E1363" t="n">
        <v>119960</v>
      </c>
      <c r="F1363" t="n">
        <v>50371</v>
      </c>
      <c r="G1363" t="inlineStr">
        <is>
          <t>Discharge summary</t>
        </is>
      </c>
      <c r="H1363" t="inlineStr">
        <is>
          <t>discharge-medications</t>
        </is>
      </c>
      <c r="I1363" t="inlineStr">
        <is>
          <t>Ativan 0.5 mg Tablet Sig: [**12-31**] Tablet PO three times a day as
needed for anxiety.</t>
        </is>
      </c>
    </row>
    <row r="1364">
      <c r="A1364" t="inlineStr">
        <is>
          <t>50371-discharge-medications-1-2</t>
        </is>
      </c>
      <c r="B1364" t="inlineStr"/>
      <c r="C1364" t="inlineStr"/>
      <c r="D1364">
        <f>HYPERLINK("http://nlpdeep.cs.uic.edu:8080/proofing/t5/50371-discharge-medications-1-2.pdf","t5/50371-discharge-medications-1-2.pdf")</f>
        <v/>
      </c>
      <c r="E1364" t="n">
        <v>119960</v>
      </c>
      <c r="F1364" t="n">
        <v>50371</v>
      </c>
      <c r="G1364" t="inlineStr">
        <is>
          <t>Discharge summary</t>
        </is>
      </c>
      <c r="H1364" t="inlineStr">
        <is>
          <t>discharge-medications</t>
        </is>
      </c>
      <c r="I1364" t="inlineStr">
        <is>
          <t>Ammonium Lactate 12 % Cream Topical
5.</t>
        </is>
      </c>
    </row>
    <row r="1365">
      <c r="A1365" t="inlineStr">
        <is>
          <t>50371-discharge-medications-1-2</t>
        </is>
      </c>
      <c r="B1365" t="inlineStr"/>
      <c r="C1365" t="inlineStr"/>
      <c r="D1365">
        <f>HYPERLINK("http://nlpdeep.cs.uic.edu:8080/proofing/gsii/50371-discharge-medications-1-2.pdf","gsii/50371-discharge-medications-1-2.pdf")</f>
        <v/>
      </c>
      <c r="E1365" t="n">
        <v>119960</v>
      </c>
      <c r="F1365" t="n">
        <v>50371</v>
      </c>
      <c r="G1365" t="inlineStr">
        <is>
          <t>Discharge summary</t>
        </is>
      </c>
      <c r="H1365" t="inlineStr">
        <is>
          <t>discharge-medications</t>
        </is>
      </c>
      <c r="I1365" t="inlineStr">
        <is>
          <t>Ammonium Lactate 12 % Cream Topical
5.</t>
        </is>
      </c>
    </row>
    <row r="1366">
      <c r="A1366" t="inlineStr">
        <is>
          <t>50371-discharge-medications-1-3</t>
        </is>
      </c>
      <c r="B1366" t="inlineStr"/>
      <c r="C1366" t="inlineStr"/>
      <c r="D1366">
        <f>HYPERLINK("http://nlpdeep.cs.uic.edu:8080/proofing/t5/50371-discharge-medications-1-3.pdf","t5/50371-discharge-medications-1-3.pdf")</f>
        <v/>
      </c>
      <c r="E1366" t="n">
        <v>119960</v>
      </c>
      <c r="F1366" t="n">
        <v>50371</v>
      </c>
      <c r="G1366" t="inlineStr">
        <is>
          <t>Discharge summary</t>
        </is>
      </c>
      <c r="H1366" t="inlineStr">
        <is>
          <t>discharge-medications</t>
        </is>
      </c>
      <c r="I1366" t="inlineStr">
        <is>
          <t>Ipratropium Bromide 0.02 % Solution Sig: One (1)  Inhalation
Q6H (every 6 hours) as needed for SOB/wheeze.</t>
        </is>
      </c>
    </row>
    <row r="1367">
      <c r="A1367" t="inlineStr">
        <is>
          <t>50371-discharge-medications-1-3</t>
        </is>
      </c>
      <c r="B1367" t="inlineStr"/>
      <c r="C1367" t="inlineStr"/>
      <c r="D1367">
        <f>HYPERLINK("http://nlpdeep.cs.uic.edu:8080/proofing/gsii/50371-discharge-medications-1-3.pdf","gsii/50371-discharge-medications-1-3.pdf")</f>
        <v/>
      </c>
      <c r="E1367" t="n">
        <v>119960</v>
      </c>
      <c r="F1367" t="n">
        <v>50371</v>
      </c>
      <c r="G1367" t="inlineStr">
        <is>
          <t>Discharge summary</t>
        </is>
      </c>
      <c r="H1367" t="inlineStr">
        <is>
          <t>discharge-medications</t>
        </is>
      </c>
      <c r="I1367" t="inlineStr">
        <is>
          <t>Ipratropium Bromide 0.02 % Solution Sig: One (1)  Inhalation
Q6H (every 6 hours) as needed for SOB/wheeze.</t>
        </is>
      </c>
    </row>
    <row r="1368">
      <c r="A1368" t="inlineStr">
        <is>
          <t>50371-discharge-medications-1-4</t>
        </is>
      </c>
      <c r="B1368" t="inlineStr"/>
      <c r="C1368" t="inlineStr"/>
      <c r="D1368">
        <f>HYPERLINK("http://nlpdeep.cs.uic.edu:8080/proofing/t5/50371-discharge-medications-1-4.pdf","t5/50371-discharge-medications-1-4.pdf")</f>
        <v/>
      </c>
      <c r="E1368" t="n">
        <v>119960</v>
      </c>
      <c r="F1368" t="n">
        <v>50371</v>
      </c>
      <c r="G1368" t="inlineStr">
        <is>
          <t>Discharge summary</t>
        </is>
      </c>
      <c r="H1368" t="inlineStr">
        <is>
          <t>discharge-medications</t>
        </is>
      </c>
      <c r="I1368" t="inlineStr">
        <is>
          <t>Metoprolol Tartrate 25 mg Tablet Sig: 0.5 Tablet PO BID (2
times a day).</t>
        </is>
      </c>
    </row>
    <row r="1369">
      <c r="A1369" t="inlineStr">
        <is>
          <t>50371-discharge-medications-1-4</t>
        </is>
      </c>
      <c r="B1369" t="inlineStr"/>
      <c r="C1369" t="inlineStr"/>
      <c r="D1369">
        <f>HYPERLINK("http://nlpdeep.cs.uic.edu:8080/proofing/gsii/50371-discharge-medications-1-4.pdf","gsii/50371-discharge-medications-1-4.pdf")</f>
        <v/>
      </c>
      <c r="E1369" t="n">
        <v>119960</v>
      </c>
      <c r="F1369" t="n">
        <v>50371</v>
      </c>
      <c r="G1369" t="inlineStr">
        <is>
          <t>Discharge summary</t>
        </is>
      </c>
      <c r="H1369" t="inlineStr">
        <is>
          <t>discharge-medications</t>
        </is>
      </c>
      <c r="I1369" t="inlineStr">
        <is>
          <t>Metoprolol Tartrate 25 mg Tablet Sig: 0.5 Tablet PO BID (2
times a day).</t>
        </is>
      </c>
    </row>
    <row r="1370">
      <c r="A1370" t="inlineStr">
        <is>
          <t>50371-discharge-medications-1-5</t>
        </is>
      </c>
      <c r="B1370" t="inlineStr"/>
      <c r="C1370" t="inlineStr"/>
      <c r="D1370">
        <f>HYPERLINK("http://nlpdeep.cs.uic.edu:8080/proofing/t5/50371-discharge-medications-1-5.pdf","t5/50371-discharge-medications-1-5.pdf")</f>
        <v/>
      </c>
      <c r="E1370" t="n">
        <v>119960</v>
      </c>
      <c r="F1370" t="n">
        <v>50371</v>
      </c>
      <c r="G1370" t="inlineStr">
        <is>
          <t>Discharge summary</t>
        </is>
      </c>
      <c r="H1370" t="inlineStr">
        <is>
          <t>discharge-medications</t>
        </is>
      </c>
      <c r="I1370" t="inlineStr">
        <is>
          <t>Ergocalciferol (Vitamin D2)  Oral
8.</t>
        </is>
      </c>
    </row>
    <row r="1371">
      <c r="A1371" t="inlineStr">
        <is>
          <t>50371-discharge-medications-1-5</t>
        </is>
      </c>
      <c r="B1371" t="inlineStr"/>
      <c r="C1371" t="inlineStr"/>
      <c r="D1371">
        <f>HYPERLINK("http://nlpdeep.cs.uic.edu:8080/proofing/gsii/50371-discharge-medications-1-5.pdf","gsii/50371-discharge-medications-1-5.pdf")</f>
        <v/>
      </c>
      <c r="E1371" t="n">
        <v>119960</v>
      </c>
      <c r="F1371" t="n">
        <v>50371</v>
      </c>
      <c r="G1371" t="inlineStr">
        <is>
          <t>Discharge summary</t>
        </is>
      </c>
      <c r="H1371" t="inlineStr">
        <is>
          <t>discharge-medications</t>
        </is>
      </c>
      <c r="I1371" t="inlineStr">
        <is>
          <t>Ergocalciferol (Vitamin D2)  Oral
8.</t>
        </is>
      </c>
    </row>
    <row r="1372">
      <c r="A1372" t="inlineStr">
        <is>
          <t>50371-discharge-medications-1-6</t>
        </is>
      </c>
      <c r="B1372" t="inlineStr"/>
      <c r="C1372" t="inlineStr"/>
      <c r="D1372">
        <f>HYPERLINK("http://nlpdeep.cs.uic.edu:8080/proofing/t5/50371-discharge-medications-1-6.pdf","t5/50371-discharge-medications-1-6.pdf")</f>
        <v/>
      </c>
      <c r="E1372" t="n">
        <v>119960</v>
      </c>
      <c r="F1372" t="n">
        <v>50371</v>
      </c>
      <c r="G1372" t="inlineStr">
        <is>
          <t>Discharge summary</t>
        </is>
      </c>
      <c r="H1372" t="inlineStr">
        <is>
          <t>discharge-medications</t>
        </is>
      </c>
      <c r="I1372" t="inlineStr">
        <is>
          <t>Bisacodyl 10 mg Suppository Sig: One (1) Suppository Rectal
DAILY (Daily).</t>
        </is>
      </c>
    </row>
    <row r="1373">
      <c r="A1373" t="inlineStr">
        <is>
          <t>50371-discharge-medications-1-6</t>
        </is>
      </c>
      <c r="B1373" t="inlineStr"/>
      <c r="C1373" t="inlineStr"/>
      <c r="D1373">
        <f>HYPERLINK("http://nlpdeep.cs.uic.edu:8080/proofing/gsii/50371-discharge-medications-1-6.pdf","gsii/50371-discharge-medications-1-6.pdf")</f>
        <v/>
      </c>
      <c r="E1373" t="n">
        <v>119960</v>
      </c>
      <c r="F1373" t="n">
        <v>50371</v>
      </c>
      <c r="G1373" t="inlineStr">
        <is>
          <t>Discharge summary</t>
        </is>
      </c>
      <c r="H1373" t="inlineStr">
        <is>
          <t>discharge-medications</t>
        </is>
      </c>
      <c r="I1373" t="inlineStr">
        <is>
          <t>Bisacodyl 10 mg Suppository Sig: One (1) Suppository Rectal
DAILY (Daily).</t>
        </is>
      </c>
    </row>
    <row r="1374">
      <c r="A1374" t="inlineStr">
        <is>
          <t>50371-discharge-medications-1-7</t>
        </is>
      </c>
      <c r="B1374" t="inlineStr"/>
      <c r="C1374" t="inlineStr"/>
      <c r="D1374">
        <f>HYPERLINK("http://nlpdeep.cs.uic.edu:8080/proofing/t5/50371-discharge-medications-1-7.pdf","t5/50371-discharge-medications-1-7.pdf")</f>
        <v/>
      </c>
      <c r="E1374" t="n">
        <v>119960</v>
      </c>
      <c r="F1374" t="n">
        <v>50371</v>
      </c>
      <c r="G1374" t="inlineStr">
        <is>
          <t>Discharge summary</t>
        </is>
      </c>
      <c r="H1374" t="inlineStr">
        <is>
          <t>discharge-medications</t>
        </is>
      </c>
      <c r="I1374" t="inlineStr">
        <is>
          <t>Senna 8.6 mg Tablet Sig: One (1) Tablet PO BID (2 times a
day).</t>
        </is>
      </c>
    </row>
    <row r="1375">
      <c r="A1375" t="inlineStr">
        <is>
          <t>50371-discharge-medications-1-7</t>
        </is>
      </c>
      <c r="B1375" t="inlineStr"/>
      <c r="C1375" t="inlineStr"/>
      <c r="D1375">
        <f>HYPERLINK("http://nlpdeep.cs.uic.edu:8080/proofing/gsii/50371-discharge-medications-1-7.pdf","gsii/50371-discharge-medications-1-7.pdf")</f>
        <v/>
      </c>
      <c r="E1375" t="n">
        <v>119960</v>
      </c>
      <c r="F1375" t="n">
        <v>50371</v>
      </c>
      <c r="G1375" t="inlineStr">
        <is>
          <t>Discharge summary</t>
        </is>
      </c>
      <c r="H1375" t="inlineStr">
        <is>
          <t>discharge-medications</t>
        </is>
      </c>
      <c r="I1375" t="inlineStr">
        <is>
          <t>Senna 8.6 mg Tablet Sig: One (1) Tablet PO BID (2 times a
day).</t>
        </is>
      </c>
    </row>
    <row r="1376">
      <c r="A1376" t="inlineStr">
        <is>
          <t>50371-discharge-medications-1-8</t>
        </is>
      </c>
      <c r="B1376" t="inlineStr"/>
      <c r="C1376" t="inlineStr"/>
      <c r="D1376">
        <f>HYPERLINK("http://nlpdeep.cs.uic.edu:8080/proofing/t5/50371-discharge-medications-1-8.pdf","t5/50371-discharge-medications-1-8.pdf")</f>
        <v/>
      </c>
      <c r="E1376" t="n">
        <v>119960</v>
      </c>
      <c r="F1376" t="n">
        <v>50371</v>
      </c>
      <c r="G1376" t="inlineStr">
        <is>
          <t>Discharge summary</t>
        </is>
      </c>
      <c r="H1376" t="inlineStr">
        <is>
          <t>discharge-medications</t>
        </is>
      </c>
      <c r="I1376" t="inlineStr">
        <is>
          <t>Aspirin 81 mg Tablet Sig: One (1) Tablet PO once a day.</t>
        </is>
      </c>
    </row>
    <row r="1377">
      <c r="A1377" t="inlineStr">
        <is>
          <t>50371-discharge-medications-1-8</t>
        </is>
      </c>
      <c r="B1377" t="inlineStr"/>
      <c r="C1377" t="inlineStr"/>
      <c r="D1377">
        <f>HYPERLINK("http://nlpdeep.cs.uic.edu:8080/proofing/gsii/50371-discharge-medications-1-8.pdf","gsii/50371-discharge-medications-1-8.pdf")</f>
        <v/>
      </c>
      <c r="E1377" t="n">
        <v>119960</v>
      </c>
      <c r="F1377" t="n">
        <v>50371</v>
      </c>
      <c r="G1377" t="inlineStr">
        <is>
          <t>Discharge summary</t>
        </is>
      </c>
      <c r="H1377" t="inlineStr">
        <is>
          <t>discharge-medications</t>
        </is>
      </c>
      <c r="I1377" t="inlineStr">
        <is>
          <t>Aspirin 81 mg Tablet Sig: One (1) Tablet PO once a day.</t>
        </is>
      </c>
    </row>
    <row r="1378">
      <c r="A1378" t="inlineStr">
        <is>
          <t>50371-discharge-medications-1-9</t>
        </is>
      </c>
      <c r="B1378" t="inlineStr"/>
      <c r="C1378" t="inlineStr"/>
      <c r="D1378">
        <f>HYPERLINK("http://nlpdeep.cs.uic.edu:8080/proofing/t5/50371-discharge-medications-1-9.pdf","t5/50371-discharge-medications-1-9.pdf")</f>
        <v/>
      </c>
      <c r="E1378" t="n">
        <v>119960</v>
      </c>
      <c r="F1378" t="n">
        <v>50371</v>
      </c>
      <c r="G1378" t="inlineStr">
        <is>
          <t>Discharge summary</t>
        </is>
      </c>
      <c r="H1378" t="inlineStr">
        <is>
          <t>discharge-medications</t>
        </is>
      </c>
      <c r="I1378" t="inlineStr">
        <is>
          <t>Acetaminophen 325 mg Tablet Sig: Two (2) Tablet PO Q6H
(every 6 hours) as needed for pain, fever.</t>
        </is>
      </c>
    </row>
    <row r="1379">
      <c r="A1379" t="inlineStr">
        <is>
          <t>50371-discharge-medications-1-9</t>
        </is>
      </c>
      <c r="B1379" t="inlineStr"/>
      <c r="C1379" t="inlineStr"/>
      <c r="D1379">
        <f>HYPERLINK("http://nlpdeep.cs.uic.edu:8080/proofing/gsii/50371-discharge-medications-1-9.pdf","gsii/50371-discharge-medications-1-9.pdf")</f>
        <v/>
      </c>
      <c r="E1379" t="n">
        <v>119960</v>
      </c>
      <c r="F1379" t="n">
        <v>50371</v>
      </c>
      <c r="G1379" t="inlineStr">
        <is>
          <t>Discharge summary</t>
        </is>
      </c>
      <c r="H1379" t="inlineStr">
        <is>
          <t>discharge-medications</t>
        </is>
      </c>
      <c r="I1379" t="inlineStr">
        <is>
          <t>Acetaminophen 325 mg Tablet Sig: Two (2) Tablet PO Q6H
(every 6 hours) as needed for pain, fever.</t>
        </is>
      </c>
    </row>
    <row r="1380">
      <c r="A1380" t="inlineStr">
        <is>
          <t>50371-discharge-medications-1-10</t>
        </is>
      </c>
      <c r="B1380" t="inlineStr"/>
      <c r="C1380" t="inlineStr"/>
      <c r="D1380">
        <f>HYPERLINK("http://nlpdeep.cs.uic.edu:8080/proofing/t5/50371-discharge-medications-1-10.pdf","t5/50371-discharge-medications-1-10.pdf")</f>
        <v/>
      </c>
      <c r="E1380" t="n">
        <v>119960</v>
      </c>
      <c r="F1380" t="n">
        <v>50371</v>
      </c>
      <c r="G1380" t="inlineStr">
        <is>
          <t>Discharge summary</t>
        </is>
      </c>
      <c r="H1380" t="inlineStr">
        <is>
          <t>discharge-medications</t>
        </is>
      </c>
      <c r="I1380" t="inlineStr">
        <is>
          <t>Calcium Carbonate 500 mg Tablet, Chewable Sig: One (1)
Tablet, Chewable PO twice a day.</t>
        </is>
      </c>
    </row>
    <row r="1381">
      <c r="A1381" t="inlineStr">
        <is>
          <t>50371-discharge-medications-1-10</t>
        </is>
      </c>
      <c r="B1381" t="inlineStr"/>
      <c r="C1381" t="inlineStr"/>
      <c r="D1381">
        <f>HYPERLINK("http://nlpdeep.cs.uic.edu:8080/proofing/gsii/50371-discharge-medications-1-10.pdf","gsii/50371-discharge-medications-1-10.pdf")</f>
        <v/>
      </c>
      <c r="E1381" t="n">
        <v>119960</v>
      </c>
      <c r="F1381" t="n">
        <v>50371</v>
      </c>
      <c r="G1381" t="inlineStr">
        <is>
          <t>Discharge summary</t>
        </is>
      </c>
      <c r="H1381" t="inlineStr">
        <is>
          <t>discharge-medications</t>
        </is>
      </c>
      <c r="I1381" t="inlineStr">
        <is>
          <t>Calcium Carbonate 500 mg Tablet, Chewable Sig: One (1)
Tablet, Chewable PO twice a day.</t>
        </is>
      </c>
    </row>
    <row r="1382">
      <c r="A1382" t="inlineStr">
        <is>
          <t>50371-discharge-medications-1-11</t>
        </is>
      </c>
      <c r="B1382" t="inlineStr"/>
      <c r="C1382" t="inlineStr"/>
      <c r="D1382">
        <f>HYPERLINK("http://nlpdeep.cs.uic.edu:8080/proofing/t5/50371-discharge-medications-1-11.pdf","t5/50371-discharge-medications-1-11.pdf")</f>
        <v/>
      </c>
      <c r="E1382" t="n">
        <v>119960</v>
      </c>
      <c r="F1382" t="n">
        <v>50371</v>
      </c>
      <c r="G1382" t="inlineStr">
        <is>
          <t>Discharge summary</t>
        </is>
      </c>
      <c r="H1382" t="inlineStr">
        <is>
          <t>discharge-medications</t>
        </is>
      </c>
      <c r="I1382" t="inlineStr">
        <is>
          <t>Cadexomer Iodine  Topical
14.</t>
        </is>
      </c>
    </row>
    <row r="1383">
      <c r="A1383" t="inlineStr">
        <is>
          <t>50371-discharge-medications-1-11</t>
        </is>
      </c>
      <c r="B1383" t="inlineStr"/>
      <c r="C1383" t="inlineStr"/>
      <c r="D1383">
        <f>HYPERLINK("http://nlpdeep.cs.uic.edu:8080/proofing/gsii/50371-discharge-medications-1-11.pdf","gsii/50371-discharge-medications-1-11.pdf")</f>
        <v/>
      </c>
      <c r="E1383" t="n">
        <v>119960</v>
      </c>
      <c r="F1383" t="n">
        <v>50371</v>
      </c>
      <c r="G1383" t="inlineStr">
        <is>
          <t>Discharge summary</t>
        </is>
      </c>
      <c r="H1383" t="inlineStr">
        <is>
          <t>discharge-medications</t>
        </is>
      </c>
      <c r="I1383" t="inlineStr">
        <is>
          <t>Cadexomer Iodine  Topical
14.</t>
        </is>
      </c>
    </row>
    <row r="1384">
      <c r="A1384" t="inlineStr">
        <is>
          <t>50371-discharge-medications-1-12</t>
        </is>
      </c>
      <c r="B1384" t="inlineStr"/>
      <c r="C1384" t="inlineStr"/>
      <c r="D1384">
        <f>HYPERLINK("http://nlpdeep.cs.uic.edu:8080/proofing/t5/50371-discharge-medications-1-12.pdf","t5/50371-discharge-medications-1-12.pdf")</f>
        <v/>
      </c>
      <c r="E1384" t="n">
        <v>119960</v>
      </c>
      <c r="F1384" t="n">
        <v>50371</v>
      </c>
      <c r="G1384" t="inlineStr">
        <is>
          <t>Discharge summary</t>
        </is>
      </c>
      <c r="H1384" t="inlineStr">
        <is>
          <t>discharge-medications</t>
        </is>
      </c>
      <c r="I1384" t="inlineStr">
        <is>
          <t>Dextromethorphan-Guaifenesin 10-100 mg/5 mL Syrup Sig: Five
(5) ML PO Q12H (every 12 hours) as needed for cough.</t>
        </is>
      </c>
    </row>
    <row r="1385">
      <c r="A1385" t="inlineStr">
        <is>
          <t>50371-discharge-medications-1-12</t>
        </is>
      </c>
      <c r="B1385" t="inlineStr"/>
      <c r="C1385" t="inlineStr"/>
      <c r="D1385">
        <f>HYPERLINK("http://nlpdeep.cs.uic.edu:8080/proofing/gsii/50371-discharge-medications-1-12.pdf","gsii/50371-discharge-medications-1-12.pdf")</f>
        <v/>
      </c>
      <c r="E1385" t="n">
        <v>119960</v>
      </c>
      <c r="F1385" t="n">
        <v>50371</v>
      </c>
      <c r="G1385" t="inlineStr">
        <is>
          <t>Discharge summary</t>
        </is>
      </c>
      <c r="H1385" t="inlineStr">
        <is>
          <t>discharge-medications</t>
        </is>
      </c>
      <c r="I1385" t="inlineStr">
        <is>
          <t>Dextromethorphan-Guaifenesin 10-100 mg/5 mL Syrup Sig: Five
(5) ML PO Q12H (every 12 hours) as needed for cough.</t>
        </is>
      </c>
    </row>
    <row r="1386">
      <c r="A1386" t="inlineStr">
        <is>
          <t>50371-discharge-medications-1-13</t>
        </is>
      </c>
      <c r="B1386" t="inlineStr"/>
      <c r="C1386" t="inlineStr"/>
      <c r="D1386">
        <f>HYPERLINK("http://nlpdeep.cs.uic.edu:8080/proofing/t5/50371-discharge-medications-1-13.pdf","t5/50371-discharge-medications-1-13.pdf")</f>
        <v/>
      </c>
      <c r="E1386" t="n">
        <v>119960</v>
      </c>
      <c r="F1386" t="n">
        <v>50371</v>
      </c>
      <c r="G1386" t="inlineStr">
        <is>
          <t>Discharge summary</t>
        </is>
      </c>
      <c r="H1386" t="inlineStr">
        <is>
          <t>discharge-medications</t>
        </is>
      </c>
      <c r="I1386" t="inlineStr">
        <is>
          <t>Calcium Acetate 667 mg Capsule Sig: One (1) Capsule PO TID
W/MEALS (3 TIMES A DAY WITH MEALS).</t>
        </is>
      </c>
    </row>
    <row r="1387">
      <c r="A1387" t="inlineStr">
        <is>
          <t>50371-discharge-medications-1-13</t>
        </is>
      </c>
      <c r="B1387" t="inlineStr"/>
      <c r="C1387" t="inlineStr"/>
      <c r="D1387">
        <f>HYPERLINK("http://nlpdeep.cs.uic.edu:8080/proofing/gsii/50371-discharge-medications-1-13.pdf","gsii/50371-discharge-medications-1-13.pdf")</f>
        <v/>
      </c>
      <c r="E1387" t="n">
        <v>119960</v>
      </c>
      <c r="F1387" t="n">
        <v>50371</v>
      </c>
      <c r="G1387" t="inlineStr">
        <is>
          <t>Discharge summary</t>
        </is>
      </c>
      <c r="H1387" t="inlineStr">
        <is>
          <t>discharge-medications</t>
        </is>
      </c>
      <c r="I1387" t="inlineStr">
        <is>
          <t>Calcium Acetate 667 mg Capsule Sig: One (1) Capsule PO TID
W/MEALS (3 TIMES A DAY WITH MEALS).</t>
        </is>
      </c>
    </row>
    <row r="1388">
      <c r="A1388" t="inlineStr">
        <is>
          <t>50371-discharge-medications-1-14</t>
        </is>
      </c>
      <c r="B1388" t="inlineStr"/>
      <c r="C1388" t="inlineStr"/>
      <c r="D1388">
        <f>HYPERLINK("http://nlpdeep.cs.uic.edu:8080/proofing/t5/50371-discharge-medications-1-14.pdf","t5/50371-discharge-medications-1-14.pdf")</f>
        <v/>
      </c>
      <c r="E1388" t="n">
        <v>119960</v>
      </c>
      <c r="F1388" t="n">
        <v>50371</v>
      </c>
      <c r="G1388" t="inlineStr">
        <is>
          <t>Discharge summary</t>
        </is>
      </c>
      <c r="H1388" t="inlineStr">
        <is>
          <t>discharge-medications</t>
        </is>
      </c>
      <c r="I1388" t="inlineStr">
        <is>
          <t>Polyethylene Glycol 3350 17 gram/dose Powder Sig: One (1)
PO DAILY (Daily) as needed for constipation.</t>
        </is>
      </c>
    </row>
    <row r="1389">
      <c r="A1389" t="inlineStr">
        <is>
          <t>50371-discharge-medications-1-14</t>
        </is>
      </c>
      <c r="B1389" t="inlineStr"/>
      <c r="C1389" t="inlineStr"/>
      <c r="D1389">
        <f>HYPERLINK("http://nlpdeep.cs.uic.edu:8080/proofing/gsii/50371-discharge-medications-1-14.pdf","gsii/50371-discharge-medications-1-14.pdf")</f>
        <v/>
      </c>
      <c r="E1389" t="n">
        <v>119960</v>
      </c>
      <c r="F1389" t="n">
        <v>50371</v>
      </c>
      <c r="G1389" t="inlineStr">
        <is>
          <t>Discharge summary</t>
        </is>
      </c>
      <c r="H1389" t="inlineStr">
        <is>
          <t>discharge-medications</t>
        </is>
      </c>
      <c r="I1389" t="inlineStr">
        <is>
          <t>Polyethylene Glycol 3350 17 gram/dose Powder Sig: One (1)
PO DAILY (Daily) as needed for constipation.</t>
        </is>
      </c>
    </row>
    <row r="1390">
      <c r="A1390" t="inlineStr">
        <is>
          <t>50371-discharge-medications-1-15</t>
        </is>
      </c>
      <c r="B1390" t="inlineStr"/>
      <c r="C1390" t="inlineStr"/>
      <c r="D1390">
        <f>HYPERLINK("http://nlpdeep.cs.uic.edu:8080/proofing/t5/50371-discharge-medications-1-15.pdf","t5/50371-discharge-medications-1-15.pdf")</f>
        <v/>
      </c>
      <c r="E1390" t="n">
        <v>119960</v>
      </c>
      <c r="F1390" t="n">
        <v>50371</v>
      </c>
      <c r="G1390" t="inlineStr">
        <is>
          <t>Discharge summary</t>
        </is>
      </c>
      <c r="H1390" t="inlineStr">
        <is>
          <t>discharge-medications</t>
        </is>
      </c>
      <c r="I1390" t="inlineStr">
        <is>
          <t>Oxycodone 5 mg Tablet Sig: One (1) Tablet PO Q4H (every 4
hours) as needed for pain.</t>
        </is>
      </c>
    </row>
    <row r="1391">
      <c r="A1391" t="inlineStr">
        <is>
          <t>50371-discharge-medications-1-15</t>
        </is>
      </c>
      <c r="B1391" t="inlineStr"/>
      <c r="C1391" t="inlineStr"/>
      <c r="D1391">
        <f>HYPERLINK("http://nlpdeep.cs.uic.edu:8080/proofing/gsii/50371-discharge-medications-1-15.pdf","gsii/50371-discharge-medications-1-15.pdf")</f>
        <v/>
      </c>
      <c r="E1391" t="n">
        <v>119960</v>
      </c>
      <c r="F1391" t="n">
        <v>50371</v>
      </c>
      <c r="G1391" t="inlineStr">
        <is>
          <t>Discharge summary</t>
        </is>
      </c>
      <c r="H1391" t="inlineStr">
        <is>
          <t>discharge-medications</t>
        </is>
      </c>
      <c r="I1391" t="inlineStr">
        <is>
          <t>Oxycodone 5 mg Tablet Sig: One (1) Tablet PO Q4H (every 4
hours) as needed for pain.</t>
        </is>
      </c>
    </row>
    <row r="1392">
      <c r="A1392" t="inlineStr">
        <is>
          <t>50371-discharge-medications-1-16</t>
        </is>
      </c>
      <c r="B1392" t="inlineStr"/>
      <c r="C1392" t="inlineStr"/>
      <c r="D1392">
        <f>HYPERLINK("http://nlpdeep.cs.uic.edu:8080/proofing/t5/50371-discharge-medications-1-16.pdf","t5/50371-discharge-medications-1-16.pdf")</f>
        <v/>
      </c>
      <c r="E1392" t="n">
        <v>119960</v>
      </c>
      <c r="F1392" t="n">
        <v>50371</v>
      </c>
      <c r="G1392" t="inlineStr">
        <is>
          <t>Discharge summary</t>
        </is>
      </c>
      <c r="H1392" t="inlineStr">
        <is>
          <t>discharge-medications</t>
        </is>
      </c>
      <c r="I1392" t="inlineStr">
        <is>
          <t>Sodium Chloride 0.65 % Aerosol, Spray Sig: [**12-31**] Sprays Nasal
TID (3 times a day) as needed for congestion.</t>
        </is>
      </c>
    </row>
    <row r="1393">
      <c r="A1393" t="inlineStr">
        <is>
          <t>50371-discharge-medications-1-16</t>
        </is>
      </c>
      <c r="B1393" t="inlineStr"/>
      <c r="C1393" t="inlineStr"/>
      <c r="D1393">
        <f>HYPERLINK("http://nlpdeep.cs.uic.edu:8080/proofing/gsii/50371-discharge-medications-1-16.pdf","gsii/50371-discharge-medications-1-16.pdf")</f>
        <v/>
      </c>
      <c r="E1393" t="n">
        <v>119960</v>
      </c>
      <c r="F1393" t="n">
        <v>50371</v>
      </c>
      <c r="G1393" t="inlineStr">
        <is>
          <t>Discharge summary</t>
        </is>
      </c>
      <c r="H1393" t="inlineStr">
        <is>
          <t>discharge-medications</t>
        </is>
      </c>
      <c r="I1393" t="inlineStr">
        <is>
          <t>Sodium Chloride 0.65 % Aerosol, Spray Sig: [**12-31**] Sprays Nasal
TID (3 times a day) as needed for congestion.</t>
        </is>
      </c>
    </row>
    <row r="1394">
      <c r="A1394" t="inlineStr">
        <is>
          <t>50371-discharge-medications-1-17</t>
        </is>
      </c>
      <c r="B1394" t="inlineStr"/>
      <c r="C1394" t="inlineStr"/>
      <c r="D1394">
        <f>HYPERLINK("http://nlpdeep.cs.uic.edu:8080/proofing/t5/50371-discharge-medications-1-17.pdf","t5/50371-discharge-medications-1-17.pdf")</f>
        <v/>
      </c>
      <c r="E1394" t="n">
        <v>119960</v>
      </c>
      <c r="F1394" t="n">
        <v>50371</v>
      </c>
      <c r="G1394" t="inlineStr">
        <is>
          <t>Discharge summary</t>
        </is>
      </c>
      <c r="H1394" t="inlineStr">
        <is>
          <t>discharge-medications</t>
        </is>
      </c>
      <c r="I1394" t="inlineStr">
        <is>
          <t>Fluticasone 50 mcg/Actuation Spray, Suspension Sig: One (1)
Spray Nasal DAILY (Daily).</t>
        </is>
      </c>
    </row>
    <row r="1395">
      <c r="A1395" t="inlineStr">
        <is>
          <t>50371-discharge-medications-1-17</t>
        </is>
      </c>
      <c r="B1395" t="inlineStr"/>
      <c r="C1395" t="inlineStr"/>
      <c r="D1395">
        <f>HYPERLINK("http://nlpdeep.cs.uic.edu:8080/proofing/gsii/50371-discharge-medications-1-17.pdf","gsii/50371-discharge-medications-1-17.pdf")</f>
        <v/>
      </c>
      <c r="E1395" t="n">
        <v>119960</v>
      </c>
      <c r="F1395" t="n">
        <v>50371</v>
      </c>
      <c r="G1395" t="inlineStr">
        <is>
          <t>Discharge summary</t>
        </is>
      </c>
      <c r="H1395" t="inlineStr">
        <is>
          <t>discharge-medications</t>
        </is>
      </c>
      <c r="I1395" t="inlineStr">
        <is>
          <t>Fluticasone 50 mcg/Actuation Spray, Suspension Sig: One (1)
Spray Nasal DAILY (Daily).</t>
        </is>
      </c>
    </row>
    <row r="1396">
      <c r="A1396" t="inlineStr">
        <is>
          <t>50371-discharge-medications-1-18</t>
        </is>
      </c>
      <c r="B1396" t="inlineStr"/>
      <c r="C1396" t="inlineStr"/>
      <c r="D1396">
        <f>HYPERLINK("http://nlpdeep.cs.uic.edu:8080/proofing/t5/50371-discharge-medications-1-18.pdf","t5/50371-discharge-medications-1-18.pdf")</f>
        <v/>
      </c>
      <c r="E1396" t="n">
        <v>119960</v>
      </c>
      <c r="F1396" t="n">
        <v>50371</v>
      </c>
      <c r="G1396" t="inlineStr">
        <is>
          <t>Discharge summary</t>
        </is>
      </c>
      <c r="H1396" t="inlineStr">
        <is>
          <t>discharge-medications</t>
        </is>
      </c>
      <c r="I1396" t="inlineStr">
        <is>
          <t>Enoxaparin 30 mg/0.3 mL Syringe Sig: One (1)  Subcutaneous
Q24H (every 24 hours) for 1 months: last day [**2141-5-9**].</t>
        </is>
      </c>
    </row>
    <row r="1397">
      <c r="A1397" t="inlineStr">
        <is>
          <t>50371-discharge-medications-1-18</t>
        </is>
      </c>
      <c r="B1397" t="inlineStr"/>
      <c r="C1397" t="inlineStr"/>
      <c r="D1397">
        <f>HYPERLINK("http://nlpdeep.cs.uic.edu:8080/proofing/gsii/50371-discharge-medications-1-18.pdf","gsii/50371-discharge-medications-1-18.pdf")</f>
        <v/>
      </c>
      <c r="E1397" t="n">
        <v>119960</v>
      </c>
      <c r="F1397" t="n">
        <v>50371</v>
      </c>
      <c r="G1397" t="inlineStr">
        <is>
          <t>Discharge summary</t>
        </is>
      </c>
      <c r="H1397" t="inlineStr">
        <is>
          <t>discharge-medications</t>
        </is>
      </c>
      <c r="I1397" t="inlineStr">
        <is>
          <t>Enoxaparin 30 mg/0.3 mL Syringe Sig: One (1)  Subcutaneous
Q24H (every 24 hours) for 1 months: last day [**2141-5-9**].</t>
        </is>
      </c>
    </row>
    <row r="1398">
      <c r="A1398" t="inlineStr">
        <is>
          <t>50371-discharge-disposition-0-0</t>
        </is>
      </c>
      <c r="B1398" t="inlineStr"/>
      <c r="C1398" t="inlineStr"/>
      <c r="D1398">
        <f>HYPERLINK("http://nlpdeep.cs.uic.edu:8080/proofing/t5/50371-discharge-disposition-0-0.pdf","t5/50371-discharge-disposition-0-0.pdf")</f>
        <v/>
      </c>
      <c r="E1398" t="n">
        <v>119960</v>
      </c>
      <c r="F1398" t="n">
        <v>50371</v>
      </c>
      <c r="G1398" t="inlineStr">
        <is>
          <t>Discharge summary</t>
        </is>
      </c>
      <c r="H1398" t="inlineStr">
        <is>
          <t>discharge-disposition</t>
        </is>
      </c>
      <c r="I1398" t="inlineStr">
        <is>
          <t>Extended C</t>
        </is>
      </c>
    </row>
    <row r="1399">
      <c r="A1399" t="inlineStr">
        <is>
          <t>50371-discharge-disposition-0-0</t>
        </is>
      </c>
      <c r="B1399" t="inlineStr"/>
      <c r="C1399" t="inlineStr"/>
      <c r="D1399">
        <f>HYPERLINK("http://nlpdeep.cs.uic.edu:8080/proofing/gsii/50371-discharge-disposition-0-0.pdf","gsii/50371-discharge-disposition-0-0.pdf")</f>
        <v/>
      </c>
      <c r="E1399" t="n">
        <v>119960</v>
      </c>
      <c r="F1399" t="n">
        <v>50371</v>
      </c>
      <c r="G1399" t="inlineStr">
        <is>
          <t>Discharge summary</t>
        </is>
      </c>
      <c r="H1399" t="inlineStr">
        <is>
          <t>discharge-disposition</t>
        </is>
      </c>
      <c r="I1399" t="inlineStr">
        <is>
          <t>Extended C</t>
        </is>
      </c>
    </row>
    <row r="1400">
      <c r="A1400" t="inlineStr">
        <is>
          <t>50371-facility-0-0</t>
        </is>
      </c>
      <c r="B1400" t="inlineStr"/>
      <c r="C1400" t="inlineStr"/>
      <c r="D1400">
        <f>HYPERLINK("http://nlpdeep.cs.uic.edu:8080/proofing/t5/50371-facility-0-0.pdf","t5/50371-facility-0-0.pdf")</f>
        <v/>
      </c>
      <c r="E1400" t="n">
        <v>119960</v>
      </c>
      <c r="F1400" t="n">
        <v>50371</v>
      </c>
      <c r="G1400" t="inlineStr">
        <is>
          <t>Discharge summary</t>
        </is>
      </c>
      <c r="H1400" t="inlineStr">
        <is>
          <t>facility</t>
        </is>
      </c>
      <c r="I1400" t="inlineStr">
        <is>
          <t>Newbridge on the [**Doctor Last Name **] - [</t>
        </is>
      </c>
    </row>
    <row r="1401">
      <c r="A1401" t="inlineStr">
        <is>
          <t>50371-facility-0-0</t>
        </is>
      </c>
      <c r="B1401" t="inlineStr"/>
      <c r="C1401" t="inlineStr"/>
      <c r="D1401">
        <f>HYPERLINK("http://nlpdeep.cs.uic.edu:8080/proofing/gsii/50371-facility-0-0.pdf","gsii/50371-facility-0-0.pdf")</f>
        <v/>
      </c>
      <c r="E1401" t="n">
        <v>119960</v>
      </c>
      <c r="F1401" t="n">
        <v>50371</v>
      </c>
      <c r="G1401" t="inlineStr">
        <is>
          <t>Discharge summary</t>
        </is>
      </c>
      <c r="H1401" t="inlineStr">
        <is>
          <t>facility</t>
        </is>
      </c>
      <c r="I1401" t="inlineStr">
        <is>
          <t>Newbridge on the [**Doctor Last Name **] - [</t>
        </is>
      </c>
    </row>
    <row r="1402">
      <c r="A1402" t="inlineStr">
        <is>
          <t>50371-discharge-diagnosis-0-0</t>
        </is>
      </c>
      <c r="B1402" t="inlineStr"/>
      <c r="C1402" t="inlineStr"/>
      <c r="D1402">
        <f>HYPERLINK("http://nlpdeep.cs.uic.edu:8080/proofing/t5/50371-discharge-diagnosis-0-0.pdf","t5/50371-discharge-diagnosis-0-0.pdf")</f>
        <v/>
      </c>
      <c r="E1402" t="n">
        <v>119960</v>
      </c>
      <c r="F1402" t="n">
        <v>50371</v>
      </c>
      <c r="G1402" t="inlineStr">
        <is>
          <t>Discharge summary</t>
        </is>
      </c>
      <c r="H1402" t="inlineStr">
        <is>
          <t>discharge-diagnosis</t>
        </is>
      </c>
      <c r="I1402" t="inlineStr"/>
    </row>
    <row r="1403">
      <c r="A1403" t="inlineStr">
        <is>
          <t>50371-discharge-diagnosis-0-0</t>
        </is>
      </c>
      <c r="B1403" t="inlineStr"/>
      <c r="C1403" t="inlineStr"/>
      <c r="D1403">
        <f>HYPERLINK("http://nlpdeep.cs.uic.edu:8080/proofing/gsii/50371-discharge-diagnosis-0-0.pdf","gsii/50371-discharge-diagnosis-0-0.pdf")</f>
        <v/>
      </c>
      <c r="E1403" t="n">
        <v>119960</v>
      </c>
      <c r="F1403" t="n">
        <v>50371</v>
      </c>
      <c r="G1403" t="inlineStr">
        <is>
          <t>Discharge summary</t>
        </is>
      </c>
      <c r="H1403" t="inlineStr">
        <is>
          <t>discharge-diagnosis</t>
        </is>
      </c>
      <c r="I1403" t="inlineStr"/>
    </row>
    <row r="1404">
      <c r="A1404" t="inlineStr">
        <is>
          <t>50371-discharge-diagnosis-1-0</t>
        </is>
      </c>
      <c r="B1404" t="inlineStr"/>
      <c r="C1404" t="inlineStr"/>
      <c r="D1404">
        <f>HYPERLINK("http://nlpdeep.cs.uic.edu:8080/proofing/t5/50371-discharge-diagnosis-1-0.pdf","t5/50371-discharge-diagnosis-1-0.pdf")</f>
        <v/>
      </c>
      <c r="E1404" t="n">
        <v>119960</v>
      </c>
      <c r="F1404" t="n">
        <v>50371</v>
      </c>
      <c r="G1404" t="inlineStr">
        <is>
          <t>Discharge summary</t>
        </is>
      </c>
      <c r="H1404" t="inlineStr">
        <is>
          <t>discharge-diagnosis</t>
        </is>
      </c>
      <c r="I1404" t="inlineStr">
        <is>
          <t>Secondary: hypotension, renal failure, h</t>
        </is>
      </c>
    </row>
    <row r="1405">
      <c r="A1405" t="inlineStr">
        <is>
          <t>50371-discharge-diagnosis-1-0</t>
        </is>
      </c>
      <c r="B1405" t="inlineStr"/>
      <c r="C1405" t="inlineStr"/>
      <c r="D1405">
        <f>HYPERLINK("http://nlpdeep.cs.uic.edu:8080/proofing/gsii/50371-discharge-diagnosis-1-0.pdf","gsii/50371-discharge-diagnosis-1-0.pdf")</f>
        <v/>
      </c>
      <c r="E1405" t="n">
        <v>119960</v>
      </c>
      <c r="F1405" t="n">
        <v>50371</v>
      </c>
      <c r="G1405" t="inlineStr">
        <is>
          <t>Discharge summary</t>
        </is>
      </c>
      <c r="H1405" t="inlineStr">
        <is>
          <t>discharge-diagnosis</t>
        </is>
      </c>
      <c r="I1405" t="inlineStr">
        <is>
          <t>Secondary: hypotension, renal failure, h</t>
        </is>
      </c>
    </row>
    <row r="1406">
      <c r="A1406" t="inlineStr">
        <is>
          <t>50371-discharge-condition-0-0</t>
        </is>
      </c>
      <c r="B1406" t="inlineStr"/>
      <c r="C1406" t="inlineStr"/>
      <c r="D1406">
        <f>HYPERLINK("http://nlpdeep.cs.uic.edu:8080/proofing/t5/50371-discharge-condition-0-0.pdf","t5/50371-discharge-condition-0-0.pdf")</f>
        <v/>
      </c>
      <c r="E1406" t="n">
        <v>119960</v>
      </c>
      <c r="F1406" t="n">
        <v>50371</v>
      </c>
      <c r="G1406" t="inlineStr">
        <is>
          <t>Discharge summary</t>
        </is>
      </c>
      <c r="H1406" t="inlineStr">
        <is>
          <t>discharge-condition</t>
        </is>
      </c>
      <c r="I1406" t="inlineStr">
        <is>
          <t>Mental Status: Clear and coherent.</t>
        </is>
      </c>
    </row>
    <row r="1407">
      <c r="A1407" t="inlineStr">
        <is>
          <t>50371-discharge-condition-0-0</t>
        </is>
      </c>
      <c r="B1407" t="inlineStr"/>
      <c r="C1407" t="inlineStr"/>
      <c r="D1407">
        <f>HYPERLINK("http://nlpdeep.cs.uic.edu:8080/proofing/gsii/50371-discharge-condition-0-0.pdf","gsii/50371-discharge-condition-0-0.pdf")</f>
        <v/>
      </c>
      <c r="E1407" t="n">
        <v>119960</v>
      </c>
      <c r="F1407" t="n">
        <v>50371</v>
      </c>
      <c r="G1407" t="inlineStr">
        <is>
          <t>Discharge summary</t>
        </is>
      </c>
      <c r="H1407" t="inlineStr">
        <is>
          <t>discharge-condition</t>
        </is>
      </c>
      <c r="I1407" t="inlineStr">
        <is>
          <t>Mental Status: Clear and coherent.</t>
        </is>
      </c>
    </row>
    <row r="1408">
      <c r="A1408" t="inlineStr">
        <is>
          <t>50371-discharge-condition-0-1</t>
        </is>
      </c>
      <c r="B1408" t="inlineStr"/>
      <c r="C1408" t="inlineStr"/>
      <c r="D1408">
        <f>HYPERLINK("http://nlpdeep.cs.uic.edu:8080/proofing/t5/50371-discharge-condition-0-1.pdf","t5/50371-discharge-condition-0-1.pdf")</f>
        <v/>
      </c>
      <c r="E1408" t="n">
        <v>119960</v>
      </c>
      <c r="F1408" t="n">
        <v>50371</v>
      </c>
      <c r="G1408" t="inlineStr">
        <is>
          <t>Discharge summary</t>
        </is>
      </c>
      <c r="H1408" t="inlineStr">
        <is>
          <t>discharge-condition</t>
        </is>
      </c>
      <c r="I1408" t="inlineStr">
        <is>
          <t xml:space="preserve">
Level of Consciousness: Alert and interactive.</t>
        </is>
      </c>
    </row>
    <row r="1409">
      <c r="A1409" t="inlineStr">
        <is>
          <t>50371-discharge-condition-0-1</t>
        </is>
      </c>
      <c r="B1409" t="inlineStr"/>
      <c r="C1409" t="inlineStr"/>
      <c r="D1409">
        <f>HYPERLINK("http://nlpdeep.cs.uic.edu:8080/proofing/gsii/50371-discharge-condition-0-1.pdf","gsii/50371-discharge-condition-0-1.pdf")</f>
        <v/>
      </c>
      <c r="E1409" t="n">
        <v>119960</v>
      </c>
      <c r="F1409" t="n">
        <v>50371</v>
      </c>
      <c r="G1409" t="inlineStr">
        <is>
          <t>Discharge summary</t>
        </is>
      </c>
      <c r="H1409" t="inlineStr">
        <is>
          <t>discharge-condition</t>
        </is>
      </c>
      <c r="I1409" t="inlineStr">
        <is>
          <t xml:space="preserve">
Level of Consciousness: Alert and interactive.</t>
        </is>
      </c>
    </row>
    <row r="1410">
      <c r="A1410" t="inlineStr">
        <is>
          <t>50371-discharge-condition-0-2</t>
        </is>
      </c>
      <c r="B1410" t="inlineStr"/>
      <c r="C1410" t="inlineStr"/>
      <c r="D1410">
        <f>HYPERLINK("http://nlpdeep.cs.uic.edu:8080/proofing/t5/50371-discharge-condition-0-2.pdf","t5/50371-discharge-condition-0-2.pdf")</f>
        <v/>
      </c>
      <c r="E1410" t="n">
        <v>119960</v>
      </c>
      <c r="F1410" t="n">
        <v>50371</v>
      </c>
      <c r="G1410" t="inlineStr">
        <is>
          <t>Discharge summary</t>
        </is>
      </c>
      <c r="H1410" t="inlineStr">
        <is>
          <t>discharge-condition</t>
        </is>
      </c>
      <c r="I1410" t="inlineStr">
        <is>
          <t xml:space="preserve">
Activity Status: Out of Bed with assistance to chair or
wheelchair.</t>
        </is>
      </c>
    </row>
    <row r="1411">
      <c r="A1411" t="inlineStr">
        <is>
          <t>50371-discharge-condition-0-2</t>
        </is>
      </c>
      <c r="B1411" t="inlineStr"/>
      <c r="C1411" t="inlineStr"/>
      <c r="D1411">
        <f>HYPERLINK("http://nlpdeep.cs.uic.edu:8080/proofing/gsii/50371-discharge-condition-0-2.pdf","gsii/50371-discharge-condition-0-2.pdf")</f>
        <v/>
      </c>
      <c r="E1411" t="n">
        <v>119960</v>
      </c>
      <c r="F1411" t="n">
        <v>50371</v>
      </c>
      <c r="G1411" t="inlineStr">
        <is>
          <t>Discharge summary</t>
        </is>
      </c>
      <c r="H1411" t="inlineStr">
        <is>
          <t>discharge-condition</t>
        </is>
      </c>
      <c r="I1411" t="inlineStr">
        <is>
          <t xml:space="preserve">
Activity Status: Out of Bed with assistance to chair or
wheelchair.</t>
        </is>
      </c>
    </row>
    <row r="1412">
      <c r="A1412" t="inlineStr">
        <is>
          <t>50371-discharge-instructions-0-0</t>
        </is>
      </c>
      <c r="B1412" t="inlineStr"/>
      <c r="C1412" t="inlineStr"/>
      <c r="D1412">
        <f>HYPERLINK("http://nlpdeep.cs.uic.edu:8080/proofing/t5/50371-discharge-instructions-0-0.pdf","t5/50371-discharge-instructions-0-0.pdf")</f>
        <v/>
      </c>
      <c r="E1412" t="n">
        <v>119960</v>
      </c>
      <c r="F1412" t="n">
        <v>50371</v>
      </c>
      <c r="G1412" t="inlineStr">
        <is>
          <t>Discharge summary</t>
        </is>
      </c>
      <c r="H1412" t="inlineStr">
        <is>
          <t>discharge-instructions</t>
        </is>
      </c>
      <c r="I1412" t="inlineStr">
        <is>
          <t>You were admitted for a hip fracture and treated for hypotension
and renal failure while in the hospital.</t>
        </is>
      </c>
    </row>
    <row r="1413">
      <c r="A1413" t="inlineStr">
        <is>
          <t>50371-discharge-instructions-0-0</t>
        </is>
      </c>
      <c r="B1413" t="inlineStr"/>
      <c r="C1413" t="inlineStr"/>
      <c r="D1413">
        <f>HYPERLINK("http://nlpdeep.cs.uic.edu:8080/proofing/gsii/50371-discharge-instructions-0-0.pdf","gsii/50371-discharge-instructions-0-0.pdf")</f>
        <v/>
      </c>
      <c r="E1413" t="n">
        <v>119960</v>
      </c>
      <c r="F1413" t="n">
        <v>50371</v>
      </c>
      <c r="G1413" t="inlineStr">
        <is>
          <t>Discharge summary</t>
        </is>
      </c>
      <c r="H1413" t="inlineStr">
        <is>
          <t>discharge-instructions</t>
        </is>
      </c>
      <c r="I1413" t="inlineStr">
        <is>
          <t>You were admitted for a hip fracture and treated for hypotension
and renal failure while in the hospital.</t>
        </is>
      </c>
    </row>
    <row r="1414">
      <c r="A1414" t="inlineStr">
        <is>
          <t>50371-discharge-instructions-0-1</t>
        </is>
      </c>
      <c r="B1414" t="inlineStr"/>
      <c r="C1414" t="inlineStr"/>
      <c r="D1414">
        <f>HYPERLINK("http://nlpdeep.cs.uic.edu:8080/proofing/t5/50371-discharge-instructions-0-1.pdf","t5/50371-discharge-instructions-0-1.pdf")</f>
        <v/>
      </c>
      <c r="E1414" t="n">
        <v>119960</v>
      </c>
      <c r="F1414" t="n">
        <v>50371</v>
      </c>
      <c r="G1414" t="inlineStr">
        <is>
          <t>Discharge summary</t>
        </is>
      </c>
      <c r="H1414" t="inlineStr">
        <is>
          <t>discharge-instructions</t>
        </is>
      </c>
      <c r="I1414" t="inlineStr">
        <is>
          <t xml:space="preserve"> Additionally, your
heart failure was managed and a work-up was initiated to
determine the cause of your elevated bilirubin.</t>
        </is>
      </c>
    </row>
    <row r="1415">
      <c r="A1415" t="inlineStr">
        <is>
          <t>50371-discharge-instructions-0-1</t>
        </is>
      </c>
      <c r="B1415" t="inlineStr"/>
      <c r="C1415" t="inlineStr"/>
      <c r="D1415">
        <f>HYPERLINK("http://nlpdeep.cs.uic.edu:8080/proofing/gsii/50371-discharge-instructions-0-1.pdf","gsii/50371-discharge-instructions-0-1.pdf")</f>
        <v/>
      </c>
      <c r="E1415" t="n">
        <v>119960</v>
      </c>
      <c r="F1415" t="n">
        <v>50371</v>
      </c>
      <c r="G1415" t="inlineStr">
        <is>
          <t>Discharge summary</t>
        </is>
      </c>
      <c r="H1415" t="inlineStr">
        <is>
          <t>discharge-instructions</t>
        </is>
      </c>
      <c r="I1415" t="inlineStr">
        <is>
          <t xml:space="preserve"> Additionally, your
heart failure was managed and a work-up was initiated to
determine the cause of your elevated bilirubin.</t>
        </is>
      </c>
    </row>
    <row r="1416">
      <c r="A1416" t="inlineStr">
        <is>
          <t>50371-discharge-instructions-1-0</t>
        </is>
      </c>
      <c r="B1416" t="inlineStr"/>
      <c r="C1416" t="inlineStr"/>
      <c r="D1416">
        <f>HYPERLINK("http://nlpdeep.cs.uic.edu:8080/proofing/t5/50371-discharge-instructions-1-0.pdf","t5/50371-discharge-instructions-1-0.pdf")</f>
        <v/>
      </c>
      <c r="E1416" t="n">
        <v>119960</v>
      </c>
      <c r="F1416" t="n">
        <v>50371</v>
      </c>
      <c r="G1416" t="inlineStr">
        <is>
          <t>Discharge summary</t>
        </is>
      </c>
      <c r="H1416" t="inlineStr">
        <is>
          <t>discharge-instructions</t>
        </is>
      </c>
      <c r="I1416" t="inlineStr"/>
    </row>
    <row r="1417">
      <c r="A1417" t="inlineStr">
        <is>
          <t>50371-discharge-instructions-1-0</t>
        </is>
      </c>
      <c r="B1417" t="inlineStr"/>
      <c r="C1417" t="inlineStr"/>
      <c r="D1417">
        <f>HYPERLINK("http://nlpdeep.cs.uic.edu:8080/proofing/gsii/50371-discharge-instructions-1-0.pdf","gsii/50371-discharge-instructions-1-0.pdf")</f>
        <v/>
      </c>
      <c r="E1417" t="n">
        <v>119960</v>
      </c>
      <c r="F1417" t="n">
        <v>50371</v>
      </c>
      <c r="G1417" t="inlineStr">
        <is>
          <t>Discharge summary</t>
        </is>
      </c>
      <c r="H1417" t="inlineStr">
        <is>
          <t>discharge-instructions</t>
        </is>
      </c>
      <c r="I1417" t="inlineStr"/>
    </row>
    <row r="1418">
      <c r="A1418" t="inlineStr">
        <is>
          <t>50371-discharge-instructions-2-0</t>
        </is>
      </c>
      <c r="B1418" t="inlineStr"/>
      <c r="C1418" t="inlineStr"/>
      <c r="D1418">
        <f>HYPERLINK("http://nlpdeep.cs.uic.edu:8080/proofing/t5/50371-discharge-instructions-2-0.pdf","t5/50371-discharge-instructions-2-0.pdf")</f>
        <v/>
      </c>
      <c r="E1418" t="n">
        <v>119960</v>
      </c>
      <c r="F1418" t="n">
        <v>50371</v>
      </c>
      <c r="G1418" t="inlineStr">
        <is>
          <t>Discharge summary</t>
        </is>
      </c>
      <c r="H1418" t="inlineStr">
        <is>
          <t>discharge-instructions</t>
        </is>
      </c>
      <c r="I1418" t="inlineStr">
        <is>
          <t xml:space="preserve">
Weigh yourself every morning, [**Name8 (MD) 138**] MD if weight goes up more
than 3 lbs.</t>
        </is>
      </c>
    </row>
    <row r="1419">
      <c r="A1419" t="inlineStr">
        <is>
          <t>50371-discharge-instructions-2-0</t>
        </is>
      </c>
      <c r="B1419" t="inlineStr"/>
      <c r="C1419" t="inlineStr"/>
      <c r="D1419">
        <f>HYPERLINK("http://nlpdeep.cs.uic.edu:8080/proofing/gsii/50371-discharge-instructions-2-0.pdf","gsii/50371-discharge-instructions-2-0.pdf")</f>
        <v/>
      </c>
      <c r="E1419" t="n">
        <v>119960</v>
      </c>
      <c r="F1419" t="n">
        <v>50371</v>
      </c>
      <c r="G1419" t="inlineStr">
        <is>
          <t>Discharge summary</t>
        </is>
      </c>
      <c r="H1419" t="inlineStr">
        <is>
          <t>discharge-instructions</t>
        </is>
      </c>
      <c r="I1419" t="inlineStr">
        <is>
          <t xml:space="preserve">
Weigh yourself every morning, [**Name8 (MD) 138**] MD if weight goes up more
than 3 lbs.</t>
        </is>
      </c>
    </row>
    <row r="1420">
      <c r="A1420" t="inlineStr">
        <is>
          <t>50371-discharge-instructions-3-0</t>
        </is>
      </c>
      <c r="B1420" t="inlineStr"/>
      <c r="C1420" t="inlineStr"/>
      <c r="D1420">
        <f>HYPERLINK("http://nlpdeep.cs.uic.edu:8080/proofing/t5/50371-discharge-instructions-3-0.pdf","t5/50371-discharge-instructions-3-0.pdf")</f>
        <v/>
      </c>
      <c r="E1420" t="n">
        <v>119960</v>
      </c>
      <c r="F1420" t="n">
        <v>50371</v>
      </c>
      <c r="G1420" t="inlineStr">
        <is>
          <t>Discharge summary</t>
        </is>
      </c>
      <c r="H1420" t="inlineStr">
        <is>
          <t>discharge-instructions</t>
        </is>
      </c>
      <c r="I1420" t="inlineStr">
        <is>
          <t xml:space="preserve">
Followup Instructions:
We are working on a follow up appointment with Dr. [**Last Name (STitle) 696**] in
Cardiology within 4-8 days.</t>
        </is>
      </c>
    </row>
    <row r="1421">
      <c r="A1421" t="inlineStr">
        <is>
          <t>50371-discharge-instructions-3-0</t>
        </is>
      </c>
      <c r="B1421" t="inlineStr"/>
      <c r="C1421" t="inlineStr"/>
      <c r="D1421">
        <f>HYPERLINK("http://nlpdeep.cs.uic.edu:8080/proofing/gsii/50371-discharge-instructions-3-0.pdf","gsii/50371-discharge-instructions-3-0.pdf")</f>
        <v/>
      </c>
      <c r="E1421" t="n">
        <v>119960</v>
      </c>
      <c r="F1421" t="n">
        <v>50371</v>
      </c>
      <c r="G1421" t="inlineStr">
        <is>
          <t>Discharge summary</t>
        </is>
      </c>
      <c r="H1421" t="inlineStr">
        <is>
          <t>discharge-instructions</t>
        </is>
      </c>
      <c r="I1421" t="inlineStr">
        <is>
          <t xml:space="preserve">
Followup Instructions:
We are working on a follow up appointment with Dr. [**Last Name (STitle) 696**] in
Cardiology within 4-8 days.</t>
        </is>
      </c>
    </row>
    <row r="1422">
      <c r="A1422" t="inlineStr">
        <is>
          <t>50371-discharge-instructions-3-1</t>
        </is>
      </c>
      <c r="B1422" t="inlineStr"/>
      <c r="C1422" t="inlineStr"/>
      <c r="D1422">
        <f>HYPERLINK("http://nlpdeep.cs.uic.edu:8080/proofing/t5/50371-discharge-instructions-3-1.pdf","t5/50371-discharge-instructions-3-1.pdf")</f>
        <v/>
      </c>
      <c r="E1422" t="n">
        <v>119960</v>
      </c>
      <c r="F1422" t="n">
        <v>50371</v>
      </c>
      <c r="G1422" t="inlineStr">
        <is>
          <t>Discharge summary</t>
        </is>
      </c>
      <c r="H1422" t="inlineStr">
        <is>
          <t>discharge-instructions</t>
        </is>
      </c>
      <c r="I1422" t="inlineStr">
        <is>
          <t>The office will contact you with an
appointment.</t>
        </is>
      </c>
    </row>
    <row r="1423">
      <c r="A1423" t="inlineStr">
        <is>
          <t>50371-discharge-instructions-3-1</t>
        </is>
      </c>
      <c r="B1423" t="inlineStr"/>
      <c r="C1423" t="inlineStr"/>
      <c r="D1423">
        <f>HYPERLINK("http://nlpdeep.cs.uic.edu:8080/proofing/gsii/50371-discharge-instructions-3-1.pdf","gsii/50371-discharge-instructions-3-1.pdf")</f>
        <v/>
      </c>
      <c r="E1423" t="n">
        <v>119960</v>
      </c>
      <c r="F1423" t="n">
        <v>50371</v>
      </c>
      <c r="G1423" t="inlineStr">
        <is>
          <t>Discharge summary</t>
        </is>
      </c>
      <c r="H1423" t="inlineStr">
        <is>
          <t>discharge-instructions</t>
        </is>
      </c>
      <c r="I1423" t="inlineStr">
        <is>
          <t>The office will contact you with an
appointment.</t>
        </is>
      </c>
    </row>
    <row r="1424">
      <c r="A1424" t="inlineStr">
        <is>
          <t>50371-discharge-instructions-3-2</t>
        </is>
      </c>
      <c r="B1424" t="inlineStr"/>
      <c r="C1424" t="inlineStr"/>
      <c r="D1424">
        <f>HYPERLINK("http://nlpdeep.cs.uic.edu:8080/proofing/t5/50371-discharge-instructions-3-2.pdf","t5/50371-discharge-instructions-3-2.pdf")</f>
        <v/>
      </c>
      <c r="E1424" t="n">
        <v>119960</v>
      </c>
      <c r="F1424" t="n">
        <v>50371</v>
      </c>
      <c r="G1424" t="inlineStr">
        <is>
          <t>Discharge summary</t>
        </is>
      </c>
      <c r="H1424" t="inlineStr">
        <is>
          <t>discharge-instructions</t>
        </is>
      </c>
      <c r="I1424" t="inlineStr">
        <is>
          <t>If you have not heard or have any questions please
call [**Telephone/Fax (1) 62**].</t>
        </is>
      </c>
    </row>
    <row r="1425">
      <c r="A1425" t="inlineStr">
        <is>
          <t>50371-discharge-instructions-3-2</t>
        </is>
      </c>
      <c r="B1425" t="inlineStr"/>
      <c r="C1425" t="inlineStr"/>
      <c r="D1425">
        <f>HYPERLINK("http://nlpdeep.cs.uic.edu:8080/proofing/gsii/50371-discharge-instructions-3-2.pdf","gsii/50371-discharge-instructions-3-2.pdf")</f>
        <v/>
      </c>
      <c r="E1425" t="n">
        <v>119960</v>
      </c>
      <c r="F1425" t="n">
        <v>50371</v>
      </c>
      <c r="G1425" t="inlineStr">
        <is>
          <t>Discharge summary</t>
        </is>
      </c>
      <c r="H1425" t="inlineStr">
        <is>
          <t>discharge-instructions</t>
        </is>
      </c>
      <c r="I1425" t="inlineStr">
        <is>
          <t>If you have not heard or have any questions please
call [**Telephone/Fax (1) 62**].</t>
        </is>
      </c>
    </row>
    <row r="1426">
      <c r="A1426" t="inlineStr">
        <is>
          <t>50371-discharge-instructions-4-0</t>
        </is>
      </c>
      <c r="B1426" t="inlineStr"/>
      <c r="C1426" t="inlineStr"/>
      <c r="D1426">
        <f>HYPERLINK("http://nlpdeep.cs.uic.edu:8080/proofing/t5/50371-discharge-instructions-4-0.pdf","t5/50371-discharge-instructions-4-0.pdf")</f>
        <v/>
      </c>
      <c r="E1426" t="n">
        <v>119960</v>
      </c>
      <c r="F1426" t="n">
        <v>50371</v>
      </c>
      <c r="G1426" t="inlineStr">
        <is>
          <t>Discharge summary</t>
        </is>
      </c>
      <c r="H1426" t="inlineStr">
        <is>
          <t>discharge-instructions</t>
        </is>
      </c>
      <c r="I1426" t="inlineStr"/>
    </row>
    <row r="1427">
      <c r="A1427" t="inlineStr">
        <is>
          <t>50371-discharge-instructions-4-0</t>
        </is>
      </c>
      <c r="B1427" t="inlineStr"/>
      <c r="C1427" t="inlineStr"/>
      <c r="D1427">
        <f>HYPERLINK("http://nlpdeep.cs.uic.edu:8080/proofing/gsii/50371-discharge-instructions-4-0.pdf","gsii/50371-discharge-instructions-4-0.pdf")</f>
        <v/>
      </c>
      <c r="E1427" t="n">
        <v>119960</v>
      </c>
      <c r="F1427" t="n">
        <v>50371</v>
      </c>
      <c r="G1427" t="inlineStr">
        <is>
          <t>Discharge summary</t>
        </is>
      </c>
      <c r="H1427" t="inlineStr">
        <is>
          <t>discharge-instructions</t>
        </is>
      </c>
      <c r="I1427" t="inlineStr"/>
    </row>
    <row r="1428">
      <c r="A1428" t="inlineStr">
        <is>
          <t>50371-discharge-instructions-5-0</t>
        </is>
      </c>
      <c r="B1428" t="inlineStr"/>
      <c r="C1428" t="inlineStr"/>
      <c r="D1428">
        <f>HYPERLINK("http://nlpdeep.cs.uic.edu:8080/proofing/t5/50371-discharge-instructions-5-0.pdf","t5/50371-discharge-instructions-5-0.pdf")</f>
        <v/>
      </c>
      <c r="E1428" t="n">
        <v>119960</v>
      </c>
      <c r="F1428" t="n">
        <v>50371</v>
      </c>
      <c r="G1428" t="inlineStr">
        <is>
          <t>Discharge summary</t>
        </is>
      </c>
      <c r="H1428" t="inlineStr">
        <is>
          <t>discharge-instructions</t>
        </is>
      </c>
      <c r="I1428" t="inlineStr"/>
    </row>
    <row r="1429">
      <c r="A1429" t="inlineStr">
        <is>
          <t>50371-discharge-instructions-5-0</t>
        </is>
      </c>
      <c r="B1429" t="inlineStr"/>
      <c r="C1429" t="inlineStr"/>
      <c r="D1429">
        <f>HYPERLINK("http://nlpdeep.cs.uic.edu:8080/proofing/gsii/50371-discharge-instructions-5-0.pdf","gsii/50371-discharge-instructions-5-0.pdf")</f>
        <v/>
      </c>
      <c r="E1429" t="n">
        <v>119960</v>
      </c>
      <c r="F1429" t="n">
        <v>50371</v>
      </c>
      <c r="G1429" t="inlineStr">
        <is>
          <t>Discharge summary</t>
        </is>
      </c>
      <c r="H1429" t="inlineStr">
        <is>
          <t>discharge-instructions</t>
        </is>
      </c>
      <c r="I1429" t="inlineStr"/>
    </row>
    <row r="1430">
      <c r="A1430" t="inlineStr">
        <is>
          <t>50371-discharge-instructions-6-0</t>
        </is>
      </c>
      <c r="B1430" t="inlineStr"/>
      <c r="C1430" t="inlineStr"/>
      <c r="D1430">
        <f>HYPERLINK("http://nlpdeep.cs.uic.edu:8080/proofing/t5/50371-discharge-instructions-6-0.pdf","t5/50371-discharge-instructions-6-0.pdf")</f>
        <v/>
      </c>
      <c r="E1430" t="n">
        <v>119960</v>
      </c>
      <c r="F1430" t="n">
        <v>50371</v>
      </c>
      <c r="G1430" t="inlineStr">
        <is>
          <t>Discharge summary</t>
        </is>
      </c>
      <c r="H1430" t="inlineStr">
        <is>
          <t>discharge-instructions</t>
        </is>
      </c>
      <c r="I1430" t="inlineStr">
        <is>
          <t xml:space="preserve">
Department: ORTHOPEDICS
When: TUESDAY [**2141-4-25**] at 2:45 PM
With: [**Known firstname **] [**Last Name (NamePattern1) 2235**], MD [**Telephone/Fax (1) 1228**]
Building: [**Hospital6 29**] [**Location (un) 551**]
Campus: EAST     Best Parking: [**Hospital Ward Name 23**] Garage
</t>
        </is>
      </c>
    </row>
    <row r="1431">
      <c r="A1431" t="inlineStr">
        <is>
          <t>50371-discharge-instructions-6-0</t>
        </is>
      </c>
      <c r="B1431" t="inlineStr"/>
      <c r="C1431" t="inlineStr"/>
      <c r="D1431">
        <f>HYPERLINK("http://nlpdeep.cs.uic.edu:8080/proofing/gsii/50371-discharge-instructions-6-0.pdf","gsii/50371-discharge-instructions-6-0.pdf")</f>
        <v/>
      </c>
      <c r="E1431" t="n">
        <v>119960</v>
      </c>
      <c r="F1431" t="n">
        <v>50371</v>
      </c>
      <c r="G1431" t="inlineStr">
        <is>
          <t>Discharge summary</t>
        </is>
      </c>
      <c r="H1431" t="inlineStr">
        <is>
          <t>discharge-instructions</t>
        </is>
      </c>
      <c r="I1431" t="inlineStr">
        <is>
          <t xml:space="preserve">
Department: ORTHOPEDICS
When: TUESDAY [**2141-4-25**] at 2:45 PM
With: [**Known firstname **] [**Last Name (NamePattern1) 2235**], MD [**Telephone/Fax (1) 1228**]
Building: [**Hospital6 29**] [**Location (un) 551**]
Campus: EAST     Best Parking: [**Hospital Ward Name 23**] Garage
</t>
        </is>
      </c>
    </row>
    <row r="1432">
      <c r="A1432" t="inlineStr">
        <is>
          <t>532865-allergies-0-0</t>
        </is>
      </c>
      <c r="B1432" t="inlineStr"/>
      <c r="C1432" t="inlineStr"/>
      <c r="D1432">
        <f>HYPERLINK("http://nlpdeep.cs.uic.edu:8080/proofing/t5/532865-allergies-0-0.pdf","t5/532865-allergies-0-0.pdf")</f>
        <v/>
      </c>
      <c r="E1432" t="n">
        <v>119960</v>
      </c>
      <c r="F1432" t="n">
        <v>532865</v>
      </c>
      <c r="G1432" t="inlineStr">
        <is>
          <t>Physician</t>
        </is>
      </c>
      <c r="H1432" t="inlineStr">
        <is>
          <t>allergies</t>
        </is>
      </c>
      <c r="I1432" t="inlineStr">
        <is>
          <t>Quinidine
   fever;
   Propranolol
   Aggitation;
   Heparin Agents
   Thrombocytopeni
   Warfarin
   GI bleed;
   Zolpidem
   Unknown;</t>
        </is>
      </c>
    </row>
    <row r="1433">
      <c r="A1433" t="inlineStr">
        <is>
          <t>532865-allergies-0-0</t>
        </is>
      </c>
      <c r="B1433" t="inlineStr"/>
      <c r="C1433" t="inlineStr"/>
      <c r="D1433">
        <f>HYPERLINK("http://nlpdeep.cs.uic.edu:8080/proofing/gsii/532865-allergies-0-0.pdf","gsii/532865-allergies-0-0.pdf")</f>
        <v/>
      </c>
      <c r="E1433" t="n">
        <v>119960</v>
      </c>
      <c r="F1433" t="n">
        <v>532865</v>
      </c>
      <c r="G1433" t="inlineStr">
        <is>
          <t>Physician</t>
        </is>
      </c>
      <c r="H1433" t="inlineStr">
        <is>
          <t>allergies</t>
        </is>
      </c>
      <c r="I1433" t="inlineStr">
        <is>
          <t>Quinidine
   fever;
   Propranolol
   Aggitation;
   Heparin Agents
   Thrombocytopeni
   Warfarin
   GI bleed;
   Zolpidem
   Unknown;</t>
        </is>
      </c>
    </row>
    <row r="1434">
      <c r="A1434" t="inlineStr">
        <is>
          <t>532865-last-dose-of-antibiotics-0-0</t>
        </is>
      </c>
      <c r="B1434" t="inlineStr"/>
      <c r="C1434" t="inlineStr"/>
      <c r="D1434">
        <f>HYPERLINK("http://nlpdeep.cs.uic.edu:8080/proofing/t5/532865-last-dose-of-antibiotics-0-0.pdf","t5/532865-last-dose-of-antibiotics-0-0.pdf")</f>
        <v/>
      </c>
      <c r="E1434" t="n">
        <v>119960</v>
      </c>
      <c r="F1434" t="n">
        <v>532865</v>
      </c>
      <c r="G1434" t="inlineStr">
        <is>
          <t>Physician</t>
        </is>
      </c>
      <c r="H1434" t="inlineStr">
        <is>
          <t>last-dose-of-antibiotics</t>
        </is>
      </c>
      <c r="I1434" t="inlineStr">
        <is>
          <t>Cefazolin - [**2141-4-8**] 03:00 A</t>
        </is>
      </c>
    </row>
    <row r="1435">
      <c r="A1435" t="inlineStr">
        <is>
          <t>532865-last-dose-of-antibiotics-0-0</t>
        </is>
      </c>
      <c r="B1435" t="inlineStr"/>
      <c r="C1435" t="inlineStr"/>
      <c r="D1435">
        <f>HYPERLINK("http://nlpdeep.cs.uic.edu:8080/proofing/gsii/532865-last-dose-of-antibiotics-0-0.pdf","gsii/532865-last-dose-of-antibiotics-0-0.pdf")</f>
        <v/>
      </c>
      <c r="E1435" t="n">
        <v>119960</v>
      </c>
      <c r="F1435" t="n">
        <v>532865</v>
      </c>
      <c r="G1435" t="inlineStr">
        <is>
          <t>Physician</t>
        </is>
      </c>
      <c r="H1435" t="inlineStr">
        <is>
          <t>last-dose-of-antibiotics</t>
        </is>
      </c>
      <c r="I1435" t="inlineStr">
        <is>
          <t>Cefazolin - [**2141-4-8**] 03:00 A</t>
        </is>
      </c>
    </row>
    <row r="1436">
      <c r="A1436" t="inlineStr">
        <is>
          <t>532865-other-medications-0-0</t>
        </is>
      </c>
      <c r="B1436" t="inlineStr"/>
      <c r="C1436" t="inlineStr"/>
      <c r="D1436">
        <f>HYPERLINK("http://nlpdeep.cs.uic.edu:8080/proofing/t5/532865-other-medications-0-0.pdf","t5/532865-other-medications-0-0.pdf")</f>
        <v/>
      </c>
      <c r="E1436" t="n">
        <v>119960</v>
      </c>
      <c r="F1436" t="n">
        <v>532865</v>
      </c>
      <c r="G1436" t="inlineStr">
        <is>
          <t>Physician</t>
        </is>
      </c>
      <c r="H1436" t="inlineStr">
        <is>
          <t>other-medications</t>
        </is>
      </c>
      <c r="I1436" t="inlineStr">
        <is>
          <t>Morphine Sulfate - [**2141-4-9**] 03:38 AM
   Other medications:</t>
        </is>
      </c>
    </row>
    <row r="1437">
      <c r="A1437" t="inlineStr">
        <is>
          <t>532865-other-medications-0-0</t>
        </is>
      </c>
      <c r="B1437" t="inlineStr"/>
      <c r="C1437" t="inlineStr"/>
      <c r="D1437">
        <f>HYPERLINK("http://nlpdeep.cs.uic.edu:8080/proofing/gsii/532865-other-medications-0-0.pdf","gsii/532865-other-medications-0-0.pdf")</f>
        <v/>
      </c>
      <c r="E1437" t="n">
        <v>119960</v>
      </c>
      <c r="F1437" t="n">
        <v>532865</v>
      </c>
      <c r="G1437" t="inlineStr">
        <is>
          <t>Physician</t>
        </is>
      </c>
      <c r="H1437" t="inlineStr">
        <is>
          <t>other-medications</t>
        </is>
      </c>
      <c r="I1437" t="inlineStr">
        <is>
          <t>Morphine Sulfate - [**2141-4-9**] 03:38 AM
   Other medications:</t>
        </is>
      </c>
    </row>
    <row r="1438">
      <c r="A1438" t="inlineStr">
        <is>
          <t>532865-past-medical-history-0-0</t>
        </is>
      </c>
      <c r="B1438" t="inlineStr"/>
      <c r="C1438" t="inlineStr"/>
      <c r="D1438">
        <f>HYPERLINK("http://nlpdeep.cs.uic.edu:8080/proofing/t5/532865-past-medical-history-0-0.pdf","t5/532865-past-medical-history-0-0.pdf")</f>
        <v/>
      </c>
      <c r="E1438" t="n">
        <v>119960</v>
      </c>
      <c r="F1438" t="n">
        <v>532865</v>
      </c>
      <c r="G1438" t="inlineStr">
        <is>
          <t>Physician</t>
        </is>
      </c>
      <c r="H1438" t="inlineStr">
        <is>
          <t>past-medical-history</t>
        </is>
      </c>
      <c r="I1438" t="inlineStr">
        <is>
          <t>N</t>
        </is>
      </c>
    </row>
    <row r="1439">
      <c r="A1439" t="inlineStr">
        <is>
          <t>532865-past-medical-history-0-0</t>
        </is>
      </c>
      <c r="B1439" t="inlineStr"/>
      <c r="C1439" t="inlineStr"/>
      <c r="D1439">
        <f>HYPERLINK("http://nlpdeep.cs.uic.edu:8080/proofing/gsii/532865-past-medical-history-0-0.pdf","gsii/532865-past-medical-history-0-0.pdf")</f>
        <v/>
      </c>
      <c r="E1439" t="n">
        <v>119960</v>
      </c>
      <c r="F1439" t="n">
        <v>532865</v>
      </c>
      <c r="G1439" t="inlineStr">
        <is>
          <t>Physician</t>
        </is>
      </c>
      <c r="H1439" t="inlineStr">
        <is>
          <t>past-medical-history</t>
        </is>
      </c>
      <c r="I1439" t="inlineStr">
        <is>
          <t>N</t>
        </is>
      </c>
    </row>
    <row r="1440">
      <c r="A1440" t="inlineStr">
        <is>
          <t>532865-review-of-systems-0-0</t>
        </is>
      </c>
      <c r="B1440" t="inlineStr"/>
      <c r="C1440" t="inlineStr"/>
      <c r="D1440">
        <f>HYPERLINK("http://nlpdeep.cs.uic.edu:8080/proofing/t5/532865-review-of-systems-0-0.pdf","t5/532865-review-of-systems-0-0.pdf")</f>
        <v/>
      </c>
      <c r="E1440" t="n">
        <v>119960</v>
      </c>
      <c r="F1440" t="n">
        <v>532865</v>
      </c>
      <c r="G1440" t="inlineStr">
        <is>
          <t>Physician</t>
        </is>
      </c>
      <c r="H1440" t="inlineStr">
        <is>
          <t>review-of-systems</t>
        </is>
      </c>
      <c r="I1440" t="inlineStr">
        <is>
          <t>N</t>
        </is>
      </c>
    </row>
    <row r="1441">
      <c r="A1441" t="inlineStr">
        <is>
          <t>532865-review-of-systems-0-0</t>
        </is>
      </c>
      <c r="B1441" t="inlineStr"/>
      <c r="C1441" t="inlineStr"/>
      <c r="D1441">
        <f>HYPERLINK("http://nlpdeep.cs.uic.edu:8080/proofing/gsii/532865-review-of-systems-0-0.pdf","gsii/532865-review-of-systems-0-0.pdf")</f>
        <v/>
      </c>
      <c r="E1441" t="n">
        <v>119960</v>
      </c>
      <c r="F1441" t="n">
        <v>532865</v>
      </c>
      <c r="G1441" t="inlineStr">
        <is>
          <t>Physician</t>
        </is>
      </c>
      <c r="H1441" t="inlineStr">
        <is>
          <t>review-of-systems</t>
        </is>
      </c>
      <c r="I1441" t="inlineStr">
        <is>
          <t>N</t>
        </is>
      </c>
    </row>
    <row r="1442">
      <c r="A1442" t="inlineStr">
        <is>
          <t>532865-flowsheet-data-vitals-0-0</t>
        </is>
      </c>
      <c r="B1442" t="inlineStr"/>
      <c r="C1442" t="inlineStr"/>
      <c r="D1442">
        <f>HYPERLINK("http://nlpdeep.cs.uic.edu:8080/proofing/t5/532865-flowsheet-data-vitals-0-0.pdf","t5/532865-flowsheet-data-vitals-0-0.pdf")</f>
        <v/>
      </c>
      <c r="E1442" t="n">
        <v>119960</v>
      </c>
      <c r="F1442" t="n">
        <v>532865</v>
      </c>
      <c r="G1442" t="inlineStr">
        <is>
          <t>Physician</t>
        </is>
      </c>
      <c r="H1442" t="inlineStr">
        <is>
          <t>flowsheet-data-vitals</t>
        </is>
      </c>
      <c r="I1442" t="inlineStr">
        <is>
          <t>as of  [**2141-4-9**] 07:35 AM
   Vital signs
   Hemodynamic monitoring
   Fluid balance
                                                                  24 hours
                                                               Since [**42**] AM
   Tmax: 36.6
C (97.9
   Tcurrent: 35.9
C (96.6
   HR: 82 (80 - 104) bpm
   BP: 107/70(79) {94/15(37) - 143/72(100)} mmHg
   RR: 21 (9 - 23) insp/min
   SpO2: 96%
   Heart rhythm: AF (Atrial Fibrillation)
                  Total In:
                                                                  2,042 mL
                                                                    150 mL
   PO:
                                                                    165 mL
                                                                    150 mL
   TF:
   IVF:
                                                                  1,527 mL
   Blood products:
                                                                    350 mL
   Total out:
                                                                    307 mL
                                                                    110 mL
   Urine:
                                                                    307 mL
                                                                    110 mL
   NG:
   Stool:
   Drains:
   Balance:
                                                                  1,735 mL
                                                                     40 mL
   Respiratory support
   O2 Delivery Device: Nasal cannula
   SpO2: 96%
   ABG: ///24/</t>
        </is>
      </c>
    </row>
    <row r="1443">
      <c r="A1443" t="inlineStr">
        <is>
          <t>532865-flowsheet-data-vitals-0-0</t>
        </is>
      </c>
      <c r="B1443" t="inlineStr"/>
      <c r="C1443" t="inlineStr"/>
      <c r="D1443">
        <f>HYPERLINK("http://nlpdeep.cs.uic.edu:8080/proofing/gsii/532865-flowsheet-data-vitals-0-0.pdf","gsii/532865-flowsheet-data-vitals-0-0.pdf")</f>
        <v/>
      </c>
      <c r="E1443" t="n">
        <v>119960</v>
      </c>
      <c r="F1443" t="n">
        <v>532865</v>
      </c>
      <c r="G1443" t="inlineStr">
        <is>
          <t>Physician</t>
        </is>
      </c>
      <c r="H1443" t="inlineStr">
        <is>
          <t>flowsheet-data-vitals</t>
        </is>
      </c>
      <c r="I1443" t="inlineStr">
        <is>
          <t>as of  [**2141-4-9**] 07:35 AM
   Vital signs
   Hemodynamic monitoring
   Fluid balance
                                                                  24 hours
                                                               Since [**42**] AM
   Tmax: 36.6
C (97.9
   Tcurrent: 35.9
C (96.6
   HR: 82 (80 - 104) bpm
   BP: 107/70(79) {94/15(37) - 143/72(100)} mmHg
   RR: 21 (9 - 23) insp/min
   SpO2: 96%
   Heart rhythm: AF (Atrial Fibrillation)
                  Total In:
                                                                  2,042 mL
                                                                    150 mL
   PO:
                                                                    165 mL
                                                                    150 mL
   TF:
   IVF:
                                                                  1,527 mL
   Blood products:
                                                                    350 mL
   Total out:
                                                                    307 mL
                                                                    110 mL
   Urine:
                                                                    307 mL
                                                                    110 mL
   NG:
   Stool:
   Drains:
   Balance:
                                                                  1,735 mL
                                                                     40 mL
   Respiratory support
   O2 Delivery Device: Nasal cannula
   SpO2: 96%
   ABG: ///24/</t>
        </is>
      </c>
    </row>
    <row r="1444">
      <c r="A1444" t="inlineStr">
        <is>
          <t>532865-physical-examination-0-0</t>
        </is>
      </c>
      <c r="B1444" t="inlineStr"/>
      <c r="C1444" t="inlineStr"/>
      <c r="D1444">
        <f>HYPERLINK("http://nlpdeep.cs.uic.edu:8080/proofing/t5/532865-physical-examination-0-0.pdf","t5/532865-physical-examination-0-0.pdf")</f>
        <v/>
      </c>
      <c r="E1444" t="n">
        <v>119960</v>
      </c>
      <c r="F1444" t="n">
        <v>532865</v>
      </c>
      <c r="G1444" t="inlineStr">
        <is>
          <t>Physician</t>
        </is>
      </c>
      <c r="H1444" t="inlineStr">
        <is>
          <t>physical-examination</t>
        </is>
      </c>
      <c r="I1444" t="inlineStr">
        <is>
          <t>General: Alert, oriented, NAD
   HEENT: Sclera anicteric, MMM
   Neck: supple, JVP 11 cm
   Lungs: Clear to auscultation bilaterally anteriorly, no wheezes, rales,
   ronchi
   CV: Irregularly irregular rhythm, normal rate, distant heart sounds, no
   murmurs, rubs, gallops
   ABD:  soft, non-tender, non-distended, bowel sounds present, no rebound
   tenderness or guarding
   GU: foley
   Ext: left hip dressing c/d/I.</t>
        </is>
      </c>
    </row>
    <row r="1445">
      <c r="A1445" t="inlineStr">
        <is>
          <t>532865-physical-examination-0-0</t>
        </is>
      </c>
      <c r="B1445" t="inlineStr"/>
      <c r="C1445" t="inlineStr"/>
      <c r="D1445">
        <f>HYPERLINK("http://nlpdeep.cs.uic.edu:8080/proofing/gsii/532865-physical-examination-0-0.pdf","gsii/532865-physical-examination-0-0.pdf")</f>
        <v/>
      </c>
      <c r="E1445" t="n">
        <v>119960</v>
      </c>
      <c r="F1445" t="n">
        <v>532865</v>
      </c>
      <c r="G1445" t="inlineStr">
        <is>
          <t>Physician</t>
        </is>
      </c>
      <c r="H1445" t="inlineStr">
        <is>
          <t>physical-examination</t>
        </is>
      </c>
      <c r="I1445" t="inlineStr">
        <is>
          <t>General: Alert, oriented, NAD
   HEENT: Sclera anicteric, MMM
   Neck: supple, JVP 11 cm
   Lungs: Clear to auscultation bilaterally anteriorly, no wheezes, rales,
   ronchi
   CV: Irregularly irregular rhythm, normal rate, distant heart sounds, no
   murmurs, rubs, gallops
   ABD:  soft, non-tender, non-distended, bowel sounds present, no rebound
   tenderness or guarding
   GU: foley
   Ext: left hip dressing c/d/I.</t>
        </is>
      </c>
    </row>
    <row r="1446">
      <c r="A1446" t="inlineStr">
        <is>
          <t>532865-physical-examination-0-1</t>
        </is>
      </c>
      <c r="B1446" t="inlineStr"/>
      <c r="C1446" t="inlineStr"/>
      <c r="D1446">
        <f>HYPERLINK("http://nlpdeep.cs.uic.edu:8080/proofing/t5/532865-physical-examination-0-1.pdf","t5/532865-physical-examination-0-1.pdf")</f>
        <v/>
      </c>
      <c r="E1446" t="n">
        <v>119960</v>
      </c>
      <c r="F1446" t="n">
        <v>532865</v>
      </c>
      <c r="G1446" t="inlineStr">
        <is>
          <t>Physician</t>
        </is>
      </c>
      <c r="H1446" t="inlineStr">
        <is>
          <t>physical-examination</t>
        </is>
      </c>
      <c r="I1446" t="inlineStr">
        <is>
          <t xml:space="preserve"> Normal sensation and distal pulses.</t>
        </is>
      </c>
    </row>
    <row r="1447">
      <c r="A1447" t="inlineStr">
        <is>
          <t>532865-physical-examination-0-1</t>
        </is>
      </c>
      <c r="B1447" t="inlineStr"/>
      <c r="C1447" t="inlineStr"/>
      <c r="D1447">
        <f>HYPERLINK("http://nlpdeep.cs.uic.edu:8080/proofing/gsii/532865-physical-examination-0-1.pdf","gsii/532865-physical-examination-0-1.pdf")</f>
        <v/>
      </c>
      <c r="E1447" t="n">
        <v>119960</v>
      </c>
      <c r="F1447" t="n">
        <v>532865</v>
      </c>
      <c r="G1447" t="inlineStr">
        <is>
          <t>Physician</t>
        </is>
      </c>
      <c r="H1447" t="inlineStr">
        <is>
          <t>physical-examination</t>
        </is>
      </c>
      <c r="I1447" t="inlineStr">
        <is>
          <t xml:space="preserve"> Normal sensation and distal pulses.</t>
        </is>
      </c>
    </row>
    <row r="1448">
      <c r="A1448" t="inlineStr">
        <is>
          <t>532865-labs-imaging-0-0</t>
        </is>
      </c>
      <c r="B1448" t="inlineStr"/>
      <c r="C1448" t="inlineStr"/>
      <c r="D1448">
        <f>HYPERLINK("http://nlpdeep.cs.uic.edu:8080/proofing/t5/532865-labs-imaging-0-0.pdf","t5/532865-labs-imaging-0-0.pdf")</f>
        <v/>
      </c>
      <c r="E1448" t="n">
        <v>119960</v>
      </c>
      <c r="F1448" t="n">
        <v>532865</v>
      </c>
      <c r="G1448" t="inlineStr">
        <is>
          <t>Physician</t>
        </is>
      </c>
      <c r="H1448" t="inlineStr">
        <is>
          <t>labs-imaging</t>
        </is>
      </c>
      <c r="I1448" t="inlineStr">
        <is>
          <t>121 K/uL
   8.7 g/dL
   65 mg/dL
   3.9 mg/dL
   24 mEq/L
   5.3 mEq/L
   69 mg/dL
   106 mEq/L
   144 mEq/L
   25.4 %
   8.0 K/uL
        [image002.jpg]
                             [**2141-4-6**]  08:20 PM
                             [**2141-4-7**]  04:57 AM
                             [**2141-4-7**]  12:45 PM
                             [**2141-4-7**]  04:12 PM
                             [**2141-4-7**]  05:30 PM
                             [**2141-4-7**]  11:17 PM
                             [**2141-4-8**]  02:48 AM
                             [**2141-4-8**]  02:09 PM
                             [**2141-4-8**]  08:46 PM
                             [**2141-4-9**]  02:57 AM
   WBC
   8.2
   5.9
   9.5
   7.7
   8.0
   Hct
   22.8
   29.7
   26.1
   32
   28.0
   25.5
   24.2
   23.2
   25.0
   25.4
   Plt
   128
   110
   131
   127
   121
   Cr
   2.4
   2.9
   3.2
   3.6
   3.9
   TCO2
   25
   Glucose
   106
   60
   78
   71
   67
   65
   Other labs: PT / PTT / INR:16.0/40.0/1.4, Lactic Acid:1.7 mmol/L,
   Ca++:8.5 mg/dL, Mg++:2.0 mg/dL, PO4:6.3 mg/d</t>
        </is>
      </c>
    </row>
    <row r="1449">
      <c r="A1449" t="inlineStr">
        <is>
          <t>532865-labs-imaging-0-0</t>
        </is>
      </c>
      <c r="B1449" t="inlineStr"/>
      <c r="C1449" t="inlineStr"/>
      <c r="D1449">
        <f>HYPERLINK("http://nlpdeep.cs.uic.edu:8080/proofing/gsii/532865-labs-imaging-0-0.pdf","gsii/532865-labs-imaging-0-0.pdf")</f>
        <v/>
      </c>
      <c r="E1449" t="n">
        <v>119960</v>
      </c>
      <c r="F1449" t="n">
        <v>532865</v>
      </c>
      <c r="G1449" t="inlineStr">
        <is>
          <t>Physician</t>
        </is>
      </c>
      <c r="H1449" t="inlineStr">
        <is>
          <t>labs-imaging</t>
        </is>
      </c>
      <c r="I1449" t="inlineStr">
        <is>
          <t>121 K/uL
   8.7 g/dL
   65 mg/dL
   3.9 mg/dL
   24 mEq/L
   5.3 mEq/L
   69 mg/dL
   106 mEq/L
   144 mEq/L
   25.4 %
   8.0 K/uL
        [image002.jpg]
                             [**2141-4-6**]  08:20 PM
                             [**2141-4-7**]  04:57 AM
                             [**2141-4-7**]  12:45 PM
                             [**2141-4-7**]  04:12 PM
                             [**2141-4-7**]  05:30 PM
                             [**2141-4-7**]  11:17 PM
                             [**2141-4-8**]  02:48 AM
                             [**2141-4-8**]  02:09 PM
                             [**2141-4-8**]  08:46 PM
                             [**2141-4-9**]  02:57 AM
   WBC
   8.2
   5.9
   9.5
   7.7
   8.0
   Hct
   22.8
   29.7
   26.1
   32
   28.0
   25.5
   24.2
   23.2
   25.0
   25.4
   Plt
   128
   110
   131
   127
   121
   Cr
   2.4
   2.9
   3.2
   3.6
   3.9
   TCO2
   25
   Glucose
   106
   60
   78
   71
   67
   65
   Other labs: PT / PTT / INR:16.0/40.0/1.4, Lactic Acid:1.7 mmol/L,
   Ca++:8.5 mg/dL, Mg++:2.0 mg/dL, PO4:6.3 mg/d</t>
        </is>
      </c>
    </row>
    <row r="1450">
      <c r="A1450" t="inlineStr">
        <is>
          <t>532865-assessment-and-plan-0-0</t>
        </is>
      </c>
      <c r="B1450" t="inlineStr"/>
      <c r="C1450" t="inlineStr"/>
      <c r="D1450">
        <f>HYPERLINK("http://nlpdeep.cs.uic.edu:8080/proofing/t5/532865-assessment-and-plan-0-0.pdf","t5/532865-assessment-and-plan-0-0.pdf")</f>
        <v/>
      </c>
      <c r="E1450" t="n">
        <v>119960</v>
      </c>
      <c r="F1450" t="n">
        <v>532865</v>
      </c>
      <c r="G1450" t="inlineStr">
        <is>
          <t>Physician</t>
        </is>
      </c>
      <c r="H1450" t="inlineStr">
        <is>
          <t>assessment-and-plan</t>
        </is>
      </c>
      <c r="I1450" t="inlineStr">
        <is>
          <t>Comments:</t>
        </is>
      </c>
    </row>
    <row r="1451">
      <c r="A1451" t="inlineStr">
        <is>
          <t>532865-assessment-and-plan-0-0</t>
        </is>
      </c>
      <c r="B1451" t="inlineStr"/>
      <c r="C1451" t="inlineStr"/>
      <c r="D1451">
        <f>HYPERLINK("http://nlpdeep.cs.uic.edu:8080/proofing/gsii/532865-assessment-and-plan-0-0.pdf","gsii/532865-assessment-and-plan-0-0.pdf")</f>
        <v/>
      </c>
      <c r="E1451" t="n">
        <v>119960</v>
      </c>
      <c r="F1451" t="n">
        <v>532865</v>
      </c>
      <c r="G1451" t="inlineStr">
        <is>
          <t>Physician</t>
        </is>
      </c>
      <c r="H1451" t="inlineStr">
        <is>
          <t>assessment-and-plan</t>
        </is>
      </c>
      <c r="I1451" t="inlineStr">
        <is>
          <t>Comments:</t>
        </is>
      </c>
    </row>
    <row r="1452">
      <c r="A1452" t="inlineStr">
        <is>
          <t>532865-code-status-0-0</t>
        </is>
      </c>
      <c r="B1452" t="inlineStr"/>
      <c r="C1452" t="inlineStr"/>
      <c r="D1452">
        <f>HYPERLINK("http://nlpdeep.cs.uic.edu:8080/proofing/t5/532865-code-status-0-0.pdf","t5/532865-code-status-0-0.pdf")</f>
        <v/>
      </c>
      <c r="E1452" t="n">
        <v>119960</v>
      </c>
      <c r="F1452" t="n">
        <v>532865</v>
      </c>
      <c r="G1452" t="inlineStr">
        <is>
          <t>Physician</t>
        </is>
      </c>
      <c r="H1452" t="inlineStr">
        <is>
          <t>code-status</t>
        </is>
      </c>
      <c r="I1452" t="inlineStr">
        <is>
          <t>Full c</t>
        </is>
      </c>
    </row>
    <row r="1453">
      <c r="A1453" t="inlineStr">
        <is>
          <t>532865-code-status-0-0</t>
        </is>
      </c>
      <c r="B1453" t="inlineStr"/>
      <c r="C1453" t="inlineStr"/>
      <c r="D1453">
        <f>HYPERLINK("http://nlpdeep.cs.uic.edu:8080/proofing/gsii/532865-code-status-0-0.pdf","gsii/532865-code-status-0-0.pdf")</f>
        <v/>
      </c>
      <c r="E1453" t="n">
        <v>119960</v>
      </c>
      <c r="F1453" t="n">
        <v>532865</v>
      </c>
      <c r="G1453" t="inlineStr">
        <is>
          <t>Physician</t>
        </is>
      </c>
      <c r="H1453" t="inlineStr">
        <is>
          <t>code-status</t>
        </is>
      </c>
      <c r="I1453" t="inlineStr">
        <is>
          <t>Full c</t>
        </is>
      </c>
    </row>
    <row r="1454">
      <c r="A1454" t="inlineStr">
        <is>
          <t>532410-chief-complaint-0-0</t>
        </is>
      </c>
      <c r="B1454" t="inlineStr"/>
      <c r="C1454" t="inlineStr"/>
      <c r="D1454">
        <f>HYPERLINK("http://nlpdeep.cs.uic.edu:8080/proofing/t5/532410-chief-complaint-0-0.pdf","t5/532410-chief-complaint-0-0.pdf")</f>
        <v/>
      </c>
      <c r="E1454" t="n">
        <v>119960</v>
      </c>
      <c r="F1454" t="n">
        <v>532410</v>
      </c>
      <c r="G1454" t="inlineStr">
        <is>
          <t>Physician</t>
        </is>
      </c>
      <c r="H1454" t="inlineStr">
        <is>
          <t>chief-complaint</t>
        </is>
      </c>
      <c r="I1454" t="inlineStr">
        <is>
          <t>hypotension, h</t>
        </is>
      </c>
    </row>
    <row r="1455">
      <c r="A1455" t="inlineStr">
        <is>
          <t>532410-chief-complaint-0-0</t>
        </is>
      </c>
      <c r="B1455" t="inlineStr"/>
      <c r="C1455" t="inlineStr"/>
      <c r="D1455">
        <f>HYPERLINK("http://nlpdeep.cs.uic.edu:8080/proofing/gsii/532410-chief-complaint-0-0.pdf","gsii/532410-chief-complaint-0-0.pdf")</f>
        <v/>
      </c>
      <c r="E1455" t="n">
        <v>119960</v>
      </c>
      <c r="F1455" t="n">
        <v>532410</v>
      </c>
      <c r="G1455" t="inlineStr">
        <is>
          <t>Physician</t>
        </is>
      </c>
      <c r="H1455" t="inlineStr">
        <is>
          <t>chief-complaint</t>
        </is>
      </c>
      <c r="I1455" t="inlineStr">
        <is>
          <t>hypotension, h</t>
        </is>
      </c>
    </row>
    <row r="1456">
      <c r="A1456" t="inlineStr">
        <is>
          <t>532410-history-of-present-illness-0-0</t>
        </is>
      </c>
      <c r="B1456" t="inlineStr"/>
      <c r="C1456" t="inlineStr"/>
      <c r="D1456">
        <f>HYPERLINK("http://nlpdeep.cs.uic.edu:8080/proofing/t5/532410-history-of-present-illness-0-0.pdf","t5/532410-history-of-present-illness-0-0.pdf")</f>
        <v/>
      </c>
      <c r="E1456" t="n">
        <v>119960</v>
      </c>
      <c r="F1456" t="n">
        <v>532410</v>
      </c>
      <c r="G1456" t="inlineStr">
        <is>
          <t>Physician</t>
        </is>
      </c>
      <c r="H1456" t="inlineStr">
        <is>
          <t>history-of-present-illness</t>
        </is>
      </c>
      <c r="I1456" t="inlineStr">
        <is>
          <t>Mr. [**Known lastname 14060**] is an 87 yo male with a history of diastolic CHF (EF 65%
   1/10), AFib not on coumadin, mild AS, stage IV CKD, and HTN, who
   presented from acute rehab after falling at his nursing home.</t>
        </is>
      </c>
    </row>
    <row r="1457">
      <c r="A1457" t="inlineStr">
        <is>
          <t>532410-history-of-present-illness-0-0</t>
        </is>
      </c>
      <c r="B1457" t="inlineStr"/>
      <c r="C1457" t="inlineStr"/>
      <c r="D1457">
        <f>HYPERLINK("http://nlpdeep.cs.uic.edu:8080/proofing/gsii/532410-history-of-present-illness-0-0.pdf","gsii/532410-history-of-present-illness-0-0.pdf")</f>
        <v/>
      </c>
      <c r="E1457" t="n">
        <v>119960</v>
      </c>
      <c r="F1457" t="n">
        <v>532410</v>
      </c>
      <c r="G1457" t="inlineStr">
        <is>
          <t>Physician</t>
        </is>
      </c>
      <c r="H1457" t="inlineStr">
        <is>
          <t>history-of-present-illness</t>
        </is>
      </c>
      <c r="I1457" t="inlineStr">
        <is>
          <t>Mr. [**Known lastname 14060**] is an 87 yo male with a history of diastolic CHF (EF 65%
   1/10), AFib not on coumadin, mild AS, stage IV CKD, and HTN, who
   presented from acute rehab after falling at his nursing home.</t>
        </is>
      </c>
    </row>
    <row r="1458">
      <c r="A1458" t="inlineStr">
        <is>
          <t>532410-history-of-present-illness-0-1</t>
        </is>
      </c>
      <c r="B1458" t="inlineStr"/>
      <c r="C1458" t="inlineStr"/>
      <c r="D1458">
        <f>HYPERLINK("http://nlpdeep.cs.uic.edu:8080/proofing/t5/532410-history-of-present-illness-0-1.pdf","t5/532410-history-of-present-illness-0-1.pdf")</f>
        <v/>
      </c>
      <c r="E1458" t="n">
        <v>119960</v>
      </c>
      <c r="F1458" t="n">
        <v>532410</v>
      </c>
      <c r="G1458" t="inlineStr">
        <is>
          <t>Physician</t>
        </is>
      </c>
      <c r="H1458" t="inlineStr">
        <is>
          <t>history-of-present-illness</t>
        </is>
      </c>
      <c r="I1458" t="inlineStr">
        <is>
          <t xml:space="preserve">
   Yesterday he had been feeling well, walking with PT (using a walker)
   and feeling well.</t>
        </is>
      </c>
    </row>
    <row r="1459">
      <c r="A1459" t="inlineStr">
        <is>
          <t>532410-history-of-present-illness-0-1</t>
        </is>
      </c>
      <c r="B1459" t="inlineStr"/>
      <c r="C1459" t="inlineStr"/>
      <c r="D1459">
        <f>HYPERLINK("http://nlpdeep.cs.uic.edu:8080/proofing/gsii/532410-history-of-present-illness-0-1.pdf","gsii/532410-history-of-present-illness-0-1.pdf")</f>
        <v/>
      </c>
      <c r="E1459" t="n">
        <v>119960</v>
      </c>
      <c r="F1459" t="n">
        <v>532410</v>
      </c>
      <c r="G1459" t="inlineStr">
        <is>
          <t>Physician</t>
        </is>
      </c>
      <c r="H1459" t="inlineStr">
        <is>
          <t>history-of-present-illness</t>
        </is>
      </c>
      <c r="I1459" t="inlineStr">
        <is>
          <t xml:space="preserve">
   Yesterday he had been feeling well, walking with PT (using a walker)
   and feeling well.</t>
        </is>
      </c>
    </row>
    <row r="1460">
      <c r="A1460" t="inlineStr">
        <is>
          <t>532410-history-of-present-illness-0-2</t>
        </is>
      </c>
      <c r="B1460" t="inlineStr"/>
      <c r="C1460" t="inlineStr"/>
      <c r="D1460">
        <f>HYPERLINK("http://nlpdeep.cs.uic.edu:8080/proofing/t5/532410-history-of-present-illness-0-2.pdf","t5/532410-history-of-present-illness-0-2.pdf")</f>
        <v/>
      </c>
      <c r="E1460" t="n">
        <v>119960</v>
      </c>
      <c r="F1460" t="n">
        <v>532410</v>
      </c>
      <c r="G1460" t="inlineStr">
        <is>
          <t>Physician</t>
        </is>
      </c>
      <c r="H1460" t="inlineStr">
        <is>
          <t>history-of-present-illness</t>
        </is>
      </c>
      <c r="I1460" t="inlineStr">
        <is>
          <t>Today he was reaching onto a shelf for batteries when
   he turned too quickly and twisted his left foot under him, falling on
   his left side and left arm.</t>
        </is>
      </c>
    </row>
    <row r="1461">
      <c r="A1461" t="inlineStr">
        <is>
          <t>532410-history-of-present-illness-0-2</t>
        </is>
      </c>
      <c r="B1461" t="inlineStr"/>
      <c r="C1461" t="inlineStr"/>
      <c r="D1461">
        <f>HYPERLINK("http://nlpdeep.cs.uic.edu:8080/proofing/gsii/532410-history-of-present-illness-0-2.pdf","gsii/532410-history-of-present-illness-0-2.pdf")</f>
        <v/>
      </c>
      <c r="E1461" t="n">
        <v>119960</v>
      </c>
      <c r="F1461" t="n">
        <v>532410</v>
      </c>
      <c r="G1461" t="inlineStr">
        <is>
          <t>Physician</t>
        </is>
      </c>
      <c r="H1461" t="inlineStr">
        <is>
          <t>history-of-present-illness</t>
        </is>
      </c>
      <c r="I1461" t="inlineStr">
        <is>
          <t>Today he was reaching onto a shelf for batteries when
   he turned too quickly and twisted his left foot under him, falling on
   his left side and left arm.</t>
        </is>
      </c>
    </row>
    <row r="1462">
      <c r="A1462" t="inlineStr">
        <is>
          <t>532410-history-of-present-illness-0-3</t>
        </is>
      </c>
      <c r="B1462" t="inlineStr"/>
      <c r="C1462" t="inlineStr"/>
      <c r="D1462">
        <f>HYPERLINK("http://nlpdeep.cs.uic.edu:8080/proofing/t5/532410-history-of-present-illness-0-3.pdf","t5/532410-history-of-present-illness-0-3.pdf")</f>
        <v/>
      </c>
      <c r="E1462" t="n">
        <v>119960</v>
      </c>
      <c r="F1462" t="n">
        <v>532410</v>
      </c>
      <c r="G1462" t="inlineStr">
        <is>
          <t>Physician</t>
        </is>
      </c>
      <c r="H1462" t="inlineStr">
        <is>
          <t>history-of-present-illness</t>
        </is>
      </c>
      <c r="I1462" t="inlineStr">
        <is>
          <t>He was sent from rehab to the ED.</t>
        </is>
      </c>
    </row>
    <row r="1463">
      <c r="A1463" t="inlineStr">
        <is>
          <t>532410-history-of-present-illness-0-3</t>
        </is>
      </c>
      <c r="B1463" t="inlineStr"/>
      <c r="C1463" t="inlineStr"/>
      <c r="D1463">
        <f>HYPERLINK("http://nlpdeep.cs.uic.edu:8080/proofing/gsii/532410-history-of-present-illness-0-3.pdf","gsii/532410-history-of-present-illness-0-3.pdf")</f>
        <v/>
      </c>
      <c r="E1463" t="n">
        <v>119960</v>
      </c>
      <c r="F1463" t="n">
        <v>532410</v>
      </c>
      <c r="G1463" t="inlineStr">
        <is>
          <t>Physician</t>
        </is>
      </c>
      <c r="H1463" t="inlineStr">
        <is>
          <t>history-of-present-illness</t>
        </is>
      </c>
      <c r="I1463" t="inlineStr">
        <is>
          <t>He was sent from rehab to the ED.</t>
        </is>
      </c>
    </row>
    <row r="1464">
      <c r="A1464" t="inlineStr">
        <is>
          <t>532410-history-of-present-illness-0-4</t>
        </is>
      </c>
      <c r="B1464" t="inlineStr"/>
      <c r="C1464" t="inlineStr"/>
      <c r="D1464">
        <f>HYPERLINK("http://nlpdeep.cs.uic.edu:8080/proofing/t5/532410-history-of-present-illness-0-4.pdf","t5/532410-history-of-present-illness-0-4.pdf")</f>
        <v/>
      </c>
      <c r="E1464" t="n">
        <v>119960</v>
      </c>
      <c r="F1464" t="n">
        <v>532410</v>
      </c>
      <c r="G1464" t="inlineStr">
        <is>
          <t>Physician</t>
        </is>
      </c>
      <c r="H1464" t="inlineStr">
        <is>
          <t>history-of-present-illness</t>
        </is>
      </c>
      <c r="I1464" t="inlineStr">
        <is>
          <t xml:space="preserve"> On exam,
   his hip was externally rotated and shortened.</t>
        </is>
      </c>
    </row>
    <row r="1465">
      <c r="A1465" t="inlineStr">
        <is>
          <t>532410-history-of-present-illness-0-4</t>
        </is>
      </c>
      <c r="B1465" t="inlineStr"/>
      <c r="C1465" t="inlineStr"/>
      <c r="D1465">
        <f>HYPERLINK("http://nlpdeep.cs.uic.edu:8080/proofing/gsii/532410-history-of-present-illness-0-4.pdf","gsii/532410-history-of-present-illness-0-4.pdf")</f>
        <v/>
      </c>
      <c r="E1465" t="n">
        <v>119960</v>
      </c>
      <c r="F1465" t="n">
        <v>532410</v>
      </c>
      <c r="G1465" t="inlineStr">
        <is>
          <t>Physician</t>
        </is>
      </c>
      <c r="H1465" t="inlineStr">
        <is>
          <t>history-of-present-illness</t>
        </is>
      </c>
      <c r="I1465" t="inlineStr">
        <is>
          <t xml:space="preserve"> On exam,
   his hip was externally rotated and shortened.</t>
        </is>
      </c>
    </row>
    <row r="1466">
      <c r="A1466" t="inlineStr">
        <is>
          <t>532410-history-of-present-illness-0-5</t>
        </is>
      </c>
      <c r="B1466" t="inlineStr"/>
      <c r="C1466" t="inlineStr"/>
      <c r="D1466">
        <f>HYPERLINK("http://nlpdeep.cs.uic.edu:8080/proofing/t5/532410-history-of-present-illness-0-5.pdf","t5/532410-history-of-present-illness-0-5.pdf")</f>
        <v/>
      </c>
      <c r="E1466" t="n">
        <v>119960</v>
      </c>
      <c r="F1466" t="n">
        <v>532410</v>
      </c>
      <c r="G1466" t="inlineStr">
        <is>
          <t>Physician</t>
        </is>
      </c>
      <c r="H1466" t="inlineStr">
        <is>
          <t>history-of-present-illness</t>
        </is>
      </c>
      <c r="I1466" t="inlineStr">
        <is>
          <t xml:space="preserve"> He had no other
   complaints and denied loss of consciousness or hitting his head on the
   fall.</t>
        </is>
      </c>
    </row>
    <row r="1467">
      <c r="A1467" t="inlineStr">
        <is>
          <t>532410-history-of-present-illness-0-5</t>
        </is>
      </c>
      <c r="B1467" t="inlineStr"/>
      <c r="C1467" t="inlineStr"/>
      <c r="D1467">
        <f>HYPERLINK("http://nlpdeep.cs.uic.edu:8080/proofing/gsii/532410-history-of-present-illness-0-5.pdf","gsii/532410-history-of-present-illness-0-5.pdf")</f>
        <v/>
      </c>
      <c r="E1467" t="n">
        <v>119960</v>
      </c>
      <c r="F1467" t="n">
        <v>532410</v>
      </c>
      <c r="G1467" t="inlineStr">
        <is>
          <t>Physician</t>
        </is>
      </c>
      <c r="H1467" t="inlineStr">
        <is>
          <t>history-of-present-illness</t>
        </is>
      </c>
      <c r="I1467" t="inlineStr">
        <is>
          <t xml:space="preserve"> He had no other
   complaints and denied loss of consciousness or hitting his head on the
   fall.</t>
        </is>
      </c>
    </row>
    <row r="1468">
      <c r="A1468" t="inlineStr">
        <is>
          <t>532410-history-of-present-illness-0-6</t>
        </is>
      </c>
      <c r="B1468" t="inlineStr"/>
      <c r="C1468" t="inlineStr"/>
      <c r="D1468">
        <f>HYPERLINK("http://nlpdeep.cs.uic.edu:8080/proofing/t5/532410-history-of-present-illness-0-6.pdf","t5/532410-history-of-present-illness-0-6.pdf")</f>
        <v/>
      </c>
      <c r="E1468" t="n">
        <v>119960</v>
      </c>
      <c r="F1468" t="n">
        <v>532410</v>
      </c>
      <c r="G1468" t="inlineStr">
        <is>
          <t>Physician</t>
        </is>
      </c>
      <c r="H1468" t="inlineStr">
        <is>
          <t>history-of-present-illness</t>
        </is>
      </c>
      <c r="I1468" t="inlineStr">
        <is>
          <t xml:space="preserve"> Hct was 29.6 at rehab, Na 142, K 4.0, BUN 51, Creat 2.1, WBC
   6.8, Plt 215.</t>
        </is>
      </c>
    </row>
    <row r="1469">
      <c r="A1469" t="inlineStr">
        <is>
          <t>532410-history-of-present-illness-0-6</t>
        </is>
      </c>
      <c r="B1469" t="inlineStr"/>
      <c r="C1469" t="inlineStr"/>
      <c r="D1469">
        <f>HYPERLINK("http://nlpdeep.cs.uic.edu:8080/proofing/gsii/532410-history-of-present-illness-0-6.pdf","gsii/532410-history-of-present-illness-0-6.pdf")</f>
        <v/>
      </c>
      <c r="E1469" t="n">
        <v>119960</v>
      </c>
      <c r="F1469" t="n">
        <v>532410</v>
      </c>
      <c r="G1469" t="inlineStr">
        <is>
          <t>Physician</t>
        </is>
      </c>
      <c r="H1469" t="inlineStr">
        <is>
          <t>history-of-present-illness</t>
        </is>
      </c>
      <c r="I1469" t="inlineStr">
        <is>
          <t xml:space="preserve"> Hct was 29.6 at rehab, Na 142, K 4.0, BUN 51, Creat 2.1, WBC
   6.8, Plt 215.</t>
        </is>
      </c>
    </row>
    <row r="1470">
      <c r="A1470" t="inlineStr">
        <is>
          <t>532410-history-of-present-illness-1-0</t>
        </is>
      </c>
      <c r="B1470" t="inlineStr"/>
      <c r="C1470" t="inlineStr"/>
      <c r="D1470">
        <f>HYPERLINK("http://nlpdeep.cs.uic.edu:8080/proofing/t5/532410-history-of-present-illness-1-0.pdf","t5/532410-history-of-present-illness-1-0.pdf")</f>
        <v/>
      </c>
      <c r="E1470" t="n">
        <v>119960</v>
      </c>
      <c r="F1470" t="n">
        <v>532410</v>
      </c>
      <c r="G1470" t="inlineStr">
        <is>
          <t>Physician</t>
        </is>
      </c>
      <c r="H1470" t="inlineStr">
        <is>
          <t>history-of-present-illness</t>
        </is>
      </c>
      <c r="I1470" t="inlineStr">
        <is>
          <t xml:space="preserve">
   In the ED, triage vs were: T 96.3 P 60 BP 107/62 R 16 O2 sat 96% on RA,
   but he was then found to have systolic BP of 83-90s on exam.</t>
        </is>
      </c>
    </row>
    <row r="1471">
      <c r="A1471" t="inlineStr">
        <is>
          <t>532410-history-of-present-illness-1-0</t>
        </is>
      </c>
      <c r="B1471" t="inlineStr"/>
      <c r="C1471" t="inlineStr"/>
      <c r="D1471">
        <f>HYPERLINK("http://nlpdeep.cs.uic.edu:8080/proofing/gsii/532410-history-of-present-illness-1-0.pdf","gsii/532410-history-of-present-illness-1-0.pdf")</f>
        <v/>
      </c>
      <c r="E1471" t="n">
        <v>119960</v>
      </c>
      <c r="F1471" t="n">
        <v>532410</v>
      </c>
      <c r="G1471" t="inlineStr">
        <is>
          <t>Physician</t>
        </is>
      </c>
      <c r="H1471" t="inlineStr">
        <is>
          <t>history-of-present-illness</t>
        </is>
      </c>
      <c r="I1471" t="inlineStr">
        <is>
          <t xml:space="preserve">
   In the ED, triage vs were: T 96.3 P 60 BP 107/62 R 16 O2 sat 96% on RA,
   but he was then found to have systolic BP of 83-90s on exam.</t>
        </is>
      </c>
    </row>
    <row r="1472">
      <c r="A1472" t="inlineStr">
        <is>
          <t>532410-history-of-present-illness-1-1</t>
        </is>
      </c>
      <c r="B1472" t="inlineStr"/>
      <c r="C1472" t="inlineStr"/>
      <c r="D1472">
        <f>HYPERLINK("http://nlpdeep.cs.uic.edu:8080/proofing/t5/532410-history-of-present-illness-1-1.pdf","t5/532410-history-of-present-illness-1-1.pdf")</f>
        <v/>
      </c>
      <c r="E1472" t="n">
        <v>119960</v>
      </c>
      <c r="F1472" t="n">
        <v>532410</v>
      </c>
      <c r="G1472" t="inlineStr">
        <is>
          <t>Physician</t>
        </is>
      </c>
      <c r="H1472" t="inlineStr">
        <is>
          <t>history-of-present-illness</t>
        </is>
      </c>
      <c r="I1472" t="inlineStr">
        <is>
          <t>He had
   good peripheral pulses.</t>
        </is>
      </c>
    </row>
    <row r="1473">
      <c r="A1473" t="inlineStr">
        <is>
          <t>532410-history-of-present-illness-1-1</t>
        </is>
      </c>
      <c r="B1473" t="inlineStr"/>
      <c r="C1473" t="inlineStr"/>
      <c r="D1473">
        <f>HYPERLINK("http://nlpdeep.cs.uic.edu:8080/proofing/gsii/532410-history-of-present-illness-1-1.pdf","gsii/532410-history-of-present-illness-1-1.pdf")</f>
        <v/>
      </c>
      <c r="E1473" t="n">
        <v>119960</v>
      </c>
      <c r="F1473" t="n">
        <v>532410</v>
      </c>
      <c r="G1473" t="inlineStr">
        <is>
          <t>Physician</t>
        </is>
      </c>
      <c r="H1473" t="inlineStr">
        <is>
          <t>history-of-present-illness</t>
        </is>
      </c>
      <c r="I1473" t="inlineStr">
        <is>
          <t>He had
   good peripheral pulses.</t>
        </is>
      </c>
    </row>
    <row r="1474">
      <c r="A1474" t="inlineStr">
        <is>
          <t>532410-history-of-present-illness-1-2</t>
        </is>
      </c>
      <c r="B1474" t="inlineStr"/>
      <c r="C1474" t="inlineStr"/>
      <c r="D1474">
        <f>HYPERLINK("http://nlpdeep.cs.uic.edu:8080/proofing/t5/532410-history-of-present-illness-1-2.pdf","t5/532410-history-of-present-illness-1-2.pdf")</f>
        <v/>
      </c>
      <c r="E1474" t="n">
        <v>119960</v>
      </c>
      <c r="F1474" t="n">
        <v>532410</v>
      </c>
      <c r="G1474" t="inlineStr">
        <is>
          <t>Physician</t>
        </is>
      </c>
      <c r="H1474" t="inlineStr">
        <is>
          <t>history-of-present-illness</t>
        </is>
      </c>
      <c r="I1474" t="inlineStr">
        <is>
          <t xml:space="preserve"> He was evaluated for trauma and plain films of
   the left hip and femur were completed, showing multiple comminuted
   fractures for which the patient would need a THR.</t>
        </is>
      </c>
    </row>
    <row r="1475">
      <c r="A1475" t="inlineStr">
        <is>
          <t>532410-history-of-present-illness-1-2</t>
        </is>
      </c>
      <c r="B1475" t="inlineStr"/>
      <c r="C1475" t="inlineStr"/>
      <c r="D1475">
        <f>HYPERLINK("http://nlpdeep.cs.uic.edu:8080/proofing/gsii/532410-history-of-present-illness-1-2.pdf","gsii/532410-history-of-present-illness-1-2.pdf")</f>
        <v/>
      </c>
      <c r="E1475" t="n">
        <v>119960</v>
      </c>
      <c r="F1475" t="n">
        <v>532410</v>
      </c>
      <c r="G1475" t="inlineStr">
        <is>
          <t>Physician</t>
        </is>
      </c>
      <c r="H1475" t="inlineStr">
        <is>
          <t>history-of-present-illness</t>
        </is>
      </c>
      <c r="I1475" t="inlineStr">
        <is>
          <t xml:space="preserve"> He was evaluated for trauma and plain films of
   the left hip and femur were completed, showing multiple comminuted
   fractures for which the patient would need a THR.</t>
        </is>
      </c>
    </row>
    <row r="1476">
      <c r="A1476" t="inlineStr">
        <is>
          <t>532410-history-of-present-illness-1-3</t>
        </is>
      </c>
      <c r="B1476" t="inlineStr"/>
      <c r="C1476" t="inlineStr"/>
      <c r="D1476">
        <f>HYPERLINK("http://nlpdeep.cs.uic.edu:8080/proofing/t5/532410-history-of-present-illness-1-3.pdf","t5/532410-history-of-present-illness-1-3.pdf")</f>
        <v/>
      </c>
      <c r="E1476" t="n">
        <v>119960</v>
      </c>
      <c r="F1476" t="n">
        <v>532410</v>
      </c>
      <c r="G1476" t="inlineStr">
        <is>
          <t>Physician</t>
        </is>
      </c>
      <c r="H1476" t="inlineStr">
        <is>
          <t>history-of-present-illness</t>
        </is>
      </c>
      <c r="I1476" t="inlineStr">
        <is>
          <t xml:space="preserve"> CT C-spine showed no
   fracture or malalignment, and moderate multilevel degenerative change
   on preliminary read.</t>
        </is>
      </c>
    </row>
    <row r="1477">
      <c r="A1477" t="inlineStr">
        <is>
          <t>532410-history-of-present-illness-1-3</t>
        </is>
      </c>
      <c r="B1477" t="inlineStr"/>
      <c r="C1477" t="inlineStr"/>
      <c r="D1477">
        <f>HYPERLINK("http://nlpdeep.cs.uic.edu:8080/proofing/gsii/532410-history-of-present-illness-1-3.pdf","gsii/532410-history-of-present-illness-1-3.pdf")</f>
        <v/>
      </c>
      <c r="E1477" t="n">
        <v>119960</v>
      </c>
      <c r="F1477" t="n">
        <v>532410</v>
      </c>
      <c r="G1477" t="inlineStr">
        <is>
          <t>Physician</t>
        </is>
      </c>
      <c r="H1477" t="inlineStr">
        <is>
          <t>history-of-present-illness</t>
        </is>
      </c>
      <c r="I1477" t="inlineStr">
        <is>
          <t xml:space="preserve"> CT C-spine showed no
   fracture or malalignment, and moderate multilevel degenerative change
   on preliminary read.</t>
        </is>
      </c>
    </row>
    <row r="1478">
      <c r="A1478" t="inlineStr">
        <is>
          <t>532410-history-of-present-illness-1-4</t>
        </is>
      </c>
      <c r="B1478" t="inlineStr"/>
      <c r="C1478" t="inlineStr"/>
      <c r="D1478">
        <f>HYPERLINK("http://nlpdeep.cs.uic.edu:8080/proofing/t5/532410-history-of-present-illness-1-4.pdf","t5/532410-history-of-present-illness-1-4.pdf")</f>
        <v/>
      </c>
      <c r="E1478" t="n">
        <v>119960</v>
      </c>
      <c r="F1478" t="n">
        <v>532410</v>
      </c>
      <c r="G1478" t="inlineStr">
        <is>
          <t>Physician</t>
        </is>
      </c>
      <c r="H1478" t="inlineStr">
        <is>
          <t>history-of-present-illness</t>
        </is>
      </c>
      <c r="I1478" t="inlineStr">
        <is>
          <t>CT head without contrast showed no fracture or
   hemorrhage (preliminary read).</t>
        </is>
      </c>
    </row>
    <row r="1479">
      <c r="A1479" t="inlineStr">
        <is>
          <t>532410-history-of-present-illness-1-4</t>
        </is>
      </c>
      <c r="B1479" t="inlineStr"/>
      <c r="C1479" t="inlineStr"/>
      <c r="D1479">
        <f>HYPERLINK("http://nlpdeep.cs.uic.edu:8080/proofing/gsii/532410-history-of-present-illness-1-4.pdf","gsii/532410-history-of-present-illness-1-4.pdf")</f>
        <v/>
      </c>
      <c r="E1479" t="n">
        <v>119960</v>
      </c>
      <c r="F1479" t="n">
        <v>532410</v>
      </c>
      <c r="G1479" t="inlineStr">
        <is>
          <t>Physician</t>
        </is>
      </c>
      <c r="H1479" t="inlineStr">
        <is>
          <t>history-of-present-illness</t>
        </is>
      </c>
      <c r="I1479" t="inlineStr">
        <is>
          <t>CT head without contrast showed no fracture or
   hemorrhage (preliminary read).</t>
        </is>
      </c>
    </row>
    <row r="1480">
      <c r="A1480" t="inlineStr">
        <is>
          <t>532410-history-of-present-illness-2-0</t>
        </is>
      </c>
      <c r="B1480" t="inlineStr"/>
      <c r="C1480" t="inlineStr"/>
      <c r="D1480">
        <f>HYPERLINK("http://nlpdeep.cs.uic.edu:8080/proofing/t5/532410-history-of-present-illness-2-0.pdf","t5/532410-history-of-present-illness-2-0.pdf")</f>
        <v/>
      </c>
      <c r="E1480" t="n">
        <v>119960</v>
      </c>
      <c r="F1480" t="n">
        <v>532410</v>
      </c>
      <c r="G1480" t="inlineStr">
        <is>
          <t>Physician</t>
        </is>
      </c>
      <c r="H1480" t="inlineStr">
        <is>
          <t>history-of-present-illness</t>
        </is>
      </c>
      <c r="I1480" t="inlineStr">
        <is>
          <t xml:space="preserve">
   The patient was given 1L IVF and fentanyl 100 mcg for pain.</t>
        </is>
      </c>
    </row>
    <row r="1481">
      <c r="A1481" t="inlineStr">
        <is>
          <t>532410-history-of-present-illness-2-0</t>
        </is>
      </c>
      <c r="B1481" t="inlineStr"/>
      <c r="C1481" t="inlineStr"/>
      <c r="D1481">
        <f>HYPERLINK("http://nlpdeep.cs.uic.edu:8080/proofing/gsii/532410-history-of-present-illness-2-0.pdf","gsii/532410-history-of-present-illness-2-0.pdf")</f>
        <v/>
      </c>
      <c r="E1481" t="n">
        <v>119960</v>
      </c>
      <c r="F1481" t="n">
        <v>532410</v>
      </c>
      <c r="G1481" t="inlineStr">
        <is>
          <t>Physician</t>
        </is>
      </c>
      <c r="H1481" t="inlineStr">
        <is>
          <t>history-of-present-illness</t>
        </is>
      </c>
      <c r="I1481" t="inlineStr">
        <is>
          <t xml:space="preserve">
   The patient was given 1L IVF and fentanyl 100 mcg for pain.</t>
        </is>
      </c>
    </row>
    <row r="1482">
      <c r="A1482" t="inlineStr">
        <is>
          <t>532410-history-of-present-illness-2-1</t>
        </is>
      </c>
      <c r="B1482" t="inlineStr"/>
      <c r="C1482" t="inlineStr"/>
      <c r="D1482">
        <f>HYPERLINK("http://nlpdeep.cs.uic.edu:8080/proofing/t5/532410-history-of-present-illness-2-1.pdf","t5/532410-history-of-present-illness-2-1.pdf")</f>
        <v/>
      </c>
      <c r="E1482" t="n">
        <v>119960</v>
      </c>
      <c r="F1482" t="n">
        <v>532410</v>
      </c>
      <c r="G1482" t="inlineStr">
        <is>
          <t>Physician</t>
        </is>
      </c>
      <c r="H1482" t="inlineStr">
        <is>
          <t>history-of-present-illness</t>
        </is>
      </c>
      <c r="I1482" t="inlineStr">
        <is>
          <t>His SBPs
   persisted in the 80s/90s.</t>
        </is>
      </c>
    </row>
    <row r="1483">
      <c r="A1483" t="inlineStr">
        <is>
          <t>532410-history-of-present-illness-2-1</t>
        </is>
      </c>
      <c r="B1483" t="inlineStr"/>
      <c r="C1483" t="inlineStr"/>
      <c r="D1483">
        <f>HYPERLINK("http://nlpdeep.cs.uic.edu:8080/proofing/gsii/532410-history-of-present-illness-2-1.pdf","gsii/532410-history-of-present-illness-2-1.pdf")</f>
        <v/>
      </c>
      <c r="E1483" t="n">
        <v>119960</v>
      </c>
      <c r="F1483" t="n">
        <v>532410</v>
      </c>
      <c r="G1483" t="inlineStr">
        <is>
          <t>Physician</t>
        </is>
      </c>
      <c r="H1483" t="inlineStr">
        <is>
          <t>history-of-present-illness</t>
        </is>
      </c>
      <c r="I1483" t="inlineStr">
        <is>
          <t>His SBPs
   persisted in the 80s/90s.</t>
        </is>
      </c>
    </row>
    <row r="1484">
      <c r="A1484" t="inlineStr">
        <is>
          <t>532410-history-of-present-illness-2-2</t>
        </is>
      </c>
      <c r="B1484" t="inlineStr"/>
      <c r="C1484" t="inlineStr"/>
      <c r="D1484">
        <f>HYPERLINK("http://nlpdeep.cs.uic.edu:8080/proofing/t5/532410-history-of-present-illness-2-2.pdf","t5/532410-history-of-present-illness-2-2.pdf")</f>
        <v/>
      </c>
      <c r="E1484" t="n">
        <v>119960</v>
      </c>
      <c r="F1484" t="n">
        <v>532410</v>
      </c>
      <c r="G1484" t="inlineStr">
        <is>
          <t>Physician</t>
        </is>
      </c>
      <c r="H1484" t="inlineStr">
        <is>
          <t>history-of-present-illness</t>
        </is>
      </c>
      <c r="I1484" t="inlineStr">
        <is>
          <t>His Hct was found to be 24, down [**4-3**] points.</t>
        </is>
      </c>
    </row>
    <row r="1485">
      <c r="A1485" t="inlineStr">
        <is>
          <t>532410-history-of-present-illness-2-2</t>
        </is>
      </c>
      <c r="B1485" t="inlineStr"/>
      <c r="C1485" t="inlineStr"/>
      <c r="D1485">
        <f>HYPERLINK("http://nlpdeep.cs.uic.edu:8080/proofing/gsii/532410-history-of-present-illness-2-2.pdf","gsii/532410-history-of-present-illness-2-2.pdf")</f>
        <v/>
      </c>
      <c r="E1485" t="n">
        <v>119960</v>
      </c>
      <c r="F1485" t="n">
        <v>532410</v>
      </c>
      <c r="G1485" t="inlineStr">
        <is>
          <t>Physician</t>
        </is>
      </c>
      <c r="H1485" t="inlineStr">
        <is>
          <t>history-of-present-illness</t>
        </is>
      </c>
      <c r="I1485" t="inlineStr">
        <is>
          <t>His Hct was found to be 24, down [**4-3**] points.</t>
        </is>
      </c>
    </row>
    <row r="1486">
      <c r="A1486" t="inlineStr">
        <is>
          <t>532410-history-of-present-illness-2-3</t>
        </is>
      </c>
      <c r="B1486" t="inlineStr"/>
      <c r="C1486" t="inlineStr"/>
      <c r="D1486">
        <f>HYPERLINK("http://nlpdeep.cs.uic.edu:8080/proofing/t5/532410-history-of-present-illness-2-3.pdf","t5/532410-history-of-present-illness-2-3.pdf")</f>
        <v/>
      </c>
      <c r="E1486" t="n">
        <v>119960</v>
      </c>
      <c r="F1486" t="n">
        <v>532410</v>
      </c>
      <c r="G1486" t="inlineStr">
        <is>
          <t>Physician</t>
        </is>
      </c>
      <c r="H1486" t="inlineStr">
        <is>
          <t>history-of-present-illness</t>
        </is>
      </c>
      <c r="I1486" t="inlineStr">
        <is>
          <t xml:space="preserve">
   CT ab/pelvis was performed in the setting of the Hct drop, showing left
   hip intertrochanteric fracture, a large retroperitoneal mass likely
   from left adrenal gland (non-urgent MR recommended for further
   evaluation), and no retroperitoneal hematoma on preliminary read.</t>
        </is>
      </c>
    </row>
    <row r="1487">
      <c r="A1487" t="inlineStr">
        <is>
          <t>532410-history-of-present-illness-2-3</t>
        </is>
      </c>
      <c r="B1487" t="inlineStr"/>
      <c r="C1487" t="inlineStr"/>
      <c r="D1487">
        <f>HYPERLINK("http://nlpdeep.cs.uic.edu:8080/proofing/gsii/532410-history-of-present-illness-2-3.pdf","gsii/532410-history-of-present-illness-2-3.pdf")</f>
        <v/>
      </c>
      <c r="E1487" t="n">
        <v>119960</v>
      </c>
      <c r="F1487" t="n">
        <v>532410</v>
      </c>
      <c r="G1487" t="inlineStr">
        <is>
          <t>Physician</t>
        </is>
      </c>
      <c r="H1487" t="inlineStr">
        <is>
          <t>history-of-present-illness</t>
        </is>
      </c>
      <c r="I1487" t="inlineStr">
        <is>
          <t xml:space="preserve">
   CT ab/pelvis was performed in the setting of the Hct drop, showing left
   hip intertrochanteric fracture, a large retroperitoneal mass likely
   from left adrenal gland (non-urgent MR recommended for further
   evaluation), and no retroperitoneal hematoma on preliminary read.</t>
        </is>
      </c>
    </row>
    <row r="1488">
      <c r="A1488" t="inlineStr">
        <is>
          <t>532410-history-of-present-illness-2-4</t>
        </is>
      </c>
      <c r="B1488" t="inlineStr"/>
      <c r="C1488" t="inlineStr"/>
      <c r="D1488">
        <f>HYPERLINK("http://nlpdeep.cs.uic.edu:8080/proofing/t5/532410-history-of-present-illness-2-4.pdf","t5/532410-history-of-present-illness-2-4.pdf")</f>
        <v/>
      </c>
      <c r="E1488" t="n">
        <v>119960</v>
      </c>
      <c r="F1488" t="n">
        <v>532410</v>
      </c>
      <c r="G1488" t="inlineStr">
        <is>
          <t>Physician</t>
        </is>
      </c>
      <c r="H1488" t="inlineStr">
        <is>
          <t>history-of-present-illness</t>
        </is>
      </c>
      <c r="I1488" t="inlineStr">
        <is>
          <t>He
   was found to be guaiac negative.</t>
        </is>
      </c>
    </row>
    <row r="1489">
      <c r="A1489" t="inlineStr">
        <is>
          <t>532410-history-of-present-illness-2-4</t>
        </is>
      </c>
      <c r="B1489" t="inlineStr"/>
      <c r="C1489" t="inlineStr"/>
      <c r="D1489">
        <f>HYPERLINK("http://nlpdeep.cs.uic.edu:8080/proofing/gsii/532410-history-of-present-illness-2-4.pdf","gsii/532410-history-of-present-illness-2-4.pdf")</f>
        <v/>
      </c>
      <c r="E1489" t="n">
        <v>119960</v>
      </c>
      <c r="F1489" t="n">
        <v>532410</v>
      </c>
      <c r="G1489" t="inlineStr">
        <is>
          <t>Physician</t>
        </is>
      </c>
      <c r="H1489" t="inlineStr">
        <is>
          <t>history-of-present-illness</t>
        </is>
      </c>
      <c r="I1489" t="inlineStr">
        <is>
          <t>He
   was found to be guaiac negative.</t>
        </is>
      </c>
    </row>
    <row r="1490">
      <c r="A1490" t="inlineStr">
        <is>
          <t>532410-history-of-present-illness-2-5</t>
        </is>
      </c>
      <c r="B1490" t="inlineStr"/>
      <c r="C1490" t="inlineStr"/>
      <c r="D1490">
        <f>HYPERLINK("http://nlpdeep.cs.uic.edu:8080/proofing/t5/532410-history-of-present-illness-2-5.pdf","t5/532410-history-of-present-illness-2-5.pdf")</f>
        <v/>
      </c>
      <c r="E1490" t="n">
        <v>119960</v>
      </c>
      <c r="F1490" t="n">
        <v>532410</v>
      </c>
      <c r="G1490" t="inlineStr">
        <is>
          <t>Physician</t>
        </is>
      </c>
      <c r="H1490" t="inlineStr">
        <is>
          <t>history-of-present-illness</t>
        </is>
      </c>
      <c r="I1490" t="inlineStr">
        <is>
          <t>He continued with HR in 60s and
   systolics in 90s, received an additional 1L IVF (and a second liter was
   begun prior to transfer), and was typed and crossed for 2 units pRBC.</t>
        </is>
      </c>
    </row>
    <row r="1491">
      <c r="A1491" t="inlineStr">
        <is>
          <t>532410-history-of-present-illness-2-5</t>
        </is>
      </c>
      <c r="B1491" t="inlineStr"/>
      <c r="C1491" t="inlineStr"/>
      <c r="D1491">
        <f>HYPERLINK("http://nlpdeep.cs.uic.edu:8080/proofing/gsii/532410-history-of-present-illness-2-5.pdf","gsii/532410-history-of-present-illness-2-5.pdf")</f>
        <v/>
      </c>
      <c r="E1491" t="n">
        <v>119960</v>
      </c>
      <c r="F1491" t="n">
        <v>532410</v>
      </c>
      <c r="G1491" t="inlineStr">
        <is>
          <t>Physician</t>
        </is>
      </c>
      <c r="H1491" t="inlineStr">
        <is>
          <t>history-of-present-illness</t>
        </is>
      </c>
      <c r="I1491" t="inlineStr">
        <is>
          <t>He continued with HR in 60s and
   systolics in 90s, received an additional 1L IVF (and a second liter was
   begun prior to transfer), and was typed and crossed for 2 units pRBC.</t>
        </is>
      </c>
    </row>
    <row r="1492">
      <c r="A1492" t="inlineStr">
        <is>
          <t>532410-history-of-present-illness-2-6</t>
        </is>
      </c>
      <c r="B1492" t="inlineStr"/>
      <c r="C1492" t="inlineStr"/>
      <c r="D1492">
        <f>HYPERLINK("http://nlpdeep.cs.uic.edu:8080/proofing/t5/532410-history-of-present-illness-2-6.pdf","t5/532410-history-of-present-illness-2-6.pdf")</f>
        <v/>
      </c>
      <c r="E1492" t="n">
        <v>119960</v>
      </c>
      <c r="F1492" t="n">
        <v>532410</v>
      </c>
      <c r="G1492" t="inlineStr">
        <is>
          <t>Physician</t>
        </is>
      </c>
      <c r="H1492" t="inlineStr">
        <is>
          <t>history-of-present-illness</t>
        </is>
      </c>
      <c r="I1492" t="inlineStr">
        <is>
          <t xml:space="preserve">
   CXR showed a retrocardiac opacity and he was given levofloxacin 750 mg
   for empiric pneumonia coverage after a single blood culture was drawn.</t>
        </is>
      </c>
    </row>
    <row r="1493">
      <c r="A1493" t="inlineStr">
        <is>
          <t>532410-history-of-present-illness-2-6</t>
        </is>
      </c>
      <c r="B1493" t="inlineStr"/>
      <c r="C1493" t="inlineStr"/>
      <c r="D1493">
        <f>HYPERLINK("http://nlpdeep.cs.uic.edu:8080/proofing/gsii/532410-history-of-present-illness-2-6.pdf","gsii/532410-history-of-present-illness-2-6.pdf")</f>
        <v/>
      </c>
      <c r="E1493" t="n">
        <v>119960</v>
      </c>
      <c r="F1493" t="n">
        <v>532410</v>
      </c>
      <c r="G1493" t="inlineStr">
        <is>
          <t>Physician</t>
        </is>
      </c>
      <c r="H1493" t="inlineStr">
        <is>
          <t>history-of-present-illness</t>
        </is>
      </c>
      <c r="I1493" t="inlineStr">
        <is>
          <t xml:space="preserve">
   CXR showed a retrocardiac opacity and he was given levofloxacin 750 mg
   for empiric pneumonia coverage after a single blood culture was drawn.</t>
        </is>
      </c>
    </row>
    <row r="1494">
      <c r="A1494" t="inlineStr">
        <is>
          <t>532410-history-of-present-illness-2-7</t>
        </is>
      </c>
      <c r="B1494" t="inlineStr"/>
      <c r="C1494" t="inlineStr"/>
      <c r="D1494">
        <f>HYPERLINK("http://nlpdeep.cs.uic.edu:8080/proofing/t5/532410-history-of-present-illness-2-7.pdf","t5/532410-history-of-present-illness-2-7.pdf")</f>
        <v/>
      </c>
      <c r="E1494" t="n">
        <v>119960</v>
      </c>
      <c r="F1494" t="n">
        <v>532410</v>
      </c>
      <c r="G1494" t="inlineStr">
        <is>
          <t>Physician</t>
        </is>
      </c>
      <c r="H1494" t="inlineStr">
        <is>
          <t>history-of-present-illness</t>
        </is>
      </c>
      <c r="I1494" t="inlineStr">
        <is>
          <t xml:space="preserve">
   A Foley was placed.</t>
        </is>
      </c>
    </row>
    <row r="1495">
      <c r="A1495" t="inlineStr">
        <is>
          <t>532410-history-of-present-illness-2-7</t>
        </is>
      </c>
      <c r="B1495" t="inlineStr"/>
      <c r="C1495" t="inlineStr"/>
      <c r="D1495">
        <f>HYPERLINK("http://nlpdeep.cs.uic.edu:8080/proofing/gsii/532410-history-of-present-illness-2-7.pdf","gsii/532410-history-of-present-illness-2-7.pdf")</f>
        <v/>
      </c>
      <c r="E1495" t="n">
        <v>119960</v>
      </c>
      <c r="F1495" t="n">
        <v>532410</v>
      </c>
      <c r="G1495" t="inlineStr">
        <is>
          <t>Physician</t>
        </is>
      </c>
      <c r="H1495" t="inlineStr">
        <is>
          <t>history-of-present-illness</t>
        </is>
      </c>
      <c r="I1495" t="inlineStr">
        <is>
          <t xml:space="preserve">
   A Foley was placed.</t>
        </is>
      </c>
    </row>
    <row r="1496">
      <c r="A1496" t="inlineStr">
        <is>
          <t>532410-history-of-present-illness-2-8</t>
        </is>
      </c>
      <c r="B1496" t="inlineStr"/>
      <c r="C1496" t="inlineStr"/>
      <c r="D1496">
        <f>HYPERLINK("http://nlpdeep.cs.uic.edu:8080/proofing/t5/532410-history-of-present-illness-2-8.pdf","t5/532410-history-of-present-illness-2-8.pdf")</f>
        <v/>
      </c>
      <c r="E1496" t="n">
        <v>119960</v>
      </c>
      <c r="F1496" t="n">
        <v>532410</v>
      </c>
      <c r="G1496" t="inlineStr">
        <is>
          <t>Physician</t>
        </is>
      </c>
      <c r="H1496" t="inlineStr">
        <is>
          <t>history-of-present-illness</t>
        </is>
      </c>
      <c r="I1496" t="inlineStr">
        <is>
          <t>Transfer vitals in the ED were HR 64, RR19 100% on
   4L (desatted after NS to low 90s), 88/48.</t>
        </is>
      </c>
    </row>
    <row r="1497">
      <c r="A1497" t="inlineStr">
        <is>
          <t>532410-history-of-present-illness-2-8</t>
        </is>
      </c>
      <c r="B1497" t="inlineStr"/>
      <c r="C1497" t="inlineStr"/>
      <c r="D1497">
        <f>HYPERLINK("http://nlpdeep.cs.uic.edu:8080/proofing/gsii/532410-history-of-present-illness-2-8.pdf","gsii/532410-history-of-present-illness-2-8.pdf")</f>
        <v/>
      </c>
      <c r="E1497" t="n">
        <v>119960</v>
      </c>
      <c r="F1497" t="n">
        <v>532410</v>
      </c>
      <c r="G1497" t="inlineStr">
        <is>
          <t>Physician</t>
        </is>
      </c>
      <c r="H1497" t="inlineStr">
        <is>
          <t>history-of-present-illness</t>
        </is>
      </c>
      <c r="I1497" t="inlineStr">
        <is>
          <t>Transfer vitals in the ED were HR 64, RR19 100% on
   4L (desatted after NS to low 90s), 88/48.</t>
        </is>
      </c>
    </row>
    <row r="1498">
      <c r="A1498" t="inlineStr">
        <is>
          <t>532410-history-of-present-illness-3-0</t>
        </is>
      </c>
      <c r="B1498" t="inlineStr"/>
      <c r="C1498" t="inlineStr"/>
      <c r="D1498">
        <f>HYPERLINK("http://nlpdeep.cs.uic.edu:8080/proofing/t5/532410-history-of-present-illness-3-0.pdf","t5/532410-history-of-present-illness-3-0.pdf")</f>
        <v/>
      </c>
      <c r="E1498" t="n">
        <v>119960</v>
      </c>
      <c r="F1498" t="n">
        <v>532410</v>
      </c>
      <c r="G1498" t="inlineStr">
        <is>
          <t>Physician</t>
        </is>
      </c>
      <c r="H1498" t="inlineStr">
        <is>
          <t>history-of-present-illness</t>
        </is>
      </c>
      <c r="I1498" t="inlineStr">
        <is>
          <t xml:space="preserve">
   The patient was admitted to the MICU, where initial vitals were HR 69
   BP 102/63-120/75, RR 32-20, SpO2 100% on 1L NC.</t>
        </is>
      </c>
    </row>
    <row r="1499">
      <c r="A1499" t="inlineStr">
        <is>
          <t>532410-history-of-present-illness-3-0</t>
        </is>
      </c>
      <c r="B1499" t="inlineStr"/>
      <c r="C1499" t="inlineStr"/>
      <c r="D1499">
        <f>HYPERLINK("http://nlpdeep.cs.uic.edu:8080/proofing/gsii/532410-history-of-present-illness-3-0.pdf","gsii/532410-history-of-present-illness-3-0.pdf")</f>
        <v/>
      </c>
      <c r="E1499" t="n">
        <v>119960</v>
      </c>
      <c r="F1499" t="n">
        <v>532410</v>
      </c>
      <c r="G1499" t="inlineStr">
        <is>
          <t>Physician</t>
        </is>
      </c>
      <c r="H1499" t="inlineStr">
        <is>
          <t>history-of-present-illness</t>
        </is>
      </c>
      <c r="I1499" t="inlineStr">
        <is>
          <t xml:space="preserve">
   The patient was admitted to the MICU, where initial vitals were HR 69
   BP 102/63-120/75, RR 32-20, SpO2 100% on 1L NC.</t>
        </is>
      </c>
    </row>
    <row r="1500">
      <c r="A1500" t="inlineStr">
        <is>
          <t>532410-history-of-present-illness-4-0</t>
        </is>
      </c>
      <c r="B1500" t="inlineStr"/>
      <c r="C1500" t="inlineStr"/>
      <c r="D1500">
        <f>HYPERLINK("http://nlpdeep.cs.uic.edu:8080/proofing/t5/532410-history-of-present-illness-4-0.pdf","t5/532410-history-of-present-illness-4-0.pdf")</f>
        <v/>
      </c>
      <c r="E1500" t="n">
        <v>119960</v>
      </c>
      <c r="F1500" t="n">
        <v>532410</v>
      </c>
      <c r="G1500" t="inlineStr">
        <is>
          <t>Physician</t>
        </is>
      </c>
      <c r="H1500" t="inlineStr">
        <is>
          <t>history-of-present-illness</t>
        </is>
      </c>
      <c r="I1500" t="inlineStr">
        <is>
          <t xml:space="preserve">
   On ROS, the patient denies any LOC, dizziness/lightheadedness, recent
   diarrhea (though had diarrhea in prior admission).</t>
        </is>
      </c>
    </row>
    <row r="1501">
      <c r="A1501" t="inlineStr">
        <is>
          <t>532410-history-of-present-illness-4-0</t>
        </is>
      </c>
      <c r="B1501" t="inlineStr"/>
      <c r="C1501" t="inlineStr"/>
      <c r="D1501">
        <f>HYPERLINK("http://nlpdeep.cs.uic.edu:8080/proofing/gsii/532410-history-of-present-illness-4-0.pdf","gsii/532410-history-of-present-illness-4-0.pdf")</f>
        <v/>
      </c>
      <c r="E1501" t="n">
        <v>119960</v>
      </c>
      <c r="F1501" t="n">
        <v>532410</v>
      </c>
      <c r="G1501" t="inlineStr">
        <is>
          <t>Physician</t>
        </is>
      </c>
      <c r="H1501" t="inlineStr">
        <is>
          <t>history-of-present-illness</t>
        </is>
      </c>
      <c r="I1501" t="inlineStr">
        <is>
          <t xml:space="preserve">
   On ROS, the patient denies any LOC, dizziness/lightheadedness, recent
   diarrhea (though had diarrhea in prior admission).</t>
        </is>
      </c>
    </row>
    <row r="1502">
      <c r="A1502" t="inlineStr">
        <is>
          <t>532410-history-of-present-illness-4-1</t>
        </is>
      </c>
      <c r="B1502" t="inlineStr"/>
      <c r="C1502" t="inlineStr"/>
      <c r="D1502">
        <f>HYPERLINK("http://nlpdeep.cs.uic.edu:8080/proofing/t5/532410-history-of-present-illness-4-1.pdf","t5/532410-history-of-present-illness-4-1.pdf")</f>
        <v/>
      </c>
      <c r="E1502" t="n">
        <v>119960</v>
      </c>
      <c r="F1502" t="n">
        <v>532410</v>
      </c>
      <c r="G1502" t="inlineStr">
        <is>
          <t>Physician</t>
        </is>
      </c>
      <c r="H1502" t="inlineStr">
        <is>
          <t>history-of-present-illness</t>
        </is>
      </c>
      <c r="I1502" t="inlineStr">
        <is>
          <t>+cough with small
   amounts of yellowish sputum but not in past few days.</t>
        </is>
      </c>
    </row>
    <row r="1503">
      <c r="A1503" t="inlineStr">
        <is>
          <t>532410-history-of-present-illness-4-1</t>
        </is>
      </c>
      <c r="B1503" t="inlineStr"/>
      <c r="C1503" t="inlineStr"/>
      <c r="D1503">
        <f>HYPERLINK("http://nlpdeep.cs.uic.edu:8080/proofing/gsii/532410-history-of-present-illness-4-1.pdf","gsii/532410-history-of-present-illness-4-1.pdf")</f>
        <v/>
      </c>
      <c r="E1503" t="n">
        <v>119960</v>
      </c>
      <c r="F1503" t="n">
        <v>532410</v>
      </c>
      <c r="G1503" t="inlineStr">
        <is>
          <t>Physician</t>
        </is>
      </c>
      <c r="H1503" t="inlineStr">
        <is>
          <t>history-of-present-illness</t>
        </is>
      </c>
      <c r="I1503" t="inlineStr">
        <is>
          <t>+cough with small
   amounts of yellowish sputum but not in past few days.</t>
        </is>
      </c>
    </row>
    <row r="1504">
      <c r="A1504" t="inlineStr">
        <is>
          <t>532410-history-of-present-illness-4-2</t>
        </is>
      </c>
      <c r="B1504" t="inlineStr"/>
      <c r="C1504" t="inlineStr"/>
      <c r="D1504">
        <f>HYPERLINK("http://nlpdeep.cs.uic.edu:8080/proofing/t5/532410-history-of-present-illness-4-2.pdf","t5/532410-history-of-present-illness-4-2.pdf")</f>
        <v/>
      </c>
      <c r="E1504" t="n">
        <v>119960</v>
      </c>
      <c r="F1504" t="n">
        <v>532410</v>
      </c>
      <c r="G1504" t="inlineStr">
        <is>
          <t>Physician</t>
        </is>
      </c>
      <c r="H1504" t="inlineStr">
        <is>
          <t>history-of-present-illness</t>
        </is>
      </c>
      <c r="I1504" t="inlineStr">
        <is>
          <t>Patient admitted from: [**Hospital1 19**] ER
   History obtained from Patient, Family / F</t>
        </is>
      </c>
    </row>
    <row r="1505">
      <c r="A1505" t="inlineStr">
        <is>
          <t>532410-history-of-present-illness-4-2</t>
        </is>
      </c>
      <c r="B1505" t="inlineStr"/>
      <c r="C1505" t="inlineStr"/>
      <c r="D1505">
        <f>HYPERLINK("http://nlpdeep.cs.uic.edu:8080/proofing/gsii/532410-history-of-present-illness-4-2.pdf","gsii/532410-history-of-present-illness-4-2.pdf")</f>
        <v/>
      </c>
      <c r="E1505" t="n">
        <v>119960</v>
      </c>
      <c r="F1505" t="n">
        <v>532410</v>
      </c>
      <c r="G1505" t="inlineStr">
        <is>
          <t>Physician</t>
        </is>
      </c>
      <c r="H1505" t="inlineStr">
        <is>
          <t>history-of-present-illness</t>
        </is>
      </c>
      <c r="I1505" t="inlineStr">
        <is>
          <t>Patient admitted from: [**Hospital1 19**] ER
   History obtained from Patient, Family / F</t>
        </is>
      </c>
    </row>
    <row r="1506">
      <c r="A1506" t="inlineStr">
        <is>
          <t>532410-allergies-0-0</t>
        </is>
      </c>
      <c r="B1506" t="inlineStr"/>
      <c r="C1506" t="inlineStr"/>
      <c r="D1506">
        <f>HYPERLINK("http://nlpdeep.cs.uic.edu:8080/proofing/t5/532410-allergies-0-0.pdf","t5/532410-allergies-0-0.pdf")</f>
        <v/>
      </c>
      <c r="E1506" t="n">
        <v>119960</v>
      </c>
      <c r="F1506" t="n">
        <v>532410</v>
      </c>
      <c r="G1506" t="inlineStr">
        <is>
          <t>Physician</t>
        </is>
      </c>
      <c r="H1506" t="inlineStr">
        <is>
          <t>allergies</t>
        </is>
      </c>
      <c r="I1506" t="inlineStr">
        <is>
          <t>Quinidine
   fever;
   Propranolol
   Aggitation;</t>
        </is>
      </c>
    </row>
    <row r="1507">
      <c r="A1507" t="inlineStr">
        <is>
          <t>532410-allergies-0-0</t>
        </is>
      </c>
      <c r="B1507" t="inlineStr"/>
      <c r="C1507" t="inlineStr"/>
      <c r="D1507">
        <f>HYPERLINK("http://nlpdeep.cs.uic.edu:8080/proofing/gsii/532410-allergies-0-0.pdf","gsii/532410-allergies-0-0.pdf")</f>
        <v/>
      </c>
      <c r="E1507" t="n">
        <v>119960</v>
      </c>
      <c r="F1507" t="n">
        <v>532410</v>
      </c>
      <c r="G1507" t="inlineStr">
        <is>
          <t>Physician</t>
        </is>
      </c>
      <c r="H1507" t="inlineStr">
        <is>
          <t>allergies</t>
        </is>
      </c>
      <c r="I1507" t="inlineStr">
        <is>
          <t>Quinidine
   fever;
   Propranolol
   Aggitation;</t>
        </is>
      </c>
    </row>
    <row r="1508">
      <c r="A1508" t="inlineStr">
        <is>
          <t>532410-other-medications-0-0</t>
        </is>
      </c>
      <c r="B1508" t="inlineStr"/>
      <c r="C1508" t="inlineStr"/>
      <c r="D1508">
        <f>HYPERLINK("http://nlpdeep.cs.uic.edu:8080/proofing/t5/532410-other-medications-0-0.pdf","t5/532410-other-medications-0-0.pdf")</f>
        <v/>
      </c>
      <c r="E1508" t="n">
        <v>119960</v>
      </c>
      <c r="F1508" t="n">
        <v>532410</v>
      </c>
      <c r="G1508" t="inlineStr">
        <is>
          <t>Physician</t>
        </is>
      </c>
      <c r="H1508" t="inlineStr">
        <is>
          <t>other-medications</t>
        </is>
      </c>
      <c r="I1508" t="inlineStr">
        <is>
          <t>Morphine Sulfate - [**2141-4-6**] 09:30 PM
   Other medications:
   Meds from rehab:
   -Vicodin 5/500 2 tabs qd
   -Pantoprazole 40 mg Tablet qd
   -Vancomycin 125 mg PO Q6H; taper as follows:
        [**Date range (1) 14476**] 125mg Q6H;
        [**Date range (1) 14477**] 125mg Q12H;
        [**Date range (1) 14478**] 125mg daily;
        [**Date range (1) 14479**] 125mg; every other day
        [**Date range (1) 14480**] 125mg; every third day; then stop.</t>
        </is>
      </c>
    </row>
    <row r="1509">
      <c r="A1509" t="inlineStr">
        <is>
          <t>532410-other-medications-0-0</t>
        </is>
      </c>
      <c r="B1509" t="inlineStr"/>
      <c r="C1509" t="inlineStr"/>
      <c r="D1509">
        <f>HYPERLINK("http://nlpdeep.cs.uic.edu:8080/proofing/gsii/532410-other-medications-0-0.pdf","gsii/532410-other-medications-0-0.pdf")</f>
        <v/>
      </c>
      <c r="E1509" t="n">
        <v>119960</v>
      </c>
      <c r="F1509" t="n">
        <v>532410</v>
      </c>
      <c r="G1509" t="inlineStr">
        <is>
          <t>Physician</t>
        </is>
      </c>
      <c r="H1509" t="inlineStr">
        <is>
          <t>other-medications</t>
        </is>
      </c>
      <c r="I1509" t="inlineStr">
        <is>
          <t>Morphine Sulfate - [**2141-4-6**] 09:30 PM
   Other medications:
   Meds from rehab:
   -Vicodin 5/500 2 tabs qd
   -Pantoprazole 40 mg Tablet qd
   -Vancomycin 125 mg PO Q6H; taper as follows:
        [**Date range (1) 14476**] 125mg Q6H;
        [**Date range (1) 14477**] 125mg Q12H;
        [**Date range (1) 14478**] 125mg daily;
        [**Date range (1) 14479**] 125mg; every other day
        [**Date range (1) 14480**] 125mg; every third day; then stop.</t>
        </is>
      </c>
    </row>
    <row r="1510">
      <c r="A1510" t="inlineStr">
        <is>
          <t>532410-other-medications-0-1</t>
        </is>
      </c>
      <c r="B1510" t="inlineStr"/>
      <c r="C1510" t="inlineStr"/>
      <c r="D1510">
        <f>HYPERLINK("http://nlpdeep.cs.uic.edu:8080/proofing/t5/532410-other-medications-0-1.pdf","t5/532410-other-medications-0-1.pdf")</f>
        <v/>
      </c>
      <c r="E1510" t="n">
        <v>119960</v>
      </c>
      <c r="F1510" t="n">
        <v>532410</v>
      </c>
      <c r="G1510" t="inlineStr">
        <is>
          <t>Physician</t>
        </is>
      </c>
      <c r="H1510" t="inlineStr">
        <is>
          <t>other-medications</t>
        </is>
      </c>
      <c r="I1510" t="inlineStr">
        <is>
          <t xml:space="preserve">
   -Ativan 0.125 mg tid prn
   -Ammonium Lactate 12% Lotion Topical [**Hospital1 7**]
   -Ipratropium Bromide 0.5 mg Neb Inhalation Q6H PRN SOB/Wheezing.</t>
        </is>
      </c>
    </row>
    <row r="1511">
      <c r="A1511" t="inlineStr">
        <is>
          <t>532410-other-medications-0-1</t>
        </is>
      </c>
      <c r="B1511" t="inlineStr"/>
      <c r="C1511" t="inlineStr"/>
      <c r="D1511">
        <f>HYPERLINK("http://nlpdeep.cs.uic.edu:8080/proofing/gsii/532410-other-medications-0-1.pdf","gsii/532410-other-medications-0-1.pdf")</f>
        <v/>
      </c>
      <c r="E1511" t="n">
        <v>119960</v>
      </c>
      <c r="F1511" t="n">
        <v>532410</v>
      </c>
      <c r="G1511" t="inlineStr">
        <is>
          <t>Physician</t>
        </is>
      </c>
      <c r="H1511" t="inlineStr">
        <is>
          <t>other-medications</t>
        </is>
      </c>
      <c r="I1511" t="inlineStr">
        <is>
          <t xml:space="preserve">
   -Ativan 0.125 mg tid prn
   -Ammonium Lactate 12% Lotion Topical [**Hospital1 7**]
   -Ipratropium Bromide 0.5 mg Neb Inhalation Q6H PRN SOB/Wheezing.</t>
        </is>
      </c>
    </row>
    <row r="1512">
      <c r="A1512" t="inlineStr">
        <is>
          <t>532410-other-medications-0-2</t>
        </is>
      </c>
      <c r="B1512" t="inlineStr"/>
      <c r="C1512" t="inlineStr"/>
      <c r="D1512">
        <f>HYPERLINK("http://nlpdeep.cs.uic.edu:8080/proofing/t5/532410-other-medications-0-2.pdf","t5/532410-other-medications-0-2.pdf")</f>
        <v/>
      </c>
      <c r="E1512" t="n">
        <v>119960</v>
      </c>
      <c r="F1512" t="n">
        <v>532410</v>
      </c>
      <c r="G1512" t="inlineStr">
        <is>
          <t>Physician</t>
        </is>
      </c>
      <c r="H1512" t="inlineStr">
        <is>
          <t>other-medications</t>
        </is>
      </c>
      <c r="I1512" t="inlineStr">
        <is>
          <t xml:space="preserve">
   -Torsemide 40 mg PO BID (if weight &gt; 160lbs, increase to 80mg in the
   morning and 40mg at night; if weight &lt; 145lbs, decrease torsemide to
   40mg daily)
   -Spironolactone 25 mg Tablet PO DAILY
   -Metoprolol Tartrate 12.5 mg PO BID
   -Simvastatin 40 mg PO qpm
   -Ergocalciferol (Vitamin D2) 5,000 unit po weekly
   -Bisacodyl suppository 10 mg qd prn
   -Senna qd prn
   -Aspirin 81 mg po qd
   -Acetaminophen 325 mg 1-2 Tablets PO Q4H prn pain / fever.</t>
        </is>
      </c>
    </row>
    <row r="1513">
      <c r="A1513" t="inlineStr">
        <is>
          <t>532410-other-medications-0-2</t>
        </is>
      </c>
      <c r="B1513" t="inlineStr"/>
      <c r="C1513" t="inlineStr"/>
      <c r="D1513">
        <f>HYPERLINK("http://nlpdeep.cs.uic.edu:8080/proofing/gsii/532410-other-medications-0-2.pdf","gsii/532410-other-medications-0-2.pdf")</f>
        <v/>
      </c>
      <c r="E1513" t="n">
        <v>119960</v>
      </c>
      <c r="F1513" t="n">
        <v>532410</v>
      </c>
      <c r="G1513" t="inlineStr">
        <is>
          <t>Physician</t>
        </is>
      </c>
      <c r="H1513" t="inlineStr">
        <is>
          <t>other-medications</t>
        </is>
      </c>
      <c r="I1513" t="inlineStr">
        <is>
          <t xml:space="preserve">
   -Torsemide 40 mg PO BID (if weight &gt; 160lbs, increase to 80mg in the
   morning and 40mg at night; if weight &lt; 145lbs, decrease torsemide to
   40mg daily)
   -Spironolactone 25 mg Tablet PO DAILY
   -Metoprolol Tartrate 12.5 mg PO BID
   -Simvastatin 40 mg PO qpm
   -Ergocalciferol (Vitamin D2) 5,000 unit po weekly
   -Bisacodyl suppository 10 mg qd prn
   -Senna qd prn
   -Aspirin 81 mg po qd
   -Acetaminophen 325 mg 1-2 Tablets PO Q4H prn pain / fever.</t>
        </is>
      </c>
    </row>
    <row r="1514">
      <c r="A1514" t="inlineStr">
        <is>
          <t>532410-other-medications-0-3</t>
        </is>
      </c>
      <c r="B1514" t="inlineStr"/>
      <c r="C1514" t="inlineStr"/>
      <c r="D1514">
        <f>HYPERLINK("http://nlpdeep.cs.uic.edu:8080/proofing/t5/532410-other-medications-0-3.pdf","t5/532410-other-medications-0-3.pdf")</f>
        <v/>
      </c>
      <c r="E1514" t="n">
        <v>119960</v>
      </c>
      <c r="F1514" t="n">
        <v>532410</v>
      </c>
      <c r="G1514" t="inlineStr">
        <is>
          <t>Physician</t>
        </is>
      </c>
      <c r="H1514" t="inlineStr">
        <is>
          <t>other-medications</t>
        </is>
      </c>
      <c r="I1514" t="inlineStr">
        <is>
          <t>-Tums [**Hospital1 **]
   -Cadexomer iodine topical gel q3d topical
   -Dextromethorphan-Guaifenesin 30 mg q12hr p</t>
        </is>
      </c>
    </row>
    <row r="1515">
      <c r="A1515" t="inlineStr">
        <is>
          <t>532410-other-medications-0-3</t>
        </is>
      </c>
      <c r="B1515" t="inlineStr"/>
      <c r="C1515" t="inlineStr"/>
      <c r="D1515">
        <f>HYPERLINK("http://nlpdeep.cs.uic.edu:8080/proofing/gsii/532410-other-medications-0-3.pdf","gsii/532410-other-medications-0-3.pdf")</f>
        <v/>
      </c>
      <c r="E1515" t="n">
        <v>119960</v>
      </c>
      <c r="F1515" t="n">
        <v>532410</v>
      </c>
      <c r="G1515" t="inlineStr">
        <is>
          <t>Physician</t>
        </is>
      </c>
      <c r="H1515" t="inlineStr">
        <is>
          <t>other-medications</t>
        </is>
      </c>
      <c r="I1515" t="inlineStr">
        <is>
          <t>-Tums [**Hospital1 **]
   -Cadexomer iodine topical gel q3d topical
   -Dextromethorphan-Guaifenesin 30 mg q12hr p</t>
        </is>
      </c>
    </row>
    <row r="1516">
      <c r="A1516" t="inlineStr">
        <is>
          <t>532410-past-medical-history-0-0</t>
        </is>
      </c>
      <c r="B1516" t="inlineStr"/>
      <c r="C1516" t="inlineStr"/>
      <c r="D1516">
        <f>HYPERLINK("http://nlpdeep.cs.uic.edu:8080/proofing/t5/532410-past-medical-history-0-0.pdf","t5/532410-past-medical-history-0-0.pdf")</f>
        <v/>
      </c>
      <c r="E1516" t="n">
        <v>119960</v>
      </c>
      <c r="F1516" t="n">
        <v>532410</v>
      </c>
      <c r="G1516" t="inlineStr">
        <is>
          <t>Physician</t>
        </is>
      </c>
      <c r="H1516" t="inlineStr">
        <is>
          <t>past-medical-history</t>
        </is>
      </c>
      <c r="I1516" t="inlineStr">
        <is>
          <t>-CHF with preserved LVEF (65% 1/10), thought to have L HF leading to R
   HF without primary pulm HTN
   -Chronic Afib, not on warfarin given recent UGIB ([**2-8**])
   -Pulmonary artery HTN (30mmHg + RA [**11-6**])
   -Mild MR, mod TR, mild AI, mild AS (peak 25 mmHg [**11-6**])
   -Mild ascending aortic dilatation (3.7 cm)
   -Left ventricular hypertrophy
   -Prostate enlargement (followed by Dr.</t>
        </is>
      </c>
    </row>
    <row r="1517">
      <c r="A1517" t="inlineStr">
        <is>
          <t>532410-past-medical-history-0-0</t>
        </is>
      </c>
      <c r="B1517" t="inlineStr"/>
      <c r="C1517" t="inlineStr"/>
      <c r="D1517">
        <f>HYPERLINK("http://nlpdeep.cs.uic.edu:8080/proofing/gsii/532410-past-medical-history-0-0.pdf","gsii/532410-past-medical-history-0-0.pdf")</f>
        <v/>
      </c>
      <c r="E1517" t="n">
        <v>119960</v>
      </c>
      <c r="F1517" t="n">
        <v>532410</v>
      </c>
      <c r="G1517" t="inlineStr">
        <is>
          <t>Physician</t>
        </is>
      </c>
      <c r="H1517" t="inlineStr">
        <is>
          <t>past-medical-history</t>
        </is>
      </c>
      <c r="I1517" t="inlineStr">
        <is>
          <t>-CHF with preserved LVEF (65% 1/10), thought to have L HF leading to R
   HF without primary pulm HTN
   -Chronic Afib, not on warfarin given recent UGIB ([**2-8**])
   -Pulmonary artery HTN (30mmHg + RA [**11-6**])
   -Mild MR, mod TR, mild AI, mild AS (peak 25 mmHg [**11-6**])
   -Mild ascending aortic dilatation (3.7 cm)
   -Left ventricular hypertrophy
   -Prostate enlargement (followed by Dr.</t>
        </is>
      </c>
    </row>
    <row r="1518">
      <c r="A1518" t="inlineStr">
        <is>
          <t>532410-past-medical-history-0-1</t>
        </is>
      </c>
      <c r="B1518" t="inlineStr"/>
      <c r="C1518" t="inlineStr"/>
      <c r="D1518">
        <f>HYPERLINK("http://nlpdeep.cs.uic.edu:8080/proofing/t5/532410-past-medical-history-0-1.pdf","t5/532410-past-medical-history-0-1.pdf")</f>
        <v/>
      </c>
      <c r="E1518" t="n">
        <v>119960</v>
      </c>
      <c r="F1518" t="n">
        <v>532410</v>
      </c>
      <c r="G1518" t="inlineStr">
        <is>
          <t>Physician</t>
        </is>
      </c>
      <c r="H1518" t="inlineStr">
        <is>
          <t>past-medical-history</t>
        </is>
      </c>
      <c r="I1518" t="inlineStr">
        <is>
          <t>[**Last Name (STitle) **] [**Last Name (STitle) **])
   -Hypertension
   -Hypercholesterolemia
   -Severe essential tremor, since [**2076**] (WWII)
   -Venous stasis, followed by Dr.</t>
        </is>
      </c>
    </row>
    <row r="1519">
      <c r="A1519" t="inlineStr">
        <is>
          <t>532410-past-medical-history-0-1</t>
        </is>
      </c>
      <c r="B1519" t="inlineStr"/>
      <c r="C1519" t="inlineStr"/>
      <c r="D1519">
        <f>HYPERLINK("http://nlpdeep.cs.uic.edu:8080/proofing/gsii/532410-past-medical-history-0-1.pdf","gsii/532410-past-medical-history-0-1.pdf")</f>
        <v/>
      </c>
      <c r="E1519" t="n">
        <v>119960</v>
      </c>
      <c r="F1519" t="n">
        <v>532410</v>
      </c>
      <c r="G1519" t="inlineStr">
        <is>
          <t>Physician</t>
        </is>
      </c>
      <c r="H1519" t="inlineStr">
        <is>
          <t>past-medical-history</t>
        </is>
      </c>
      <c r="I1519" t="inlineStr">
        <is>
          <t>[**Last Name (STitle) **] [**Last Name (STitle) **])
   -Hypertension
   -Hypercholesterolemia
   -Severe essential tremor, since [**2076**] (WWII)
   -Venous stasis, followed by Dr.</t>
        </is>
      </c>
    </row>
    <row r="1520">
      <c r="A1520" t="inlineStr">
        <is>
          <t>532410-past-medical-history-0-2</t>
        </is>
      </c>
      <c r="B1520" t="inlineStr"/>
      <c r="C1520" t="inlineStr"/>
      <c r="D1520">
        <f>HYPERLINK("http://nlpdeep.cs.uic.edu:8080/proofing/t5/532410-past-medical-history-0-2.pdf","t5/532410-past-medical-history-0-2.pdf")</f>
        <v/>
      </c>
      <c r="E1520" t="n">
        <v>119960</v>
      </c>
      <c r="F1520" t="n">
        <v>532410</v>
      </c>
      <c r="G1520" t="inlineStr">
        <is>
          <t>Physician</t>
        </is>
      </c>
      <c r="H1520" t="inlineStr">
        <is>
          <t>past-medical-history</t>
        </is>
      </c>
      <c r="I1520" t="inlineStr">
        <is>
          <t>[**Last Name (STitle) 14061**]
   [**Name (STitle) 14062**] hernia repair
   -Anemia, multifactorial (chronic illness, CKD, recent GIB)
   -Hemorrhoid repair
   -History of MRSA cellulitis ([**2-7**])
   -Chronic Renal Failure [**1-31**] poor forward flow from CHF: Stage IV with
   eGFR of 24 ml/min (MDRD).</t>
        </is>
      </c>
    </row>
    <row r="1521">
      <c r="A1521" t="inlineStr">
        <is>
          <t>532410-past-medical-history-0-2</t>
        </is>
      </c>
      <c r="B1521" t="inlineStr"/>
      <c r="C1521" t="inlineStr"/>
      <c r="D1521">
        <f>HYPERLINK("http://nlpdeep.cs.uic.edu:8080/proofing/gsii/532410-past-medical-history-0-2.pdf","gsii/532410-past-medical-history-0-2.pdf")</f>
        <v/>
      </c>
      <c r="E1521" t="n">
        <v>119960</v>
      </c>
      <c r="F1521" t="n">
        <v>532410</v>
      </c>
      <c r="G1521" t="inlineStr">
        <is>
          <t>Physician</t>
        </is>
      </c>
      <c r="H1521" t="inlineStr">
        <is>
          <t>past-medical-history</t>
        </is>
      </c>
      <c r="I1521" t="inlineStr">
        <is>
          <t>[**Last Name (STitle) 14061**]
   [**Name (STitle) 14062**] hernia repair
   -Anemia, multifactorial (chronic illness, CKD, recent GIB)
   -Hemorrhoid repair
   -History of MRSA cellulitis ([**2-7**])
   -Chronic Renal Failure [**1-31**] poor forward flow from CHF: Stage IV with
   eGFR of 24 ml/min (MDRD).</t>
        </is>
      </c>
    </row>
    <row r="1522">
      <c r="A1522" t="inlineStr">
        <is>
          <t>532410-past-medical-history-0-3</t>
        </is>
      </c>
      <c r="B1522" t="inlineStr"/>
      <c r="C1522" t="inlineStr"/>
      <c r="D1522">
        <f>HYPERLINK("http://nlpdeep.cs.uic.edu:8080/proofing/t5/532410-past-medical-history-0-3.pdf","t5/532410-past-medical-history-0-3.pdf")</f>
        <v/>
      </c>
      <c r="E1522" t="n">
        <v>119960</v>
      </c>
      <c r="F1522" t="n">
        <v>532410</v>
      </c>
      <c r="G1522" t="inlineStr">
        <is>
          <t>Physician</t>
        </is>
      </c>
      <c r="H1522" t="inlineStr">
        <is>
          <t>past-medical-history</t>
        </is>
      </c>
      <c r="I1522" t="inlineStr">
        <is>
          <t>Near dialysis.</t>
        </is>
      </c>
    </row>
    <row r="1523">
      <c r="A1523" t="inlineStr">
        <is>
          <t>532410-past-medical-history-0-3</t>
        </is>
      </c>
      <c r="B1523" t="inlineStr"/>
      <c r="C1523" t="inlineStr"/>
      <c r="D1523">
        <f>HYPERLINK("http://nlpdeep.cs.uic.edu:8080/proofing/gsii/532410-past-medical-history-0-3.pdf","gsii/532410-past-medical-history-0-3.pdf")</f>
        <v/>
      </c>
      <c r="E1523" t="n">
        <v>119960</v>
      </c>
      <c r="F1523" t="n">
        <v>532410</v>
      </c>
      <c r="G1523" t="inlineStr">
        <is>
          <t>Physician</t>
        </is>
      </c>
      <c r="H1523" t="inlineStr">
        <is>
          <t>past-medical-history</t>
        </is>
      </c>
      <c r="I1523" t="inlineStr">
        <is>
          <t>Near dialysis.</t>
        </is>
      </c>
    </row>
    <row r="1524">
      <c r="A1524" t="inlineStr">
        <is>
          <t>532410-past-medical-history-0-4</t>
        </is>
      </c>
      <c r="B1524" t="inlineStr"/>
      <c r="C1524" t="inlineStr"/>
      <c r="D1524">
        <f>HYPERLINK("http://nlpdeep.cs.uic.edu:8080/proofing/t5/532410-past-medical-history-0-4.pdf","t5/532410-past-medical-history-0-4.pdf")</f>
        <v/>
      </c>
      <c r="E1524" t="n">
        <v>119960</v>
      </c>
      <c r="F1524" t="n">
        <v>532410</v>
      </c>
      <c r="G1524" t="inlineStr">
        <is>
          <t>Physician</t>
        </is>
      </c>
      <c r="H1524" t="inlineStr">
        <is>
          <t>past-medical-history</t>
        </is>
      </c>
      <c r="I1524" t="inlineStr">
        <is>
          <t xml:space="preserve">
   -Left foot abscess s/p I&amp;D
   -C.</t>
        </is>
      </c>
    </row>
    <row r="1525">
      <c r="A1525" t="inlineStr">
        <is>
          <t>532410-past-medical-history-0-4</t>
        </is>
      </c>
      <c r="B1525" t="inlineStr"/>
      <c r="C1525" t="inlineStr"/>
      <c r="D1525">
        <f>HYPERLINK("http://nlpdeep.cs.uic.edu:8080/proofing/gsii/532410-past-medical-history-0-4.pdf","gsii/532410-past-medical-history-0-4.pdf")</f>
        <v/>
      </c>
      <c r="E1525" t="n">
        <v>119960</v>
      </c>
      <c r="F1525" t="n">
        <v>532410</v>
      </c>
      <c r="G1525" t="inlineStr">
        <is>
          <t>Physician</t>
        </is>
      </c>
      <c r="H1525" t="inlineStr">
        <is>
          <t>past-medical-history</t>
        </is>
      </c>
      <c r="I1525" t="inlineStr">
        <is>
          <t xml:space="preserve">
   -Left foot abscess s/p I&amp;D
   -C.</t>
        </is>
      </c>
    </row>
    <row r="1526">
      <c r="A1526" t="inlineStr">
        <is>
          <t>532410-past-medical-history-0-5</t>
        </is>
      </c>
      <c r="B1526" t="inlineStr"/>
      <c r="C1526" t="inlineStr"/>
      <c r="D1526">
        <f>HYPERLINK("http://nlpdeep.cs.uic.edu:8080/proofing/t5/532410-past-medical-history-0-5.pdf","t5/532410-past-medical-history-0-5.pdf")</f>
        <v/>
      </c>
      <c r="E1526" t="n">
        <v>119960</v>
      </c>
      <c r="F1526" t="n">
        <v>532410</v>
      </c>
      <c r="G1526" t="inlineStr">
        <is>
          <t>Physician</t>
        </is>
      </c>
      <c r="H1526" t="inlineStr">
        <is>
          <t>past-medical-history</t>
        </is>
      </c>
      <c r="I1526" t="inlineStr"/>
    </row>
    <row r="1527">
      <c r="A1527" t="inlineStr">
        <is>
          <t>532410-past-medical-history-0-5</t>
        </is>
      </c>
      <c r="B1527" t="inlineStr"/>
      <c r="C1527" t="inlineStr"/>
      <c r="D1527">
        <f>HYPERLINK("http://nlpdeep.cs.uic.edu:8080/proofing/gsii/532410-past-medical-history-0-5.pdf","gsii/532410-past-medical-history-0-5.pdf")</f>
        <v/>
      </c>
      <c r="E1527" t="n">
        <v>119960</v>
      </c>
      <c r="F1527" t="n">
        <v>532410</v>
      </c>
      <c r="G1527" t="inlineStr">
        <is>
          <t>Physician</t>
        </is>
      </c>
      <c r="H1527" t="inlineStr">
        <is>
          <t>past-medical-history</t>
        </is>
      </c>
      <c r="I1527" t="inlineStr"/>
    </row>
    <row r="1528">
      <c r="A1528" t="inlineStr">
        <is>
          <t>532410-past-medical-history-1-0</t>
        </is>
      </c>
      <c r="B1528" t="inlineStr"/>
      <c r="C1528" t="inlineStr"/>
      <c r="D1528">
        <f>HYPERLINK("http://nlpdeep.cs.uic.edu:8080/proofing/t5/532410-past-medical-history-1-0.pdf","t5/532410-past-medical-history-1-0.pdf")</f>
        <v/>
      </c>
      <c r="E1528" t="n">
        <v>119960</v>
      </c>
      <c r="F1528" t="n">
        <v>532410</v>
      </c>
      <c r="G1528" t="inlineStr">
        <is>
          <t>Physician</t>
        </is>
      </c>
      <c r="H1528" t="inlineStr">
        <is>
          <t>past-medical-history</t>
        </is>
      </c>
      <c r="I1528" t="inlineStr"/>
    </row>
    <row r="1529">
      <c r="A1529" t="inlineStr">
        <is>
          <t>532410-past-medical-history-1-0</t>
        </is>
      </c>
      <c r="B1529" t="inlineStr"/>
      <c r="C1529" t="inlineStr"/>
      <c r="D1529">
        <f>HYPERLINK("http://nlpdeep.cs.uic.edu:8080/proofing/gsii/532410-past-medical-history-1-0.pdf","gsii/532410-past-medical-history-1-0.pdf")</f>
        <v/>
      </c>
      <c r="E1529" t="n">
        <v>119960</v>
      </c>
      <c r="F1529" t="n">
        <v>532410</v>
      </c>
      <c r="G1529" t="inlineStr">
        <is>
          <t>Physician</t>
        </is>
      </c>
      <c r="H1529" t="inlineStr">
        <is>
          <t>past-medical-history</t>
        </is>
      </c>
      <c r="I1529" t="inlineStr"/>
    </row>
    <row r="1530">
      <c r="A1530" t="inlineStr">
        <is>
          <t>532410-past-medical-history-2-0</t>
        </is>
      </c>
      <c r="B1530" t="inlineStr"/>
      <c r="C1530" t="inlineStr"/>
      <c r="D1530">
        <f>HYPERLINK("http://nlpdeep.cs.uic.edu:8080/proofing/t5/532410-past-medical-history-2-0.pdf","t5/532410-past-medical-history-2-0.pdf")</f>
        <v/>
      </c>
      <c r="E1530" t="n">
        <v>119960</v>
      </c>
      <c r="F1530" t="n">
        <v>532410</v>
      </c>
      <c r="G1530" t="inlineStr">
        <is>
          <t>Physician</t>
        </is>
      </c>
      <c r="H1530" t="inlineStr">
        <is>
          <t>past-medical-history</t>
        </is>
      </c>
      <c r="I1530" t="inlineStr">
        <is>
          <t xml:space="preserve">
   [**2141-1-31**] to [**2141-2-15**]
   -- also for CHF exacerbation, given lasix ggt and metolazone
   -- supratherapeutic INR on admission, complicated by epistaxis and
   melena (GI followed but endoscopy was deferred)
   -- C diff colitis treated with ?</t>
        </is>
      </c>
    </row>
    <row r="1531">
      <c r="A1531" t="inlineStr">
        <is>
          <t>532410-past-medical-history-2-0</t>
        </is>
      </c>
      <c r="B1531" t="inlineStr"/>
      <c r="C1531" t="inlineStr"/>
      <c r="D1531">
        <f>HYPERLINK("http://nlpdeep.cs.uic.edu:8080/proofing/gsii/532410-past-medical-history-2-0.pdf","gsii/532410-past-medical-history-2-0.pdf")</f>
        <v/>
      </c>
      <c r="E1531" t="n">
        <v>119960</v>
      </c>
      <c r="F1531" t="n">
        <v>532410</v>
      </c>
      <c r="G1531" t="inlineStr">
        <is>
          <t>Physician</t>
        </is>
      </c>
      <c r="H1531" t="inlineStr">
        <is>
          <t>past-medical-history</t>
        </is>
      </c>
      <c r="I1531" t="inlineStr">
        <is>
          <t xml:space="preserve">
   [**2141-1-31**] to [**2141-2-15**]
   -- also for CHF exacerbation, given lasix ggt and metolazone
   -- supratherapeutic INR on admission, complicated by epistaxis and
   melena (GI followed but endoscopy was deferred)
   -- C diff colitis treated with ?</t>
        </is>
      </c>
    </row>
    <row r="1532">
      <c r="A1532" t="inlineStr">
        <is>
          <t>532410-past-medical-history-2-1</t>
        </is>
      </c>
      <c r="B1532" t="inlineStr"/>
      <c r="C1532" t="inlineStr"/>
      <c r="D1532">
        <f>HYPERLINK("http://nlpdeep.cs.uic.edu:8080/proofing/t5/532410-past-medical-history-2-1.pdf","t5/532410-past-medical-history-2-1.pdf")</f>
        <v/>
      </c>
      <c r="E1532" t="n">
        <v>119960</v>
      </c>
      <c r="F1532" t="n">
        <v>532410</v>
      </c>
      <c r="G1532" t="inlineStr">
        <is>
          <t>Physician</t>
        </is>
      </c>
      <c r="H1532" t="inlineStr">
        <is>
          <t>past-medical-history</t>
        </is>
      </c>
      <c r="I1532" t="inlineStr"/>
    </row>
    <row r="1533">
      <c r="A1533" t="inlineStr">
        <is>
          <t>532410-past-medical-history-2-1</t>
        </is>
      </c>
      <c r="B1533" t="inlineStr"/>
      <c r="C1533" t="inlineStr"/>
      <c r="D1533">
        <f>HYPERLINK("http://nlpdeep.cs.uic.edu:8080/proofing/gsii/532410-past-medical-history-2-1.pdf","gsii/532410-past-medical-history-2-1.pdf")</f>
        <v/>
      </c>
      <c r="E1533" t="n">
        <v>119960</v>
      </c>
      <c r="F1533" t="n">
        <v>532410</v>
      </c>
      <c r="G1533" t="inlineStr">
        <is>
          <t>Physician</t>
        </is>
      </c>
      <c r="H1533" t="inlineStr">
        <is>
          <t>past-medical-history</t>
        </is>
      </c>
      <c r="I1533" t="inlineStr"/>
    </row>
    <row r="1534">
      <c r="A1534" t="inlineStr">
        <is>
          <t>532410-past-medical-history-3-0</t>
        </is>
      </c>
      <c r="B1534" t="inlineStr"/>
      <c r="C1534" t="inlineStr"/>
      <c r="D1534">
        <f>HYPERLINK("http://nlpdeep.cs.uic.edu:8080/proofing/t5/532410-past-medical-history-3-0.pdf","t5/532410-past-medical-history-3-0.pdf")</f>
        <v/>
      </c>
      <c r="E1534" t="n">
        <v>119960</v>
      </c>
      <c r="F1534" t="n">
        <v>532410</v>
      </c>
      <c r="G1534" t="inlineStr">
        <is>
          <t>Physician</t>
        </is>
      </c>
      <c r="H1534" t="inlineStr">
        <is>
          <t>past-medical-history</t>
        </is>
      </c>
      <c r="I1534" t="inlineStr"/>
    </row>
    <row r="1535">
      <c r="A1535" t="inlineStr">
        <is>
          <t>532410-past-medical-history-3-0</t>
        </is>
      </c>
      <c r="B1535" t="inlineStr"/>
      <c r="C1535" t="inlineStr"/>
      <c r="D1535">
        <f>HYPERLINK("http://nlpdeep.cs.uic.edu:8080/proofing/gsii/532410-past-medical-history-3-0.pdf","gsii/532410-past-medical-history-3-0.pdf")</f>
        <v/>
      </c>
      <c r="E1535" t="n">
        <v>119960</v>
      </c>
      <c r="F1535" t="n">
        <v>532410</v>
      </c>
      <c r="G1535" t="inlineStr">
        <is>
          <t>Physician</t>
        </is>
      </c>
      <c r="H1535" t="inlineStr">
        <is>
          <t>past-medical-history</t>
        </is>
      </c>
      <c r="I1535" t="inlineStr"/>
    </row>
    <row r="1536">
      <c r="A1536" t="inlineStr">
        <is>
          <t>532410-past-medical-history-4-0</t>
        </is>
      </c>
      <c r="B1536" t="inlineStr"/>
      <c r="C1536" t="inlineStr"/>
      <c r="D1536">
        <f>HYPERLINK("http://nlpdeep.cs.uic.edu:8080/proofing/t5/532410-past-medical-history-4-0.pdf","t5/532410-past-medical-history-4-0.pdf")</f>
        <v/>
      </c>
      <c r="E1536" t="n">
        <v>119960</v>
      </c>
      <c r="F1536" t="n">
        <v>532410</v>
      </c>
      <c r="G1536" t="inlineStr">
        <is>
          <t>Physician</t>
        </is>
      </c>
      <c r="H1536" t="inlineStr">
        <is>
          <t>past-medical-history</t>
        </is>
      </c>
      <c r="I1536" t="inlineStr">
        <is>
          <t xml:space="preserve">
   [**2141-3-17**] to [**2141-3-31**]
   -- Sent in by rehab for sleepiness, low Hct, weight gain, cough.</t>
        </is>
      </c>
    </row>
    <row r="1537">
      <c r="A1537" t="inlineStr">
        <is>
          <t>532410-past-medical-history-4-0</t>
        </is>
      </c>
      <c r="B1537" t="inlineStr"/>
      <c r="C1537" t="inlineStr"/>
      <c r="D1537">
        <f>HYPERLINK("http://nlpdeep.cs.uic.edu:8080/proofing/gsii/532410-past-medical-history-4-0.pdf","gsii/532410-past-medical-history-4-0.pdf")</f>
        <v/>
      </c>
      <c r="E1537" t="n">
        <v>119960</v>
      </c>
      <c r="F1537" t="n">
        <v>532410</v>
      </c>
      <c r="G1537" t="inlineStr">
        <is>
          <t>Physician</t>
        </is>
      </c>
      <c r="H1537" t="inlineStr">
        <is>
          <t>past-medical-history</t>
        </is>
      </c>
      <c r="I1537" t="inlineStr">
        <is>
          <t xml:space="preserve">
   [**2141-3-17**] to [**2141-3-31**]
   -- Sent in by rehab for sleepiness, low Hct, weight gain, cough.</t>
        </is>
      </c>
    </row>
    <row r="1538">
      <c r="A1538" t="inlineStr">
        <is>
          <t>532410-past-medical-history-4-1</t>
        </is>
      </c>
      <c r="B1538" t="inlineStr"/>
      <c r="C1538" t="inlineStr"/>
      <c r="D1538">
        <f>HYPERLINK("http://nlpdeep.cs.uic.edu:8080/proofing/t5/532410-past-medical-history-4-1.pdf","t5/532410-past-medical-history-4-1.pdf")</f>
        <v/>
      </c>
      <c r="E1538" t="n">
        <v>119960</v>
      </c>
      <c r="F1538" t="n">
        <v>532410</v>
      </c>
      <c r="G1538" t="inlineStr">
        <is>
          <t>Physician</t>
        </is>
      </c>
      <c r="H1538" t="inlineStr">
        <is>
          <t>past-medical-history</t>
        </is>
      </c>
      <c r="I1538" t="inlineStr">
        <is>
          <t xml:space="preserve">
   -- C.</t>
        </is>
      </c>
    </row>
    <row r="1539">
      <c r="A1539" t="inlineStr">
        <is>
          <t>532410-past-medical-history-4-1</t>
        </is>
      </c>
      <c r="B1539" t="inlineStr"/>
      <c r="C1539" t="inlineStr"/>
      <c r="D1539">
        <f>HYPERLINK("http://nlpdeep.cs.uic.edu:8080/proofing/gsii/532410-past-medical-history-4-1.pdf","gsii/532410-past-medical-history-4-1.pdf")</f>
        <v/>
      </c>
      <c r="E1539" t="n">
        <v>119960</v>
      </c>
      <c r="F1539" t="n">
        <v>532410</v>
      </c>
      <c r="G1539" t="inlineStr">
        <is>
          <t>Physician</t>
        </is>
      </c>
      <c r="H1539" t="inlineStr">
        <is>
          <t>past-medical-history</t>
        </is>
      </c>
      <c r="I1539" t="inlineStr">
        <is>
          <t xml:space="preserve">
   -- C.</t>
        </is>
      </c>
    </row>
    <row r="1540">
      <c r="A1540" t="inlineStr">
        <is>
          <t>532410-past-medical-history-4-2</t>
        </is>
      </c>
      <c r="B1540" t="inlineStr"/>
      <c r="C1540" t="inlineStr"/>
      <c r="D1540">
        <f>HYPERLINK("http://nlpdeep.cs.uic.edu:8080/proofing/t5/532410-past-medical-history-4-2.pdf","t5/532410-past-medical-history-4-2.pdf")</f>
        <v/>
      </c>
      <c r="E1540" t="n">
        <v>119960</v>
      </c>
      <c r="F1540" t="n">
        <v>532410</v>
      </c>
      <c r="G1540" t="inlineStr">
        <is>
          <t>Physician</t>
        </is>
      </c>
      <c r="H1540" t="inlineStr">
        <is>
          <t>past-medical-history</t>
        </is>
      </c>
      <c r="I1540" t="inlineStr">
        <is>
          <t>Diff colitis
   -- GIB (Guaiac positive,</t>
        </is>
      </c>
    </row>
    <row r="1541">
      <c r="A1541" t="inlineStr">
        <is>
          <t>532410-past-medical-history-4-2</t>
        </is>
      </c>
      <c r="B1541" t="inlineStr"/>
      <c r="C1541" t="inlineStr"/>
      <c r="D1541">
        <f>HYPERLINK("http://nlpdeep.cs.uic.edu:8080/proofing/gsii/532410-past-medical-history-4-2.pdf","gsii/532410-past-medical-history-4-2.pdf")</f>
        <v/>
      </c>
      <c r="E1541" t="n">
        <v>119960</v>
      </c>
      <c r="F1541" t="n">
        <v>532410</v>
      </c>
      <c r="G1541" t="inlineStr">
        <is>
          <t>Physician</t>
        </is>
      </c>
      <c r="H1541" t="inlineStr">
        <is>
          <t>past-medical-history</t>
        </is>
      </c>
      <c r="I1541" t="inlineStr">
        <is>
          <t>Diff colitis
   -- GIB (Guaiac positive,</t>
        </is>
      </c>
    </row>
    <row r="1542">
      <c r="A1542" t="inlineStr">
        <is>
          <t>532410-past-medical-history-4-3</t>
        </is>
      </c>
      <c r="B1542" t="inlineStr"/>
      <c r="C1542" t="inlineStr"/>
      <c r="D1542">
        <f>HYPERLINK("http://nlpdeep.cs.uic.edu:8080/proofing/t5/532410-past-medical-history-4-3.pdf","t5/532410-past-medical-history-4-3.pdf")</f>
        <v/>
      </c>
      <c r="E1542" t="n">
        <v>119960</v>
      </c>
      <c r="F1542" t="n">
        <v>532410</v>
      </c>
      <c r="G1542" t="inlineStr">
        <is>
          <t>Physician</t>
        </is>
      </c>
      <c r="H1542" t="inlineStr">
        <is>
          <t>past-medical-history</t>
        </is>
      </c>
      <c r="I1542" t="inlineStr">
        <is>
          <t>had been on coumadin until [**Month (only) 2299**] when had
   presumed UGIB requiring 1U pRBC); transfused for Hct 23.5 (but near
   baseline of 24)
   -- Hypotension to the 70s systolic (baseline 90-100s)
   -- CHF
   -- UTI
   -- Acute on chronic kidney disease
   -- Pancytopenia: found to be HIT antibody positive but serotonin assay
   negative so not likely HIT; nonetheless heparin products were avoided.</t>
        </is>
      </c>
    </row>
    <row r="1543">
      <c r="A1543" t="inlineStr">
        <is>
          <t>532410-past-medical-history-4-3</t>
        </is>
      </c>
      <c r="B1543" t="inlineStr"/>
      <c r="C1543" t="inlineStr"/>
      <c r="D1543">
        <f>HYPERLINK("http://nlpdeep.cs.uic.edu:8080/proofing/gsii/532410-past-medical-history-4-3.pdf","gsii/532410-past-medical-history-4-3.pdf")</f>
        <v/>
      </c>
      <c r="E1543" t="n">
        <v>119960</v>
      </c>
      <c r="F1543" t="n">
        <v>532410</v>
      </c>
      <c r="G1543" t="inlineStr">
        <is>
          <t>Physician</t>
        </is>
      </c>
      <c r="H1543" t="inlineStr">
        <is>
          <t>past-medical-history</t>
        </is>
      </c>
      <c r="I1543" t="inlineStr">
        <is>
          <t>had been on coumadin until [**Month (only) 2299**] when had
   presumed UGIB requiring 1U pRBC); transfused for Hct 23.5 (but near
   baseline of 24)
   -- Hypotension to the 70s systolic (baseline 90-100s)
   -- CHF
   -- UTI
   -- Acute on chronic kidney disease
   -- Pancytopenia: found to be HIT antibody positive but serotonin assay
   negative so not likely HIT; nonetheless heparin products were avoided.</t>
        </is>
      </c>
    </row>
    <row r="1544">
      <c r="A1544" t="inlineStr">
        <is>
          <t>532410-past-medical-history-4-4</t>
        </is>
      </c>
      <c r="B1544" t="inlineStr"/>
      <c r="C1544" t="inlineStr"/>
      <c r="D1544">
        <f>HYPERLINK("http://nlpdeep.cs.uic.edu:8080/proofing/t5/532410-past-medical-history-4-4.pdf","t5/532410-past-medical-history-4-4.pdf")</f>
        <v/>
      </c>
      <c r="E1544" t="n">
        <v>119960</v>
      </c>
      <c r="F1544" t="n">
        <v>532410</v>
      </c>
      <c r="G1544" t="inlineStr">
        <is>
          <t>Physician</t>
        </is>
      </c>
      <c r="H1544" t="inlineStr">
        <is>
          <t>past-medical-history</t>
        </is>
      </c>
      <c r="I1544" t="inlineStr">
        <is>
          <t xml:space="preserve">
   Pancytopenia improved over hospital course; thought to be infection
   related.</t>
        </is>
      </c>
    </row>
    <row r="1545">
      <c r="A1545" t="inlineStr">
        <is>
          <t>532410-past-medical-history-4-4</t>
        </is>
      </c>
      <c r="B1545" t="inlineStr"/>
      <c r="C1545" t="inlineStr"/>
      <c r="D1545">
        <f>HYPERLINK("http://nlpdeep.cs.uic.edu:8080/proofing/gsii/532410-past-medical-history-4-4.pdf","gsii/532410-past-medical-history-4-4.pdf")</f>
        <v/>
      </c>
      <c r="E1545" t="n">
        <v>119960</v>
      </c>
      <c r="F1545" t="n">
        <v>532410</v>
      </c>
      <c r="G1545" t="inlineStr">
        <is>
          <t>Physician</t>
        </is>
      </c>
      <c r="H1545" t="inlineStr">
        <is>
          <t>past-medical-history</t>
        </is>
      </c>
      <c r="I1545" t="inlineStr">
        <is>
          <t xml:space="preserve">
   Pancytopenia improved over hospital course; thought to be infection
   related.</t>
        </is>
      </c>
    </row>
    <row r="1546">
      <c r="A1546" t="inlineStr">
        <is>
          <t>532410-past-medical-history-4-5</t>
        </is>
      </c>
      <c r="B1546" t="inlineStr"/>
      <c r="C1546" t="inlineStr"/>
      <c r="D1546">
        <f>HYPERLINK("http://nlpdeep.cs.uic.edu:8080/proofing/t5/532410-past-medical-history-4-5.pdf","t5/532410-past-medical-history-4-5.pdf")</f>
        <v/>
      </c>
      <c r="E1546" t="n">
        <v>119960</v>
      </c>
      <c r="F1546" t="n">
        <v>532410</v>
      </c>
      <c r="G1546" t="inlineStr">
        <is>
          <t>Physician</t>
        </is>
      </c>
      <c r="H1546" t="inlineStr">
        <is>
          <t>past-medical-history</t>
        </is>
      </c>
      <c r="I1546" t="inlineStr">
        <is>
          <t xml:space="preserve">
   -- Increased AP and GGT with elevated lipase and an abnormality on
   ultrasound suggestive of a pancreatic mass.</t>
        </is>
      </c>
    </row>
    <row r="1547">
      <c r="A1547" t="inlineStr">
        <is>
          <t>532410-past-medical-history-4-5</t>
        </is>
      </c>
      <c r="B1547" t="inlineStr"/>
      <c r="C1547" t="inlineStr"/>
      <c r="D1547">
        <f>HYPERLINK("http://nlpdeep.cs.uic.edu:8080/proofing/gsii/532410-past-medical-history-4-5.pdf","gsii/532410-past-medical-history-4-5.pdf")</f>
        <v/>
      </c>
      <c r="E1547" t="n">
        <v>119960</v>
      </c>
      <c r="F1547" t="n">
        <v>532410</v>
      </c>
      <c r="G1547" t="inlineStr">
        <is>
          <t>Physician</t>
        </is>
      </c>
      <c r="H1547" t="inlineStr">
        <is>
          <t>past-medical-history</t>
        </is>
      </c>
      <c r="I1547" t="inlineStr">
        <is>
          <t xml:space="preserve">
   -- Increased AP and GGT with elevated lipase and an abnormality on
   ultrasound suggestive of a pancreatic mass.</t>
        </is>
      </c>
    </row>
    <row r="1548">
      <c r="A1548" t="inlineStr">
        <is>
          <t>532410-past-medical-history-4-6</t>
        </is>
      </c>
      <c r="B1548" t="inlineStr"/>
      <c r="C1548" t="inlineStr"/>
      <c r="D1548">
        <f>HYPERLINK("http://nlpdeep.cs.uic.edu:8080/proofing/t5/532410-past-medical-history-4-6.pdf","t5/532410-past-medical-history-4-6.pdf")</f>
        <v/>
      </c>
      <c r="E1548" t="n">
        <v>119960</v>
      </c>
      <c r="F1548" t="n">
        <v>532410</v>
      </c>
      <c r="G1548" t="inlineStr">
        <is>
          <t>Physician</t>
        </is>
      </c>
      <c r="H1548" t="inlineStr">
        <is>
          <t>past-medical-history</t>
        </is>
      </c>
      <c r="I1548" t="inlineStr">
        <is>
          <t>GI was consulted and
   recommended an outpatient MRCP.</t>
        </is>
      </c>
    </row>
    <row r="1549">
      <c r="A1549" t="inlineStr">
        <is>
          <t>532410-past-medical-history-4-6</t>
        </is>
      </c>
      <c r="B1549" t="inlineStr"/>
      <c r="C1549" t="inlineStr"/>
      <c r="D1549">
        <f>HYPERLINK("http://nlpdeep.cs.uic.edu:8080/proofing/gsii/532410-past-medical-history-4-6.pdf","gsii/532410-past-medical-history-4-6.pdf")</f>
        <v/>
      </c>
      <c r="E1549" t="n">
        <v>119960</v>
      </c>
      <c r="F1549" t="n">
        <v>532410</v>
      </c>
      <c r="G1549" t="inlineStr">
        <is>
          <t>Physician</t>
        </is>
      </c>
      <c r="H1549" t="inlineStr">
        <is>
          <t>past-medical-history</t>
        </is>
      </c>
      <c r="I1549" t="inlineStr">
        <is>
          <t>GI was consulted and
   recommended an outpatient MRCP.</t>
        </is>
      </c>
    </row>
    <row r="1550">
      <c r="A1550" t="inlineStr">
        <is>
          <t>532410-family-history-0-0</t>
        </is>
      </c>
      <c r="B1550" t="inlineStr"/>
      <c r="C1550" t="inlineStr"/>
      <c r="D1550">
        <f>HYPERLINK("http://nlpdeep.cs.uic.edu:8080/proofing/t5/532410-family-history-0-0.pdf","t5/532410-family-history-0-0.pdf")</f>
        <v/>
      </c>
      <c r="E1550" t="n">
        <v>119960</v>
      </c>
      <c r="F1550" t="n">
        <v>532410</v>
      </c>
      <c r="G1550" t="inlineStr">
        <is>
          <t>Physician</t>
        </is>
      </c>
      <c r="H1550" t="inlineStr">
        <is>
          <t>family-history</t>
        </is>
      </c>
      <c r="I1550" t="inlineStr">
        <is>
          <t xml:space="preserve">
   Parents are both deceased.</t>
        </is>
      </c>
    </row>
    <row r="1551">
      <c r="A1551" t="inlineStr">
        <is>
          <t>532410-family-history-0-0</t>
        </is>
      </c>
      <c r="B1551" t="inlineStr"/>
      <c r="C1551" t="inlineStr"/>
      <c r="D1551">
        <f>HYPERLINK("http://nlpdeep.cs.uic.edu:8080/proofing/gsii/532410-family-history-0-0.pdf","gsii/532410-family-history-0-0.pdf")</f>
        <v/>
      </c>
      <c r="E1551" t="n">
        <v>119960</v>
      </c>
      <c r="F1551" t="n">
        <v>532410</v>
      </c>
      <c r="G1551" t="inlineStr">
        <is>
          <t>Physician</t>
        </is>
      </c>
      <c r="H1551" t="inlineStr">
        <is>
          <t>family-history</t>
        </is>
      </c>
      <c r="I1551" t="inlineStr">
        <is>
          <t xml:space="preserve">
   Parents are both deceased.</t>
        </is>
      </c>
    </row>
    <row r="1552">
      <c r="A1552" t="inlineStr">
        <is>
          <t>532410-family-history-0-1</t>
        </is>
      </c>
      <c r="B1552" t="inlineStr"/>
      <c r="C1552" t="inlineStr"/>
      <c r="D1552">
        <f>HYPERLINK("http://nlpdeep.cs.uic.edu:8080/proofing/t5/532410-family-history-0-1.pdf","t5/532410-family-history-0-1.pdf")</f>
        <v/>
      </c>
      <c r="E1552" t="n">
        <v>119960</v>
      </c>
      <c r="F1552" t="n">
        <v>532410</v>
      </c>
      <c r="G1552" t="inlineStr">
        <is>
          <t>Physician</t>
        </is>
      </c>
      <c r="H1552" t="inlineStr">
        <is>
          <t>family-history</t>
        </is>
      </c>
      <c r="I1552" t="inlineStr">
        <is>
          <t>Father (73 years; "heart" disease); Mother
   (48 years; stomach cancer).</t>
        </is>
      </c>
    </row>
    <row r="1553">
      <c r="A1553" t="inlineStr">
        <is>
          <t>532410-family-history-0-1</t>
        </is>
      </c>
      <c r="B1553" t="inlineStr"/>
      <c r="C1553" t="inlineStr"/>
      <c r="D1553">
        <f>HYPERLINK("http://nlpdeep.cs.uic.edu:8080/proofing/gsii/532410-family-history-0-1.pdf","gsii/532410-family-history-0-1.pdf")</f>
        <v/>
      </c>
      <c r="E1553" t="n">
        <v>119960</v>
      </c>
      <c r="F1553" t="n">
        <v>532410</v>
      </c>
      <c r="G1553" t="inlineStr">
        <is>
          <t>Physician</t>
        </is>
      </c>
      <c r="H1553" t="inlineStr">
        <is>
          <t>family-history</t>
        </is>
      </c>
      <c r="I1553" t="inlineStr">
        <is>
          <t>Father (73 years; "heart" disease); Mother
   (48 years; stomach cancer).</t>
        </is>
      </c>
    </row>
    <row r="1554">
      <c r="A1554" t="inlineStr">
        <is>
          <t>532410-family-history-0-2</t>
        </is>
      </c>
      <c r="B1554" t="inlineStr"/>
      <c r="C1554" t="inlineStr"/>
      <c r="D1554">
        <f>HYPERLINK("http://nlpdeep.cs.uic.edu:8080/proofing/t5/532410-family-history-0-2.pdf","t5/532410-family-history-0-2.pdf")</f>
        <v/>
      </c>
      <c r="E1554" t="n">
        <v>119960</v>
      </c>
      <c r="F1554" t="n">
        <v>532410</v>
      </c>
      <c r="G1554" t="inlineStr">
        <is>
          <t>Physician</t>
        </is>
      </c>
      <c r="H1554" t="inlineStr">
        <is>
          <t>family-history</t>
        </is>
      </c>
      <c r="I1554" t="inlineStr">
        <is>
          <t>He has 2 siblings (80- breast cancer,
   brother with ? abdominal cancer).</t>
        </is>
      </c>
    </row>
    <row r="1555">
      <c r="A1555" t="inlineStr">
        <is>
          <t>532410-family-history-0-2</t>
        </is>
      </c>
      <c r="B1555" t="inlineStr"/>
      <c r="C1555" t="inlineStr"/>
      <c r="D1555">
        <f>HYPERLINK("http://nlpdeep.cs.uic.edu:8080/proofing/gsii/532410-family-history-0-2.pdf","gsii/532410-family-history-0-2.pdf")</f>
        <v/>
      </c>
      <c r="E1555" t="n">
        <v>119960</v>
      </c>
      <c r="F1555" t="n">
        <v>532410</v>
      </c>
      <c r="G1555" t="inlineStr">
        <is>
          <t>Physician</t>
        </is>
      </c>
      <c r="H1555" t="inlineStr">
        <is>
          <t>family-history</t>
        </is>
      </c>
      <c r="I1555" t="inlineStr">
        <is>
          <t>He has 2 siblings (80- breast cancer,
   brother with ? abdominal cancer).</t>
        </is>
      </c>
    </row>
    <row r="1556">
      <c r="A1556" t="inlineStr">
        <is>
          <t>532410-family-history-0-3</t>
        </is>
      </c>
      <c r="B1556" t="inlineStr"/>
      <c r="C1556" t="inlineStr"/>
      <c r="D1556">
        <f>HYPERLINK("http://nlpdeep.cs.uic.edu:8080/proofing/t5/532410-family-history-0-3.pdf","t5/532410-family-history-0-3.pdf")</f>
        <v/>
      </c>
      <c r="E1556" t="n">
        <v>119960</v>
      </c>
      <c r="F1556" t="n">
        <v>532410</v>
      </c>
      <c r="G1556" t="inlineStr">
        <is>
          <t>Physician</t>
        </is>
      </c>
      <c r="H1556" t="inlineStr">
        <is>
          <t>family-history</t>
        </is>
      </c>
      <c r="I1556" t="inlineStr">
        <is>
          <t>He has 3 children (55, 53, 49 years;
   all well).</t>
        </is>
      </c>
    </row>
    <row r="1557">
      <c r="A1557" t="inlineStr">
        <is>
          <t>532410-family-history-0-3</t>
        </is>
      </c>
      <c r="B1557" t="inlineStr"/>
      <c r="C1557" t="inlineStr"/>
      <c r="D1557">
        <f>HYPERLINK("http://nlpdeep.cs.uic.edu:8080/proofing/gsii/532410-family-history-0-3.pdf","gsii/532410-family-history-0-3.pdf")</f>
        <v/>
      </c>
      <c r="E1557" t="n">
        <v>119960</v>
      </c>
      <c r="F1557" t="n">
        <v>532410</v>
      </c>
      <c r="G1557" t="inlineStr">
        <is>
          <t>Physician</t>
        </is>
      </c>
      <c r="H1557" t="inlineStr">
        <is>
          <t>family-history</t>
        </is>
      </c>
      <c r="I1557" t="inlineStr">
        <is>
          <t>He has 3 children (55, 53, 49 years;
   all well).</t>
        </is>
      </c>
    </row>
    <row r="1558">
      <c r="A1558" t="inlineStr">
        <is>
          <t>532410-family-history-0-4</t>
        </is>
      </c>
      <c r="B1558" t="inlineStr"/>
      <c r="C1558" t="inlineStr"/>
      <c r="D1558">
        <f>HYPERLINK("http://nlpdeep.cs.uic.edu:8080/proofing/t5/532410-family-history-0-4.pdf","t5/532410-family-history-0-4.pdf")</f>
        <v/>
      </c>
      <c r="E1558" t="n">
        <v>119960</v>
      </c>
      <c r="F1558" t="n">
        <v>532410</v>
      </c>
      <c r="G1558" t="inlineStr">
        <is>
          <t>Physician</t>
        </is>
      </c>
      <c r="H1558" t="inlineStr">
        <is>
          <t>family-history</t>
        </is>
      </c>
      <c r="I1558" t="inlineStr">
        <is>
          <t>A son [**Doctor Last Name 20**] has atrial fibrillation.</t>
        </is>
      </c>
    </row>
    <row r="1559">
      <c r="A1559" t="inlineStr">
        <is>
          <t>532410-family-history-0-4</t>
        </is>
      </c>
      <c r="B1559" t="inlineStr"/>
      <c r="C1559" t="inlineStr"/>
      <c r="D1559">
        <f>HYPERLINK("http://nlpdeep.cs.uic.edu:8080/proofing/gsii/532410-family-history-0-4.pdf","gsii/532410-family-history-0-4.pdf")</f>
        <v/>
      </c>
      <c r="E1559" t="n">
        <v>119960</v>
      </c>
      <c r="F1559" t="n">
        <v>532410</v>
      </c>
      <c r="G1559" t="inlineStr">
        <is>
          <t>Physician</t>
        </is>
      </c>
      <c r="H1559" t="inlineStr">
        <is>
          <t>family-history</t>
        </is>
      </c>
      <c r="I1559" t="inlineStr">
        <is>
          <t>A son [**Doctor Last Name 20**] has atrial fibrillation.</t>
        </is>
      </c>
    </row>
    <row r="1560">
      <c r="A1560" t="inlineStr">
        <is>
          <t>532410-social-history-0-0</t>
        </is>
      </c>
      <c r="B1560" t="inlineStr"/>
      <c r="C1560" t="inlineStr"/>
      <c r="D1560">
        <f>HYPERLINK("http://nlpdeep.cs.uic.edu:8080/proofing/t5/532410-social-history-0-0.pdf","t5/532410-social-history-0-0.pdf")</f>
        <v/>
      </c>
      <c r="E1560" t="n">
        <v>119960</v>
      </c>
      <c r="F1560" t="n">
        <v>532410</v>
      </c>
      <c r="G1560" t="inlineStr">
        <is>
          <t>Physician</t>
        </is>
      </c>
      <c r="H1560" t="inlineStr">
        <is>
          <t>social-history</t>
        </is>
      </c>
      <c r="I1560" t="inlineStr">
        <is>
          <t xml:space="preserve">
   Occupation:
   Drugs:
   Tobacco:
   Alcohol:
   Other: Usually lives with wife, married for &gt;50yrs, currently at [**Hospital 328**]
   Rehab.</t>
        </is>
      </c>
    </row>
    <row r="1561">
      <c r="A1561" t="inlineStr">
        <is>
          <t>532410-social-history-0-0</t>
        </is>
      </c>
      <c r="B1561" t="inlineStr"/>
      <c r="C1561" t="inlineStr"/>
      <c r="D1561">
        <f>HYPERLINK("http://nlpdeep.cs.uic.edu:8080/proofing/gsii/532410-social-history-0-0.pdf","gsii/532410-social-history-0-0.pdf")</f>
        <v/>
      </c>
      <c r="E1561" t="n">
        <v>119960</v>
      </c>
      <c r="F1561" t="n">
        <v>532410</v>
      </c>
      <c r="G1561" t="inlineStr">
        <is>
          <t>Physician</t>
        </is>
      </c>
      <c r="H1561" t="inlineStr">
        <is>
          <t>social-history</t>
        </is>
      </c>
      <c r="I1561" t="inlineStr">
        <is>
          <t xml:space="preserve">
   Occupation:
   Drugs:
   Tobacco:
   Alcohol:
   Other: Usually lives with wife, married for &gt;50yrs, currently at [**Hospital 328**]
   Rehab.</t>
        </is>
      </c>
    </row>
    <row r="1562">
      <c r="A1562" t="inlineStr">
        <is>
          <t>532410-social-history-0-1</t>
        </is>
      </c>
      <c r="B1562" t="inlineStr"/>
      <c r="C1562" t="inlineStr"/>
      <c r="D1562">
        <f>HYPERLINK("http://nlpdeep.cs.uic.edu:8080/proofing/t5/532410-social-history-0-1.pdf","t5/532410-social-history-0-1.pdf")</f>
        <v/>
      </c>
      <c r="E1562" t="n">
        <v>119960</v>
      </c>
      <c r="F1562" t="n">
        <v>532410</v>
      </c>
      <c r="G1562" t="inlineStr">
        <is>
          <t>Physician</t>
        </is>
      </c>
      <c r="H1562" t="inlineStr">
        <is>
          <t>social-history</t>
        </is>
      </c>
      <c r="I1562" t="inlineStr">
        <is>
          <t>3 children.</t>
        </is>
      </c>
    </row>
    <row r="1563">
      <c r="A1563" t="inlineStr">
        <is>
          <t>532410-social-history-0-1</t>
        </is>
      </c>
      <c r="B1563" t="inlineStr"/>
      <c r="C1563" t="inlineStr"/>
      <c r="D1563">
        <f>HYPERLINK("http://nlpdeep.cs.uic.edu:8080/proofing/gsii/532410-social-history-0-1.pdf","gsii/532410-social-history-0-1.pdf")</f>
        <v/>
      </c>
      <c r="E1563" t="n">
        <v>119960</v>
      </c>
      <c r="F1563" t="n">
        <v>532410</v>
      </c>
      <c r="G1563" t="inlineStr">
        <is>
          <t>Physician</t>
        </is>
      </c>
      <c r="H1563" t="inlineStr">
        <is>
          <t>social-history</t>
        </is>
      </c>
      <c r="I1563" t="inlineStr">
        <is>
          <t>3 children.</t>
        </is>
      </c>
    </row>
    <row r="1564">
      <c r="A1564" t="inlineStr">
        <is>
          <t>532410-social-history-0-2</t>
        </is>
      </c>
      <c r="B1564" t="inlineStr"/>
      <c r="C1564" t="inlineStr"/>
      <c r="D1564">
        <f>HYPERLINK("http://nlpdeep.cs.uic.edu:8080/proofing/t5/532410-social-history-0-2.pdf","t5/532410-social-history-0-2.pdf")</f>
        <v/>
      </c>
      <c r="E1564" t="n">
        <v>119960</v>
      </c>
      <c r="F1564" t="n">
        <v>532410</v>
      </c>
      <c r="G1564" t="inlineStr">
        <is>
          <t>Physician</t>
        </is>
      </c>
      <c r="H1564" t="inlineStr">
        <is>
          <t>social-history</t>
        </is>
      </c>
      <c r="I1564" t="inlineStr">
        <is>
          <t>No tobacco, EtOH, IVDU.</t>
        </is>
      </c>
    </row>
    <row r="1565">
      <c r="A1565" t="inlineStr">
        <is>
          <t>532410-social-history-0-2</t>
        </is>
      </c>
      <c r="B1565" t="inlineStr"/>
      <c r="C1565" t="inlineStr"/>
      <c r="D1565">
        <f>HYPERLINK("http://nlpdeep.cs.uic.edu:8080/proofing/gsii/532410-social-history-0-2.pdf","gsii/532410-social-history-0-2.pdf")</f>
        <v/>
      </c>
      <c r="E1565" t="n">
        <v>119960</v>
      </c>
      <c r="F1565" t="n">
        <v>532410</v>
      </c>
      <c r="G1565" t="inlineStr">
        <is>
          <t>Physician</t>
        </is>
      </c>
      <c r="H1565" t="inlineStr">
        <is>
          <t>social-history</t>
        </is>
      </c>
      <c r="I1565" t="inlineStr">
        <is>
          <t>No tobacco, EtOH, IVDU.</t>
        </is>
      </c>
    </row>
    <row r="1566">
      <c r="A1566" t="inlineStr">
        <is>
          <t>532410-social-history-0-3</t>
        </is>
      </c>
      <c r="B1566" t="inlineStr"/>
      <c r="C1566" t="inlineStr"/>
      <c r="D1566">
        <f>HYPERLINK("http://nlpdeep.cs.uic.edu:8080/proofing/t5/532410-social-history-0-3.pdf","t5/532410-social-history-0-3.pdf")</f>
        <v/>
      </c>
      <c r="E1566" t="n">
        <v>119960</v>
      </c>
      <c r="F1566" t="n">
        <v>532410</v>
      </c>
      <c r="G1566" t="inlineStr">
        <is>
          <t>Physician</t>
        </is>
      </c>
      <c r="H1566" t="inlineStr">
        <is>
          <t>social-history</t>
        </is>
      </c>
      <c r="I1566" t="inlineStr">
        <is>
          <t>Retired, formerly worked
   manufacturing and distributing batteries.</t>
        </is>
      </c>
    </row>
    <row r="1567">
      <c r="A1567" t="inlineStr">
        <is>
          <t>532410-social-history-0-3</t>
        </is>
      </c>
      <c r="B1567" t="inlineStr"/>
      <c r="C1567" t="inlineStr"/>
      <c r="D1567">
        <f>HYPERLINK("http://nlpdeep.cs.uic.edu:8080/proofing/gsii/532410-social-history-0-3.pdf","gsii/532410-social-history-0-3.pdf")</f>
        <v/>
      </c>
      <c r="E1567" t="n">
        <v>119960</v>
      </c>
      <c r="F1567" t="n">
        <v>532410</v>
      </c>
      <c r="G1567" t="inlineStr">
        <is>
          <t>Physician</t>
        </is>
      </c>
      <c r="H1567" t="inlineStr">
        <is>
          <t>social-history</t>
        </is>
      </c>
      <c r="I1567" t="inlineStr">
        <is>
          <t>Retired, formerly worked
   manufacturing and distributing batteries.</t>
        </is>
      </c>
    </row>
    <row r="1568">
      <c r="A1568" t="inlineStr">
        <is>
          <t>532410-social-history-0-4</t>
        </is>
      </c>
      <c r="B1568" t="inlineStr"/>
      <c r="C1568" t="inlineStr"/>
      <c r="D1568">
        <f>HYPERLINK("http://nlpdeep.cs.uic.edu:8080/proofing/t5/532410-social-history-0-4.pdf","t5/532410-social-history-0-4.pdf")</f>
        <v/>
      </c>
      <c r="E1568" t="n">
        <v>119960</v>
      </c>
      <c r="F1568" t="n">
        <v>532410</v>
      </c>
      <c r="G1568" t="inlineStr">
        <is>
          <t>Physician</t>
        </is>
      </c>
      <c r="H1568" t="inlineStr">
        <is>
          <t>social-history</t>
        </is>
      </c>
      <c r="I1568" t="inlineStr">
        <is>
          <t>He smoked cigars for [**2-1**]
   years and quit &gt;45 years ago.</t>
        </is>
      </c>
    </row>
    <row r="1569">
      <c r="A1569" t="inlineStr">
        <is>
          <t>532410-social-history-0-4</t>
        </is>
      </c>
      <c r="B1569" t="inlineStr"/>
      <c r="C1569" t="inlineStr"/>
      <c r="D1569">
        <f>HYPERLINK("http://nlpdeep.cs.uic.edu:8080/proofing/gsii/532410-social-history-0-4.pdf","gsii/532410-social-history-0-4.pdf")</f>
        <v/>
      </c>
      <c r="E1569" t="n">
        <v>119960</v>
      </c>
      <c r="F1569" t="n">
        <v>532410</v>
      </c>
      <c r="G1569" t="inlineStr">
        <is>
          <t>Physician</t>
        </is>
      </c>
      <c r="H1569" t="inlineStr">
        <is>
          <t>social-history</t>
        </is>
      </c>
      <c r="I1569" t="inlineStr">
        <is>
          <t>He smoked cigars for [**2-1**]
   years and quit &gt;45 years ago.</t>
        </is>
      </c>
    </row>
    <row r="1570">
      <c r="A1570" t="inlineStr">
        <is>
          <t>532410-social-history-0-5</t>
        </is>
      </c>
      <c r="B1570" t="inlineStr"/>
      <c r="C1570" t="inlineStr"/>
      <c r="D1570">
        <f>HYPERLINK("http://nlpdeep.cs.uic.edu:8080/proofing/t5/532410-social-history-0-5.pdf","t5/532410-social-history-0-5.pdf")</f>
        <v/>
      </c>
      <c r="E1570" t="n">
        <v>119960</v>
      </c>
      <c r="F1570" t="n">
        <v>532410</v>
      </c>
      <c r="G1570" t="inlineStr">
        <is>
          <t>Physician</t>
        </is>
      </c>
      <c r="H1570" t="inlineStr">
        <is>
          <t>social-history</t>
        </is>
      </c>
      <c r="I1570" t="inlineStr">
        <is>
          <t>He has not smoked cigarettes.</t>
        </is>
      </c>
    </row>
    <row r="1571">
      <c r="A1571" t="inlineStr">
        <is>
          <t>532410-social-history-0-5</t>
        </is>
      </c>
      <c r="B1571" t="inlineStr"/>
      <c r="C1571" t="inlineStr"/>
      <c r="D1571">
        <f>HYPERLINK("http://nlpdeep.cs.uic.edu:8080/proofing/gsii/532410-social-history-0-5.pdf","gsii/532410-social-history-0-5.pdf")</f>
        <v/>
      </c>
      <c r="E1571" t="n">
        <v>119960</v>
      </c>
      <c r="F1571" t="n">
        <v>532410</v>
      </c>
      <c r="G1571" t="inlineStr">
        <is>
          <t>Physician</t>
        </is>
      </c>
      <c r="H1571" t="inlineStr">
        <is>
          <t>social-history</t>
        </is>
      </c>
      <c r="I1571" t="inlineStr">
        <is>
          <t>He has not smoked cigarettes.</t>
        </is>
      </c>
    </row>
    <row r="1572">
      <c r="A1572" t="inlineStr">
        <is>
          <t>532410-social-history-0-6</t>
        </is>
      </c>
      <c r="B1572" t="inlineStr"/>
      <c r="C1572" t="inlineStr"/>
      <c r="D1572">
        <f>HYPERLINK("http://nlpdeep.cs.uic.edu:8080/proofing/t5/532410-social-history-0-6.pdf","t5/532410-social-history-0-6.pdf")</f>
        <v/>
      </c>
      <c r="E1572" t="n">
        <v>119960</v>
      </c>
      <c r="F1572" t="n">
        <v>532410</v>
      </c>
      <c r="G1572" t="inlineStr">
        <is>
          <t>Physician</t>
        </is>
      </c>
      <c r="H1572" t="inlineStr">
        <is>
          <t>social-history</t>
        </is>
      </c>
      <c r="I1572" t="inlineStr">
        <is>
          <t>He does not
   drink alcohol on a regular basis.</t>
        </is>
      </c>
    </row>
    <row r="1573">
      <c r="A1573" t="inlineStr">
        <is>
          <t>532410-social-history-0-6</t>
        </is>
      </c>
      <c r="B1573" t="inlineStr"/>
      <c r="C1573" t="inlineStr"/>
      <c r="D1573">
        <f>HYPERLINK("http://nlpdeep.cs.uic.edu:8080/proofing/gsii/532410-social-history-0-6.pdf","gsii/532410-social-history-0-6.pdf")</f>
        <v/>
      </c>
      <c r="E1573" t="n">
        <v>119960</v>
      </c>
      <c r="F1573" t="n">
        <v>532410</v>
      </c>
      <c r="G1573" t="inlineStr">
        <is>
          <t>Physician</t>
        </is>
      </c>
      <c r="H1573" t="inlineStr">
        <is>
          <t>social-history</t>
        </is>
      </c>
      <c r="I1573" t="inlineStr">
        <is>
          <t>He does not
   drink alcohol on a regular basis.</t>
        </is>
      </c>
    </row>
    <row r="1574">
      <c r="A1574" t="inlineStr">
        <is>
          <t>532410-social-history-0-7</t>
        </is>
      </c>
      <c r="B1574" t="inlineStr"/>
      <c r="C1574" t="inlineStr"/>
      <c r="D1574">
        <f>HYPERLINK("http://nlpdeep.cs.uic.edu:8080/proofing/t5/532410-social-history-0-7.pdf","t5/532410-social-history-0-7.pdf")</f>
        <v/>
      </c>
      <c r="E1574" t="n">
        <v>119960</v>
      </c>
      <c r="F1574" t="n">
        <v>532410</v>
      </c>
      <c r="G1574" t="inlineStr">
        <is>
          <t>Physician</t>
        </is>
      </c>
      <c r="H1574" t="inlineStr">
        <is>
          <t>social-history</t>
        </is>
      </c>
      <c r="I1574" t="inlineStr">
        <is>
          <t>Denies IV, illicit, or herbal drug
   use.</t>
        </is>
      </c>
    </row>
    <row r="1575">
      <c r="A1575" t="inlineStr">
        <is>
          <t>532410-social-history-0-7</t>
        </is>
      </c>
      <c r="B1575" t="inlineStr"/>
      <c r="C1575" t="inlineStr"/>
      <c r="D1575">
        <f>HYPERLINK("http://nlpdeep.cs.uic.edu:8080/proofing/gsii/532410-social-history-0-7.pdf","gsii/532410-social-history-0-7.pdf")</f>
        <v/>
      </c>
      <c r="E1575" t="n">
        <v>119960</v>
      </c>
      <c r="F1575" t="n">
        <v>532410</v>
      </c>
      <c r="G1575" t="inlineStr">
        <is>
          <t>Physician</t>
        </is>
      </c>
      <c r="H1575" t="inlineStr">
        <is>
          <t>social-history</t>
        </is>
      </c>
      <c r="I1575" t="inlineStr">
        <is>
          <t>Denies IV, illicit, or herbal drug
   use.</t>
        </is>
      </c>
    </row>
    <row r="1576">
      <c r="A1576" t="inlineStr">
        <is>
          <t>532410-flowsheet-data-vitals-0-0</t>
        </is>
      </c>
      <c r="B1576" t="inlineStr"/>
      <c r="C1576" t="inlineStr"/>
      <c r="D1576">
        <f>HYPERLINK("http://nlpdeep.cs.uic.edu:8080/proofing/t5/532410-flowsheet-data-vitals-0-0.pdf","t5/532410-flowsheet-data-vitals-0-0.pdf")</f>
        <v/>
      </c>
      <c r="E1576" t="n">
        <v>119960</v>
      </c>
      <c r="F1576" t="n">
        <v>532410</v>
      </c>
      <c r="G1576" t="inlineStr">
        <is>
          <t>Physician</t>
        </is>
      </c>
      <c r="H1576" t="inlineStr">
        <is>
          <t>flowsheet-data-vitals</t>
        </is>
      </c>
      <c r="I1576" t="inlineStr">
        <is>
          <t>Vital Signs
   Hemodynamic monitoring
   Fluid Balance
                                                                  24 hours
                                                               Since [**42**] AM
   Tmax: 32.9
C (91.2
   Tcurrent: 32.9
C (91.2
   HR: 65 (65 - 71) bpm
   BP: 96/63(70) {96/63(70) - 151/105(169)} mmHg
   RR: 13 (13 - 32) insp/min
   SpO2: 98%
   Heart rhythm: AF (Atrial Fibrillation)
             Total In:
             26 mL
   PO:
             TF:
   IVF:
   26 mL
   Blood products:
   Total out:
                                                                      0 mL
                                                                    400 mL
   Urine:
   NG:
   Stool:
   Drains:
   Balance:
                                                                      0 mL
                                                                   -375 mL
   Respiratory
   O2 Delivery Device: Nasal cannula
   SpO2: 98%</t>
        </is>
      </c>
    </row>
    <row r="1577">
      <c r="A1577" t="inlineStr">
        <is>
          <t>532410-flowsheet-data-vitals-0-0</t>
        </is>
      </c>
      <c r="B1577" t="inlineStr"/>
      <c r="C1577" t="inlineStr"/>
      <c r="D1577">
        <f>HYPERLINK("http://nlpdeep.cs.uic.edu:8080/proofing/gsii/532410-flowsheet-data-vitals-0-0.pdf","gsii/532410-flowsheet-data-vitals-0-0.pdf")</f>
        <v/>
      </c>
      <c r="E1577" t="n">
        <v>119960</v>
      </c>
      <c r="F1577" t="n">
        <v>532410</v>
      </c>
      <c r="G1577" t="inlineStr">
        <is>
          <t>Physician</t>
        </is>
      </c>
      <c r="H1577" t="inlineStr">
        <is>
          <t>flowsheet-data-vitals</t>
        </is>
      </c>
      <c r="I1577" t="inlineStr">
        <is>
          <t>Vital Signs
   Hemodynamic monitoring
   Fluid Balance
                                                                  24 hours
                                                               Since [**42**] AM
   Tmax: 32.9
C (91.2
   Tcurrent: 32.9
C (91.2
   HR: 65 (65 - 71) bpm
   BP: 96/63(70) {96/63(70) - 151/105(169)} mmHg
   RR: 13 (13 - 32) insp/min
   SpO2: 98%
   Heart rhythm: AF (Atrial Fibrillation)
             Total In:
             26 mL
   PO:
             TF:
   IVF:
   26 mL
   Blood products:
   Total out:
                                                                      0 mL
                                                                    400 mL
   Urine:
   NG:
   Stool:
   Drains:
   Balance:
                                                                      0 mL
                                                                   -375 mL
   Respiratory
   O2 Delivery Device: Nasal cannula
   SpO2: 98%</t>
        </is>
      </c>
    </row>
    <row r="1578">
      <c r="A1578" t="inlineStr">
        <is>
          <t>532410-physical-examination-0-0</t>
        </is>
      </c>
      <c r="B1578" t="inlineStr"/>
      <c r="C1578" t="inlineStr"/>
      <c r="D1578">
        <f>HYPERLINK("http://nlpdeep.cs.uic.edu:8080/proofing/t5/532410-physical-examination-0-0.pdf","t5/532410-physical-examination-0-0.pdf")</f>
        <v/>
      </c>
      <c r="E1578" t="n">
        <v>119960</v>
      </c>
      <c r="F1578" t="n">
        <v>532410</v>
      </c>
      <c r="G1578" t="inlineStr">
        <is>
          <t>Physician</t>
        </is>
      </c>
      <c r="H1578" t="inlineStr">
        <is>
          <t>physical-examination</t>
        </is>
      </c>
      <c r="I1578" t="inlineStr">
        <is>
          <t>General: Alert, oriented, breathing heavily and appears in pain
   HEENT: Sclera anicteric, MMM
   Neck: supple, JVP 11 cm
   Lungs: Clear to auscultation bilaterally anteriorly but difficult to
   assess with much transmitted upper airway sounds, no wheezes, rales,
   ronchi
   CV: Irregularly irregular rhythm, normal rate, distant heart sounds, no
   murmurs, rubs, gallops
   Abdomen:  soft, non-tender, non-distended, bowel sounds present, no
   rebound tenderness or guarding
   GU: foley
   Ext: cool, 2+ DP pulses bilaterally, no clubbing.</t>
        </is>
      </c>
    </row>
    <row r="1579">
      <c r="A1579" t="inlineStr">
        <is>
          <t>532410-physical-examination-0-0</t>
        </is>
      </c>
      <c r="B1579" t="inlineStr"/>
      <c r="C1579" t="inlineStr"/>
      <c r="D1579">
        <f>HYPERLINK("http://nlpdeep.cs.uic.edu:8080/proofing/gsii/532410-physical-examination-0-0.pdf","gsii/532410-physical-examination-0-0.pdf")</f>
        <v/>
      </c>
      <c r="E1579" t="n">
        <v>119960</v>
      </c>
      <c r="F1579" t="n">
        <v>532410</v>
      </c>
      <c r="G1579" t="inlineStr">
        <is>
          <t>Physician</t>
        </is>
      </c>
      <c r="H1579" t="inlineStr">
        <is>
          <t>physical-examination</t>
        </is>
      </c>
      <c r="I1579" t="inlineStr">
        <is>
          <t>General: Alert, oriented, breathing heavily and appears in pain
   HEENT: Sclera anicteric, MMM
   Neck: supple, JVP 11 cm
   Lungs: Clear to auscultation bilaterally anteriorly but difficult to
   assess with much transmitted upper airway sounds, no wheezes, rales,
   ronchi
   CV: Irregularly irregular rhythm, normal rate, distant heart sounds, no
   murmurs, rubs, gallops
   Abdomen:  soft, non-tender, non-distended, bowel sounds present, no
   rebound tenderness or guarding
   GU: foley
   Ext: cool, 2+ DP pulses bilaterally, no clubbing.</t>
        </is>
      </c>
    </row>
    <row r="1580">
      <c r="A1580" t="inlineStr">
        <is>
          <t>532410-physical-examination-0-1</t>
        </is>
      </c>
      <c r="B1580" t="inlineStr"/>
      <c r="C1580" t="inlineStr"/>
      <c r="D1580">
        <f>HYPERLINK("http://nlpdeep.cs.uic.edu:8080/proofing/t5/532410-physical-examination-0-1.pdf","t5/532410-physical-examination-0-1.pdf")</f>
        <v/>
      </c>
      <c r="E1580" t="n">
        <v>119960</v>
      </c>
      <c r="F1580" t="n">
        <v>532410</v>
      </c>
      <c r="G1580" t="inlineStr">
        <is>
          <t>Physician</t>
        </is>
      </c>
      <c r="H1580" t="inlineStr">
        <is>
          <t>physical-examination</t>
        </is>
      </c>
      <c r="I1580" t="inlineStr">
        <is>
          <t>[**2-1**]+ pitting edema
   bilaterally; lower legs wrapped in ACE bandages.</t>
        </is>
      </c>
    </row>
    <row r="1581">
      <c r="A1581" t="inlineStr">
        <is>
          <t>532410-physical-examination-0-1</t>
        </is>
      </c>
      <c r="B1581" t="inlineStr"/>
      <c r="C1581" t="inlineStr"/>
      <c r="D1581">
        <f>HYPERLINK("http://nlpdeep.cs.uic.edu:8080/proofing/gsii/532410-physical-examination-0-1.pdf","gsii/532410-physical-examination-0-1.pdf")</f>
        <v/>
      </c>
      <c r="E1581" t="n">
        <v>119960</v>
      </c>
      <c r="F1581" t="n">
        <v>532410</v>
      </c>
      <c r="G1581" t="inlineStr">
        <is>
          <t>Physician</t>
        </is>
      </c>
      <c r="H1581" t="inlineStr">
        <is>
          <t>physical-examination</t>
        </is>
      </c>
      <c r="I1581" t="inlineStr">
        <is>
          <t>[**2-1**]+ pitting edema
   bilaterally; lower legs wrapped in ACE bandages.</t>
        </is>
      </c>
    </row>
    <row r="1582">
      <c r="A1582" t="inlineStr">
        <is>
          <t>532410-physical-examination-0-2</t>
        </is>
      </c>
      <c r="B1582" t="inlineStr"/>
      <c r="C1582" t="inlineStr"/>
      <c r="D1582">
        <f>HYPERLINK("http://nlpdeep.cs.uic.edu:8080/proofing/t5/532410-physical-examination-0-2.pdf","t5/532410-physical-examination-0-2.pdf")</f>
        <v/>
      </c>
      <c r="E1582" t="n">
        <v>119960</v>
      </c>
      <c r="F1582" t="n">
        <v>532410</v>
      </c>
      <c r="G1582" t="inlineStr">
        <is>
          <t>Physician</t>
        </is>
      </c>
      <c r="H1582" t="inlineStr">
        <is>
          <t>physical-examination</t>
        </is>
      </c>
      <c r="I1582" t="inlineStr">
        <is>
          <t>Multiple small
   ecchymoses on UE bilaterally.</t>
        </is>
      </c>
    </row>
    <row r="1583">
      <c r="A1583" t="inlineStr">
        <is>
          <t>532410-physical-examination-0-2</t>
        </is>
      </c>
      <c r="B1583" t="inlineStr"/>
      <c r="C1583" t="inlineStr"/>
      <c r="D1583">
        <f>HYPERLINK("http://nlpdeep.cs.uic.edu:8080/proofing/gsii/532410-physical-examination-0-2.pdf","gsii/532410-physical-examination-0-2.pdf")</f>
        <v/>
      </c>
      <c r="E1583" t="n">
        <v>119960</v>
      </c>
      <c r="F1583" t="n">
        <v>532410</v>
      </c>
      <c r="G1583" t="inlineStr">
        <is>
          <t>Physician</t>
        </is>
      </c>
      <c r="H1583" t="inlineStr">
        <is>
          <t>physical-examination</t>
        </is>
      </c>
      <c r="I1583" t="inlineStr">
        <is>
          <t>Multiple small
   ecchymoses on UE bilaterally.</t>
        </is>
      </c>
    </row>
    <row r="1584">
      <c r="A1584" t="inlineStr">
        <is>
          <t>532410-physical-examination-0-3</t>
        </is>
      </c>
      <c r="B1584" t="inlineStr"/>
      <c r="C1584" t="inlineStr"/>
      <c r="D1584">
        <f>HYPERLINK("http://nlpdeep.cs.uic.edu:8080/proofing/t5/532410-physical-examination-0-3.pdf","t5/532410-physical-examination-0-3.pdf")</f>
        <v/>
      </c>
      <c r="E1584" t="n">
        <v>119960</v>
      </c>
      <c r="F1584" t="n">
        <v>532410</v>
      </c>
      <c r="G1584" t="inlineStr">
        <is>
          <t>Physician</t>
        </is>
      </c>
      <c r="H1584" t="inlineStr">
        <is>
          <t>physical-examination</t>
        </is>
      </c>
      <c r="I1584" t="inlineStr">
        <is>
          <t>Left leg externally rotated and
   shortened, with ecchymosis noted on lateral hip area.</t>
        </is>
      </c>
    </row>
    <row r="1585">
      <c r="A1585" t="inlineStr">
        <is>
          <t>532410-physical-examination-0-3</t>
        </is>
      </c>
      <c r="B1585" t="inlineStr"/>
      <c r="C1585" t="inlineStr"/>
      <c r="D1585">
        <f>HYPERLINK("http://nlpdeep.cs.uic.edu:8080/proofing/gsii/532410-physical-examination-0-3.pdf","gsii/532410-physical-examination-0-3.pdf")</f>
        <v/>
      </c>
      <c r="E1585" t="n">
        <v>119960</v>
      </c>
      <c r="F1585" t="n">
        <v>532410</v>
      </c>
      <c r="G1585" t="inlineStr">
        <is>
          <t>Physician</t>
        </is>
      </c>
      <c r="H1585" t="inlineStr">
        <is>
          <t>physical-examination</t>
        </is>
      </c>
      <c r="I1585" t="inlineStr">
        <is>
          <t>Left leg externally rotated and
   shortened, with ecchymosis noted on lateral hip area.</t>
        </is>
      </c>
    </row>
    <row r="1586">
      <c r="A1586" t="inlineStr">
        <is>
          <t>532410-labs-imaging-0-0</t>
        </is>
      </c>
      <c r="B1586" t="inlineStr"/>
      <c r="C1586" t="inlineStr"/>
      <c r="D1586">
        <f>HYPERLINK("http://nlpdeep.cs.uic.edu:8080/proofing/t5/532410-labs-imaging-0-0.pdf","t5/532410-labs-imaging-0-0.pdf")</f>
        <v/>
      </c>
      <c r="E1586" t="n">
        <v>119960</v>
      </c>
      <c r="F1586" t="n">
        <v>532410</v>
      </c>
      <c r="G1586" t="inlineStr">
        <is>
          <t>Physician</t>
        </is>
      </c>
      <c r="H1586" t="inlineStr">
        <is>
          <t>labs-imaging</t>
        </is>
      </c>
      <c r="I1586" t="inlineStr">
        <is>
          <t>128 K/uL
   7.8 g/dL
   101 mEq/L
   5.1 mEq/L
   140 mEq/L
   22.8 %
   8.2 K/uL
        [image002.jpg]
                                  [**2136-12-31**]
                          2:33 A4/8/[**2140**]  08:20 PM
                                  [**2137-1-4**]
                                   10:20 P
                                  [**2137-1-5**]
                                   1:20 P
                                  [**2137-1-6**]
                                   11:50 P
                                  [**2137-1-7**]
                                   1:20 A
                                  [**2137-1-8**]
                                   7:20 P
                                  1//11/006
                                   1:23 P
                                  [**2137-1-31**]
                                   1:20 P
                                  [**2137-1-31**]
                                   11:20 P
                                  [**2137-1-31**]
                                   4:20 P
   WBC
                                     8.2
   Hct
                                    22.8
   Plt
                                     128
   Other labs: Lactic Acid:0.9 mmol/L, Mg++:2.1 mg/dL, PO4:5.0 mg/dL
   Micro: blood cx
 pending
   [**4-6**] CT Ab/pelvis w/o contrast: 1.</t>
        </is>
      </c>
    </row>
    <row r="1587">
      <c r="A1587" t="inlineStr">
        <is>
          <t>532410-labs-imaging-0-0</t>
        </is>
      </c>
      <c r="B1587" t="inlineStr"/>
      <c r="C1587" t="inlineStr"/>
      <c r="D1587">
        <f>HYPERLINK("http://nlpdeep.cs.uic.edu:8080/proofing/gsii/532410-labs-imaging-0-0.pdf","gsii/532410-labs-imaging-0-0.pdf")</f>
        <v/>
      </c>
      <c r="E1587" t="n">
        <v>119960</v>
      </c>
      <c r="F1587" t="n">
        <v>532410</v>
      </c>
      <c r="G1587" t="inlineStr">
        <is>
          <t>Physician</t>
        </is>
      </c>
      <c r="H1587" t="inlineStr">
        <is>
          <t>labs-imaging</t>
        </is>
      </c>
      <c r="I1587" t="inlineStr">
        <is>
          <t>128 K/uL
   7.8 g/dL
   101 mEq/L
   5.1 mEq/L
   140 mEq/L
   22.8 %
   8.2 K/uL
        [image002.jpg]
                                  [**2136-12-31**]
                          2:33 A4/8/[**2140**]  08:20 PM
                                  [**2137-1-4**]
                                   10:20 P
                                  [**2137-1-5**]
                                   1:20 P
                                  [**2137-1-6**]
                                   11:50 P
                                  [**2137-1-7**]
                                   1:20 A
                                  [**2137-1-8**]
                                   7:20 P
                                  1//11/006
                                   1:23 P
                                  [**2137-1-31**]
                                   1:20 P
                                  [**2137-1-31**]
                                   11:20 P
                                  [**2137-1-31**]
                                   4:20 P
   WBC
                                     8.2
   Hct
                                    22.8
   Plt
                                     128
   Other labs: Lactic Acid:0.9 mmol/L, Mg++:2.1 mg/dL, PO4:5.0 mg/dL
   Micro: blood cx
 pending
   [**4-6**] CT Ab/pelvis w/o contrast: 1.</t>
        </is>
      </c>
    </row>
    <row r="1588">
      <c r="A1588" t="inlineStr">
        <is>
          <t>532410-labs-imaging-0-1</t>
        </is>
      </c>
      <c r="B1588" t="inlineStr"/>
      <c r="C1588" t="inlineStr"/>
      <c r="D1588">
        <f>HYPERLINK("http://nlpdeep.cs.uic.edu:8080/proofing/t5/532410-labs-imaging-0-1.pdf","t5/532410-labs-imaging-0-1.pdf")</f>
        <v/>
      </c>
      <c r="E1588" t="n">
        <v>119960</v>
      </c>
      <c r="F1588" t="n">
        <v>532410</v>
      </c>
      <c r="G1588" t="inlineStr">
        <is>
          <t>Physician</t>
        </is>
      </c>
      <c r="H1588" t="inlineStr">
        <is>
          <t>labs-imaging</t>
        </is>
      </c>
      <c r="I1588" t="inlineStr">
        <is>
          <t>Left intertrochanteric hip fracture.</t>
        </is>
      </c>
    </row>
    <row r="1589">
      <c r="A1589" t="inlineStr">
        <is>
          <t>532410-labs-imaging-0-1</t>
        </is>
      </c>
      <c r="B1589" t="inlineStr"/>
      <c r="C1589" t="inlineStr"/>
      <c r="D1589">
        <f>HYPERLINK("http://nlpdeep.cs.uic.edu:8080/proofing/gsii/532410-labs-imaging-0-1.pdf","gsii/532410-labs-imaging-0-1.pdf")</f>
        <v/>
      </c>
      <c r="E1589" t="n">
        <v>119960</v>
      </c>
      <c r="F1589" t="n">
        <v>532410</v>
      </c>
      <c r="G1589" t="inlineStr">
        <is>
          <t>Physician</t>
        </is>
      </c>
      <c r="H1589" t="inlineStr">
        <is>
          <t>labs-imaging</t>
        </is>
      </c>
      <c r="I1589" t="inlineStr">
        <is>
          <t>Left intertrochanteric hip fracture.</t>
        </is>
      </c>
    </row>
    <row r="1590">
      <c r="A1590" t="inlineStr">
        <is>
          <t>532410-labs-imaging-0-2</t>
        </is>
      </c>
      <c r="B1590" t="inlineStr"/>
      <c r="C1590" t="inlineStr"/>
      <c r="D1590">
        <f>HYPERLINK("http://nlpdeep.cs.uic.edu:8080/proofing/t5/532410-labs-imaging-0-2.pdf","t5/532410-labs-imaging-0-2.pdf")</f>
        <v/>
      </c>
      <c r="E1590" t="n">
        <v>119960</v>
      </c>
      <c r="F1590" t="n">
        <v>532410</v>
      </c>
      <c r="G1590" t="inlineStr">
        <is>
          <t>Physician</t>
        </is>
      </c>
      <c r="H1590" t="inlineStr">
        <is>
          <t>labs-imaging</t>
        </is>
      </c>
      <c r="I1590" t="inlineStr">
        <is>
          <t>Large left adrenal mass, which is not characterized on non-contrast
   examination.</t>
        </is>
      </c>
    </row>
    <row r="1591">
      <c r="A1591" t="inlineStr">
        <is>
          <t>532410-labs-imaging-0-2</t>
        </is>
      </c>
      <c r="B1591" t="inlineStr"/>
      <c r="C1591" t="inlineStr"/>
      <c r="D1591">
        <f>HYPERLINK("http://nlpdeep.cs.uic.edu:8080/proofing/gsii/532410-labs-imaging-0-2.pdf","gsii/532410-labs-imaging-0-2.pdf")</f>
        <v/>
      </c>
      <c r="E1591" t="n">
        <v>119960</v>
      </c>
      <c r="F1591" t="n">
        <v>532410</v>
      </c>
      <c r="G1591" t="inlineStr">
        <is>
          <t>Physician</t>
        </is>
      </c>
      <c r="H1591" t="inlineStr">
        <is>
          <t>labs-imaging</t>
        </is>
      </c>
      <c r="I1591" t="inlineStr">
        <is>
          <t>Large left adrenal mass, which is not characterized on non-contrast
   examination.</t>
        </is>
      </c>
    </row>
    <row r="1592">
      <c r="A1592" t="inlineStr">
        <is>
          <t>532410-labs-imaging-0-3</t>
        </is>
      </c>
      <c r="B1592" t="inlineStr"/>
      <c r="C1592" t="inlineStr"/>
      <c r="D1592">
        <f>HYPERLINK("http://nlpdeep.cs.uic.edu:8080/proofing/t5/532410-labs-imaging-0-3.pdf","t5/532410-labs-imaging-0-3.pdf")</f>
        <v/>
      </c>
      <c r="E1592" t="n">
        <v>119960</v>
      </c>
      <c r="F1592" t="n">
        <v>532410</v>
      </c>
      <c r="G1592" t="inlineStr">
        <is>
          <t>Physician</t>
        </is>
      </c>
      <c r="H1592" t="inlineStr">
        <is>
          <t>labs-imaging</t>
        </is>
      </c>
      <c r="I1592" t="inlineStr">
        <is>
          <t>However, the imaging features are not consistent with an
   adrenal hematoma.</t>
        </is>
      </c>
    </row>
    <row r="1593">
      <c r="A1593" t="inlineStr">
        <is>
          <t>532410-labs-imaging-0-3</t>
        </is>
      </c>
      <c r="B1593" t="inlineStr"/>
      <c r="C1593" t="inlineStr"/>
      <c r="D1593">
        <f>HYPERLINK("http://nlpdeep.cs.uic.edu:8080/proofing/gsii/532410-labs-imaging-0-3.pdf","gsii/532410-labs-imaging-0-3.pdf")</f>
        <v/>
      </c>
      <c r="E1593" t="n">
        <v>119960</v>
      </c>
      <c r="F1593" t="n">
        <v>532410</v>
      </c>
      <c r="G1593" t="inlineStr">
        <is>
          <t>Physician</t>
        </is>
      </c>
      <c r="H1593" t="inlineStr">
        <is>
          <t>labs-imaging</t>
        </is>
      </c>
      <c r="I1593" t="inlineStr">
        <is>
          <t>However, the imaging features are not consistent with an
   adrenal hematoma.</t>
        </is>
      </c>
    </row>
    <row r="1594">
      <c r="A1594" t="inlineStr">
        <is>
          <t>532410-labs-imaging-0-4</t>
        </is>
      </c>
      <c r="B1594" t="inlineStr"/>
      <c r="C1594" t="inlineStr"/>
      <c r="D1594">
        <f>HYPERLINK("http://nlpdeep.cs.uic.edu:8080/proofing/t5/532410-labs-imaging-0-4.pdf","t5/532410-labs-imaging-0-4.pdf")</f>
        <v/>
      </c>
      <c r="E1594" t="n">
        <v>119960</v>
      </c>
      <c r="F1594" t="n">
        <v>532410</v>
      </c>
      <c r="G1594" t="inlineStr">
        <is>
          <t>Physician</t>
        </is>
      </c>
      <c r="H1594" t="inlineStr">
        <is>
          <t>labs-imaging</t>
        </is>
      </c>
      <c r="I1594" t="inlineStr">
        <is>
          <t>A nonurgent adrenal MR recommended for further
   characterization.</t>
        </is>
      </c>
    </row>
    <row r="1595">
      <c r="A1595" t="inlineStr">
        <is>
          <t>532410-labs-imaging-0-4</t>
        </is>
      </c>
      <c r="B1595" t="inlineStr"/>
      <c r="C1595" t="inlineStr"/>
      <c r="D1595">
        <f>HYPERLINK("http://nlpdeep.cs.uic.edu:8080/proofing/gsii/532410-labs-imaging-0-4.pdf","gsii/532410-labs-imaging-0-4.pdf")</f>
        <v/>
      </c>
      <c r="E1595" t="n">
        <v>119960</v>
      </c>
      <c r="F1595" t="n">
        <v>532410</v>
      </c>
      <c r="G1595" t="inlineStr">
        <is>
          <t>Physician</t>
        </is>
      </c>
      <c r="H1595" t="inlineStr">
        <is>
          <t>labs-imaging</t>
        </is>
      </c>
      <c r="I1595" t="inlineStr">
        <is>
          <t>A nonurgent adrenal MR recommended for further
   characterization.</t>
        </is>
      </c>
    </row>
    <row r="1596">
      <c r="A1596" t="inlineStr">
        <is>
          <t>532410-labs-imaging-0-5</t>
        </is>
      </c>
      <c r="B1596" t="inlineStr"/>
      <c r="C1596" t="inlineStr"/>
      <c r="D1596">
        <f>HYPERLINK("http://nlpdeep.cs.uic.edu:8080/proofing/t5/532410-labs-imaging-0-5.pdf","t5/532410-labs-imaging-0-5.pdf")</f>
        <v/>
      </c>
      <c r="E1596" t="n">
        <v>119960</v>
      </c>
      <c r="F1596" t="n">
        <v>532410</v>
      </c>
      <c r="G1596" t="inlineStr">
        <is>
          <t>Physician</t>
        </is>
      </c>
      <c r="H1596" t="inlineStr">
        <is>
          <t>labs-imaging</t>
        </is>
      </c>
      <c r="I1596" t="inlineStr">
        <is>
          <t>Cholelithiasis.</t>
        </is>
      </c>
    </row>
    <row r="1597">
      <c r="A1597" t="inlineStr">
        <is>
          <t>532410-labs-imaging-0-5</t>
        </is>
      </c>
      <c r="B1597" t="inlineStr"/>
      <c r="C1597" t="inlineStr"/>
      <c r="D1597">
        <f>HYPERLINK("http://nlpdeep.cs.uic.edu:8080/proofing/gsii/532410-labs-imaging-0-5.pdf","gsii/532410-labs-imaging-0-5.pdf")</f>
        <v/>
      </c>
      <c r="E1597" t="n">
        <v>119960</v>
      </c>
      <c r="F1597" t="n">
        <v>532410</v>
      </c>
      <c r="G1597" t="inlineStr">
        <is>
          <t>Physician</t>
        </is>
      </c>
      <c r="H1597" t="inlineStr">
        <is>
          <t>labs-imaging</t>
        </is>
      </c>
      <c r="I1597" t="inlineStr">
        <is>
          <t>Cholelithiasis.</t>
        </is>
      </c>
    </row>
    <row r="1598">
      <c r="A1598" t="inlineStr">
        <is>
          <t>532410-labs-imaging-0-6</t>
        </is>
      </c>
      <c r="B1598" t="inlineStr"/>
      <c r="C1598" t="inlineStr"/>
      <c r="D1598">
        <f>HYPERLINK("http://nlpdeep.cs.uic.edu:8080/proofing/t5/532410-labs-imaging-0-6.pdf","t5/532410-labs-imaging-0-6.pdf")</f>
        <v/>
      </c>
      <c r="E1598" t="n">
        <v>119960</v>
      </c>
      <c r="F1598" t="n">
        <v>532410</v>
      </c>
      <c r="G1598" t="inlineStr">
        <is>
          <t>Physician</t>
        </is>
      </c>
      <c r="H1598" t="inlineStr">
        <is>
          <t>labs-imaging</t>
        </is>
      </c>
      <c r="I1598" t="inlineStr">
        <is>
          <t>Atherosclerotic calcification
   of the abdominal aorta and its branches.</t>
        </is>
      </c>
    </row>
    <row r="1599">
      <c r="A1599" t="inlineStr">
        <is>
          <t>532410-labs-imaging-0-6</t>
        </is>
      </c>
      <c r="B1599" t="inlineStr"/>
      <c r="C1599" t="inlineStr"/>
      <c r="D1599">
        <f>HYPERLINK("http://nlpdeep.cs.uic.edu:8080/proofing/gsii/532410-labs-imaging-0-6.pdf","gsii/532410-labs-imaging-0-6.pdf")</f>
        <v/>
      </c>
      <c r="E1599" t="n">
        <v>119960</v>
      </c>
      <c r="F1599" t="n">
        <v>532410</v>
      </c>
      <c r="G1599" t="inlineStr">
        <is>
          <t>Physician</t>
        </is>
      </c>
      <c r="H1599" t="inlineStr">
        <is>
          <t>labs-imaging</t>
        </is>
      </c>
      <c r="I1599" t="inlineStr">
        <is>
          <t>Atherosclerotic calcification
   of the abdominal aorta and its branches.</t>
        </is>
      </c>
    </row>
    <row r="1600">
      <c r="A1600" t="inlineStr">
        <is>
          <t>532410-labs-imaging-0-7</t>
        </is>
      </c>
      <c r="B1600" t="inlineStr"/>
      <c r="C1600" t="inlineStr"/>
      <c r="D1600">
        <f>HYPERLINK("http://nlpdeep.cs.uic.edu:8080/proofing/t5/532410-labs-imaging-0-7.pdf","t5/532410-labs-imaging-0-7.pdf")</f>
        <v/>
      </c>
      <c r="E1600" t="n">
        <v>119960</v>
      </c>
      <c r="F1600" t="n">
        <v>532410</v>
      </c>
      <c r="G1600" t="inlineStr">
        <is>
          <t>Physician</t>
        </is>
      </c>
      <c r="H1600" t="inlineStr">
        <is>
          <t>labs-imaging</t>
        </is>
      </c>
      <c r="I1600" t="inlineStr">
        <is>
          <t>No evidence of
   retroperitoneal hematoma.</t>
        </is>
      </c>
    </row>
    <row r="1601">
      <c r="A1601" t="inlineStr">
        <is>
          <t>532410-labs-imaging-0-7</t>
        </is>
      </c>
      <c r="B1601" t="inlineStr"/>
      <c r="C1601" t="inlineStr"/>
      <c r="D1601">
        <f>HYPERLINK("http://nlpdeep.cs.uic.edu:8080/proofing/gsii/532410-labs-imaging-0-7.pdf","gsii/532410-labs-imaging-0-7.pdf")</f>
        <v/>
      </c>
      <c r="E1601" t="n">
        <v>119960</v>
      </c>
      <c r="F1601" t="n">
        <v>532410</v>
      </c>
      <c r="G1601" t="inlineStr">
        <is>
          <t>Physician</t>
        </is>
      </c>
      <c r="H1601" t="inlineStr">
        <is>
          <t>labs-imaging</t>
        </is>
      </c>
      <c r="I1601" t="inlineStr">
        <is>
          <t>No evidence of
   retroperitoneal hematoma.</t>
        </is>
      </c>
    </row>
    <row r="1602">
      <c r="A1602" t="inlineStr">
        <is>
          <t>532410-labs-imaging-0-8</t>
        </is>
      </c>
      <c r="B1602" t="inlineStr"/>
      <c r="C1602" t="inlineStr"/>
      <c r="D1602">
        <f>HYPERLINK("http://nlpdeep.cs.uic.edu:8080/proofing/t5/532410-labs-imaging-0-8.pdf","t5/532410-labs-imaging-0-8.pdf")</f>
        <v/>
      </c>
      <c r="E1602" t="n">
        <v>119960</v>
      </c>
      <c r="F1602" t="n">
        <v>532410</v>
      </c>
      <c r="G1602" t="inlineStr">
        <is>
          <t>Physician</t>
        </is>
      </c>
      <c r="H1602" t="inlineStr">
        <is>
          <t>labs-imaging</t>
        </is>
      </c>
      <c r="I1602" t="inlineStr">
        <is>
          <t>Prostatic enlargement.</t>
        </is>
      </c>
    </row>
    <row r="1603">
      <c r="A1603" t="inlineStr">
        <is>
          <t>532410-labs-imaging-0-8</t>
        </is>
      </c>
      <c r="B1603" t="inlineStr"/>
      <c r="C1603" t="inlineStr"/>
      <c r="D1603">
        <f>HYPERLINK("http://nlpdeep.cs.uic.edu:8080/proofing/gsii/532410-labs-imaging-0-8.pdf","gsii/532410-labs-imaging-0-8.pdf")</f>
        <v/>
      </c>
      <c r="E1603" t="n">
        <v>119960</v>
      </c>
      <c r="F1603" t="n">
        <v>532410</v>
      </c>
      <c r="G1603" t="inlineStr">
        <is>
          <t>Physician</t>
        </is>
      </c>
      <c r="H1603" t="inlineStr">
        <is>
          <t>labs-imaging</t>
        </is>
      </c>
      <c r="I1603" t="inlineStr">
        <is>
          <t>Prostatic enlargement.</t>
        </is>
      </c>
    </row>
    <row r="1604">
      <c r="A1604" t="inlineStr">
        <is>
          <t>532410-labs-imaging-1-0</t>
        </is>
      </c>
      <c r="B1604" t="inlineStr"/>
      <c r="C1604" t="inlineStr"/>
      <c r="D1604">
        <f>HYPERLINK("http://nlpdeep.cs.uic.edu:8080/proofing/t5/532410-labs-imaging-1-0.pdf","t5/532410-labs-imaging-1-0.pdf")</f>
        <v/>
      </c>
      <c r="E1604" t="n">
        <v>119960</v>
      </c>
      <c r="F1604" t="n">
        <v>532410</v>
      </c>
      <c r="G1604" t="inlineStr">
        <is>
          <t>Physician</t>
        </is>
      </c>
      <c r="H1604" t="inlineStr">
        <is>
          <t>labs-imaging</t>
        </is>
      </c>
      <c r="I1604" t="inlineStr"/>
    </row>
    <row r="1605">
      <c r="A1605" t="inlineStr">
        <is>
          <t>532410-labs-imaging-1-0</t>
        </is>
      </c>
      <c r="B1605" t="inlineStr"/>
      <c r="C1605" t="inlineStr"/>
      <c r="D1605">
        <f>HYPERLINK("http://nlpdeep.cs.uic.edu:8080/proofing/gsii/532410-labs-imaging-1-0.pdf","gsii/532410-labs-imaging-1-0.pdf")</f>
        <v/>
      </c>
      <c r="E1605" t="n">
        <v>119960</v>
      </c>
      <c r="F1605" t="n">
        <v>532410</v>
      </c>
      <c r="G1605" t="inlineStr">
        <is>
          <t>Physician</t>
        </is>
      </c>
      <c r="H1605" t="inlineStr">
        <is>
          <t>labs-imaging</t>
        </is>
      </c>
      <c r="I1605" t="inlineStr"/>
    </row>
    <row r="1606">
      <c r="A1606" t="inlineStr">
        <is>
          <t>532410-labs-imaging-2-0</t>
        </is>
      </c>
      <c r="B1606" t="inlineStr"/>
      <c r="C1606" t="inlineStr"/>
      <c r="D1606">
        <f>HYPERLINK("http://nlpdeep.cs.uic.edu:8080/proofing/t5/532410-labs-imaging-2-0.pdf","t5/532410-labs-imaging-2-0.pdf")</f>
        <v/>
      </c>
      <c r="E1606" t="n">
        <v>119960</v>
      </c>
      <c r="F1606" t="n">
        <v>532410</v>
      </c>
      <c r="G1606" t="inlineStr">
        <is>
          <t>Physician</t>
        </is>
      </c>
      <c r="H1606" t="inlineStr">
        <is>
          <t>labs-imaging</t>
        </is>
      </c>
      <c r="I1606" t="inlineStr"/>
    </row>
    <row r="1607">
      <c r="A1607" t="inlineStr">
        <is>
          <t>532410-labs-imaging-2-0</t>
        </is>
      </c>
      <c r="B1607" t="inlineStr"/>
      <c r="C1607" t="inlineStr"/>
      <c r="D1607">
        <f>HYPERLINK("http://nlpdeep.cs.uic.edu:8080/proofing/gsii/532410-labs-imaging-2-0.pdf","gsii/532410-labs-imaging-2-0.pdf")</f>
        <v/>
      </c>
      <c r="E1607" t="n">
        <v>119960</v>
      </c>
      <c r="F1607" t="n">
        <v>532410</v>
      </c>
      <c r="G1607" t="inlineStr">
        <is>
          <t>Physician</t>
        </is>
      </c>
      <c r="H1607" t="inlineStr">
        <is>
          <t>labs-imaging</t>
        </is>
      </c>
      <c r="I1607" t="inlineStr"/>
    </row>
    <row r="1608">
      <c r="A1608" t="inlineStr">
        <is>
          <t>532410-labs-imaging-3-0</t>
        </is>
      </c>
      <c r="B1608" t="inlineStr"/>
      <c r="C1608" t="inlineStr"/>
      <c r="D1608">
        <f>HYPERLINK("http://nlpdeep.cs.uic.edu:8080/proofing/t5/532410-labs-imaging-3-0.pdf","t5/532410-labs-imaging-3-0.pdf")</f>
        <v/>
      </c>
      <c r="E1608" t="n">
        <v>119960</v>
      </c>
      <c r="F1608" t="n">
        <v>532410</v>
      </c>
      <c r="G1608" t="inlineStr">
        <is>
          <t>Physician</t>
        </is>
      </c>
      <c r="H1608" t="inlineStr">
        <is>
          <t>labs-imaging</t>
        </is>
      </c>
      <c r="I1608" t="inlineStr"/>
    </row>
    <row r="1609">
      <c r="A1609" t="inlineStr">
        <is>
          <t>532410-labs-imaging-3-0</t>
        </is>
      </c>
      <c r="B1609" t="inlineStr"/>
      <c r="C1609" t="inlineStr"/>
      <c r="D1609">
        <f>HYPERLINK("http://nlpdeep.cs.uic.edu:8080/proofing/gsii/532410-labs-imaging-3-0.pdf","gsii/532410-labs-imaging-3-0.pdf")</f>
        <v/>
      </c>
      <c r="E1609" t="n">
        <v>119960</v>
      </c>
      <c r="F1609" t="n">
        <v>532410</v>
      </c>
      <c r="G1609" t="inlineStr">
        <is>
          <t>Physician</t>
        </is>
      </c>
      <c r="H1609" t="inlineStr">
        <is>
          <t>labs-imaging</t>
        </is>
      </c>
      <c r="I1609" t="inlineStr"/>
    </row>
    <row r="1610">
      <c r="A1610" t="inlineStr">
        <is>
          <t>532410-labs-imaging-4-0</t>
        </is>
      </c>
      <c r="B1610" t="inlineStr"/>
      <c r="C1610" t="inlineStr"/>
      <c r="D1610">
        <f>HYPERLINK("http://nlpdeep.cs.uic.edu:8080/proofing/t5/532410-labs-imaging-4-0.pdf","t5/532410-labs-imaging-4-0.pdf")</f>
        <v/>
      </c>
      <c r="E1610" t="n">
        <v>119960</v>
      </c>
      <c r="F1610" t="n">
        <v>532410</v>
      </c>
      <c r="G1610" t="inlineStr">
        <is>
          <t>Physician</t>
        </is>
      </c>
      <c r="H1610" t="inlineStr">
        <is>
          <t>labs-imaging</t>
        </is>
      </c>
      <c r="I1610" t="inlineStr">
        <is>
          <t xml:space="preserve">
   [**4-6**] CT C-spine w/o contrast - 1.</t>
        </is>
      </c>
    </row>
    <row r="1611">
      <c r="A1611" t="inlineStr">
        <is>
          <t>532410-labs-imaging-4-0</t>
        </is>
      </c>
      <c r="B1611" t="inlineStr"/>
      <c r="C1611" t="inlineStr"/>
      <c r="D1611">
        <f>HYPERLINK("http://nlpdeep.cs.uic.edu:8080/proofing/gsii/532410-labs-imaging-4-0.pdf","gsii/532410-labs-imaging-4-0.pdf")</f>
        <v/>
      </c>
      <c r="E1611" t="n">
        <v>119960</v>
      </c>
      <c r="F1611" t="n">
        <v>532410</v>
      </c>
      <c r="G1611" t="inlineStr">
        <is>
          <t>Physician</t>
        </is>
      </c>
      <c r="H1611" t="inlineStr">
        <is>
          <t>labs-imaging</t>
        </is>
      </c>
      <c r="I1611" t="inlineStr">
        <is>
          <t xml:space="preserve">
   [**4-6**] CT C-spine w/o contrast - 1.</t>
        </is>
      </c>
    </row>
    <row r="1612">
      <c r="A1612" t="inlineStr">
        <is>
          <t>532410-labs-imaging-4-1</t>
        </is>
      </c>
      <c r="B1612" t="inlineStr"/>
      <c r="C1612" t="inlineStr"/>
      <c r="D1612">
        <f>HYPERLINK("http://nlpdeep.cs.uic.edu:8080/proofing/t5/532410-labs-imaging-4-1.pdf","t5/532410-labs-imaging-4-1.pdf")</f>
        <v/>
      </c>
      <c r="E1612" t="n">
        <v>119960</v>
      </c>
      <c r="F1612" t="n">
        <v>532410</v>
      </c>
      <c r="G1612" t="inlineStr">
        <is>
          <t>Physician</t>
        </is>
      </c>
      <c r="H1612" t="inlineStr">
        <is>
          <t>labs-imaging</t>
        </is>
      </c>
      <c r="I1612" t="inlineStr">
        <is>
          <t>No fracture.</t>
        </is>
      </c>
    </row>
    <row r="1613">
      <c r="A1613" t="inlineStr">
        <is>
          <t>532410-labs-imaging-4-1</t>
        </is>
      </c>
      <c r="B1613" t="inlineStr"/>
      <c r="C1613" t="inlineStr"/>
      <c r="D1613">
        <f>HYPERLINK("http://nlpdeep.cs.uic.edu:8080/proofing/gsii/532410-labs-imaging-4-1.pdf","gsii/532410-labs-imaging-4-1.pdf")</f>
        <v/>
      </c>
      <c r="E1613" t="n">
        <v>119960</v>
      </c>
      <c r="F1613" t="n">
        <v>532410</v>
      </c>
      <c r="G1613" t="inlineStr">
        <is>
          <t>Physician</t>
        </is>
      </c>
      <c r="H1613" t="inlineStr">
        <is>
          <t>labs-imaging</t>
        </is>
      </c>
      <c r="I1613" t="inlineStr">
        <is>
          <t>No fracture.</t>
        </is>
      </c>
    </row>
    <row r="1614">
      <c r="A1614" t="inlineStr">
        <is>
          <t>532410-labs-imaging-4-2</t>
        </is>
      </c>
      <c r="B1614" t="inlineStr"/>
      <c r="C1614" t="inlineStr"/>
      <c r="D1614">
        <f>HYPERLINK("http://nlpdeep.cs.uic.edu:8080/proofing/t5/532410-labs-imaging-4-2.pdf","t5/532410-labs-imaging-4-2.pdf")</f>
        <v/>
      </c>
      <c r="E1614" t="n">
        <v>119960</v>
      </c>
      <c r="F1614" t="n">
        <v>532410</v>
      </c>
      <c r="G1614" t="inlineStr">
        <is>
          <t>Physician</t>
        </is>
      </c>
      <c r="H1614" t="inlineStr">
        <is>
          <t>labs-imaging</t>
        </is>
      </c>
      <c r="I1614" t="inlineStr">
        <is>
          <t>Multilevel
   degenerative change.</t>
        </is>
      </c>
    </row>
    <row r="1615">
      <c r="A1615" t="inlineStr">
        <is>
          <t>532410-labs-imaging-4-2</t>
        </is>
      </c>
      <c r="B1615" t="inlineStr"/>
      <c r="C1615" t="inlineStr"/>
      <c r="D1615">
        <f>HYPERLINK("http://nlpdeep.cs.uic.edu:8080/proofing/gsii/532410-labs-imaging-4-2.pdf","gsii/532410-labs-imaging-4-2.pdf")</f>
        <v/>
      </c>
      <c r="E1615" t="n">
        <v>119960</v>
      </c>
      <c r="F1615" t="n">
        <v>532410</v>
      </c>
      <c r="G1615" t="inlineStr">
        <is>
          <t>Physician</t>
        </is>
      </c>
      <c r="H1615" t="inlineStr">
        <is>
          <t>labs-imaging</t>
        </is>
      </c>
      <c r="I1615" t="inlineStr">
        <is>
          <t>Multilevel
   degenerative change.</t>
        </is>
      </c>
    </row>
    <row r="1616">
      <c r="A1616" t="inlineStr">
        <is>
          <t>532410-labs-imaging-4-3</t>
        </is>
      </c>
      <c r="B1616" t="inlineStr"/>
      <c r="C1616" t="inlineStr"/>
      <c r="D1616">
        <f>HYPERLINK("http://nlpdeep.cs.uic.edu:8080/proofing/t5/532410-labs-imaging-4-3.pdf","t5/532410-labs-imaging-4-3.pdf")</f>
        <v/>
      </c>
      <c r="E1616" t="n">
        <v>119960</v>
      </c>
      <c r="F1616" t="n">
        <v>532410</v>
      </c>
      <c r="G1616" t="inlineStr">
        <is>
          <t>Physician</t>
        </is>
      </c>
      <c r="H1616" t="inlineStr">
        <is>
          <t>labs-imaging</t>
        </is>
      </c>
      <c r="I1616" t="inlineStr">
        <is>
          <t>Grade I anterolisthesis of C7 on T1 and T1 on
   T2, presumably degenerative in nature.</t>
        </is>
      </c>
    </row>
    <row r="1617">
      <c r="A1617" t="inlineStr">
        <is>
          <t>532410-labs-imaging-4-3</t>
        </is>
      </c>
      <c r="B1617" t="inlineStr"/>
      <c r="C1617" t="inlineStr"/>
      <c r="D1617">
        <f>HYPERLINK("http://nlpdeep.cs.uic.edu:8080/proofing/gsii/532410-labs-imaging-4-3.pdf","gsii/532410-labs-imaging-4-3.pdf")</f>
        <v/>
      </c>
      <c r="E1617" t="n">
        <v>119960</v>
      </c>
      <c r="F1617" t="n">
        <v>532410</v>
      </c>
      <c r="G1617" t="inlineStr">
        <is>
          <t>Physician</t>
        </is>
      </c>
      <c r="H1617" t="inlineStr">
        <is>
          <t>labs-imaging</t>
        </is>
      </c>
      <c r="I1617" t="inlineStr">
        <is>
          <t>Grade I anterolisthesis of C7 on T1 and T1 on
   T2, presumably degenerative in nature.</t>
        </is>
      </c>
    </row>
    <row r="1618">
      <c r="A1618" t="inlineStr">
        <is>
          <t>532410-labs-imaging-5-0</t>
        </is>
      </c>
      <c r="B1618" t="inlineStr"/>
      <c r="C1618" t="inlineStr"/>
      <c r="D1618">
        <f>HYPERLINK("http://nlpdeep.cs.uic.edu:8080/proofing/t5/532410-labs-imaging-5-0.pdf","t5/532410-labs-imaging-5-0.pdf")</f>
        <v/>
      </c>
      <c r="E1618" t="n">
        <v>119960</v>
      </c>
      <c r="F1618" t="n">
        <v>532410</v>
      </c>
      <c r="G1618" t="inlineStr">
        <is>
          <t>Physician</t>
        </is>
      </c>
      <c r="H1618" t="inlineStr">
        <is>
          <t>labs-imaging</t>
        </is>
      </c>
      <c r="I1618" t="inlineStr">
        <is>
          <t xml:space="preserve">
   [**4-6**] CT head w/o contrast - There is no hemorrhage, edema, mass effect,
   shift of midline structures, or evidence of major vascular territorial
   infarction.</t>
        </is>
      </c>
    </row>
    <row r="1619">
      <c r="A1619" t="inlineStr">
        <is>
          <t>532410-labs-imaging-5-0</t>
        </is>
      </c>
      <c r="B1619" t="inlineStr"/>
      <c r="C1619" t="inlineStr"/>
      <c r="D1619">
        <f>HYPERLINK("http://nlpdeep.cs.uic.edu:8080/proofing/gsii/532410-labs-imaging-5-0.pdf","gsii/532410-labs-imaging-5-0.pdf")</f>
        <v/>
      </c>
      <c r="E1619" t="n">
        <v>119960</v>
      </c>
      <c r="F1619" t="n">
        <v>532410</v>
      </c>
      <c r="G1619" t="inlineStr">
        <is>
          <t>Physician</t>
        </is>
      </c>
      <c r="H1619" t="inlineStr">
        <is>
          <t>labs-imaging</t>
        </is>
      </c>
      <c r="I1619" t="inlineStr">
        <is>
          <t xml:space="preserve">
   [**4-6**] CT head w/o contrast - There is no hemorrhage, edema, mass effect,
   shift of midline structures, or evidence of major vascular territorial
   infarction.</t>
        </is>
      </c>
    </row>
    <row r="1620">
      <c r="A1620" t="inlineStr">
        <is>
          <t>532410-labs-imaging-5-1</t>
        </is>
      </c>
      <c r="B1620" t="inlineStr"/>
      <c r="C1620" t="inlineStr"/>
      <c r="D1620">
        <f>HYPERLINK("http://nlpdeep.cs.uic.edu:8080/proofing/t5/532410-labs-imaging-5-1.pdf","t5/532410-labs-imaging-5-1.pdf")</f>
        <v/>
      </c>
      <c r="E1620" t="n">
        <v>119960</v>
      </c>
      <c r="F1620" t="n">
        <v>532410</v>
      </c>
      <c r="G1620" t="inlineStr">
        <is>
          <t>Physician</t>
        </is>
      </c>
      <c r="H1620" t="inlineStr">
        <is>
          <t>labs-imaging</t>
        </is>
      </c>
      <c r="I1620" t="inlineStr">
        <is>
          <t>There is no acute fracture.</t>
        </is>
      </c>
    </row>
    <row r="1621">
      <c r="A1621" t="inlineStr">
        <is>
          <t>532410-labs-imaging-5-1</t>
        </is>
      </c>
      <c r="B1621" t="inlineStr"/>
      <c r="C1621" t="inlineStr"/>
      <c r="D1621">
        <f>HYPERLINK("http://nlpdeep.cs.uic.edu:8080/proofing/gsii/532410-labs-imaging-5-1.pdf","gsii/532410-labs-imaging-5-1.pdf")</f>
        <v/>
      </c>
      <c r="E1621" t="n">
        <v>119960</v>
      </c>
      <c r="F1621" t="n">
        <v>532410</v>
      </c>
      <c r="G1621" t="inlineStr">
        <is>
          <t>Physician</t>
        </is>
      </c>
      <c r="H1621" t="inlineStr">
        <is>
          <t>labs-imaging</t>
        </is>
      </c>
      <c r="I1621" t="inlineStr">
        <is>
          <t>There is no acute fracture.</t>
        </is>
      </c>
    </row>
    <row r="1622">
      <c r="A1622" t="inlineStr">
        <is>
          <t>532410-labs-imaging-5-2</t>
        </is>
      </c>
      <c r="B1622" t="inlineStr"/>
      <c r="C1622" t="inlineStr"/>
      <c r="D1622">
        <f>HYPERLINK("http://nlpdeep.cs.uic.edu:8080/proofing/t5/532410-labs-imaging-5-2.pdf","t5/532410-labs-imaging-5-2.pdf")</f>
        <v/>
      </c>
      <c r="E1622" t="n">
        <v>119960</v>
      </c>
      <c r="F1622" t="n">
        <v>532410</v>
      </c>
      <c r="G1622" t="inlineStr">
        <is>
          <t>Physician</t>
        </is>
      </c>
      <c r="H1622" t="inlineStr">
        <is>
          <t>labs-imaging</t>
        </is>
      </c>
      <c r="I1622" t="inlineStr">
        <is>
          <t>There is prominence of
   ventricles and sulci consistent with age-related parenchymal
   involutional change.</t>
        </is>
      </c>
    </row>
    <row r="1623">
      <c r="A1623" t="inlineStr">
        <is>
          <t>532410-labs-imaging-5-2</t>
        </is>
      </c>
      <c r="B1623" t="inlineStr"/>
      <c r="C1623" t="inlineStr"/>
      <c r="D1623">
        <f>HYPERLINK("http://nlpdeep.cs.uic.edu:8080/proofing/gsii/532410-labs-imaging-5-2.pdf","gsii/532410-labs-imaging-5-2.pdf")</f>
        <v/>
      </c>
      <c r="E1623" t="n">
        <v>119960</v>
      </c>
      <c r="F1623" t="n">
        <v>532410</v>
      </c>
      <c r="G1623" t="inlineStr">
        <is>
          <t>Physician</t>
        </is>
      </c>
      <c r="H1623" t="inlineStr">
        <is>
          <t>labs-imaging</t>
        </is>
      </c>
      <c r="I1623" t="inlineStr">
        <is>
          <t>There is prominence of
   ventricles and sulci consistent with age-related parenchymal
   involutional change.</t>
        </is>
      </c>
    </row>
    <row r="1624">
      <c r="A1624" t="inlineStr">
        <is>
          <t>532410-labs-imaging-5-3</t>
        </is>
      </c>
      <c r="B1624" t="inlineStr"/>
      <c r="C1624" t="inlineStr"/>
      <c r="D1624">
        <f>HYPERLINK("http://nlpdeep.cs.uic.edu:8080/proofing/t5/532410-labs-imaging-5-3.pdf","t5/532410-labs-imaging-5-3.pdf")</f>
        <v/>
      </c>
      <c r="E1624" t="n">
        <v>119960</v>
      </c>
      <c r="F1624" t="n">
        <v>532410</v>
      </c>
      <c r="G1624" t="inlineStr">
        <is>
          <t>Physician</t>
        </is>
      </c>
      <c r="H1624" t="inlineStr">
        <is>
          <t>labs-imaging</t>
        </is>
      </c>
      <c r="I1624" t="inlineStr">
        <is>
          <t>There is periventricular hypodensity consistent
   with chronic small vessel ischemic change.</t>
        </is>
      </c>
    </row>
    <row r="1625">
      <c r="A1625" t="inlineStr">
        <is>
          <t>532410-labs-imaging-5-3</t>
        </is>
      </c>
      <c r="B1625" t="inlineStr"/>
      <c r="C1625" t="inlineStr"/>
      <c r="D1625">
        <f>HYPERLINK("http://nlpdeep.cs.uic.edu:8080/proofing/gsii/532410-labs-imaging-5-3.pdf","gsii/532410-labs-imaging-5-3.pdf")</f>
        <v/>
      </c>
      <c r="E1625" t="n">
        <v>119960</v>
      </c>
      <c r="F1625" t="n">
        <v>532410</v>
      </c>
      <c r="G1625" t="inlineStr">
        <is>
          <t>Physician</t>
        </is>
      </c>
      <c r="H1625" t="inlineStr">
        <is>
          <t>labs-imaging</t>
        </is>
      </c>
      <c r="I1625" t="inlineStr">
        <is>
          <t>There is periventricular hypodensity consistent
   with chronic small vessel ischemic change.</t>
        </is>
      </c>
    </row>
    <row r="1626">
      <c r="A1626" t="inlineStr">
        <is>
          <t>532410-labs-imaging-5-4</t>
        </is>
      </c>
      <c r="B1626" t="inlineStr"/>
      <c r="C1626" t="inlineStr"/>
      <c r="D1626">
        <f>HYPERLINK("http://nlpdeep.cs.uic.edu:8080/proofing/t5/532410-labs-imaging-5-4.pdf","t5/532410-labs-imaging-5-4.pdf")</f>
        <v/>
      </c>
      <c r="E1626" t="n">
        <v>119960</v>
      </c>
      <c r="F1626" t="n">
        <v>532410</v>
      </c>
      <c r="G1626" t="inlineStr">
        <is>
          <t>Physician</t>
        </is>
      </c>
      <c r="H1626" t="inlineStr">
        <is>
          <t>labs-imaging</t>
        </is>
      </c>
      <c r="I1626" t="inlineStr">
        <is>
          <t>There is a subcentimeter
   right frontal sinus osteoma (2:16).</t>
        </is>
      </c>
    </row>
    <row r="1627">
      <c r="A1627" t="inlineStr">
        <is>
          <t>532410-labs-imaging-5-4</t>
        </is>
      </c>
      <c r="B1627" t="inlineStr"/>
      <c r="C1627" t="inlineStr"/>
      <c r="D1627">
        <f>HYPERLINK("http://nlpdeep.cs.uic.edu:8080/proofing/gsii/532410-labs-imaging-5-4.pdf","gsii/532410-labs-imaging-5-4.pdf")</f>
        <v/>
      </c>
      <c r="E1627" t="n">
        <v>119960</v>
      </c>
      <c r="F1627" t="n">
        <v>532410</v>
      </c>
      <c r="G1627" t="inlineStr">
        <is>
          <t>Physician</t>
        </is>
      </c>
      <c r="H1627" t="inlineStr">
        <is>
          <t>labs-imaging</t>
        </is>
      </c>
      <c r="I1627" t="inlineStr">
        <is>
          <t>There is a subcentimeter
   right frontal sinus osteoma (2:16).</t>
        </is>
      </c>
    </row>
    <row r="1628">
      <c r="A1628" t="inlineStr">
        <is>
          <t>532410-labs-imaging-6-0</t>
        </is>
      </c>
      <c r="B1628" t="inlineStr"/>
      <c r="C1628" t="inlineStr"/>
      <c r="D1628">
        <f>HYPERLINK("http://nlpdeep.cs.uic.edu:8080/proofing/t5/532410-labs-imaging-6-0.pdf","t5/532410-labs-imaging-6-0.pdf")</f>
        <v/>
      </c>
      <c r="E1628" t="n">
        <v>119960</v>
      </c>
      <c r="F1628" t="n">
        <v>532410</v>
      </c>
      <c r="G1628" t="inlineStr">
        <is>
          <t>Physician</t>
        </is>
      </c>
      <c r="H1628" t="inlineStr">
        <is>
          <t>labs-imaging</t>
        </is>
      </c>
      <c r="I1628" t="inlineStr">
        <is>
          <t xml:space="preserve">
   EKG: HR 60, QRS 134, QTc 494.</t>
        </is>
      </c>
    </row>
    <row r="1629">
      <c r="A1629" t="inlineStr">
        <is>
          <t>532410-labs-imaging-6-0</t>
        </is>
      </c>
      <c r="B1629" t="inlineStr"/>
      <c r="C1629" t="inlineStr"/>
      <c r="D1629">
        <f>HYPERLINK("http://nlpdeep.cs.uic.edu:8080/proofing/gsii/532410-labs-imaging-6-0.pdf","gsii/532410-labs-imaging-6-0.pdf")</f>
        <v/>
      </c>
      <c r="E1629" t="n">
        <v>119960</v>
      </c>
      <c r="F1629" t="n">
        <v>532410</v>
      </c>
      <c r="G1629" t="inlineStr">
        <is>
          <t>Physician</t>
        </is>
      </c>
      <c r="H1629" t="inlineStr">
        <is>
          <t>labs-imaging</t>
        </is>
      </c>
      <c r="I1629" t="inlineStr">
        <is>
          <t xml:space="preserve">
   EKG: HR 60, QRS 134, QTc 494.</t>
        </is>
      </c>
    </row>
    <row r="1630">
      <c r="A1630" t="inlineStr">
        <is>
          <t>532410-labs-imaging-6-1</t>
        </is>
      </c>
      <c r="B1630" t="inlineStr"/>
      <c r="C1630" t="inlineStr"/>
      <c r="D1630">
        <f>HYPERLINK("http://nlpdeep.cs.uic.edu:8080/proofing/t5/532410-labs-imaging-6-1.pdf","t5/532410-labs-imaging-6-1.pdf")</f>
        <v/>
      </c>
      <c r="E1630" t="n">
        <v>119960</v>
      </c>
      <c r="F1630" t="n">
        <v>532410</v>
      </c>
      <c r="G1630" t="inlineStr">
        <is>
          <t>Physician</t>
        </is>
      </c>
      <c r="H1630" t="inlineStr">
        <is>
          <t>labs-imaging</t>
        </is>
      </c>
      <c r="I1630" t="inlineStr">
        <is>
          <t>Atrial fibrillation.</t>
        </is>
      </c>
    </row>
    <row r="1631">
      <c r="A1631" t="inlineStr">
        <is>
          <t>532410-labs-imaging-6-1</t>
        </is>
      </c>
      <c r="B1631" t="inlineStr"/>
      <c r="C1631" t="inlineStr"/>
      <c r="D1631">
        <f>HYPERLINK("http://nlpdeep.cs.uic.edu:8080/proofing/gsii/532410-labs-imaging-6-1.pdf","gsii/532410-labs-imaging-6-1.pdf")</f>
        <v/>
      </c>
      <c r="E1631" t="n">
        <v>119960</v>
      </c>
      <c r="F1631" t="n">
        <v>532410</v>
      </c>
      <c r="G1631" t="inlineStr">
        <is>
          <t>Physician</t>
        </is>
      </c>
      <c r="H1631" t="inlineStr">
        <is>
          <t>labs-imaging</t>
        </is>
      </c>
      <c r="I1631" t="inlineStr">
        <is>
          <t>Atrial fibrillation.</t>
        </is>
      </c>
    </row>
    <row r="1632">
      <c r="A1632" t="inlineStr">
        <is>
          <t>532410-labs-imaging-6-2</t>
        </is>
      </c>
      <c r="B1632" t="inlineStr"/>
      <c r="C1632" t="inlineStr"/>
      <c r="D1632">
        <f>HYPERLINK("http://nlpdeep.cs.uic.edu:8080/proofing/t5/532410-labs-imaging-6-2.pdf","t5/532410-labs-imaging-6-2.pdf")</f>
        <v/>
      </c>
      <c r="E1632" t="n">
        <v>119960</v>
      </c>
      <c r="F1632" t="n">
        <v>532410</v>
      </c>
      <c r="G1632" t="inlineStr">
        <is>
          <t>Physician</t>
        </is>
      </c>
      <c r="H1632" t="inlineStr">
        <is>
          <t>labs-imaging</t>
        </is>
      </c>
      <c r="I1632" t="inlineStr">
        <is>
          <t>RBBB.</t>
        </is>
      </c>
    </row>
    <row r="1633">
      <c r="A1633" t="inlineStr">
        <is>
          <t>532410-labs-imaging-6-2</t>
        </is>
      </c>
      <c r="B1633" t="inlineStr"/>
      <c r="C1633" t="inlineStr"/>
      <c r="D1633">
        <f>HYPERLINK("http://nlpdeep.cs.uic.edu:8080/proofing/gsii/532410-labs-imaging-6-2.pdf","gsii/532410-labs-imaging-6-2.pdf")</f>
        <v/>
      </c>
      <c r="E1633" t="n">
        <v>119960</v>
      </c>
      <c r="F1633" t="n">
        <v>532410</v>
      </c>
      <c r="G1633" t="inlineStr">
        <is>
          <t>Physician</t>
        </is>
      </c>
      <c r="H1633" t="inlineStr">
        <is>
          <t>labs-imaging</t>
        </is>
      </c>
      <c r="I1633" t="inlineStr">
        <is>
          <t>RBBB.</t>
        </is>
      </c>
    </row>
    <row r="1634">
      <c r="A1634" t="inlineStr">
        <is>
          <t>532410-labs-imaging-6-3</t>
        </is>
      </c>
      <c r="B1634" t="inlineStr"/>
      <c r="C1634" t="inlineStr"/>
      <c r="D1634">
        <f>HYPERLINK("http://nlpdeep.cs.uic.edu:8080/proofing/t5/532410-labs-imaging-6-3.pdf","t5/532410-labs-imaging-6-3.pdf")</f>
        <v/>
      </c>
      <c r="E1634" t="n">
        <v>119960</v>
      </c>
      <c r="F1634" t="n">
        <v>532410</v>
      </c>
      <c r="G1634" t="inlineStr">
        <is>
          <t>Physician</t>
        </is>
      </c>
      <c r="H1634" t="inlineStr">
        <is>
          <t>labs-imaging</t>
        </is>
      </c>
      <c r="I1634" t="inlineStr">
        <is>
          <t>ST depression
   in V3 (unchanged from previous comparison, [**2141-3-17**])</t>
        </is>
      </c>
    </row>
    <row r="1635">
      <c r="A1635" t="inlineStr">
        <is>
          <t>532410-labs-imaging-6-3</t>
        </is>
      </c>
      <c r="B1635" t="inlineStr"/>
      <c r="C1635" t="inlineStr"/>
      <c r="D1635">
        <f>HYPERLINK("http://nlpdeep.cs.uic.edu:8080/proofing/gsii/532410-labs-imaging-6-3.pdf","gsii/532410-labs-imaging-6-3.pdf")</f>
        <v/>
      </c>
      <c r="E1635" t="n">
        <v>119960</v>
      </c>
      <c r="F1635" t="n">
        <v>532410</v>
      </c>
      <c r="G1635" t="inlineStr">
        <is>
          <t>Physician</t>
        </is>
      </c>
      <c r="H1635" t="inlineStr">
        <is>
          <t>labs-imaging</t>
        </is>
      </c>
      <c r="I1635" t="inlineStr">
        <is>
          <t>ST depression
   in V3 (unchanged from previous comparison, [**2141-3-17**])</t>
        </is>
      </c>
    </row>
    <row r="1636">
      <c r="A1636" t="inlineStr">
        <is>
          <t>532410-assessment-and-plan-0-0</t>
        </is>
      </c>
      <c r="B1636" t="inlineStr"/>
      <c r="C1636" t="inlineStr"/>
      <c r="D1636">
        <f>HYPERLINK("http://nlpdeep.cs.uic.edu:8080/proofing/t5/532410-assessment-and-plan-0-0.pdf","t5/532410-assessment-and-plan-0-0.pdf")</f>
        <v/>
      </c>
      <c r="E1636" t="n">
        <v>119960</v>
      </c>
      <c r="F1636" t="n">
        <v>532410</v>
      </c>
      <c r="G1636" t="inlineStr">
        <is>
          <t>Physician</t>
        </is>
      </c>
      <c r="H1636" t="inlineStr">
        <is>
          <t>assessment-and-plan</t>
        </is>
      </c>
      <c r="I1636" t="inlineStr">
        <is>
          <t>ICU Care
   Nutrition:
   Glycemic Control:
   Lines:
   18 Gauge - [**2141-4-6**] 08:30 PM
   Prophylaxis:
   DVT:
   Stress ulcer:
   VAP:
   Comments:
   Communication:  Comments:
   Code status:
   Disposition:</t>
        </is>
      </c>
    </row>
    <row r="1637">
      <c r="A1637" t="inlineStr">
        <is>
          <t>532410-assessment-and-plan-0-0</t>
        </is>
      </c>
      <c r="B1637" t="inlineStr"/>
      <c r="C1637" t="inlineStr"/>
      <c r="D1637">
        <f>HYPERLINK("http://nlpdeep.cs.uic.edu:8080/proofing/gsii/532410-assessment-and-plan-0-0.pdf","gsii/532410-assessment-and-plan-0-0.pdf")</f>
        <v/>
      </c>
      <c r="E1637" t="n">
        <v>119960</v>
      </c>
      <c r="F1637" t="n">
        <v>532410</v>
      </c>
      <c r="G1637" t="inlineStr">
        <is>
          <t>Physician</t>
        </is>
      </c>
      <c r="H1637" t="inlineStr">
        <is>
          <t>assessment-and-plan</t>
        </is>
      </c>
      <c r="I1637" t="inlineStr">
        <is>
          <t>ICU Care
   Nutrition:
   Glycemic Control:
   Lines:
   18 Gauge - [**2141-4-6**] 08:30 PM
   Prophylaxis:
   DVT:
   Stress ulcer:
   VAP:
   Comments:
   Communication:  Comments:
   Code status:
   Disposition:</t>
        </is>
      </c>
    </row>
    <row r="1638">
      <c r="A1638" t="inlineStr">
        <is>
          <t>532410-communication-0-0</t>
        </is>
      </c>
      <c r="B1638" t="inlineStr"/>
      <c r="C1638" t="inlineStr"/>
      <c r="D1638">
        <f>HYPERLINK("http://nlpdeep.cs.uic.edu:8080/proofing/t5/532410-communication-0-0.pdf","t5/532410-communication-0-0.pdf")</f>
        <v/>
      </c>
      <c r="E1638" t="n">
        <v>119960</v>
      </c>
      <c r="F1638" t="n">
        <v>532410</v>
      </c>
      <c r="G1638" t="inlineStr">
        <is>
          <t>Physician</t>
        </is>
      </c>
      <c r="H1638" t="inlineStr">
        <is>
          <t>communication</t>
        </is>
      </c>
      <c r="I1638" t="inlineStr">
        <is>
          <t>Patient, wife [**Name (NI) **] [**Name (NI) 14481**] [</t>
        </is>
      </c>
    </row>
    <row r="1639">
      <c r="A1639" t="inlineStr">
        <is>
          <t>532410-communication-0-0</t>
        </is>
      </c>
      <c r="B1639" t="inlineStr"/>
      <c r="C1639" t="inlineStr"/>
      <c r="D1639">
        <f>HYPERLINK("http://nlpdeep.cs.uic.edu:8080/proofing/gsii/532410-communication-0-0.pdf","gsii/532410-communication-0-0.pdf")</f>
        <v/>
      </c>
      <c r="E1639" t="n">
        <v>119960</v>
      </c>
      <c r="F1639" t="n">
        <v>532410</v>
      </c>
      <c r="G1639" t="inlineStr">
        <is>
          <t>Physician</t>
        </is>
      </c>
      <c r="H1639" t="inlineStr">
        <is>
          <t>communication</t>
        </is>
      </c>
      <c r="I1639" t="inlineStr">
        <is>
          <t>Patient, wife [**Name (NI) **] [**Name (NI) 14481**] [</t>
        </is>
      </c>
    </row>
    <row r="1640">
      <c r="A1640" t="inlineStr">
        <is>
          <t>532410-code-status-0-0</t>
        </is>
      </c>
      <c r="B1640" t="inlineStr"/>
      <c r="C1640" t="inlineStr"/>
      <c r="D1640">
        <f>HYPERLINK("http://nlpdeep.cs.uic.edu:8080/proofing/t5/532410-code-status-0-0.pdf","t5/532410-code-status-0-0.pdf")</f>
        <v/>
      </c>
      <c r="E1640" t="n">
        <v>119960</v>
      </c>
      <c r="F1640" t="n">
        <v>532410</v>
      </c>
      <c r="G1640" t="inlineStr">
        <is>
          <t>Physician</t>
        </is>
      </c>
      <c r="H1640" t="inlineStr">
        <is>
          <t>code-status</t>
        </is>
      </c>
      <c r="I1640" t="inlineStr">
        <is>
          <t>Full code for acute situations and OR but does not wish to be
   chronically vented (discussed with patient and wife)</t>
        </is>
      </c>
    </row>
    <row r="1641">
      <c r="A1641" t="inlineStr">
        <is>
          <t>532410-code-status-0-0</t>
        </is>
      </c>
      <c r="B1641" t="inlineStr"/>
      <c r="C1641" t="inlineStr"/>
      <c r="D1641">
        <f>HYPERLINK("http://nlpdeep.cs.uic.edu:8080/proofing/gsii/532410-code-status-0-0.pdf","gsii/532410-code-status-0-0.pdf")</f>
        <v/>
      </c>
      <c r="E1641" t="n">
        <v>119960</v>
      </c>
      <c r="F1641" t="n">
        <v>532410</v>
      </c>
      <c r="G1641" t="inlineStr">
        <is>
          <t>Physician</t>
        </is>
      </c>
      <c r="H1641" t="inlineStr">
        <is>
          <t>code-status</t>
        </is>
      </c>
      <c r="I1641" t="inlineStr">
        <is>
          <t>Full code for acute situations and OR but does not wish to be
   chronically vented (discussed with patient and wife)</t>
        </is>
      </c>
    </row>
    <row r="1642">
      <c r="A1642" t="inlineStr">
        <is>
          <t>532410-disposition-0-0</t>
        </is>
      </c>
      <c r="B1642" t="inlineStr"/>
      <c r="C1642" t="inlineStr"/>
      <c r="D1642">
        <f>HYPERLINK("http://nlpdeep.cs.uic.edu:8080/proofing/t5/532410-disposition-0-0.pdf","t5/532410-disposition-0-0.pdf")</f>
        <v/>
      </c>
      <c r="E1642" t="n">
        <v>119960</v>
      </c>
      <c r="F1642" t="n">
        <v>532410</v>
      </c>
      <c r="G1642" t="inlineStr">
        <is>
          <t>Physician</t>
        </is>
      </c>
      <c r="H1642" t="inlineStr">
        <is>
          <t>disposition</t>
        </is>
      </c>
      <c r="I1642" t="inlineStr">
        <is>
          <t>ICU pending clinical i</t>
        </is>
      </c>
    </row>
    <row r="1643">
      <c r="A1643" t="inlineStr">
        <is>
          <t>532410-disposition-0-0</t>
        </is>
      </c>
      <c r="B1643" t="inlineStr"/>
      <c r="C1643" t="inlineStr"/>
      <c r="D1643">
        <f>HYPERLINK("http://nlpdeep.cs.uic.edu:8080/proofing/gsii/532410-disposition-0-0.pdf","gsii/532410-disposition-0-0.pdf")</f>
        <v/>
      </c>
      <c r="E1643" t="n">
        <v>119960</v>
      </c>
      <c r="F1643" t="n">
        <v>532410</v>
      </c>
      <c r="G1643" t="inlineStr">
        <is>
          <t>Physician</t>
        </is>
      </c>
      <c r="H1643" t="inlineStr">
        <is>
          <t>disposition</t>
        </is>
      </c>
      <c r="I1643" t="inlineStr">
        <is>
          <t>ICU pending clinical i</t>
        </is>
      </c>
    </row>
    <row r="1644">
      <c r="A1644" t="inlineStr">
        <is>
          <t>532405-chief-complaint-0-0</t>
        </is>
      </c>
      <c r="B1644" t="inlineStr"/>
      <c r="C1644" t="inlineStr"/>
      <c r="D1644">
        <f>HYPERLINK("http://nlpdeep.cs.uic.edu:8080/proofing/t5/532405-chief-complaint-0-0.pdf","t5/532405-chief-complaint-0-0.pdf")</f>
        <v/>
      </c>
      <c r="E1644" t="n">
        <v>119960</v>
      </c>
      <c r="F1644" t="n">
        <v>532405</v>
      </c>
      <c r="G1644" t="inlineStr">
        <is>
          <t>Physician</t>
        </is>
      </c>
      <c r="H1644" t="inlineStr">
        <is>
          <t>chief-complaint</t>
        </is>
      </c>
      <c r="I1644" t="inlineStr">
        <is>
          <t>hypotension, h</t>
        </is>
      </c>
    </row>
    <row r="1645">
      <c r="A1645" t="inlineStr">
        <is>
          <t>532405-chief-complaint-0-0</t>
        </is>
      </c>
      <c r="B1645" t="inlineStr"/>
      <c r="C1645" t="inlineStr"/>
      <c r="D1645">
        <f>HYPERLINK("http://nlpdeep.cs.uic.edu:8080/proofing/gsii/532405-chief-complaint-0-0.pdf","gsii/532405-chief-complaint-0-0.pdf")</f>
        <v/>
      </c>
      <c r="E1645" t="n">
        <v>119960</v>
      </c>
      <c r="F1645" t="n">
        <v>532405</v>
      </c>
      <c r="G1645" t="inlineStr">
        <is>
          <t>Physician</t>
        </is>
      </c>
      <c r="H1645" t="inlineStr">
        <is>
          <t>chief-complaint</t>
        </is>
      </c>
      <c r="I1645" t="inlineStr">
        <is>
          <t>hypotension, h</t>
        </is>
      </c>
    </row>
    <row r="1646">
      <c r="A1646" t="inlineStr">
        <is>
          <t>532405-history-of-present-illness-0-0</t>
        </is>
      </c>
      <c r="B1646" t="inlineStr"/>
      <c r="C1646" t="inlineStr"/>
      <c r="D1646">
        <f>HYPERLINK("http://nlpdeep.cs.uic.edu:8080/proofing/t5/532405-history-of-present-illness-0-0.pdf","t5/532405-history-of-present-illness-0-0.pdf")</f>
        <v/>
      </c>
      <c r="E1646" t="n">
        <v>119960</v>
      </c>
      <c r="F1646" t="n">
        <v>532405</v>
      </c>
      <c r="G1646" t="inlineStr">
        <is>
          <t>Physician</t>
        </is>
      </c>
      <c r="H1646" t="inlineStr">
        <is>
          <t>history-of-present-illness</t>
        </is>
      </c>
      <c r="I1646" t="inlineStr">
        <is>
          <t>Mr. [**Known lastname 14060**] is an 87 yo male with a history of diastolic CHF (EF 65%
   1/10), AFib not on coumadin, mild AS, stage IV CKD, and HTN, who
   presented from acute rehab after falling at his nursing home.</t>
        </is>
      </c>
    </row>
    <row r="1647">
      <c r="A1647" t="inlineStr">
        <is>
          <t>532405-history-of-present-illness-0-0</t>
        </is>
      </c>
      <c r="B1647" t="inlineStr"/>
      <c r="C1647" t="inlineStr"/>
      <c r="D1647">
        <f>HYPERLINK("http://nlpdeep.cs.uic.edu:8080/proofing/gsii/532405-history-of-present-illness-0-0.pdf","gsii/532405-history-of-present-illness-0-0.pdf")</f>
        <v/>
      </c>
      <c r="E1647" t="n">
        <v>119960</v>
      </c>
      <c r="F1647" t="n">
        <v>532405</v>
      </c>
      <c r="G1647" t="inlineStr">
        <is>
          <t>Physician</t>
        </is>
      </c>
      <c r="H1647" t="inlineStr">
        <is>
          <t>history-of-present-illness</t>
        </is>
      </c>
      <c r="I1647" t="inlineStr">
        <is>
          <t>Mr. [**Known lastname 14060**] is an 87 yo male with a history of diastolic CHF (EF 65%
   1/10), AFib not on coumadin, mild AS, stage IV CKD, and HTN, who
   presented from acute rehab after falling at his nursing home.</t>
        </is>
      </c>
    </row>
    <row r="1648">
      <c r="A1648" t="inlineStr">
        <is>
          <t>532405-history-of-present-illness-0-1</t>
        </is>
      </c>
      <c r="B1648" t="inlineStr"/>
      <c r="C1648" t="inlineStr"/>
      <c r="D1648">
        <f>HYPERLINK("http://nlpdeep.cs.uic.edu:8080/proofing/t5/532405-history-of-present-illness-0-1.pdf","t5/532405-history-of-present-illness-0-1.pdf")</f>
        <v/>
      </c>
      <c r="E1648" t="n">
        <v>119960</v>
      </c>
      <c r="F1648" t="n">
        <v>532405</v>
      </c>
      <c r="G1648" t="inlineStr">
        <is>
          <t>Physician</t>
        </is>
      </c>
      <c r="H1648" t="inlineStr">
        <is>
          <t>history-of-present-illness</t>
        </is>
      </c>
      <c r="I1648" t="inlineStr">
        <is>
          <t xml:space="preserve">
   Yesterday he had been feeling well, walking with PT (using a walker)
   and feeling well.</t>
        </is>
      </c>
    </row>
    <row r="1649">
      <c r="A1649" t="inlineStr">
        <is>
          <t>532405-history-of-present-illness-0-1</t>
        </is>
      </c>
      <c r="B1649" t="inlineStr"/>
      <c r="C1649" t="inlineStr"/>
      <c r="D1649">
        <f>HYPERLINK("http://nlpdeep.cs.uic.edu:8080/proofing/gsii/532405-history-of-present-illness-0-1.pdf","gsii/532405-history-of-present-illness-0-1.pdf")</f>
        <v/>
      </c>
      <c r="E1649" t="n">
        <v>119960</v>
      </c>
      <c r="F1649" t="n">
        <v>532405</v>
      </c>
      <c r="G1649" t="inlineStr">
        <is>
          <t>Physician</t>
        </is>
      </c>
      <c r="H1649" t="inlineStr">
        <is>
          <t>history-of-present-illness</t>
        </is>
      </c>
      <c r="I1649" t="inlineStr">
        <is>
          <t xml:space="preserve">
   Yesterday he had been feeling well, walking with PT (using a walker)
   and feeling well.</t>
        </is>
      </c>
    </row>
    <row r="1650">
      <c r="A1650" t="inlineStr">
        <is>
          <t>532405-history-of-present-illness-0-2</t>
        </is>
      </c>
      <c r="B1650" t="inlineStr"/>
      <c r="C1650" t="inlineStr"/>
      <c r="D1650">
        <f>HYPERLINK("http://nlpdeep.cs.uic.edu:8080/proofing/t5/532405-history-of-present-illness-0-2.pdf","t5/532405-history-of-present-illness-0-2.pdf")</f>
        <v/>
      </c>
      <c r="E1650" t="n">
        <v>119960</v>
      </c>
      <c r="F1650" t="n">
        <v>532405</v>
      </c>
      <c r="G1650" t="inlineStr">
        <is>
          <t>Physician</t>
        </is>
      </c>
      <c r="H1650" t="inlineStr">
        <is>
          <t>history-of-present-illness</t>
        </is>
      </c>
      <c r="I1650" t="inlineStr">
        <is>
          <t>Today he was reaching onto a shelf for batteries when
   he turned too quickly and twisted his left foot under him, falling on
   his left side and left arm.</t>
        </is>
      </c>
    </row>
    <row r="1651">
      <c r="A1651" t="inlineStr">
        <is>
          <t>532405-history-of-present-illness-0-2</t>
        </is>
      </c>
      <c r="B1651" t="inlineStr"/>
      <c r="C1651" t="inlineStr"/>
      <c r="D1651">
        <f>HYPERLINK("http://nlpdeep.cs.uic.edu:8080/proofing/gsii/532405-history-of-present-illness-0-2.pdf","gsii/532405-history-of-present-illness-0-2.pdf")</f>
        <v/>
      </c>
      <c r="E1651" t="n">
        <v>119960</v>
      </c>
      <c r="F1651" t="n">
        <v>532405</v>
      </c>
      <c r="G1651" t="inlineStr">
        <is>
          <t>Physician</t>
        </is>
      </c>
      <c r="H1651" t="inlineStr">
        <is>
          <t>history-of-present-illness</t>
        </is>
      </c>
      <c r="I1651" t="inlineStr">
        <is>
          <t>Today he was reaching onto a shelf for batteries when
   he turned too quickly and twisted his left foot under him, falling on
   his left side and left arm.</t>
        </is>
      </c>
    </row>
    <row r="1652">
      <c r="A1652" t="inlineStr">
        <is>
          <t>532405-history-of-present-illness-0-3</t>
        </is>
      </c>
      <c r="B1652" t="inlineStr"/>
      <c r="C1652" t="inlineStr"/>
      <c r="D1652">
        <f>HYPERLINK("http://nlpdeep.cs.uic.edu:8080/proofing/t5/532405-history-of-present-illness-0-3.pdf","t5/532405-history-of-present-illness-0-3.pdf")</f>
        <v/>
      </c>
      <c r="E1652" t="n">
        <v>119960</v>
      </c>
      <c r="F1652" t="n">
        <v>532405</v>
      </c>
      <c r="G1652" t="inlineStr">
        <is>
          <t>Physician</t>
        </is>
      </c>
      <c r="H1652" t="inlineStr">
        <is>
          <t>history-of-present-illness</t>
        </is>
      </c>
      <c r="I1652" t="inlineStr">
        <is>
          <t>He was sent from rehab to the ED.</t>
        </is>
      </c>
    </row>
    <row r="1653">
      <c r="A1653" t="inlineStr">
        <is>
          <t>532405-history-of-present-illness-0-3</t>
        </is>
      </c>
      <c r="B1653" t="inlineStr"/>
      <c r="C1653" t="inlineStr"/>
      <c r="D1653">
        <f>HYPERLINK("http://nlpdeep.cs.uic.edu:8080/proofing/gsii/532405-history-of-present-illness-0-3.pdf","gsii/532405-history-of-present-illness-0-3.pdf")</f>
        <v/>
      </c>
      <c r="E1653" t="n">
        <v>119960</v>
      </c>
      <c r="F1653" t="n">
        <v>532405</v>
      </c>
      <c r="G1653" t="inlineStr">
        <is>
          <t>Physician</t>
        </is>
      </c>
      <c r="H1653" t="inlineStr">
        <is>
          <t>history-of-present-illness</t>
        </is>
      </c>
      <c r="I1653" t="inlineStr">
        <is>
          <t>He was sent from rehab to the ED.</t>
        </is>
      </c>
    </row>
    <row r="1654">
      <c r="A1654" t="inlineStr">
        <is>
          <t>532405-history-of-present-illness-0-4</t>
        </is>
      </c>
      <c r="B1654" t="inlineStr"/>
      <c r="C1654" t="inlineStr"/>
      <c r="D1654">
        <f>HYPERLINK("http://nlpdeep.cs.uic.edu:8080/proofing/t5/532405-history-of-present-illness-0-4.pdf","t5/532405-history-of-present-illness-0-4.pdf")</f>
        <v/>
      </c>
      <c r="E1654" t="n">
        <v>119960</v>
      </c>
      <c r="F1654" t="n">
        <v>532405</v>
      </c>
      <c r="G1654" t="inlineStr">
        <is>
          <t>Physician</t>
        </is>
      </c>
      <c r="H1654" t="inlineStr">
        <is>
          <t>history-of-present-illness</t>
        </is>
      </c>
      <c r="I1654" t="inlineStr">
        <is>
          <t xml:space="preserve"> On exam,
   his hip was externally rotated and shortened.</t>
        </is>
      </c>
    </row>
    <row r="1655">
      <c r="A1655" t="inlineStr">
        <is>
          <t>532405-history-of-present-illness-0-4</t>
        </is>
      </c>
      <c r="B1655" t="inlineStr"/>
      <c r="C1655" t="inlineStr"/>
      <c r="D1655">
        <f>HYPERLINK("http://nlpdeep.cs.uic.edu:8080/proofing/gsii/532405-history-of-present-illness-0-4.pdf","gsii/532405-history-of-present-illness-0-4.pdf")</f>
        <v/>
      </c>
      <c r="E1655" t="n">
        <v>119960</v>
      </c>
      <c r="F1655" t="n">
        <v>532405</v>
      </c>
      <c r="G1655" t="inlineStr">
        <is>
          <t>Physician</t>
        </is>
      </c>
      <c r="H1655" t="inlineStr">
        <is>
          <t>history-of-present-illness</t>
        </is>
      </c>
      <c r="I1655" t="inlineStr">
        <is>
          <t xml:space="preserve"> On exam,
   his hip was externally rotated and shortened.</t>
        </is>
      </c>
    </row>
    <row r="1656">
      <c r="A1656" t="inlineStr">
        <is>
          <t>532405-history-of-present-illness-0-5</t>
        </is>
      </c>
      <c r="B1656" t="inlineStr"/>
      <c r="C1656" t="inlineStr"/>
      <c r="D1656">
        <f>HYPERLINK("http://nlpdeep.cs.uic.edu:8080/proofing/t5/532405-history-of-present-illness-0-5.pdf","t5/532405-history-of-present-illness-0-5.pdf")</f>
        <v/>
      </c>
      <c r="E1656" t="n">
        <v>119960</v>
      </c>
      <c r="F1656" t="n">
        <v>532405</v>
      </c>
      <c r="G1656" t="inlineStr">
        <is>
          <t>Physician</t>
        </is>
      </c>
      <c r="H1656" t="inlineStr">
        <is>
          <t>history-of-present-illness</t>
        </is>
      </c>
      <c r="I1656" t="inlineStr">
        <is>
          <t xml:space="preserve"> He had no other
   complaints and denied loss of consciousness or hitting his head on the
   fall.</t>
        </is>
      </c>
    </row>
    <row r="1657">
      <c r="A1657" t="inlineStr">
        <is>
          <t>532405-history-of-present-illness-0-5</t>
        </is>
      </c>
      <c r="B1657" t="inlineStr"/>
      <c r="C1657" t="inlineStr"/>
      <c r="D1657">
        <f>HYPERLINK("http://nlpdeep.cs.uic.edu:8080/proofing/gsii/532405-history-of-present-illness-0-5.pdf","gsii/532405-history-of-present-illness-0-5.pdf")</f>
        <v/>
      </c>
      <c r="E1657" t="n">
        <v>119960</v>
      </c>
      <c r="F1657" t="n">
        <v>532405</v>
      </c>
      <c r="G1657" t="inlineStr">
        <is>
          <t>Physician</t>
        </is>
      </c>
      <c r="H1657" t="inlineStr">
        <is>
          <t>history-of-present-illness</t>
        </is>
      </c>
      <c r="I1657" t="inlineStr">
        <is>
          <t xml:space="preserve"> He had no other
   complaints and denied loss of consciousness or hitting his head on the
   fall.</t>
        </is>
      </c>
    </row>
    <row r="1658">
      <c r="A1658" t="inlineStr">
        <is>
          <t>532405-history-of-present-illness-0-6</t>
        </is>
      </c>
      <c r="B1658" t="inlineStr"/>
      <c r="C1658" t="inlineStr"/>
      <c r="D1658">
        <f>HYPERLINK("http://nlpdeep.cs.uic.edu:8080/proofing/t5/532405-history-of-present-illness-0-6.pdf","t5/532405-history-of-present-illness-0-6.pdf")</f>
        <v/>
      </c>
      <c r="E1658" t="n">
        <v>119960</v>
      </c>
      <c r="F1658" t="n">
        <v>532405</v>
      </c>
      <c r="G1658" t="inlineStr">
        <is>
          <t>Physician</t>
        </is>
      </c>
      <c r="H1658" t="inlineStr">
        <is>
          <t>history-of-present-illness</t>
        </is>
      </c>
      <c r="I1658" t="inlineStr">
        <is>
          <t xml:space="preserve"> Hct was 29.6 at rehab, Na 142, K 4.0, BUN 51, Creat 2.1, WBC
   6.8, Plt 215.</t>
        </is>
      </c>
    </row>
    <row r="1659">
      <c r="A1659" t="inlineStr">
        <is>
          <t>532405-history-of-present-illness-0-6</t>
        </is>
      </c>
      <c r="B1659" t="inlineStr"/>
      <c r="C1659" t="inlineStr"/>
      <c r="D1659">
        <f>HYPERLINK("http://nlpdeep.cs.uic.edu:8080/proofing/gsii/532405-history-of-present-illness-0-6.pdf","gsii/532405-history-of-present-illness-0-6.pdf")</f>
        <v/>
      </c>
      <c r="E1659" t="n">
        <v>119960</v>
      </c>
      <c r="F1659" t="n">
        <v>532405</v>
      </c>
      <c r="G1659" t="inlineStr">
        <is>
          <t>Physician</t>
        </is>
      </c>
      <c r="H1659" t="inlineStr">
        <is>
          <t>history-of-present-illness</t>
        </is>
      </c>
      <c r="I1659" t="inlineStr">
        <is>
          <t xml:space="preserve"> Hct was 29.6 at rehab, Na 142, K 4.0, BUN 51, Creat 2.1, WBC
   6.8, Plt 215.</t>
        </is>
      </c>
    </row>
    <row r="1660">
      <c r="A1660" t="inlineStr">
        <is>
          <t>532405-history-of-present-illness-1-0</t>
        </is>
      </c>
      <c r="B1660" t="inlineStr"/>
      <c r="C1660" t="inlineStr"/>
      <c r="D1660">
        <f>HYPERLINK("http://nlpdeep.cs.uic.edu:8080/proofing/t5/532405-history-of-present-illness-1-0.pdf","t5/532405-history-of-present-illness-1-0.pdf")</f>
        <v/>
      </c>
      <c r="E1660" t="n">
        <v>119960</v>
      </c>
      <c r="F1660" t="n">
        <v>532405</v>
      </c>
      <c r="G1660" t="inlineStr">
        <is>
          <t>Physician</t>
        </is>
      </c>
      <c r="H1660" t="inlineStr">
        <is>
          <t>history-of-present-illness</t>
        </is>
      </c>
      <c r="I1660" t="inlineStr">
        <is>
          <t xml:space="preserve">
   In the ED, triage vs were: T 96.3 P 60 BP 107/62 R 16 O2 sat 96% on RA,
   but he was then found to have systolic BP of 83-90s on exam.</t>
        </is>
      </c>
    </row>
    <row r="1661">
      <c r="A1661" t="inlineStr">
        <is>
          <t>532405-history-of-present-illness-1-0</t>
        </is>
      </c>
      <c r="B1661" t="inlineStr"/>
      <c r="C1661" t="inlineStr"/>
      <c r="D1661">
        <f>HYPERLINK("http://nlpdeep.cs.uic.edu:8080/proofing/gsii/532405-history-of-present-illness-1-0.pdf","gsii/532405-history-of-present-illness-1-0.pdf")</f>
        <v/>
      </c>
      <c r="E1661" t="n">
        <v>119960</v>
      </c>
      <c r="F1661" t="n">
        <v>532405</v>
      </c>
      <c r="G1661" t="inlineStr">
        <is>
          <t>Physician</t>
        </is>
      </c>
      <c r="H1661" t="inlineStr">
        <is>
          <t>history-of-present-illness</t>
        </is>
      </c>
      <c r="I1661" t="inlineStr">
        <is>
          <t xml:space="preserve">
   In the ED, triage vs were: T 96.3 P 60 BP 107/62 R 16 O2 sat 96% on RA,
   but he was then found to have systolic BP of 83-90s on exam.</t>
        </is>
      </c>
    </row>
    <row r="1662">
      <c r="A1662" t="inlineStr">
        <is>
          <t>532405-history-of-present-illness-1-1</t>
        </is>
      </c>
      <c r="B1662" t="inlineStr"/>
      <c r="C1662" t="inlineStr"/>
      <c r="D1662">
        <f>HYPERLINK("http://nlpdeep.cs.uic.edu:8080/proofing/t5/532405-history-of-present-illness-1-1.pdf","t5/532405-history-of-present-illness-1-1.pdf")</f>
        <v/>
      </c>
      <c r="E1662" t="n">
        <v>119960</v>
      </c>
      <c r="F1662" t="n">
        <v>532405</v>
      </c>
      <c r="G1662" t="inlineStr">
        <is>
          <t>Physician</t>
        </is>
      </c>
      <c r="H1662" t="inlineStr">
        <is>
          <t>history-of-present-illness</t>
        </is>
      </c>
      <c r="I1662" t="inlineStr">
        <is>
          <t>He had
   good peripheral pulses.</t>
        </is>
      </c>
    </row>
    <row r="1663">
      <c r="A1663" t="inlineStr">
        <is>
          <t>532405-history-of-present-illness-1-1</t>
        </is>
      </c>
      <c r="B1663" t="inlineStr"/>
      <c r="C1663" t="inlineStr"/>
      <c r="D1663">
        <f>HYPERLINK("http://nlpdeep.cs.uic.edu:8080/proofing/gsii/532405-history-of-present-illness-1-1.pdf","gsii/532405-history-of-present-illness-1-1.pdf")</f>
        <v/>
      </c>
      <c r="E1663" t="n">
        <v>119960</v>
      </c>
      <c r="F1663" t="n">
        <v>532405</v>
      </c>
      <c r="G1663" t="inlineStr">
        <is>
          <t>Physician</t>
        </is>
      </c>
      <c r="H1663" t="inlineStr">
        <is>
          <t>history-of-present-illness</t>
        </is>
      </c>
      <c r="I1663" t="inlineStr">
        <is>
          <t>He had
   good peripheral pulses.</t>
        </is>
      </c>
    </row>
    <row r="1664">
      <c r="A1664" t="inlineStr">
        <is>
          <t>532405-history-of-present-illness-1-2</t>
        </is>
      </c>
      <c r="B1664" t="inlineStr"/>
      <c r="C1664" t="inlineStr"/>
      <c r="D1664">
        <f>HYPERLINK("http://nlpdeep.cs.uic.edu:8080/proofing/t5/532405-history-of-present-illness-1-2.pdf","t5/532405-history-of-present-illness-1-2.pdf")</f>
        <v/>
      </c>
      <c r="E1664" t="n">
        <v>119960</v>
      </c>
      <c r="F1664" t="n">
        <v>532405</v>
      </c>
      <c r="G1664" t="inlineStr">
        <is>
          <t>Physician</t>
        </is>
      </c>
      <c r="H1664" t="inlineStr">
        <is>
          <t>history-of-present-illness</t>
        </is>
      </c>
      <c r="I1664" t="inlineStr">
        <is>
          <t xml:space="preserve"> He was evaluated for trauma and plain films of
   the left hip and femur were completed, showing multiple comminuted
   fractures for which the patient would need a THR.</t>
        </is>
      </c>
    </row>
    <row r="1665">
      <c r="A1665" t="inlineStr">
        <is>
          <t>532405-history-of-present-illness-1-2</t>
        </is>
      </c>
      <c r="B1665" t="inlineStr"/>
      <c r="C1665" t="inlineStr"/>
      <c r="D1665">
        <f>HYPERLINK("http://nlpdeep.cs.uic.edu:8080/proofing/gsii/532405-history-of-present-illness-1-2.pdf","gsii/532405-history-of-present-illness-1-2.pdf")</f>
        <v/>
      </c>
      <c r="E1665" t="n">
        <v>119960</v>
      </c>
      <c r="F1665" t="n">
        <v>532405</v>
      </c>
      <c r="G1665" t="inlineStr">
        <is>
          <t>Physician</t>
        </is>
      </c>
      <c r="H1665" t="inlineStr">
        <is>
          <t>history-of-present-illness</t>
        </is>
      </c>
      <c r="I1665" t="inlineStr">
        <is>
          <t xml:space="preserve"> He was evaluated for trauma and plain films of
   the left hip and femur were completed, showing multiple comminuted
   fractures for which the patient would need a THR.</t>
        </is>
      </c>
    </row>
    <row r="1666">
      <c r="A1666" t="inlineStr">
        <is>
          <t>532405-history-of-present-illness-1-3</t>
        </is>
      </c>
      <c r="B1666" t="inlineStr"/>
      <c r="C1666" t="inlineStr"/>
      <c r="D1666">
        <f>HYPERLINK("http://nlpdeep.cs.uic.edu:8080/proofing/t5/532405-history-of-present-illness-1-3.pdf","t5/532405-history-of-present-illness-1-3.pdf")</f>
        <v/>
      </c>
      <c r="E1666" t="n">
        <v>119960</v>
      </c>
      <c r="F1666" t="n">
        <v>532405</v>
      </c>
      <c r="G1666" t="inlineStr">
        <is>
          <t>Physician</t>
        </is>
      </c>
      <c r="H1666" t="inlineStr">
        <is>
          <t>history-of-present-illness</t>
        </is>
      </c>
      <c r="I1666" t="inlineStr">
        <is>
          <t xml:space="preserve"> CT C-spine showed no
   fracture or malalignment, and moderate multilevel degenerative change
   on preliminary read.</t>
        </is>
      </c>
    </row>
    <row r="1667">
      <c r="A1667" t="inlineStr">
        <is>
          <t>532405-history-of-present-illness-1-3</t>
        </is>
      </c>
      <c r="B1667" t="inlineStr"/>
      <c r="C1667" t="inlineStr"/>
      <c r="D1667">
        <f>HYPERLINK("http://nlpdeep.cs.uic.edu:8080/proofing/gsii/532405-history-of-present-illness-1-3.pdf","gsii/532405-history-of-present-illness-1-3.pdf")</f>
        <v/>
      </c>
      <c r="E1667" t="n">
        <v>119960</v>
      </c>
      <c r="F1667" t="n">
        <v>532405</v>
      </c>
      <c r="G1667" t="inlineStr">
        <is>
          <t>Physician</t>
        </is>
      </c>
      <c r="H1667" t="inlineStr">
        <is>
          <t>history-of-present-illness</t>
        </is>
      </c>
      <c r="I1667" t="inlineStr">
        <is>
          <t xml:space="preserve"> CT C-spine showed no
   fracture or malalignment, and moderate multilevel degenerative change
   on preliminary read.</t>
        </is>
      </c>
    </row>
    <row r="1668">
      <c r="A1668" t="inlineStr">
        <is>
          <t>532405-history-of-present-illness-1-4</t>
        </is>
      </c>
      <c r="B1668" t="inlineStr"/>
      <c r="C1668" t="inlineStr"/>
      <c r="D1668">
        <f>HYPERLINK("http://nlpdeep.cs.uic.edu:8080/proofing/t5/532405-history-of-present-illness-1-4.pdf","t5/532405-history-of-present-illness-1-4.pdf")</f>
        <v/>
      </c>
      <c r="E1668" t="n">
        <v>119960</v>
      </c>
      <c r="F1668" t="n">
        <v>532405</v>
      </c>
      <c r="G1668" t="inlineStr">
        <is>
          <t>Physician</t>
        </is>
      </c>
      <c r="H1668" t="inlineStr">
        <is>
          <t>history-of-present-illness</t>
        </is>
      </c>
      <c r="I1668" t="inlineStr">
        <is>
          <t>CT head without contrast showed no fracture or
   hemorrhage (preliminary read).</t>
        </is>
      </c>
    </row>
    <row r="1669">
      <c r="A1669" t="inlineStr">
        <is>
          <t>532405-history-of-present-illness-1-4</t>
        </is>
      </c>
      <c r="B1669" t="inlineStr"/>
      <c r="C1669" t="inlineStr"/>
      <c r="D1669">
        <f>HYPERLINK("http://nlpdeep.cs.uic.edu:8080/proofing/gsii/532405-history-of-present-illness-1-4.pdf","gsii/532405-history-of-present-illness-1-4.pdf")</f>
        <v/>
      </c>
      <c r="E1669" t="n">
        <v>119960</v>
      </c>
      <c r="F1669" t="n">
        <v>532405</v>
      </c>
      <c r="G1669" t="inlineStr">
        <is>
          <t>Physician</t>
        </is>
      </c>
      <c r="H1669" t="inlineStr">
        <is>
          <t>history-of-present-illness</t>
        </is>
      </c>
      <c r="I1669" t="inlineStr">
        <is>
          <t>CT head without contrast showed no fracture or
   hemorrhage (preliminary read).</t>
        </is>
      </c>
    </row>
    <row r="1670">
      <c r="A1670" t="inlineStr">
        <is>
          <t>532405-history-of-present-illness-2-0</t>
        </is>
      </c>
      <c r="B1670" t="inlineStr"/>
      <c r="C1670" t="inlineStr"/>
      <c r="D1670">
        <f>HYPERLINK("http://nlpdeep.cs.uic.edu:8080/proofing/t5/532405-history-of-present-illness-2-0.pdf","t5/532405-history-of-present-illness-2-0.pdf")</f>
        <v/>
      </c>
      <c r="E1670" t="n">
        <v>119960</v>
      </c>
      <c r="F1670" t="n">
        <v>532405</v>
      </c>
      <c r="G1670" t="inlineStr">
        <is>
          <t>Physician</t>
        </is>
      </c>
      <c r="H1670" t="inlineStr">
        <is>
          <t>history-of-present-illness</t>
        </is>
      </c>
      <c r="I1670" t="inlineStr">
        <is>
          <t xml:space="preserve">
   The patient was given 1L IVF and fentanyl 100 mcg for pain.</t>
        </is>
      </c>
    </row>
    <row r="1671">
      <c r="A1671" t="inlineStr">
        <is>
          <t>532405-history-of-present-illness-2-0</t>
        </is>
      </c>
      <c r="B1671" t="inlineStr"/>
      <c r="C1671" t="inlineStr"/>
      <c r="D1671">
        <f>HYPERLINK("http://nlpdeep.cs.uic.edu:8080/proofing/gsii/532405-history-of-present-illness-2-0.pdf","gsii/532405-history-of-present-illness-2-0.pdf")</f>
        <v/>
      </c>
      <c r="E1671" t="n">
        <v>119960</v>
      </c>
      <c r="F1671" t="n">
        <v>532405</v>
      </c>
      <c r="G1671" t="inlineStr">
        <is>
          <t>Physician</t>
        </is>
      </c>
      <c r="H1671" t="inlineStr">
        <is>
          <t>history-of-present-illness</t>
        </is>
      </c>
      <c r="I1671" t="inlineStr">
        <is>
          <t xml:space="preserve">
   The patient was given 1L IVF and fentanyl 100 mcg for pain.</t>
        </is>
      </c>
    </row>
    <row r="1672">
      <c r="A1672" t="inlineStr">
        <is>
          <t>532405-history-of-present-illness-2-1</t>
        </is>
      </c>
      <c r="B1672" t="inlineStr"/>
      <c r="C1672" t="inlineStr"/>
      <c r="D1672">
        <f>HYPERLINK("http://nlpdeep.cs.uic.edu:8080/proofing/t5/532405-history-of-present-illness-2-1.pdf","t5/532405-history-of-present-illness-2-1.pdf")</f>
        <v/>
      </c>
      <c r="E1672" t="n">
        <v>119960</v>
      </c>
      <c r="F1672" t="n">
        <v>532405</v>
      </c>
      <c r="G1672" t="inlineStr">
        <is>
          <t>Physician</t>
        </is>
      </c>
      <c r="H1672" t="inlineStr">
        <is>
          <t>history-of-present-illness</t>
        </is>
      </c>
      <c r="I1672" t="inlineStr">
        <is>
          <t>His SBPs
   persisted in the 80s/90s.</t>
        </is>
      </c>
    </row>
    <row r="1673">
      <c r="A1673" t="inlineStr">
        <is>
          <t>532405-history-of-present-illness-2-1</t>
        </is>
      </c>
      <c r="B1673" t="inlineStr"/>
      <c r="C1673" t="inlineStr"/>
      <c r="D1673">
        <f>HYPERLINK("http://nlpdeep.cs.uic.edu:8080/proofing/gsii/532405-history-of-present-illness-2-1.pdf","gsii/532405-history-of-present-illness-2-1.pdf")</f>
        <v/>
      </c>
      <c r="E1673" t="n">
        <v>119960</v>
      </c>
      <c r="F1673" t="n">
        <v>532405</v>
      </c>
      <c r="G1673" t="inlineStr">
        <is>
          <t>Physician</t>
        </is>
      </c>
      <c r="H1673" t="inlineStr">
        <is>
          <t>history-of-present-illness</t>
        </is>
      </c>
      <c r="I1673" t="inlineStr">
        <is>
          <t>His SBPs
   persisted in the 80s/90s.</t>
        </is>
      </c>
    </row>
    <row r="1674">
      <c r="A1674" t="inlineStr">
        <is>
          <t>532405-history-of-present-illness-2-2</t>
        </is>
      </c>
      <c r="B1674" t="inlineStr"/>
      <c r="C1674" t="inlineStr"/>
      <c r="D1674">
        <f>HYPERLINK("http://nlpdeep.cs.uic.edu:8080/proofing/t5/532405-history-of-present-illness-2-2.pdf","t5/532405-history-of-present-illness-2-2.pdf")</f>
        <v/>
      </c>
      <c r="E1674" t="n">
        <v>119960</v>
      </c>
      <c r="F1674" t="n">
        <v>532405</v>
      </c>
      <c r="G1674" t="inlineStr">
        <is>
          <t>Physician</t>
        </is>
      </c>
      <c r="H1674" t="inlineStr">
        <is>
          <t>history-of-present-illness</t>
        </is>
      </c>
      <c r="I1674" t="inlineStr">
        <is>
          <t>His Hct was found to be 24, down [**4-3**] points.</t>
        </is>
      </c>
    </row>
    <row r="1675">
      <c r="A1675" t="inlineStr">
        <is>
          <t>532405-history-of-present-illness-2-2</t>
        </is>
      </c>
      <c r="B1675" t="inlineStr"/>
      <c r="C1675" t="inlineStr"/>
      <c r="D1675">
        <f>HYPERLINK("http://nlpdeep.cs.uic.edu:8080/proofing/gsii/532405-history-of-present-illness-2-2.pdf","gsii/532405-history-of-present-illness-2-2.pdf")</f>
        <v/>
      </c>
      <c r="E1675" t="n">
        <v>119960</v>
      </c>
      <c r="F1675" t="n">
        <v>532405</v>
      </c>
      <c r="G1675" t="inlineStr">
        <is>
          <t>Physician</t>
        </is>
      </c>
      <c r="H1675" t="inlineStr">
        <is>
          <t>history-of-present-illness</t>
        </is>
      </c>
      <c r="I1675" t="inlineStr">
        <is>
          <t>His Hct was found to be 24, down [**4-3**] points.</t>
        </is>
      </c>
    </row>
    <row r="1676">
      <c r="A1676" t="inlineStr">
        <is>
          <t>532405-history-of-present-illness-2-3</t>
        </is>
      </c>
      <c r="B1676" t="inlineStr"/>
      <c r="C1676" t="inlineStr"/>
      <c r="D1676">
        <f>HYPERLINK("http://nlpdeep.cs.uic.edu:8080/proofing/t5/532405-history-of-present-illness-2-3.pdf","t5/532405-history-of-present-illness-2-3.pdf")</f>
        <v/>
      </c>
      <c r="E1676" t="n">
        <v>119960</v>
      </c>
      <c r="F1676" t="n">
        <v>532405</v>
      </c>
      <c r="G1676" t="inlineStr">
        <is>
          <t>Physician</t>
        </is>
      </c>
      <c r="H1676" t="inlineStr">
        <is>
          <t>history-of-present-illness</t>
        </is>
      </c>
      <c r="I1676" t="inlineStr">
        <is>
          <t xml:space="preserve">
   CT ab/pelvis was performed in the setting of the Hct drop, showing left
   hip intertrochanteric fracture, a large retroperitoneal mass likely
   from left adrenal gland (non-urgent MR recommended for further
   evaluation), and no retroperitoneal hematoma on preliminary read.</t>
        </is>
      </c>
    </row>
    <row r="1677">
      <c r="A1677" t="inlineStr">
        <is>
          <t>532405-history-of-present-illness-2-3</t>
        </is>
      </c>
      <c r="B1677" t="inlineStr"/>
      <c r="C1677" t="inlineStr"/>
      <c r="D1677">
        <f>HYPERLINK("http://nlpdeep.cs.uic.edu:8080/proofing/gsii/532405-history-of-present-illness-2-3.pdf","gsii/532405-history-of-present-illness-2-3.pdf")</f>
        <v/>
      </c>
      <c r="E1677" t="n">
        <v>119960</v>
      </c>
      <c r="F1677" t="n">
        <v>532405</v>
      </c>
      <c r="G1677" t="inlineStr">
        <is>
          <t>Physician</t>
        </is>
      </c>
      <c r="H1677" t="inlineStr">
        <is>
          <t>history-of-present-illness</t>
        </is>
      </c>
      <c r="I1677" t="inlineStr">
        <is>
          <t xml:space="preserve">
   CT ab/pelvis was performed in the setting of the Hct drop, showing left
   hip intertrochanteric fracture, a large retroperitoneal mass likely
   from left adrenal gland (non-urgent MR recommended for further
   evaluation), and no retroperitoneal hematoma on preliminary read.</t>
        </is>
      </c>
    </row>
    <row r="1678">
      <c r="A1678" t="inlineStr">
        <is>
          <t>532405-history-of-present-illness-2-4</t>
        </is>
      </c>
      <c r="B1678" t="inlineStr"/>
      <c r="C1678" t="inlineStr"/>
      <c r="D1678">
        <f>HYPERLINK("http://nlpdeep.cs.uic.edu:8080/proofing/t5/532405-history-of-present-illness-2-4.pdf","t5/532405-history-of-present-illness-2-4.pdf")</f>
        <v/>
      </c>
      <c r="E1678" t="n">
        <v>119960</v>
      </c>
      <c r="F1678" t="n">
        <v>532405</v>
      </c>
      <c r="G1678" t="inlineStr">
        <is>
          <t>Physician</t>
        </is>
      </c>
      <c r="H1678" t="inlineStr">
        <is>
          <t>history-of-present-illness</t>
        </is>
      </c>
      <c r="I1678" t="inlineStr">
        <is>
          <t>He
   was found to be guaiac negative.</t>
        </is>
      </c>
    </row>
    <row r="1679">
      <c r="A1679" t="inlineStr">
        <is>
          <t>532405-history-of-present-illness-2-4</t>
        </is>
      </c>
      <c r="B1679" t="inlineStr"/>
      <c r="C1679" t="inlineStr"/>
      <c r="D1679">
        <f>HYPERLINK("http://nlpdeep.cs.uic.edu:8080/proofing/gsii/532405-history-of-present-illness-2-4.pdf","gsii/532405-history-of-present-illness-2-4.pdf")</f>
        <v/>
      </c>
      <c r="E1679" t="n">
        <v>119960</v>
      </c>
      <c r="F1679" t="n">
        <v>532405</v>
      </c>
      <c r="G1679" t="inlineStr">
        <is>
          <t>Physician</t>
        </is>
      </c>
      <c r="H1679" t="inlineStr">
        <is>
          <t>history-of-present-illness</t>
        </is>
      </c>
      <c r="I1679" t="inlineStr">
        <is>
          <t>He
   was found to be guaiac negative.</t>
        </is>
      </c>
    </row>
    <row r="1680">
      <c r="A1680" t="inlineStr">
        <is>
          <t>532405-history-of-present-illness-2-5</t>
        </is>
      </c>
      <c r="B1680" t="inlineStr"/>
      <c r="C1680" t="inlineStr"/>
      <c r="D1680">
        <f>HYPERLINK("http://nlpdeep.cs.uic.edu:8080/proofing/t5/532405-history-of-present-illness-2-5.pdf","t5/532405-history-of-present-illness-2-5.pdf")</f>
        <v/>
      </c>
      <c r="E1680" t="n">
        <v>119960</v>
      </c>
      <c r="F1680" t="n">
        <v>532405</v>
      </c>
      <c r="G1680" t="inlineStr">
        <is>
          <t>Physician</t>
        </is>
      </c>
      <c r="H1680" t="inlineStr">
        <is>
          <t>history-of-present-illness</t>
        </is>
      </c>
      <c r="I1680" t="inlineStr">
        <is>
          <t>He continued with HR in 60s and
   systolics in 90s, received an additional 1L IVF (and a second liter was
   begun prior to transfer), and was typed and crossed for 2 units pRBC.</t>
        </is>
      </c>
    </row>
    <row r="1681">
      <c r="A1681" t="inlineStr">
        <is>
          <t>532405-history-of-present-illness-2-5</t>
        </is>
      </c>
      <c r="B1681" t="inlineStr"/>
      <c r="C1681" t="inlineStr"/>
      <c r="D1681">
        <f>HYPERLINK("http://nlpdeep.cs.uic.edu:8080/proofing/gsii/532405-history-of-present-illness-2-5.pdf","gsii/532405-history-of-present-illness-2-5.pdf")</f>
        <v/>
      </c>
      <c r="E1681" t="n">
        <v>119960</v>
      </c>
      <c r="F1681" t="n">
        <v>532405</v>
      </c>
      <c r="G1681" t="inlineStr">
        <is>
          <t>Physician</t>
        </is>
      </c>
      <c r="H1681" t="inlineStr">
        <is>
          <t>history-of-present-illness</t>
        </is>
      </c>
      <c r="I1681" t="inlineStr">
        <is>
          <t>He continued with HR in 60s and
   systolics in 90s, received an additional 1L IVF (and a second liter was
   begun prior to transfer), and was typed and crossed for 2 units pRBC.</t>
        </is>
      </c>
    </row>
    <row r="1682">
      <c r="A1682" t="inlineStr">
        <is>
          <t>532405-history-of-present-illness-2-6</t>
        </is>
      </c>
      <c r="B1682" t="inlineStr"/>
      <c r="C1682" t="inlineStr"/>
      <c r="D1682">
        <f>HYPERLINK("http://nlpdeep.cs.uic.edu:8080/proofing/t5/532405-history-of-present-illness-2-6.pdf","t5/532405-history-of-present-illness-2-6.pdf")</f>
        <v/>
      </c>
      <c r="E1682" t="n">
        <v>119960</v>
      </c>
      <c r="F1682" t="n">
        <v>532405</v>
      </c>
      <c r="G1682" t="inlineStr">
        <is>
          <t>Physician</t>
        </is>
      </c>
      <c r="H1682" t="inlineStr">
        <is>
          <t>history-of-present-illness</t>
        </is>
      </c>
      <c r="I1682" t="inlineStr">
        <is>
          <t xml:space="preserve">
   CXR showed a retrocardiac opacity and he was given levofloxacin 750 mg
   for empiric pneumonia coverage after a single blood culture was drawn.</t>
        </is>
      </c>
    </row>
    <row r="1683">
      <c r="A1683" t="inlineStr">
        <is>
          <t>532405-history-of-present-illness-2-6</t>
        </is>
      </c>
      <c r="B1683" t="inlineStr"/>
      <c r="C1683" t="inlineStr"/>
      <c r="D1683">
        <f>HYPERLINK("http://nlpdeep.cs.uic.edu:8080/proofing/gsii/532405-history-of-present-illness-2-6.pdf","gsii/532405-history-of-present-illness-2-6.pdf")</f>
        <v/>
      </c>
      <c r="E1683" t="n">
        <v>119960</v>
      </c>
      <c r="F1683" t="n">
        <v>532405</v>
      </c>
      <c r="G1683" t="inlineStr">
        <is>
          <t>Physician</t>
        </is>
      </c>
      <c r="H1683" t="inlineStr">
        <is>
          <t>history-of-present-illness</t>
        </is>
      </c>
      <c r="I1683" t="inlineStr">
        <is>
          <t xml:space="preserve">
   CXR showed a retrocardiac opacity and he was given levofloxacin 750 mg
   for empiric pneumonia coverage after a single blood culture was drawn.</t>
        </is>
      </c>
    </row>
    <row r="1684">
      <c r="A1684" t="inlineStr">
        <is>
          <t>532405-history-of-present-illness-2-7</t>
        </is>
      </c>
      <c r="B1684" t="inlineStr"/>
      <c r="C1684" t="inlineStr"/>
      <c r="D1684">
        <f>HYPERLINK("http://nlpdeep.cs.uic.edu:8080/proofing/t5/532405-history-of-present-illness-2-7.pdf","t5/532405-history-of-present-illness-2-7.pdf")</f>
        <v/>
      </c>
      <c r="E1684" t="n">
        <v>119960</v>
      </c>
      <c r="F1684" t="n">
        <v>532405</v>
      </c>
      <c r="G1684" t="inlineStr">
        <is>
          <t>Physician</t>
        </is>
      </c>
      <c r="H1684" t="inlineStr">
        <is>
          <t>history-of-present-illness</t>
        </is>
      </c>
      <c r="I1684" t="inlineStr">
        <is>
          <t xml:space="preserve">
   A Foley was placed.</t>
        </is>
      </c>
    </row>
    <row r="1685">
      <c r="A1685" t="inlineStr">
        <is>
          <t>532405-history-of-present-illness-2-7</t>
        </is>
      </c>
      <c r="B1685" t="inlineStr"/>
      <c r="C1685" t="inlineStr"/>
      <c r="D1685">
        <f>HYPERLINK("http://nlpdeep.cs.uic.edu:8080/proofing/gsii/532405-history-of-present-illness-2-7.pdf","gsii/532405-history-of-present-illness-2-7.pdf")</f>
        <v/>
      </c>
      <c r="E1685" t="n">
        <v>119960</v>
      </c>
      <c r="F1685" t="n">
        <v>532405</v>
      </c>
      <c r="G1685" t="inlineStr">
        <is>
          <t>Physician</t>
        </is>
      </c>
      <c r="H1685" t="inlineStr">
        <is>
          <t>history-of-present-illness</t>
        </is>
      </c>
      <c r="I1685" t="inlineStr">
        <is>
          <t xml:space="preserve">
   A Foley was placed.</t>
        </is>
      </c>
    </row>
    <row r="1686">
      <c r="A1686" t="inlineStr">
        <is>
          <t>532405-history-of-present-illness-2-8</t>
        </is>
      </c>
      <c r="B1686" t="inlineStr"/>
      <c r="C1686" t="inlineStr"/>
      <c r="D1686">
        <f>HYPERLINK("http://nlpdeep.cs.uic.edu:8080/proofing/t5/532405-history-of-present-illness-2-8.pdf","t5/532405-history-of-present-illness-2-8.pdf")</f>
        <v/>
      </c>
      <c r="E1686" t="n">
        <v>119960</v>
      </c>
      <c r="F1686" t="n">
        <v>532405</v>
      </c>
      <c r="G1686" t="inlineStr">
        <is>
          <t>Physician</t>
        </is>
      </c>
      <c r="H1686" t="inlineStr">
        <is>
          <t>history-of-present-illness</t>
        </is>
      </c>
      <c r="I1686" t="inlineStr">
        <is>
          <t>Transfer vitals in the ED were HR 64, RR19 100% on
   4L (desatted after NS to low 90s), 88/48.</t>
        </is>
      </c>
    </row>
    <row r="1687">
      <c r="A1687" t="inlineStr">
        <is>
          <t>532405-history-of-present-illness-2-8</t>
        </is>
      </c>
      <c r="B1687" t="inlineStr"/>
      <c r="C1687" t="inlineStr"/>
      <c r="D1687">
        <f>HYPERLINK("http://nlpdeep.cs.uic.edu:8080/proofing/gsii/532405-history-of-present-illness-2-8.pdf","gsii/532405-history-of-present-illness-2-8.pdf")</f>
        <v/>
      </c>
      <c r="E1687" t="n">
        <v>119960</v>
      </c>
      <c r="F1687" t="n">
        <v>532405</v>
      </c>
      <c r="G1687" t="inlineStr">
        <is>
          <t>Physician</t>
        </is>
      </c>
      <c r="H1687" t="inlineStr">
        <is>
          <t>history-of-present-illness</t>
        </is>
      </c>
      <c r="I1687" t="inlineStr">
        <is>
          <t>Transfer vitals in the ED were HR 64, RR19 100% on
   4L (desatted after NS to low 90s), 88/48.</t>
        </is>
      </c>
    </row>
    <row r="1688">
      <c r="A1688" t="inlineStr">
        <is>
          <t>532405-history-of-present-illness-3-0</t>
        </is>
      </c>
      <c r="B1688" t="inlineStr"/>
      <c r="C1688" t="inlineStr"/>
      <c r="D1688">
        <f>HYPERLINK("http://nlpdeep.cs.uic.edu:8080/proofing/t5/532405-history-of-present-illness-3-0.pdf","t5/532405-history-of-present-illness-3-0.pdf")</f>
        <v/>
      </c>
      <c r="E1688" t="n">
        <v>119960</v>
      </c>
      <c r="F1688" t="n">
        <v>532405</v>
      </c>
      <c r="G1688" t="inlineStr">
        <is>
          <t>Physician</t>
        </is>
      </c>
      <c r="H1688" t="inlineStr">
        <is>
          <t>history-of-present-illness</t>
        </is>
      </c>
      <c r="I1688" t="inlineStr">
        <is>
          <t xml:space="preserve">
   The patient was admitted to the MICU, where initial vitals were HR 69
   BP 102/63-120/75, RR 32-20, SpO2 100% on 1L NC.</t>
        </is>
      </c>
    </row>
    <row r="1689">
      <c r="A1689" t="inlineStr">
        <is>
          <t>532405-history-of-present-illness-3-0</t>
        </is>
      </c>
      <c r="B1689" t="inlineStr"/>
      <c r="C1689" t="inlineStr"/>
      <c r="D1689">
        <f>HYPERLINK("http://nlpdeep.cs.uic.edu:8080/proofing/gsii/532405-history-of-present-illness-3-0.pdf","gsii/532405-history-of-present-illness-3-0.pdf")</f>
        <v/>
      </c>
      <c r="E1689" t="n">
        <v>119960</v>
      </c>
      <c r="F1689" t="n">
        <v>532405</v>
      </c>
      <c r="G1689" t="inlineStr">
        <is>
          <t>Physician</t>
        </is>
      </c>
      <c r="H1689" t="inlineStr">
        <is>
          <t>history-of-present-illness</t>
        </is>
      </c>
      <c r="I1689" t="inlineStr">
        <is>
          <t xml:space="preserve">
   The patient was admitted to the MICU, where initial vitals were HR 69
   BP 102/63-120/75, RR 32-20, SpO2 100% on 1L NC.</t>
        </is>
      </c>
    </row>
    <row r="1690">
      <c r="A1690" t="inlineStr">
        <is>
          <t>532405-history-of-present-illness-4-0</t>
        </is>
      </c>
      <c r="B1690" t="inlineStr"/>
      <c r="C1690" t="inlineStr"/>
      <c r="D1690">
        <f>HYPERLINK("http://nlpdeep.cs.uic.edu:8080/proofing/t5/532405-history-of-present-illness-4-0.pdf","t5/532405-history-of-present-illness-4-0.pdf")</f>
        <v/>
      </c>
      <c r="E1690" t="n">
        <v>119960</v>
      </c>
      <c r="F1690" t="n">
        <v>532405</v>
      </c>
      <c r="G1690" t="inlineStr">
        <is>
          <t>Physician</t>
        </is>
      </c>
      <c r="H1690" t="inlineStr">
        <is>
          <t>history-of-present-illness</t>
        </is>
      </c>
      <c r="I1690" t="inlineStr">
        <is>
          <t xml:space="preserve">
   On ROS, the patient denies any LOC, dizziness/lightheadedness, recent
   diarrhea (though had diarrhea in prior admission).</t>
        </is>
      </c>
    </row>
    <row r="1691">
      <c r="A1691" t="inlineStr">
        <is>
          <t>532405-history-of-present-illness-4-0</t>
        </is>
      </c>
      <c r="B1691" t="inlineStr"/>
      <c r="C1691" t="inlineStr"/>
      <c r="D1691">
        <f>HYPERLINK("http://nlpdeep.cs.uic.edu:8080/proofing/gsii/532405-history-of-present-illness-4-0.pdf","gsii/532405-history-of-present-illness-4-0.pdf")</f>
        <v/>
      </c>
      <c r="E1691" t="n">
        <v>119960</v>
      </c>
      <c r="F1691" t="n">
        <v>532405</v>
      </c>
      <c r="G1691" t="inlineStr">
        <is>
          <t>Physician</t>
        </is>
      </c>
      <c r="H1691" t="inlineStr">
        <is>
          <t>history-of-present-illness</t>
        </is>
      </c>
      <c r="I1691" t="inlineStr">
        <is>
          <t xml:space="preserve">
   On ROS, the patient denies any LOC, dizziness/lightheadedness, recent
   diarrhea (though had diarrhea in prior admission).</t>
        </is>
      </c>
    </row>
    <row r="1692">
      <c r="A1692" t="inlineStr">
        <is>
          <t>532405-history-of-present-illness-4-1</t>
        </is>
      </c>
      <c r="B1692" t="inlineStr"/>
      <c r="C1692" t="inlineStr"/>
      <c r="D1692">
        <f>HYPERLINK("http://nlpdeep.cs.uic.edu:8080/proofing/t5/532405-history-of-present-illness-4-1.pdf","t5/532405-history-of-present-illness-4-1.pdf")</f>
        <v/>
      </c>
      <c r="E1692" t="n">
        <v>119960</v>
      </c>
      <c r="F1692" t="n">
        <v>532405</v>
      </c>
      <c r="G1692" t="inlineStr">
        <is>
          <t>Physician</t>
        </is>
      </c>
      <c r="H1692" t="inlineStr">
        <is>
          <t>history-of-present-illness</t>
        </is>
      </c>
      <c r="I1692" t="inlineStr">
        <is>
          <t>+cough with small
   amounts of yellowish sputum but not in past few days.</t>
        </is>
      </c>
    </row>
    <row r="1693">
      <c r="A1693" t="inlineStr">
        <is>
          <t>532405-history-of-present-illness-4-1</t>
        </is>
      </c>
      <c r="B1693" t="inlineStr"/>
      <c r="C1693" t="inlineStr"/>
      <c r="D1693">
        <f>HYPERLINK("http://nlpdeep.cs.uic.edu:8080/proofing/gsii/532405-history-of-present-illness-4-1.pdf","gsii/532405-history-of-present-illness-4-1.pdf")</f>
        <v/>
      </c>
      <c r="E1693" t="n">
        <v>119960</v>
      </c>
      <c r="F1693" t="n">
        <v>532405</v>
      </c>
      <c r="G1693" t="inlineStr">
        <is>
          <t>Physician</t>
        </is>
      </c>
      <c r="H1693" t="inlineStr">
        <is>
          <t>history-of-present-illness</t>
        </is>
      </c>
      <c r="I1693" t="inlineStr">
        <is>
          <t>+cough with small
   amounts of yellowish sputum but not in past few days.</t>
        </is>
      </c>
    </row>
    <row r="1694">
      <c r="A1694" t="inlineStr">
        <is>
          <t>532405-history-of-present-illness-4-2</t>
        </is>
      </c>
      <c r="B1694" t="inlineStr"/>
      <c r="C1694" t="inlineStr"/>
      <c r="D1694">
        <f>HYPERLINK("http://nlpdeep.cs.uic.edu:8080/proofing/t5/532405-history-of-present-illness-4-2.pdf","t5/532405-history-of-present-illness-4-2.pdf")</f>
        <v/>
      </c>
      <c r="E1694" t="n">
        <v>119960</v>
      </c>
      <c r="F1694" t="n">
        <v>532405</v>
      </c>
      <c r="G1694" t="inlineStr">
        <is>
          <t>Physician</t>
        </is>
      </c>
      <c r="H1694" t="inlineStr">
        <is>
          <t>history-of-present-illness</t>
        </is>
      </c>
      <c r="I1694" t="inlineStr">
        <is>
          <t>Patient admitted from: [**Hospital1 19**] ER
   History obtained from Patient, Family / F</t>
        </is>
      </c>
    </row>
    <row r="1695">
      <c r="A1695" t="inlineStr">
        <is>
          <t>532405-history-of-present-illness-4-2</t>
        </is>
      </c>
      <c r="B1695" t="inlineStr"/>
      <c r="C1695" t="inlineStr"/>
      <c r="D1695">
        <f>HYPERLINK("http://nlpdeep.cs.uic.edu:8080/proofing/gsii/532405-history-of-present-illness-4-2.pdf","gsii/532405-history-of-present-illness-4-2.pdf")</f>
        <v/>
      </c>
      <c r="E1695" t="n">
        <v>119960</v>
      </c>
      <c r="F1695" t="n">
        <v>532405</v>
      </c>
      <c r="G1695" t="inlineStr">
        <is>
          <t>Physician</t>
        </is>
      </c>
      <c r="H1695" t="inlineStr">
        <is>
          <t>history-of-present-illness</t>
        </is>
      </c>
      <c r="I1695" t="inlineStr">
        <is>
          <t>Patient admitted from: [**Hospital1 19**] ER
   History obtained from Patient, Family / F</t>
        </is>
      </c>
    </row>
    <row r="1696">
      <c r="A1696" t="inlineStr">
        <is>
          <t>532405-allergies-0-0</t>
        </is>
      </c>
      <c r="B1696" t="inlineStr"/>
      <c r="C1696" t="inlineStr"/>
      <c r="D1696">
        <f>HYPERLINK("http://nlpdeep.cs.uic.edu:8080/proofing/t5/532405-allergies-0-0.pdf","t5/532405-allergies-0-0.pdf")</f>
        <v/>
      </c>
      <c r="E1696" t="n">
        <v>119960</v>
      </c>
      <c r="F1696" t="n">
        <v>532405</v>
      </c>
      <c r="G1696" t="inlineStr">
        <is>
          <t>Physician</t>
        </is>
      </c>
      <c r="H1696" t="inlineStr">
        <is>
          <t>allergies</t>
        </is>
      </c>
      <c r="I1696" t="inlineStr">
        <is>
          <t>Quinidine
   fever;
   Propranolol
   Aggitation;</t>
        </is>
      </c>
    </row>
    <row r="1697">
      <c r="A1697" t="inlineStr">
        <is>
          <t>532405-allergies-0-0</t>
        </is>
      </c>
      <c r="B1697" t="inlineStr"/>
      <c r="C1697" t="inlineStr"/>
      <c r="D1697">
        <f>HYPERLINK("http://nlpdeep.cs.uic.edu:8080/proofing/gsii/532405-allergies-0-0.pdf","gsii/532405-allergies-0-0.pdf")</f>
        <v/>
      </c>
      <c r="E1697" t="n">
        <v>119960</v>
      </c>
      <c r="F1697" t="n">
        <v>532405</v>
      </c>
      <c r="G1697" t="inlineStr">
        <is>
          <t>Physician</t>
        </is>
      </c>
      <c r="H1697" t="inlineStr">
        <is>
          <t>allergies</t>
        </is>
      </c>
      <c r="I1697" t="inlineStr">
        <is>
          <t>Quinidine
   fever;
   Propranolol
   Aggitation;</t>
        </is>
      </c>
    </row>
    <row r="1698">
      <c r="A1698" t="inlineStr">
        <is>
          <t>532405-other-medications-0-0</t>
        </is>
      </c>
      <c r="B1698" t="inlineStr"/>
      <c r="C1698" t="inlineStr"/>
      <c r="D1698">
        <f>HYPERLINK("http://nlpdeep.cs.uic.edu:8080/proofing/t5/532405-other-medications-0-0.pdf","t5/532405-other-medications-0-0.pdf")</f>
        <v/>
      </c>
      <c r="E1698" t="n">
        <v>119960</v>
      </c>
      <c r="F1698" t="n">
        <v>532405</v>
      </c>
      <c r="G1698" t="inlineStr">
        <is>
          <t>Physician</t>
        </is>
      </c>
      <c r="H1698" t="inlineStr">
        <is>
          <t>other-medications</t>
        </is>
      </c>
      <c r="I1698" t="inlineStr">
        <is>
          <t>Morphine Sulfate - [**2141-4-6**] 09:30 PM
   Other medications:
   Meds from rehab:
   -Vicodin 5/500 2 tabs qd
   -Pantoprazole 40 mg Tablet qd
   -Vancomycin 125 mg PO Q6H; taper as follows:
        [**Date range (1) 14476**] 125mg Q6H;
        [**Date range (1) 14477**] 125mg Q12H;
        [**Date range (1) 14478**] 125mg daily;
        [**Date range (1) 14479**] 125mg; every other day
        [**Date range (1) 14480**] 125mg; every third day; then stop.</t>
        </is>
      </c>
    </row>
    <row r="1699">
      <c r="A1699" t="inlineStr">
        <is>
          <t>532405-other-medications-0-0</t>
        </is>
      </c>
      <c r="B1699" t="inlineStr"/>
      <c r="C1699" t="inlineStr"/>
      <c r="D1699">
        <f>HYPERLINK("http://nlpdeep.cs.uic.edu:8080/proofing/gsii/532405-other-medications-0-0.pdf","gsii/532405-other-medications-0-0.pdf")</f>
        <v/>
      </c>
      <c r="E1699" t="n">
        <v>119960</v>
      </c>
      <c r="F1699" t="n">
        <v>532405</v>
      </c>
      <c r="G1699" t="inlineStr">
        <is>
          <t>Physician</t>
        </is>
      </c>
      <c r="H1699" t="inlineStr">
        <is>
          <t>other-medications</t>
        </is>
      </c>
      <c r="I1699" t="inlineStr">
        <is>
          <t>Morphine Sulfate - [**2141-4-6**] 09:30 PM
   Other medications:
   Meds from rehab:
   -Vicodin 5/500 2 tabs qd
   -Pantoprazole 40 mg Tablet qd
   -Vancomycin 125 mg PO Q6H; taper as follows:
        [**Date range (1) 14476**] 125mg Q6H;
        [**Date range (1) 14477**] 125mg Q12H;
        [**Date range (1) 14478**] 125mg daily;
        [**Date range (1) 14479**] 125mg; every other day
        [**Date range (1) 14480**] 125mg; every third day; then stop.</t>
        </is>
      </c>
    </row>
    <row r="1700">
      <c r="A1700" t="inlineStr">
        <is>
          <t>532405-other-medications-0-1</t>
        </is>
      </c>
      <c r="B1700" t="inlineStr"/>
      <c r="C1700" t="inlineStr"/>
      <c r="D1700">
        <f>HYPERLINK("http://nlpdeep.cs.uic.edu:8080/proofing/t5/532405-other-medications-0-1.pdf","t5/532405-other-medications-0-1.pdf")</f>
        <v/>
      </c>
      <c r="E1700" t="n">
        <v>119960</v>
      </c>
      <c r="F1700" t="n">
        <v>532405</v>
      </c>
      <c r="G1700" t="inlineStr">
        <is>
          <t>Physician</t>
        </is>
      </c>
      <c r="H1700" t="inlineStr">
        <is>
          <t>other-medications</t>
        </is>
      </c>
      <c r="I1700" t="inlineStr">
        <is>
          <t xml:space="preserve">
   -Ativan 0.125 mg tid prn
   -Ammonium Lactate 12% Lotion Topical [**Hospital1 7**]
   -Ipratropium Bromide 0.5 mg Neb Inhalation Q6H PRN SOB/Wheezing.</t>
        </is>
      </c>
    </row>
    <row r="1701">
      <c r="A1701" t="inlineStr">
        <is>
          <t>532405-other-medications-0-1</t>
        </is>
      </c>
      <c r="B1701" t="inlineStr"/>
      <c r="C1701" t="inlineStr"/>
      <c r="D1701">
        <f>HYPERLINK("http://nlpdeep.cs.uic.edu:8080/proofing/gsii/532405-other-medications-0-1.pdf","gsii/532405-other-medications-0-1.pdf")</f>
        <v/>
      </c>
      <c r="E1701" t="n">
        <v>119960</v>
      </c>
      <c r="F1701" t="n">
        <v>532405</v>
      </c>
      <c r="G1701" t="inlineStr">
        <is>
          <t>Physician</t>
        </is>
      </c>
      <c r="H1701" t="inlineStr">
        <is>
          <t>other-medications</t>
        </is>
      </c>
      <c r="I1701" t="inlineStr">
        <is>
          <t xml:space="preserve">
   -Ativan 0.125 mg tid prn
   -Ammonium Lactate 12% Lotion Topical [**Hospital1 7**]
   -Ipratropium Bromide 0.5 mg Neb Inhalation Q6H PRN SOB/Wheezing.</t>
        </is>
      </c>
    </row>
    <row r="1702">
      <c r="A1702" t="inlineStr">
        <is>
          <t>532405-other-medications-0-2</t>
        </is>
      </c>
      <c r="B1702" t="inlineStr"/>
      <c r="C1702" t="inlineStr"/>
      <c r="D1702">
        <f>HYPERLINK("http://nlpdeep.cs.uic.edu:8080/proofing/t5/532405-other-medications-0-2.pdf","t5/532405-other-medications-0-2.pdf")</f>
        <v/>
      </c>
      <c r="E1702" t="n">
        <v>119960</v>
      </c>
      <c r="F1702" t="n">
        <v>532405</v>
      </c>
      <c r="G1702" t="inlineStr">
        <is>
          <t>Physician</t>
        </is>
      </c>
      <c r="H1702" t="inlineStr">
        <is>
          <t>other-medications</t>
        </is>
      </c>
      <c r="I1702" t="inlineStr">
        <is>
          <t xml:space="preserve">
   -Torsemide 40 mg PO BID (if weight &gt; 160lbs, increase to 80mg in the
   morning and 40mg at night; if weight &lt; 145lbs, decrease torsemide to
   40mg daily)
   -Spironolactone 25 mg Tablet PO DAILY
   -Metoprolol Tartrate 12.5 mg PO BID
   -Simvastatin 40 mg PO qpm
   -Ergocalciferol (Vitamin D2) 5,000 unit po weekly
   -Bisacodyl suppository 10 mg qd prn
   -Senna qd prn
   -Aspirin 81 mg po qd
   -Acetaminophen 325 mg 1-2 Tablets PO Q4H prn pain / fever.</t>
        </is>
      </c>
    </row>
    <row r="1703">
      <c r="A1703" t="inlineStr">
        <is>
          <t>532405-other-medications-0-2</t>
        </is>
      </c>
      <c r="B1703" t="inlineStr"/>
      <c r="C1703" t="inlineStr"/>
      <c r="D1703">
        <f>HYPERLINK("http://nlpdeep.cs.uic.edu:8080/proofing/gsii/532405-other-medications-0-2.pdf","gsii/532405-other-medications-0-2.pdf")</f>
        <v/>
      </c>
      <c r="E1703" t="n">
        <v>119960</v>
      </c>
      <c r="F1703" t="n">
        <v>532405</v>
      </c>
      <c r="G1703" t="inlineStr">
        <is>
          <t>Physician</t>
        </is>
      </c>
      <c r="H1703" t="inlineStr">
        <is>
          <t>other-medications</t>
        </is>
      </c>
      <c r="I1703" t="inlineStr">
        <is>
          <t xml:space="preserve">
   -Torsemide 40 mg PO BID (if weight &gt; 160lbs, increase to 80mg in the
   morning and 40mg at night; if weight &lt; 145lbs, decrease torsemide to
   40mg daily)
   -Spironolactone 25 mg Tablet PO DAILY
   -Metoprolol Tartrate 12.5 mg PO BID
   -Simvastatin 40 mg PO qpm
   -Ergocalciferol (Vitamin D2) 5,000 unit po weekly
   -Bisacodyl suppository 10 mg qd prn
   -Senna qd prn
   -Aspirin 81 mg po qd
   -Acetaminophen 325 mg 1-2 Tablets PO Q4H prn pain / fever.</t>
        </is>
      </c>
    </row>
    <row r="1704">
      <c r="A1704" t="inlineStr">
        <is>
          <t>532405-other-medications-0-3</t>
        </is>
      </c>
      <c r="B1704" t="inlineStr"/>
      <c r="C1704" t="inlineStr"/>
      <c r="D1704">
        <f>HYPERLINK("http://nlpdeep.cs.uic.edu:8080/proofing/t5/532405-other-medications-0-3.pdf","t5/532405-other-medications-0-3.pdf")</f>
        <v/>
      </c>
      <c r="E1704" t="n">
        <v>119960</v>
      </c>
      <c r="F1704" t="n">
        <v>532405</v>
      </c>
      <c r="G1704" t="inlineStr">
        <is>
          <t>Physician</t>
        </is>
      </c>
      <c r="H1704" t="inlineStr">
        <is>
          <t>other-medications</t>
        </is>
      </c>
      <c r="I1704" t="inlineStr">
        <is>
          <t>-Tums [**Hospital1 **]
   -Cadexomer iodine topical gel q3d topical
   -Dextromethorphan-Guaifenesin 30 mg q12hr p</t>
        </is>
      </c>
    </row>
    <row r="1705">
      <c r="A1705" t="inlineStr">
        <is>
          <t>532405-other-medications-0-3</t>
        </is>
      </c>
      <c r="B1705" t="inlineStr"/>
      <c r="C1705" t="inlineStr"/>
      <c r="D1705">
        <f>HYPERLINK("http://nlpdeep.cs.uic.edu:8080/proofing/gsii/532405-other-medications-0-3.pdf","gsii/532405-other-medications-0-3.pdf")</f>
        <v/>
      </c>
      <c r="E1705" t="n">
        <v>119960</v>
      </c>
      <c r="F1705" t="n">
        <v>532405</v>
      </c>
      <c r="G1705" t="inlineStr">
        <is>
          <t>Physician</t>
        </is>
      </c>
      <c r="H1705" t="inlineStr">
        <is>
          <t>other-medications</t>
        </is>
      </c>
      <c r="I1705" t="inlineStr">
        <is>
          <t>-Tums [**Hospital1 **]
   -Cadexomer iodine topical gel q3d topical
   -Dextromethorphan-Guaifenesin 30 mg q12hr p</t>
        </is>
      </c>
    </row>
    <row r="1706">
      <c r="A1706" t="inlineStr">
        <is>
          <t>532405-past-medical-history-0-0</t>
        </is>
      </c>
      <c r="B1706" t="inlineStr"/>
      <c r="C1706" t="inlineStr"/>
      <c r="D1706">
        <f>HYPERLINK("http://nlpdeep.cs.uic.edu:8080/proofing/t5/532405-past-medical-history-0-0.pdf","t5/532405-past-medical-history-0-0.pdf")</f>
        <v/>
      </c>
      <c r="E1706" t="n">
        <v>119960</v>
      </c>
      <c r="F1706" t="n">
        <v>532405</v>
      </c>
      <c r="G1706" t="inlineStr">
        <is>
          <t>Physician</t>
        </is>
      </c>
      <c r="H1706" t="inlineStr">
        <is>
          <t>past-medical-history</t>
        </is>
      </c>
      <c r="I1706" t="inlineStr">
        <is>
          <t>-CHF with preserved LVEF (65% 1/10), thought to have L HF leading to R
   HF without primary pulm HTN
   -Chronic Afib, not on warfarin given recent UGIB ([**2-8**])
   -Pulmonary artery HTN (30mmHg + RA [**11-6**])
   -Mild MR, mod TR, mild AI, mild AS (peak 25 mmHg [**11-6**])
   -Mild ascending aortic dilatation (3.7 cm)
   -Left ventricular hypertrophy
   -Prostate enlargement (followed by Dr.</t>
        </is>
      </c>
    </row>
    <row r="1707">
      <c r="A1707" t="inlineStr">
        <is>
          <t>532405-past-medical-history-0-0</t>
        </is>
      </c>
      <c r="B1707" t="inlineStr"/>
      <c r="C1707" t="inlineStr"/>
      <c r="D1707">
        <f>HYPERLINK("http://nlpdeep.cs.uic.edu:8080/proofing/gsii/532405-past-medical-history-0-0.pdf","gsii/532405-past-medical-history-0-0.pdf")</f>
        <v/>
      </c>
      <c r="E1707" t="n">
        <v>119960</v>
      </c>
      <c r="F1707" t="n">
        <v>532405</v>
      </c>
      <c r="G1707" t="inlineStr">
        <is>
          <t>Physician</t>
        </is>
      </c>
      <c r="H1707" t="inlineStr">
        <is>
          <t>past-medical-history</t>
        </is>
      </c>
      <c r="I1707" t="inlineStr">
        <is>
          <t>-CHF with preserved LVEF (65% 1/10), thought to have L HF leading to R
   HF without primary pulm HTN
   -Chronic Afib, not on warfarin given recent UGIB ([**2-8**])
   -Pulmonary artery HTN (30mmHg + RA [**11-6**])
   -Mild MR, mod TR, mild AI, mild AS (peak 25 mmHg [**11-6**])
   -Mild ascending aortic dilatation (3.7 cm)
   -Left ventricular hypertrophy
   -Prostate enlargement (followed by Dr.</t>
        </is>
      </c>
    </row>
    <row r="1708">
      <c r="A1708" t="inlineStr">
        <is>
          <t>532405-past-medical-history-0-1</t>
        </is>
      </c>
      <c r="B1708" t="inlineStr"/>
      <c r="C1708" t="inlineStr"/>
      <c r="D1708">
        <f>HYPERLINK("http://nlpdeep.cs.uic.edu:8080/proofing/t5/532405-past-medical-history-0-1.pdf","t5/532405-past-medical-history-0-1.pdf")</f>
        <v/>
      </c>
      <c r="E1708" t="n">
        <v>119960</v>
      </c>
      <c r="F1708" t="n">
        <v>532405</v>
      </c>
      <c r="G1708" t="inlineStr">
        <is>
          <t>Physician</t>
        </is>
      </c>
      <c r="H1708" t="inlineStr">
        <is>
          <t>past-medical-history</t>
        </is>
      </c>
      <c r="I1708" t="inlineStr">
        <is>
          <t>[**Last Name (STitle) **] [**Last Name (STitle) **])
   -Hypertension
   -Hypercholesterolemia
   -Severe essential tremor, since [**2076**] (WWII)
   -Venous stasis, followed by Dr.</t>
        </is>
      </c>
    </row>
    <row r="1709">
      <c r="A1709" t="inlineStr">
        <is>
          <t>532405-past-medical-history-0-1</t>
        </is>
      </c>
      <c r="B1709" t="inlineStr"/>
      <c r="C1709" t="inlineStr"/>
      <c r="D1709">
        <f>HYPERLINK("http://nlpdeep.cs.uic.edu:8080/proofing/gsii/532405-past-medical-history-0-1.pdf","gsii/532405-past-medical-history-0-1.pdf")</f>
        <v/>
      </c>
      <c r="E1709" t="n">
        <v>119960</v>
      </c>
      <c r="F1709" t="n">
        <v>532405</v>
      </c>
      <c r="G1709" t="inlineStr">
        <is>
          <t>Physician</t>
        </is>
      </c>
      <c r="H1709" t="inlineStr">
        <is>
          <t>past-medical-history</t>
        </is>
      </c>
      <c r="I1709" t="inlineStr">
        <is>
          <t>[**Last Name (STitle) **] [**Last Name (STitle) **])
   -Hypertension
   -Hypercholesterolemia
   -Severe essential tremor, since [**2076**] (WWII)
   -Venous stasis, followed by Dr.</t>
        </is>
      </c>
    </row>
    <row r="1710">
      <c r="A1710" t="inlineStr">
        <is>
          <t>532405-past-medical-history-0-2</t>
        </is>
      </c>
      <c r="B1710" t="inlineStr"/>
      <c r="C1710" t="inlineStr"/>
      <c r="D1710">
        <f>HYPERLINK("http://nlpdeep.cs.uic.edu:8080/proofing/t5/532405-past-medical-history-0-2.pdf","t5/532405-past-medical-history-0-2.pdf")</f>
        <v/>
      </c>
      <c r="E1710" t="n">
        <v>119960</v>
      </c>
      <c r="F1710" t="n">
        <v>532405</v>
      </c>
      <c r="G1710" t="inlineStr">
        <is>
          <t>Physician</t>
        </is>
      </c>
      <c r="H1710" t="inlineStr">
        <is>
          <t>past-medical-history</t>
        </is>
      </c>
      <c r="I1710" t="inlineStr">
        <is>
          <t>[**Last Name (STitle) 14061**]
   [**Name (STitle) 14062**] hernia repair
   -Anemia, multifactorial (chronic illness, CKD, recent GIB)
   -Hemorrhoid repair
   -History of MRSA cellulitis ([**2-7**])
   -Chronic Renal Failure [**1-31**] poor forward flow from CHF: Stage IV with
   eGFR of 24 ml/min (MDRD).</t>
        </is>
      </c>
    </row>
    <row r="1711">
      <c r="A1711" t="inlineStr">
        <is>
          <t>532405-past-medical-history-0-2</t>
        </is>
      </c>
      <c r="B1711" t="inlineStr"/>
      <c r="C1711" t="inlineStr"/>
      <c r="D1711">
        <f>HYPERLINK("http://nlpdeep.cs.uic.edu:8080/proofing/gsii/532405-past-medical-history-0-2.pdf","gsii/532405-past-medical-history-0-2.pdf")</f>
        <v/>
      </c>
      <c r="E1711" t="n">
        <v>119960</v>
      </c>
      <c r="F1711" t="n">
        <v>532405</v>
      </c>
      <c r="G1711" t="inlineStr">
        <is>
          <t>Physician</t>
        </is>
      </c>
      <c r="H1711" t="inlineStr">
        <is>
          <t>past-medical-history</t>
        </is>
      </c>
      <c r="I1711" t="inlineStr">
        <is>
          <t>[**Last Name (STitle) 14061**]
   [**Name (STitle) 14062**] hernia repair
   -Anemia, multifactorial (chronic illness, CKD, recent GIB)
   -Hemorrhoid repair
   -History of MRSA cellulitis ([**2-7**])
   -Chronic Renal Failure [**1-31**] poor forward flow from CHF: Stage IV with
   eGFR of 24 ml/min (MDRD).</t>
        </is>
      </c>
    </row>
    <row r="1712">
      <c r="A1712" t="inlineStr">
        <is>
          <t>532405-past-medical-history-0-3</t>
        </is>
      </c>
      <c r="B1712" t="inlineStr"/>
      <c r="C1712" t="inlineStr"/>
      <c r="D1712">
        <f>HYPERLINK("http://nlpdeep.cs.uic.edu:8080/proofing/t5/532405-past-medical-history-0-3.pdf","t5/532405-past-medical-history-0-3.pdf")</f>
        <v/>
      </c>
      <c r="E1712" t="n">
        <v>119960</v>
      </c>
      <c r="F1712" t="n">
        <v>532405</v>
      </c>
      <c r="G1712" t="inlineStr">
        <is>
          <t>Physician</t>
        </is>
      </c>
      <c r="H1712" t="inlineStr">
        <is>
          <t>past-medical-history</t>
        </is>
      </c>
      <c r="I1712" t="inlineStr">
        <is>
          <t>Near dialysis.</t>
        </is>
      </c>
    </row>
    <row r="1713">
      <c r="A1713" t="inlineStr">
        <is>
          <t>532405-past-medical-history-0-3</t>
        </is>
      </c>
      <c r="B1713" t="inlineStr"/>
      <c r="C1713" t="inlineStr"/>
      <c r="D1713">
        <f>HYPERLINK("http://nlpdeep.cs.uic.edu:8080/proofing/gsii/532405-past-medical-history-0-3.pdf","gsii/532405-past-medical-history-0-3.pdf")</f>
        <v/>
      </c>
      <c r="E1713" t="n">
        <v>119960</v>
      </c>
      <c r="F1713" t="n">
        <v>532405</v>
      </c>
      <c r="G1713" t="inlineStr">
        <is>
          <t>Physician</t>
        </is>
      </c>
      <c r="H1713" t="inlineStr">
        <is>
          <t>past-medical-history</t>
        </is>
      </c>
      <c r="I1713" t="inlineStr">
        <is>
          <t>Near dialysis.</t>
        </is>
      </c>
    </row>
    <row r="1714">
      <c r="A1714" t="inlineStr">
        <is>
          <t>532405-past-medical-history-0-4</t>
        </is>
      </c>
      <c r="B1714" t="inlineStr"/>
      <c r="C1714" t="inlineStr"/>
      <c r="D1714">
        <f>HYPERLINK("http://nlpdeep.cs.uic.edu:8080/proofing/t5/532405-past-medical-history-0-4.pdf","t5/532405-past-medical-history-0-4.pdf")</f>
        <v/>
      </c>
      <c r="E1714" t="n">
        <v>119960</v>
      </c>
      <c r="F1714" t="n">
        <v>532405</v>
      </c>
      <c r="G1714" t="inlineStr">
        <is>
          <t>Physician</t>
        </is>
      </c>
      <c r="H1714" t="inlineStr">
        <is>
          <t>past-medical-history</t>
        </is>
      </c>
      <c r="I1714" t="inlineStr">
        <is>
          <t xml:space="preserve">
   -Left foot abscess s/p I&amp;D
   -C.</t>
        </is>
      </c>
    </row>
    <row r="1715">
      <c r="A1715" t="inlineStr">
        <is>
          <t>532405-past-medical-history-0-4</t>
        </is>
      </c>
      <c r="B1715" t="inlineStr"/>
      <c r="C1715" t="inlineStr"/>
      <c r="D1715">
        <f>HYPERLINK("http://nlpdeep.cs.uic.edu:8080/proofing/gsii/532405-past-medical-history-0-4.pdf","gsii/532405-past-medical-history-0-4.pdf")</f>
        <v/>
      </c>
      <c r="E1715" t="n">
        <v>119960</v>
      </c>
      <c r="F1715" t="n">
        <v>532405</v>
      </c>
      <c r="G1715" t="inlineStr">
        <is>
          <t>Physician</t>
        </is>
      </c>
      <c r="H1715" t="inlineStr">
        <is>
          <t>past-medical-history</t>
        </is>
      </c>
      <c r="I1715" t="inlineStr">
        <is>
          <t xml:space="preserve">
   -Left foot abscess s/p I&amp;D
   -C.</t>
        </is>
      </c>
    </row>
    <row r="1716">
      <c r="A1716" t="inlineStr">
        <is>
          <t>532405-past-medical-history-0-5</t>
        </is>
      </c>
      <c r="B1716" t="inlineStr"/>
      <c r="C1716" t="inlineStr"/>
      <c r="D1716">
        <f>HYPERLINK("http://nlpdeep.cs.uic.edu:8080/proofing/t5/532405-past-medical-history-0-5.pdf","t5/532405-past-medical-history-0-5.pdf")</f>
        <v/>
      </c>
      <c r="E1716" t="n">
        <v>119960</v>
      </c>
      <c r="F1716" t="n">
        <v>532405</v>
      </c>
      <c r="G1716" t="inlineStr">
        <is>
          <t>Physician</t>
        </is>
      </c>
      <c r="H1716" t="inlineStr">
        <is>
          <t>past-medical-history</t>
        </is>
      </c>
      <c r="I1716" t="inlineStr"/>
    </row>
    <row r="1717">
      <c r="A1717" t="inlineStr">
        <is>
          <t>532405-past-medical-history-0-5</t>
        </is>
      </c>
      <c r="B1717" t="inlineStr"/>
      <c r="C1717" t="inlineStr"/>
      <c r="D1717">
        <f>HYPERLINK("http://nlpdeep.cs.uic.edu:8080/proofing/gsii/532405-past-medical-history-0-5.pdf","gsii/532405-past-medical-history-0-5.pdf")</f>
        <v/>
      </c>
      <c r="E1717" t="n">
        <v>119960</v>
      </c>
      <c r="F1717" t="n">
        <v>532405</v>
      </c>
      <c r="G1717" t="inlineStr">
        <is>
          <t>Physician</t>
        </is>
      </c>
      <c r="H1717" t="inlineStr">
        <is>
          <t>past-medical-history</t>
        </is>
      </c>
      <c r="I1717" t="inlineStr"/>
    </row>
    <row r="1718">
      <c r="A1718" t="inlineStr">
        <is>
          <t>532405-past-medical-history-1-0</t>
        </is>
      </c>
      <c r="B1718" t="inlineStr"/>
      <c r="C1718" t="inlineStr"/>
      <c r="D1718">
        <f>HYPERLINK("http://nlpdeep.cs.uic.edu:8080/proofing/t5/532405-past-medical-history-1-0.pdf","t5/532405-past-medical-history-1-0.pdf")</f>
        <v/>
      </c>
      <c r="E1718" t="n">
        <v>119960</v>
      </c>
      <c r="F1718" t="n">
        <v>532405</v>
      </c>
      <c r="G1718" t="inlineStr">
        <is>
          <t>Physician</t>
        </is>
      </c>
      <c r="H1718" t="inlineStr">
        <is>
          <t>past-medical-history</t>
        </is>
      </c>
      <c r="I1718" t="inlineStr"/>
    </row>
    <row r="1719">
      <c r="A1719" t="inlineStr">
        <is>
          <t>532405-past-medical-history-1-0</t>
        </is>
      </c>
      <c r="B1719" t="inlineStr"/>
      <c r="C1719" t="inlineStr"/>
      <c r="D1719">
        <f>HYPERLINK("http://nlpdeep.cs.uic.edu:8080/proofing/gsii/532405-past-medical-history-1-0.pdf","gsii/532405-past-medical-history-1-0.pdf")</f>
        <v/>
      </c>
      <c r="E1719" t="n">
        <v>119960</v>
      </c>
      <c r="F1719" t="n">
        <v>532405</v>
      </c>
      <c r="G1719" t="inlineStr">
        <is>
          <t>Physician</t>
        </is>
      </c>
      <c r="H1719" t="inlineStr">
        <is>
          <t>past-medical-history</t>
        </is>
      </c>
      <c r="I1719" t="inlineStr"/>
    </row>
    <row r="1720">
      <c r="A1720" t="inlineStr">
        <is>
          <t>532405-past-medical-history-2-0</t>
        </is>
      </c>
      <c r="B1720" t="inlineStr"/>
      <c r="C1720" t="inlineStr"/>
      <c r="D1720">
        <f>HYPERLINK("http://nlpdeep.cs.uic.edu:8080/proofing/t5/532405-past-medical-history-2-0.pdf","t5/532405-past-medical-history-2-0.pdf")</f>
        <v/>
      </c>
      <c r="E1720" t="n">
        <v>119960</v>
      </c>
      <c r="F1720" t="n">
        <v>532405</v>
      </c>
      <c r="G1720" t="inlineStr">
        <is>
          <t>Physician</t>
        </is>
      </c>
      <c r="H1720" t="inlineStr">
        <is>
          <t>past-medical-history</t>
        </is>
      </c>
      <c r="I1720" t="inlineStr">
        <is>
          <t xml:space="preserve">
   [**2141-1-31**] to [**2141-2-15**]
   -- also for CHF exacerbation, given lasix ggt and metolazone
   -- supratherapeutic INR on admission, complicated by epistaxis and
   melena (GI followed but endoscopy was deferred)
   -- C diff colitis treated with ?</t>
        </is>
      </c>
    </row>
    <row r="1721">
      <c r="A1721" t="inlineStr">
        <is>
          <t>532405-past-medical-history-2-0</t>
        </is>
      </c>
      <c r="B1721" t="inlineStr"/>
      <c r="C1721" t="inlineStr"/>
      <c r="D1721">
        <f>HYPERLINK("http://nlpdeep.cs.uic.edu:8080/proofing/gsii/532405-past-medical-history-2-0.pdf","gsii/532405-past-medical-history-2-0.pdf")</f>
        <v/>
      </c>
      <c r="E1721" t="n">
        <v>119960</v>
      </c>
      <c r="F1721" t="n">
        <v>532405</v>
      </c>
      <c r="G1721" t="inlineStr">
        <is>
          <t>Physician</t>
        </is>
      </c>
      <c r="H1721" t="inlineStr">
        <is>
          <t>past-medical-history</t>
        </is>
      </c>
      <c r="I1721" t="inlineStr">
        <is>
          <t xml:space="preserve">
   [**2141-1-31**] to [**2141-2-15**]
   -- also for CHF exacerbation, given lasix ggt and metolazone
   -- supratherapeutic INR on admission, complicated by epistaxis and
   melena (GI followed but endoscopy was deferred)
   -- C diff colitis treated with ?</t>
        </is>
      </c>
    </row>
    <row r="1722">
      <c r="A1722" t="inlineStr">
        <is>
          <t>532405-past-medical-history-2-1</t>
        </is>
      </c>
      <c r="B1722" t="inlineStr"/>
      <c r="C1722" t="inlineStr"/>
      <c r="D1722">
        <f>HYPERLINK("http://nlpdeep.cs.uic.edu:8080/proofing/t5/532405-past-medical-history-2-1.pdf","t5/532405-past-medical-history-2-1.pdf")</f>
        <v/>
      </c>
      <c r="E1722" t="n">
        <v>119960</v>
      </c>
      <c r="F1722" t="n">
        <v>532405</v>
      </c>
      <c r="G1722" t="inlineStr">
        <is>
          <t>Physician</t>
        </is>
      </c>
      <c r="H1722" t="inlineStr">
        <is>
          <t>past-medical-history</t>
        </is>
      </c>
      <c r="I1722" t="inlineStr"/>
    </row>
    <row r="1723">
      <c r="A1723" t="inlineStr">
        <is>
          <t>532405-past-medical-history-2-1</t>
        </is>
      </c>
      <c r="B1723" t="inlineStr"/>
      <c r="C1723" t="inlineStr"/>
      <c r="D1723">
        <f>HYPERLINK("http://nlpdeep.cs.uic.edu:8080/proofing/gsii/532405-past-medical-history-2-1.pdf","gsii/532405-past-medical-history-2-1.pdf")</f>
        <v/>
      </c>
      <c r="E1723" t="n">
        <v>119960</v>
      </c>
      <c r="F1723" t="n">
        <v>532405</v>
      </c>
      <c r="G1723" t="inlineStr">
        <is>
          <t>Physician</t>
        </is>
      </c>
      <c r="H1723" t="inlineStr">
        <is>
          <t>past-medical-history</t>
        </is>
      </c>
      <c r="I1723" t="inlineStr"/>
    </row>
    <row r="1724">
      <c r="A1724" t="inlineStr">
        <is>
          <t>532405-past-medical-history-3-0</t>
        </is>
      </c>
      <c r="B1724" t="inlineStr"/>
      <c r="C1724" t="inlineStr"/>
      <c r="D1724">
        <f>HYPERLINK("http://nlpdeep.cs.uic.edu:8080/proofing/t5/532405-past-medical-history-3-0.pdf","t5/532405-past-medical-history-3-0.pdf")</f>
        <v/>
      </c>
      <c r="E1724" t="n">
        <v>119960</v>
      </c>
      <c r="F1724" t="n">
        <v>532405</v>
      </c>
      <c r="G1724" t="inlineStr">
        <is>
          <t>Physician</t>
        </is>
      </c>
      <c r="H1724" t="inlineStr">
        <is>
          <t>past-medical-history</t>
        </is>
      </c>
      <c r="I1724" t="inlineStr"/>
    </row>
    <row r="1725">
      <c r="A1725" t="inlineStr">
        <is>
          <t>532405-past-medical-history-3-0</t>
        </is>
      </c>
      <c r="B1725" t="inlineStr"/>
      <c r="C1725" t="inlineStr"/>
      <c r="D1725">
        <f>HYPERLINK("http://nlpdeep.cs.uic.edu:8080/proofing/gsii/532405-past-medical-history-3-0.pdf","gsii/532405-past-medical-history-3-0.pdf")</f>
        <v/>
      </c>
      <c r="E1725" t="n">
        <v>119960</v>
      </c>
      <c r="F1725" t="n">
        <v>532405</v>
      </c>
      <c r="G1725" t="inlineStr">
        <is>
          <t>Physician</t>
        </is>
      </c>
      <c r="H1725" t="inlineStr">
        <is>
          <t>past-medical-history</t>
        </is>
      </c>
      <c r="I1725" t="inlineStr"/>
    </row>
    <row r="1726">
      <c r="A1726" t="inlineStr">
        <is>
          <t>532405-past-medical-history-4-0</t>
        </is>
      </c>
      <c r="B1726" t="inlineStr"/>
      <c r="C1726" t="inlineStr"/>
      <c r="D1726">
        <f>HYPERLINK("http://nlpdeep.cs.uic.edu:8080/proofing/t5/532405-past-medical-history-4-0.pdf","t5/532405-past-medical-history-4-0.pdf")</f>
        <v/>
      </c>
      <c r="E1726" t="n">
        <v>119960</v>
      </c>
      <c r="F1726" t="n">
        <v>532405</v>
      </c>
      <c r="G1726" t="inlineStr">
        <is>
          <t>Physician</t>
        </is>
      </c>
      <c r="H1726" t="inlineStr">
        <is>
          <t>past-medical-history</t>
        </is>
      </c>
      <c r="I1726" t="inlineStr">
        <is>
          <t xml:space="preserve">
   [**2141-3-17**] to [**2141-3-31**]
   -- Sent in by rehab for sleepiness, low Hct, weight gain, cough.</t>
        </is>
      </c>
    </row>
    <row r="1727">
      <c r="A1727" t="inlineStr">
        <is>
          <t>532405-past-medical-history-4-0</t>
        </is>
      </c>
      <c r="B1727" t="inlineStr"/>
      <c r="C1727" t="inlineStr"/>
      <c r="D1727">
        <f>HYPERLINK("http://nlpdeep.cs.uic.edu:8080/proofing/gsii/532405-past-medical-history-4-0.pdf","gsii/532405-past-medical-history-4-0.pdf")</f>
        <v/>
      </c>
      <c r="E1727" t="n">
        <v>119960</v>
      </c>
      <c r="F1727" t="n">
        <v>532405</v>
      </c>
      <c r="G1727" t="inlineStr">
        <is>
          <t>Physician</t>
        </is>
      </c>
      <c r="H1727" t="inlineStr">
        <is>
          <t>past-medical-history</t>
        </is>
      </c>
      <c r="I1727" t="inlineStr">
        <is>
          <t xml:space="preserve">
   [**2141-3-17**] to [**2141-3-31**]
   -- Sent in by rehab for sleepiness, low Hct, weight gain, cough.</t>
        </is>
      </c>
    </row>
    <row r="1728">
      <c r="A1728" t="inlineStr">
        <is>
          <t>532405-past-medical-history-4-1</t>
        </is>
      </c>
      <c r="B1728" t="inlineStr"/>
      <c r="C1728" t="inlineStr"/>
      <c r="D1728">
        <f>HYPERLINK("http://nlpdeep.cs.uic.edu:8080/proofing/t5/532405-past-medical-history-4-1.pdf","t5/532405-past-medical-history-4-1.pdf")</f>
        <v/>
      </c>
      <c r="E1728" t="n">
        <v>119960</v>
      </c>
      <c r="F1728" t="n">
        <v>532405</v>
      </c>
      <c r="G1728" t="inlineStr">
        <is>
          <t>Physician</t>
        </is>
      </c>
      <c r="H1728" t="inlineStr">
        <is>
          <t>past-medical-history</t>
        </is>
      </c>
      <c r="I1728" t="inlineStr">
        <is>
          <t xml:space="preserve">
   -- C.</t>
        </is>
      </c>
    </row>
    <row r="1729">
      <c r="A1729" t="inlineStr">
        <is>
          <t>532405-past-medical-history-4-1</t>
        </is>
      </c>
      <c r="B1729" t="inlineStr"/>
      <c r="C1729" t="inlineStr"/>
      <c r="D1729">
        <f>HYPERLINK("http://nlpdeep.cs.uic.edu:8080/proofing/gsii/532405-past-medical-history-4-1.pdf","gsii/532405-past-medical-history-4-1.pdf")</f>
        <v/>
      </c>
      <c r="E1729" t="n">
        <v>119960</v>
      </c>
      <c r="F1729" t="n">
        <v>532405</v>
      </c>
      <c r="G1729" t="inlineStr">
        <is>
          <t>Physician</t>
        </is>
      </c>
      <c r="H1729" t="inlineStr">
        <is>
          <t>past-medical-history</t>
        </is>
      </c>
      <c r="I1729" t="inlineStr">
        <is>
          <t xml:space="preserve">
   -- C.</t>
        </is>
      </c>
    </row>
    <row r="1730">
      <c r="A1730" t="inlineStr">
        <is>
          <t>532405-past-medical-history-4-2</t>
        </is>
      </c>
      <c r="B1730" t="inlineStr"/>
      <c r="C1730" t="inlineStr"/>
      <c r="D1730">
        <f>HYPERLINK("http://nlpdeep.cs.uic.edu:8080/proofing/t5/532405-past-medical-history-4-2.pdf","t5/532405-past-medical-history-4-2.pdf")</f>
        <v/>
      </c>
      <c r="E1730" t="n">
        <v>119960</v>
      </c>
      <c r="F1730" t="n">
        <v>532405</v>
      </c>
      <c r="G1730" t="inlineStr">
        <is>
          <t>Physician</t>
        </is>
      </c>
      <c r="H1730" t="inlineStr">
        <is>
          <t>past-medical-history</t>
        </is>
      </c>
      <c r="I1730" t="inlineStr">
        <is>
          <t>Diff colitis
   -- GIB (Guaiac positive,</t>
        </is>
      </c>
    </row>
    <row r="1731">
      <c r="A1731" t="inlineStr">
        <is>
          <t>532405-past-medical-history-4-2</t>
        </is>
      </c>
      <c r="B1731" t="inlineStr"/>
      <c r="C1731" t="inlineStr"/>
      <c r="D1731">
        <f>HYPERLINK("http://nlpdeep.cs.uic.edu:8080/proofing/gsii/532405-past-medical-history-4-2.pdf","gsii/532405-past-medical-history-4-2.pdf")</f>
        <v/>
      </c>
      <c r="E1731" t="n">
        <v>119960</v>
      </c>
      <c r="F1731" t="n">
        <v>532405</v>
      </c>
      <c r="G1731" t="inlineStr">
        <is>
          <t>Physician</t>
        </is>
      </c>
      <c r="H1731" t="inlineStr">
        <is>
          <t>past-medical-history</t>
        </is>
      </c>
      <c r="I1731" t="inlineStr">
        <is>
          <t>Diff colitis
   -- GIB (Guaiac positive,</t>
        </is>
      </c>
    </row>
    <row r="1732">
      <c r="A1732" t="inlineStr">
        <is>
          <t>532405-past-medical-history-4-3</t>
        </is>
      </c>
      <c r="B1732" t="inlineStr"/>
      <c r="C1732" t="inlineStr"/>
      <c r="D1732">
        <f>HYPERLINK("http://nlpdeep.cs.uic.edu:8080/proofing/t5/532405-past-medical-history-4-3.pdf","t5/532405-past-medical-history-4-3.pdf")</f>
        <v/>
      </c>
      <c r="E1732" t="n">
        <v>119960</v>
      </c>
      <c r="F1732" t="n">
        <v>532405</v>
      </c>
      <c r="G1732" t="inlineStr">
        <is>
          <t>Physician</t>
        </is>
      </c>
      <c r="H1732" t="inlineStr">
        <is>
          <t>past-medical-history</t>
        </is>
      </c>
      <c r="I1732" t="inlineStr">
        <is>
          <t>had been on coumadin until [**Month (only) 2299**] when had
   presumed UGIB requiring 1U pRBC); transfused for Hct 23.5 (but near
   baseline of 24)
   -- Hypotension to the 70s systolic (baseline 90-100s)
   -- CHF
   -- UTI
   -- Acute on chronic kidney disease
   -- Pancytopenia: found to be HIT antibody positive but serotonin assay
   negative so not likely HIT; nonetheless heparin products were avoided.</t>
        </is>
      </c>
    </row>
    <row r="1733">
      <c r="A1733" t="inlineStr">
        <is>
          <t>532405-past-medical-history-4-3</t>
        </is>
      </c>
      <c r="B1733" t="inlineStr"/>
      <c r="C1733" t="inlineStr"/>
      <c r="D1733">
        <f>HYPERLINK("http://nlpdeep.cs.uic.edu:8080/proofing/gsii/532405-past-medical-history-4-3.pdf","gsii/532405-past-medical-history-4-3.pdf")</f>
        <v/>
      </c>
      <c r="E1733" t="n">
        <v>119960</v>
      </c>
      <c r="F1733" t="n">
        <v>532405</v>
      </c>
      <c r="G1733" t="inlineStr">
        <is>
          <t>Physician</t>
        </is>
      </c>
      <c r="H1733" t="inlineStr">
        <is>
          <t>past-medical-history</t>
        </is>
      </c>
      <c r="I1733" t="inlineStr">
        <is>
          <t>had been on coumadin until [**Month (only) 2299**] when had
   presumed UGIB requiring 1U pRBC); transfused for Hct 23.5 (but near
   baseline of 24)
   -- Hypotension to the 70s systolic (baseline 90-100s)
   -- CHF
   -- UTI
   -- Acute on chronic kidney disease
   -- Pancytopenia: found to be HIT antibody positive but serotonin assay
   negative so not likely HIT; nonetheless heparin products were avoided.</t>
        </is>
      </c>
    </row>
    <row r="1734">
      <c r="A1734" t="inlineStr">
        <is>
          <t>532405-past-medical-history-4-4</t>
        </is>
      </c>
      <c r="B1734" t="inlineStr"/>
      <c r="C1734" t="inlineStr"/>
      <c r="D1734">
        <f>HYPERLINK("http://nlpdeep.cs.uic.edu:8080/proofing/t5/532405-past-medical-history-4-4.pdf","t5/532405-past-medical-history-4-4.pdf")</f>
        <v/>
      </c>
      <c r="E1734" t="n">
        <v>119960</v>
      </c>
      <c r="F1734" t="n">
        <v>532405</v>
      </c>
      <c r="G1734" t="inlineStr">
        <is>
          <t>Physician</t>
        </is>
      </c>
      <c r="H1734" t="inlineStr">
        <is>
          <t>past-medical-history</t>
        </is>
      </c>
      <c r="I1734" t="inlineStr">
        <is>
          <t xml:space="preserve">
   Pancytopenia improved over hospital course; thought to be infection
   related.</t>
        </is>
      </c>
    </row>
    <row r="1735">
      <c r="A1735" t="inlineStr">
        <is>
          <t>532405-past-medical-history-4-4</t>
        </is>
      </c>
      <c r="B1735" t="inlineStr"/>
      <c r="C1735" t="inlineStr"/>
      <c r="D1735">
        <f>HYPERLINK("http://nlpdeep.cs.uic.edu:8080/proofing/gsii/532405-past-medical-history-4-4.pdf","gsii/532405-past-medical-history-4-4.pdf")</f>
        <v/>
      </c>
      <c r="E1735" t="n">
        <v>119960</v>
      </c>
      <c r="F1735" t="n">
        <v>532405</v>
      </c>
      <c r="G1735" t="inlineStr">
        <is>
          <t>Physician</t>
        </is>
      </c>
      <c r="H1735" t="inlineStr">
        <is>
          <t>past-medical-history</t>
        </is>
      </c>
      <c r="I1735" t="inlineStr">
        <is>
          <t xml:space="preserve">
   Pancytopenia improved over hospital course; thought to be infection
   related.</t>
        </is>
      </c>
    </row>
    <row r="1736">
      <c r="A1736" t="inlineStr">
        <is>
          <t>532405-past-medical-history-4-5</t>
        </is>
      </c>
      <c r="B1736" t="inlineStr"/>
      <c r="C1736" t="inlineStr"/>
      <c r="D1736">
        <f>HYPERLINK("http://nlpdeep.cs.uic.edu:8080/proofing/t5/532405-past-medical-history-4-5.pdf","t5/532405-past-medical-history-4-5.pdf")</f>
        <v/>
      </c>
      <c r="E1736" t="n">
        <v>119960</v>
      </c>
      <c r="F1736" t="n">
        <v>532405</v>
      </c>
      <c r="G1736" t="inlineStr">
        <is>
          <t>Physician</t>
        </is>
      </c>
      <c r="H1736" t="inlineStr">
        <is>
          <t>past-medical-history</t>
        </is>
      </c>
      <c r="I1736" t="inlineStr">
        <is>
          <t xml:space="preserve">
   -- Increased AP and GGT with elevated lipase and an abnormality on
   ultrasound suggestive of a pancreatic mass.</t>
        </is>
      </c>
    </row>
    <row r="1737">
      <c r="A1737" t="inlineStr">
        <is>
          <t>532405-past-medical-history-4-5</t>
        </is>
      </c>
      <c r="B1737" t="inlineStr"/>
      <c r="C1737" t="inlineStr"/>
      <c r="D1737">
        <f>HYPERLINK("http://nlpdeep.cs.uic.edu:8080/proofing/gsii/532405-past-medical-history-4-5.pdf","gsii/532405-past-medical-history-4-5.pdf")</f>
        <v/>
      </c>
      <c r="E1737" t="n">
        <v>119960</v>
      </c>
      <c r="F1737" t="n">
        <v>532405</v>
      </c>
      <c r="G1737" t="inlineStr">
        <is>
          <t>Physician</t>
        </is>
      </c>
      <c r="H1737" t="inlineStr">
        <is>
          <t>past-medical-history</t>
        </is>
      </c>
      <c r="I1737" t="inlineStr">
        <is>
          <t xml:space="preserve">
   -- Increased AP and GGT with elevated lipase and an abnormality on
   ultrasound suggestive of a pancreatic mass.</t>
        </is>
      </c>
    </row>
    <row r="1738">
      <c r="A1738" t="inlineStr">
        <is>
          <t>532405-past-medical-history-4-6</t>
        </is>
      </c>
      <c r="B1738" t="inlineStr"/>
      <c r="C1738" t="inlineStr"/>
      <c r="D1738">
        <f>HYPERLINK("http://nlpdeep.cs.uic.edu:8080/proofing/t5/532405-past-medical-history-4-6.pdf","t5/532405-past-medical-history-4-6.pdf")</f>
        <v/>
      </c>
      <c r="E1738" t="n">
        <v>119960</v>
      </c>
      <c r="F1738" t="n">
        <v>532405</v>
      </c>
      <c r="G1738" t="inlineStr">
        <is>
          <t>Physician</t>
        </is>
      </c>
      <c r="H1738" t="inlineStr">
        <is>
          <t>past-medical-history</t>
        </is>
      </c>
      <c r="I1738" t="inlineStr">
        <is>
          <t>GI was consulted and
   recommended an outpatient MRCP.</t>
        </is>
      </c>
    </row>
    <row r="1739">
      <c r="A1739" t="inlineStr">
        <is>
          <t>532405-past-medical-history-4-6</t>
        </is>
      </c>
      <c r="B1739" t="inlineStr"/>
      <c r="C1739" t="inlineStr"/>
      <c r="D1739">
        <f>HYPERLINK("http://nlpdeep.cs.uic.edu:8080/proofing/gsii/532405-past-medical-history-4-6.pdf","gsii/532405-past-medical-history-4-6.pdf")</f>
        <v/>
      </c>
      <c r="E1739" t="n">
        <v>119960</v>
      </c>
      <c r="F1739" t="n">
        <v>532405</v>
      </c>
      <c r="G1739" t="inlineStr">
        <is>
          <t>Physician</t>
        </is>
      </c>
      <c r="H1739" t="inlineStr">
        <is>
          <t>past-medical-history</t>
        </is>
      </c>
      <c r="I1739" t="inlineStr">
        <is>
          <t>GI was consulted and
   recommended an outpatient MRCP.</t>
        </is>
      </c>
    </row>
    <row r="1740">
      <c r="A1740" t="inlineStr">
        <is>
          <t>532405-family-history-0-0</t>
        </is>
      </c>
      <c r="B1740" t="inlineStr"/>
      <c r="C1740" t="inlineStr"/>
      <c r="D1740">
        <f>HYPERLINK("http://nlpdeep.cs.uic.edu:8080/proofing/t5/532405-family-history-0-0.pdf","t5/532405-family-history-0-0.pdf")</f>
        <v/>
      </c>
      <c r="E1740" t="n">
        <v>119960</v>
      </c>
      <c r="F1740" t="n">
        <v>532405</v>
      </c>
      <c r="G1740" t="inlineStr">
        <is>
          <t>Physician</t>
        </is>
      </c>
      <c r="H1740" t="inlineStr">
        <is>
          <t>family-history</t>
        </is>
      </c>
      <c r="I1740" t="inlineStr">
        <is>
          <t xml:space="preserve">
   Parents are both deceased.</t>
        </is>
      </c>
    </row>
    <row r="1741">
      <c r="A1741" t="inlineStr">
        <is>
          <t>532405-family-history-0-0</t>
        </is>
      </c>
      <c r="B1741" t="inlineStr"/>
      <c r="C1741" t="inlineStr"/>
      <c r="D1741">
        <f>HYPERLINK("http://nlpdeep.cs.uic.edu:8080/proofing/gsii/532405-family-history-0-0.pdf","gsii/532405-family-history-0-0.pdf")</f>
        <v/>
      </c>
      <c r="E1741" t="n">
        <v>119960</v>
      </c>
      <c r="F1741" t="n">
        <v>532405</v>
      </c>
      <c r="G1741" t="inlineStr">
        <is>
          <t>Physician</t>
        </is>
      </c>
      <c r="H1741" t="inlineStr">
        <is>
          <t>family-history</t>
        </is>
      </c>
      <c r="I1741" t="inlineStr">
        <is>
          <t xml:space="preserve">
   Parents are both deceased.</t>
        </is>
      </c>
    </row>
    <row r="1742">
      <c r="A1742" t="inlineStr">
        <is>
          <t>532405-family-history-0-1</t>
        </is>
      </c>
      <c r="B1742" t="inlineStr"/>
      <c r="C1742" t="inlineStr"/>
      <c r="D1742">
        <f>HYPERLINK("http://nlpdeep.cs.uic.edu:8080/proofing/t5/532405-family-history-0-1.pdf","t5/532405-family-history-0-1.pdf")</f>
        <v/>
      </c>
      <c r="E1742" t="n">
        <v>119960</v>
      </c>
      <c r="F1742" t="n">
        <v>532405</v>
      </c>
      <c r="G1742" t="inlineStr">
        <is>
          <t>Physician</t>
        </is>
      </c>
      <c r="H1742" t="inlineStr">
        <is>
          <t>family-history</t>
        </is>
      </c>
      <c r="I1742" t="inlineStr">
        <is>
          <t>Father (73 years; "heart" disease); Mother
   (48 years; stomach cancer).</t>
        </is>
      </c>
    </row>
    <row r="1743">
      <c r="A1743" t="inlineStr">
        <is>
          <t>532405-family-history-0-1</t>
        </is>
      </c>
      <c r="B1743" t="inlineStr"/>
      <c r="C1743" t="inlineStr"/>
      <c r="D1743">
        <f>HYPERLINK("http://nlpdeep.cs.uic.edu:8080/proofing/gsii/532405-family-history-0-1.pdf","gsii/532405-family-history-0-1.pdf")</f>
        <v/>
      </c>
      <c r="E1743" t="n">
        <v>119960</v>
      </c>
      <c r="F1743" t="n">
        <v>532405</v>
      </c>
      <c r="G1743" t="inlineStr">
        <is>
          <t>Physician</t>
        </is>
      </c>
      <c r="H1743" t="inlineStr">
        <is>
          <t>family-history</t>
        </is>
      </c>
      <c r="I1743" t="inlineStr">
        <is>
          <t>Father (73 years; "heart" disease); Mother
   (48 years; stomach cancer).</t>
        </is>
      </c>
    </row>
    <row r="1744">
      <c r="A1744" t="inlineStr">
        <is>
          <t>532405-family-history-0-2</t>
        </is>
      </c>
      <c r="B1744" t="inlineStr"/>
      <c r="C1744" t="inlineStr"/>
      <c r="D1744">
        <f>HYPERLINK("http://nlpdeep.cs.uic.edu:8080/proofing/t5/532405-family-history-0-2.pdf","t5/532405-family-history-0-2.pdf")</f>
        <v/>
      </c>
      <c r="E1744" t="n">
        <v>119960</v>
      </c>
      <c r="F1744" t="n">
        <v>532405</v>
      </c>
      <c r="G1744" t="inlineStr">
        <is>
          <t>Physician</t>
        </is>
      </c>
      <c r="H1744" t="inlineStr">
        <is>
          <t>family-history</t>
        </is>
      </c>
      <c r="I1744" t="inlineStr">
        <is>
          <t>He has 2 siblings (80- breast cancer,
   brother with ? abdominal cancer).</t>
        </is>
      </c>
    </row>
    <row r="1745">
      <c r="A1745" t="inlineStr">
        <is>
          <t>532405-family-history-0-2</t>
        </is>
      </c>
      <c r="B1745" t="inlineStr"/>
      <c r="C1745" t="inlineStr"/>
      <c r="D1745">
        <f>HYPERLINK("http://nlpdeep.cs.uic.edu:8080/proofing/gsii/532405-family-history-0-2.pdf","gsii/532405-family-history-0-2.pdf")</f>
        <v/>
      </c>
      <c r="E1745" t="n">
        <v>119960</v>
      </c>
      <c r="F1745" t="n">
        <v>532405</v>
      </c>
      <c r="G1745" t="inlineStr">
        <is>
          <t>Physician</t>
        </is>
      </c>
      <c r="H1745" t="inlineStr">
        <is>
          <t>family-history</t>
        </is>
      </c>
      <c r="I1745" t="inlineStr">
        <is>
          <t>He has 2 siblings (80- breast cancer,
   brother with ? abdominal cancer).</t>
        </is>
      </c>
    </row>
    <row r="1746">
      <c r="A1746" t="inlineStr">
        <is>
          <t>532405-family-history-0-3</t>
        </is>
      </c>
      <c r="B1746" t="inlineStr"/>
      <c r="C1746" t="inlineStr"/>
      <c r="D1746">
        <f>HYPERLINK("http://nlpdeep.cs.uic.edu:8080/proofing/t5/532405-family-history-0-3.pdf","t5/532405-family-history-0-3.pdf")</f>
        <v/>
      </c>
      <c r="E1746" t="n">
        <v>119960</v>
      </c>
      <c r="F1746" t="n">
        <v>532405</v>
      </c>
      <c r="G1746" t="inlineStr">
        <is>
          <t>Physician</t>
        </is>
      </c>
      <c r="H1746" t="inlineStr">
        <is>
          <t>family-history</t>
        </is>
      </c>
      <c r="I1746" t="inlineStr">
        <is>
          <t>He has 3 children (55, 53, 49 years;
   all well).</t>
        </is>
      </c>
    </row>
    <row r="1747">
      <c r="A1747" t="inlineStr">
        <is>
          <t>532405-family-history-0-3</t>
        </is>
      </c>
      <c r="B1747" t="inlineStr"/>
      <c r="C1747" t="inlineStr"/>
      <c r="D1747">
        <f>HYPERLINK("http://nlpdeep.cs.uic.edu:8080/proofing/gsii/532405-family-history-0-3.pdf","gsii/532405-family-history-0-3.pdf")</f>
        <v/>
      </c>
      <c r="E1747" t="n">
        <v>119960</v>
      </c>
      <c r="F1747" t="n">
        <v>532405</v>
      </c>
      <c r="G1747" t="inlineStr">
        <is>
          <t>Physician</t>
        </is>
      </c>
      <c r="H1747" t="inlineStr">
        <is>
          <t>family-history</t>
        </is>
      </c>
      <c r="I1747" t="inlineStr">
        <is>
          <t>He has 3 children (55, 53, 49 years;
   all well).</t>
        </is>
      </c>
    </row>
    <row r="1748">
      <c r="A1748" t="inlineStr">
        <is>
          <t>532405-family-history-0-4</t>
        </is>
      </c>
      <c r="B1748" t="inlineStr"/>
      <c r="C1748" t="inlineStr"/>
      <c r="D1748">
        <f>HYPERLINK("http://nlpdeep.cs.uic.edu:8080/proofing/t5/532405-family-history-0-4.pdf","t5/532405-family-history-0-4.pdf")</f>
        <v/>
      </c>
      <c r="E1748" t="n">
        <v>119960</v>
      </c>
      <c r="F1748" t="n">
        <v>532405</v>
      </c>
      <c r="G1748" t="inlineStr">
        <is>
          <t>Physician</t>
        </is>
      </c>
      <c r="H1748" t="inlineStr">
        <is>
          <t>family-history</t>
        </is>
      </c>
      <c r="I1748" t="inlineStr">
        <is>
          <t>A son [**Doctor Last Name 20**] has atrial fibrillation.</t>
        </is>
      </c>
    </row>
    <row r="1749">
      <c r="A1749" t="inlineStr">
        <is>
          <t>532405-family-history-0-4</t>
        </is>
      </c>
      <c r="B1749" t="inlineStr"/>
      <c r="C1749" t="inlineStr"/>
      <c r="D1749">
        <f>HYPERLINK("http://nlpdeep.cs.uic.edu:8080/proofing/gsii/532405-family-history-0-4.pdf","gsii/532405-family-history-0-4.pdf")</f>
        <v/>
      </c>
      <c r="E1749" t="n">
        <v>119960</v>
      </c>
      <c r="F1749" t="n">
        <v>532405</v>
      </c>
      <c r="G1749" t="inlineStr">
        <is>
          <t>Physician</t>
        </is>
      </c>
      <c r="H1749" t="inlineStr">
        <is>
          <t>family-history</t>
        </is>
      </c>
      <c r="I1749" t="inlineStr">
        <is>
          <t>A son [**Doctor Last Name 20**] has atrial fibrillation.</t>
        </is>
      </c>
    </row>
    <row r="1750">
      <c r="A1750" t="inlineStr">
        <is>
          <t>532405-social-history-0-0</t>
        </is>
      </c>
      <c r="B1750" t="inlineStr"/>
      <c r="C1750" t="inlineStr"/>
      <c r="D1750">
        <f>HYPERLINK("http://nlpdeep.cs.uic.edu:8080/proofing/t5/532405-social-history-0-0.pdf","t5/532405-social-history-0-0.pdf")</f>
        <v/>
      </c>
      <c r="E1750" t="n">
        <v>119960</v>
      </c>
      <c r="F1750" t="n">
        <v>532405</v>
      </c>
      <c r="G1750" t="inlineStr">
        <is>
          <t>Physician</t>
        </is>
      </c>
      <c r="H1750" t="inlineStr">
        <is>
          <t>social-history</t>
        </is>
      </c>
      <c r="I1750" t="inlineStr">
        <is>
          <t xml:space="preserve">
   Occupation:
   Drugs:
   Tobacco:
   Alcohol:
   Other: Usually lives with wife, married for &gt;50yrs, currently at [**Hospital 328**]
   Rehab.</t>
        </is>
      </c>
    </row>
    <row r="1751">
      <c r="A1751" t="inlineStr">
        <is>
          <t>532405-social-history-0-0</t>
        </is>
      </c>
      <c r="B1751" t="inlineStr"/>
      <c r="C1751" t="inlineStr"/>
      <c r="D1751">
        <f>HYPERLINK("http://nlpdeep.cs.uic.edu:8080/proofing/gsii/532405-social-history-0-0.pdf","gsii/532405-social-history-0-0.pdf")</f>
        <v/>
      </c>
      <c r="E1751" t="n">
        <v>119960</v>
      </c>
      <c r="F1751" t="n">
        <v>532405</v>
      </c>
      <c r="G1751" t="inlineStr">
        <is>
          <t>Physician</t>
        </is>
      </c>
      <c r="H1751" t="inlineStr">
        <is>
          <t>social-history</t>
        </is>
      </c>
      <c r="I1751" t="inlineStr">
        <is>
          <t xml:space="preserve">
   Occupation:
   Drugs:
   Tobacco:
   Alcohol:
   Other: Usually lives with wife, married for &gt;50yrs, currently at [**Hospital 328**]
   Rehab.</t>
        </is>
      </c>
    </row>
    <row r="1752">
      <c r="A1752" t="inlineStr">
        <is>
          <t>532405-social-history-0-1</t>
        </is>
      </c>
      <c r="B1752" t="inlineStr"/>
      <c r="C1752" t="inlineStr"/>
      <c r="D1752">
        <f>HYPERLINK("http://nlpdeep.cs.uic.edu:8080/proofing/t5/532405-social-history-0-1.pdf","t5/532405-social-history-0-1.pdf")</f>
        <v/>
      </c>
      <c r="E1752" t="n">
        <v>119960</v>
      </c>
      <c r="F1752" t="n">
        <v>532405</v>
      </c>
      <c r="G1752" t="inlineStr">
        <is>
          <t>Physician</t>
        </is>
      </c>
      <c r="H1752" t="inlineStr">
        <is>
          <t>social-history</t>
        </is>
      </c>
      <c r="I1752" t="inlineStr">
        <is>
          <t>3 children.</t>
        </is>
      </c>
    </row>
    <row r="1753">
      <c r="A1753" t="inlineStr">
        <is>
          <t>532405-social-history-0-1</t>
        </is>
      </c>
      <c r="B1753" t="inlineStr"/>
      <c r="C1753" t="inlineStr"/>
      <c r="D1753">
        <f>HYPERLINK("http://nlpdeep.cs.uic.edu:8080/proofing/gsii/532405-social-history-0-1.pdf","gsii/532405-social-history-0-1.pdf")</f>
        <v/>
      </c>
      <c r="E1753" t="n">
        <v>119960</v>
      </c>
      <c r="F1753" t="n">
        <v>532405</v>
      </c>
      <c r="G1753" t="inlineStr">
        <is>
          <t>Physician</t>
        </is>
      </c>
      <c r="H1753" t="inlineStr">
        <is>
          <t>social-history</t>
        </is>
      </c>
      <c r="I1753" t="inlineStr">
        <is>
          <t>3 children.</t>
        </is>
      </c>
    </row>
    <row r="1754">
      <c r="A1754" t="inlineStr">
        <is>
          <t>532405-social-history-0-2</t>
        </is>
      </c>
      <c r="B1754" t="inlineStr"/>
      <c r="C1754" t="inlineStr"/>
      <c r="D1754">
        <f>HYPERLINK("http://nlpdeep.cs.uic.edu:8080/proofing/t5/532405-social-history-0-2.pdf","t5/532405-social-history-0-2.pdf")</f>
        <v/>
      </c>
      <c r="E1754" t="n">
        <v>119960</v>
      </c>
      <c r="F1754" t="n">
        <v>532405</v>
      </c>
      <c r="G1754" t="inlineStr">
        <is>
          <t>Physician</t>
        </is>
      </c>
      <c r="H1754" t="inlineStr">
        <is>
          <t>social-history</t>
        </is>
      </c>
      <c r="I1754" t="inlineStr">
        <is>
          <t>No tobacco, EtOH, IVDU.</t>
        </is>
      </c>
    </row>
    <row r="1755">
      <c r="A1755" t="inlineStr">
        <is>
          <t>532405-social-history-0-2</t>
        </is>
      </c>
      <c r="B1755" t="inlineStr"/>
      <c r="C1755" t="inlineStr"/>
      <c r="D1755">
        <f>HYPERLINK("http://nlpdeep.cs.uic.edu:8080/proofing/gsii/532405-social-history-0-2.pdf","gsii/532405-social-history-0-2.pdf")</f>
        <v/>
      </c>
      <c r="E1755" t="n">
        <v>119960</v>
      </c>
      <c r="F1755" t="n">
        <v>532405</v>
      </c>
      <c r="G1755" t="inlineStr">
        <is>
          <t>Physician</t>
        </is>
      </c>
      <c r="H1755" t="inlineStr">
        <is>
          <t>social-history</t>
        </is>
      </c>
      <c r="I1755" t="inlineStr">
        <is>
          <t>No tobacco, EtOH, IVDU.</t>
        </is>
      </c>
    </row>
    <row r="1756">
      <c r="A1756" t="inlineStr">
        <is>
          <t>532405-social-history-0-3</t>
        </is>
      </c>
      <c r="B1756" t="inlineStr"/>
      <c r="C1756" t="inlineStr"/>
      <c r="D1756">
        <f>HYPERLINK("http://nlpdeep.cs.uic.edu:8080/proofing/t5/532405-social-history-0-3.pdf","t5/532405-social-history-0-3.pdf")</f>
        <v/>
      </c>
      <c r="E1756" t="n">
        <v>119960</v>
      </c>
      <c r="F1756" t="n">
        <v>532405</v>
      </c>
      <c r="G1756" t="inlineStr">
        <is>
          <t>Physician</t>
        </is>
      </c>
      <c r="H1756" t="inlineStr">
        <is>
          <t>social-history</t>
        </is>
      </c>
      <c r="I1756" t="inlineStr">
        <is>
          <t>Retired, formerly worked
   manufacturing and distributing batteries.</t>
        </is>
      </c>
    </row>
    <row r="1757">
      <c r="A1757" t="inlineStr">
        <is>
          <t>532405-social-history-0-3</t>
        </is>
      </c>
      <c r="B1757" t="inlineStr"/>
      <c r="C1757" t="inlineStr"/>
      <c r="D1757">
        <f>HYPERLINK("http://nlpdeep.cs.uic.edu:8080/proofing/gsii/532405-social-history-0-3.pdf","gsii/532405-social-history-0-3.pdf")</f>
        <v/>
      </c>
      <c r="E1757" t="n">
        <v>119960</v>
      </c>
      <c r="F1757" t="n">
        <v>532405</v>
      </c>
      <c r="G1757" t="inlineStr">
        <is>
          <t>Physician</t>
        </is>
      </c>
      <c r="H1757" t="inlineStr">
        <is>
          <t>social-history</t>
        </is>
      </c>
      <c r="I1757" t="inlineStr">
        <is>
          <t>Retired, formerly worked
   manufacturing and distributing batteries.</t>
        </is>
      </c>
    </row>
    <row r="1758">
      <c r="A1758" t="inlineStr">
        <is>
          <t>532405-social-history-0-4</t>
        </is>
      </c>
      <c r="B1758" t="inlineStr"/>
      <c r="C1758" t="inlineStr"/>
      <c r="D1758">
        <f>HYPERLINK("http://nlpdeep.cs.uic.edu:8080/proofing/t5/532405-social-history-0-4.pdf","t5/532405-social-history-0-4.pdf")</f>
        <v/>
      </c>
      <c r="E1758" t="n">
        <v>119960</v>
      </c>
      <c r="F1758" t="n">
        <v>532405</v>
      </c>
      <c r="G1758" t="inlineStr">
        <is>
          <t>Physician</t>
        </is>
      </c>
      <c r="H1758" t="inlineStr">
        <is>
          <t>social-history</t>
        </is>
      </c>
      <c r="I1758" t="inlineStr">
        <is>
          <t>He smoked cigars for [**2-1**]
   years and quit &gt;45 years ago.</t>
        </is>
      </c>
    </row>
    <row r="1759">
      <c r="A1759" t="inlineStr">
        <is>
          <t>532405-social-history-0-4</t>
        </is>
      </c>
      <c r="B1759" t="inlineStr"/>
      <c r="C1759" t="inlineStr"/>
      <c r="D1759">
        <f>HYPERLINK("http://nlpdeep.cs.uic.edu:8080/proofing/gsii/532405-social-history-0-4.pdf","gsii/532405-social-history-0-4.pdf")</f>
        <v/>
      </c>
      <c r="E1759" t="n">
        <v>119960</v>
      </c>
      <c r="F1759" t="n">
        <v>532405</v>
      </c>
      <c r="G1759" t="inlineStr">
        <is>
          <t>Physician</t>
        </is>
      </c>
      <c r="H1759" t="inlineStr">
        <is>
          <t>social-history</t>
        </is>
      </c>
      <c r="I1759" t="inlineStr">
        <is>
          <t>He smoked cigars for [**2-1**]
   years and quit &gt;45 years ago.</t>
        </is>
      </c>
    </row>
    <row r="1760">
      <c r="A1760" t="inlineStr">
        <is>
          <t>532405-social-history-0-5</t>
        </is>
      </c>
      <c r="B1760" t="inlineStr"/>
      <c r="C1760" t="inlineStr"/>
      <c r="D1760">
        <f>HYPERLINK("http://nlpdeep.cs.uic.edu:8080/proofing/t5/532405-social-history-0-5.pdf","t5/532405-social-history-0-5.pdf")</f>
        <v/>
      </c>
      <c r="E1760" t="n">
        <v>119960</v>
      </c>
      <c r="F1760" t="n">
        <v>532405</v>
      </c>
      <c r="G1760" t="inlineStr">
        <is>
          <t>Physician</t>
        </is>
      </c>
      <c r="H1760" t="inlineStr">
        <is>
          <t>social-history</t>
        </is>
      </c>
      <c r="I1760" t="inlineStr">
        <is>
          <t>He has not smoked cigarettes.</t>
        </is>
      </c>
    </row>
    <row r="1761">
      <c r="A1761" t="inlineStr">
        <is>
          <t>532405-social-history-0-5</t>
        </is>
      </c>
      <c r="B1761" t="inlineStr"/>
      <c r="C1761" t="inlineStr"/>
      <c r="D1761">
        <f>HYPERLINK("http://nlpdeep.cs.uic.edu:8080/proofing/gsii/532405-social-history-0-5.pdf","gsii/532405-social-history-0-5.pdf")</f>
        <v/>
      </c>
      <c r="E1761" t="n">
        <v>119960</v>
      </c>
      <c r="F1761" t="n">
        <v>532405</v>
      </c>
      <c r="G1761" t="inlineStr">
        <is>
          <t>Physician</t>
        </is>
      </c>
      <c r="H1761" t="inlineStr">
        <is>
          <t>social-history</t>
        </is>
      </c>
      <c r="I1761" t="inlineStr">
        <is>
          <t>He has not smoked cigarettes.</t>
        </is>
      </c>
    </row>
    <row r="1762">
      <c r="A1762" t="inlineStr">
        <is>
          <t>532405-social-history-0-6</t>
        </is>
      </c>
      <c r="B1762" t="inlineStr"/>
      <c r="C1762" t="inlineStr"/>
      <c r="D1762">
        <f>HYPERLINK("http://nlpdeep.cs.uic.edu:8080/proofing/t5/532405-social-history-0-6.pdf","t5/532405-social-history-0-6.pdf")</f>
        <v/>
      </c>
      <c r="E1762" t="n">
        <v>119960</v>
      </c>
      <c r="F1762" t="n">
        <v>532405</v>
      </c>
      <c r="G1762" t="inlineStr">
        <is>
          <t>Physician</t>
        </is>
      </c>
      <c r="H1762" t="inlineStr">
        <is>
          <t>social-history</t>
        </is>
      </c>
      <c r="I1762" t="inlineStr">
        <is>
          <t>He does not
   drink alcohol on a regular basis.</t>
        </is>
      </c>
    </row>
    <row r="1763">
      <c r="A1763" t="inlineStr">
        <is>
          <t>532405-social-history-0-6</t>
        </is>
      </c>
      <c r="B1763" t="inlineStr"/>
      <c r="C1763" t="inlineStr"/>
      <c r="D1763">
        <f>HYPERLINK("http://nlpdeep.cs.uic.edu:8080/proofing/gsii/532405-social-history-0-6.pdf","gsii/532405-social-history-0-6.pdf")</f>
        <v/>
      </c>
      <c r="E1763" t="n">
        <v>119960</v>
      </c>
      <c r="F1763" t="n">
        <v>532405</v>
      </c>
      <c r="G1763" t="inlineStr">
        <is>
          <t>Physician</t>
        </is>
      </c>
      <c r="H1763" t="inlineStr">
        <is>
          <t>social-history</t>
        </is>
      </c>
      <c r="I1763" t="inlineStr">
        <is>
          <t>He does not
   drink alcohol on a regular basis.</t>
        </is>
      </c>
    </row>
    <row r="1764">
      <c r="A1764" t="inlineStr">
        <is>
          <t>532405-social-history-0-7</t>
        </is>
      </c>
      <c r="B1764" t="inlineStr"/>
      <c r="C1764" t="inlineStr"/>
      <c r="D1764">
        <f>HYPERLINK("http://nlpdeep.cs.uic.edu:8080/proofing/t5/532405-social-history-0-7.pdf","t5/532405-social-history-0-7.pdf")</f>
        <v/>
      </c>
      <c r="E1764" t="n">
        <v>119960</v>
      </c>
      <c r="F1764" t="n">
        <v>532405</v>
      </c>
      <c r="G1764" t="inlineStr">
        <is>
          <t>Physician</t>
        </is>
      </c>
      <c r="H1764" t="inlineStr">
        <is>
          <t>social-history</t>
        </is>
      </c>
      <c r="I1764" t="inlineStr">
        <is>
          <t>Denies IV, illicit, or herbal drug
   use.</t>
        </is>
      </c>
    </row>
    <row r="1765">
      <c r="A1765" t="inlineStr">
        <is>
          <t>532405-social-history-0-7</t>
        </is>
      </c>
      <c r="B1765" t="inlineStr"/>
      <c r="C1765" t="inlineStr"/>
      <c r="D1765">
        <f>HYPERLINK("http://nlpdeep.cs.uic.edu:8080/proofing/gsii/532405-social-history-0-7.pdf","gsii/532405-social-history-0-7.pdf")</f>
        <v/>
      </c>
      <c r="E1765" t="n">
        <v>119960</v>
      </c>
      <c r="F1765" t="n">
        <v>532405</v>
      </c>
      <c r="G1765" t="inlineStr">
        <is>
          <t>Physician</t>
        </is>
      </c>
      <c r="H1765" t="inlineStr">
        <is>
          <t>social-history</t>
        </is>
      </c>
      <c r="I1765" t="inlineStr">
        <is>
          <t>Denies IV, illicit, or herbal drug
   use.</t>
        </is>
      </c>
    </row>
    <row r="1766">
      <c r="A1766" t="inlineStr">
        <is>
          <t>532405-flowsheet-data-vitals-0-0</t>
        </is>
      </c>
      <c r="B1766" t="inlineStr"/>
      <c r="C1766" t="inlineStr"/>
      <c r="D1766">
        <f>HYPERLINK("http://nlpdeep.cs.uic.edu:8080/proofing/t5/532405-flowsheet-data-vitals-0-0.pdf","t5/532405-flowsheet-data-vitals-0-0.pdf")</f>
        <v/>
      </c>
      <c r="E1766" t="n">
        <v>119960</v>
      </c>
      <c r="F1766" t="n">
        <v>532405</v>
      </c>
      <c r="G1766" t="inlineStr">
        <is>
          <t>Physician</t>
        </is>
      </c>
      <c r="H1766" t="inlineStr">
        <is>
          <t>flowsheet-data-vitals</t>
        </is>
      </c>
      <c r="I1766" t="inlineStr">
        <is>
          <t>Vital Signs
   Hemodynamic monitoring
   Fluid Balance
                                                                  24 hours
                                                               Since [**42**] AM
   Tmax: 32.9
C (91.2
   Tcurrent: 32.9
C (91.2
   HR: 65 (65 - 71) bpm
   BP: 96/63(70) {96/63(70) - 151/105(169)} mmHg
   RR: 13 (13 - 32) insp/min
   SpO2: 98%
   Heart rhythm: AF (Atrial Fibrillation)
             Total In:
             26 mL
   PO:
             TF:
   IVF:
   26 mL
   Blood products:
   Total out:
                                                                      0 mL
                                                                    400 mL
   Urine:
   NG:
   Stool:
   Drains:
   Balance:
                                                                      0 mL
                                                                   -375 mL
   Respiratory
   O2 Delivery Device: Nasal cannula
   SpO2: 98%</t>
        </is>
      </c>
    </row>
    <row r="1767">
      <c r="A1767" t="inlineStr">
        <is>
          <t>532405-flowsheet-data-vitals-0-0</t>
        </is>
      </c>
      <c r="B1767" t="inlineStr"/>
      <c r="C1767" t="inlineStr"/>
      <c r="D1767">
        <f>HYPERLINK("http://nlpdeep.cs.uic.edu:8080/proofing/gsii/532405-flowsheet-data-vitals-0-0.pdf","gsii/532405-flowsheet-data-vitals-0-0.pdf")</f>
        <v/>
      </c>
      <c r="E1767" t="n">
        <v>119960</v>
      </c>
      <c r="F1767" t="n">
        <v>532405</v>
      </c>
      <c r="G1767" t="inlineStr">
        <is>
          <t>Physician</t>
        </is>
      </c>
      <c r="H1767" t="inlineStr">
        <is>
          <t>flowsheet-data-vitals</t>
        </is>
      </c>
      <c r="I1767" t="inlineStr">
        <is>
          <t>Vital Signs
   Hemodynamic monitoring
   Fluid Balance
                                                                  24 hours
                                                               Since [**42**] AM
   Tmax: 32.9
C (91.2
   Tcurrent: 32.9
C (91.2
   HR: 65 (65 - 71) bpm
   BP: 96/63(70) {96/63(70) - 151/105(169)} mmHg
   RR: 13 (13 - 32) insp/min
   SpO2: 98%
   Heart rhythm: AF (Atrial Fibrillation)
             Total In:
             26 mL
   PO:
             TF:
   IVF:
   26 mL
   Blood products:
   Total out:
                                                                      0 mL
                                                                    400 mL
   Urine:
   NG:
   Stool:
   Drains:
   Balance:
                                                                      0 mL
                                                                   -375 mL
   Respiratory
   O2 Delivery Device: Nasal cannula
   SpO2: 98%</t>
        </is>
      </c>
    </row>
    <row r="1768">
      <c r="A1768" t="inlineStr">
        <is>
          <t>532405-physical-examination-0-0</t>
        </is>
      </c>
      <c r="B1768" t="inlineStr"/>
      <c r="C1768" t="inlineStr"/>
      <c r="D1768">
        <f>HYPERLINK("http://nlpdeep.cs.uic.edu:8080/proofing/t5/532405-physical-examination-0-0.pdf","t5/532405-physical-examination-0-0.pdf")</f>
        <v/>
      </c>
      <c r="E1768" t="n">
        <v>119960</v>
      </c>
      <c r="F1768" t="n">
        <v>532405</v>
      </c>
      <c r="G1768" t="inlineStr">
        <is>
          <t>Physician</t>
        </is>
      </c>
      <c r="H1768" t="inlineStr">
        <is>
          <t>physical-examination</t>
        </is>
      </c>
      <c r="I1768" t="inlineStr">
        <is>
          <t>General: Alert, oriented, breathing heavily and appears in pain
   HEENT: Sclera anicteric, MMM
   Neck: supple, JVP 11 cm
   Lungs: Clear to auscultation bilaterally anteriorly but difficult to
   assess with much transmitted upper airway sounds, no wheezes, rales,
   ronchi
   CV: Irregularly irregular rhythm, normal rate, distant heart sounds, no
   murmurs, rubs, gallops
   Abdomen:  soft, non-tender, non-distended, bowel sounds present, no
   rebound tenderness or guarding
   GU: foley
   Ext: cool, 2+ DP pulses bilaterally, no clubbing.</t>
        </is>
      </c>
    </row>
    <row r="1769">
      <c r="A1769" t="inlineStr">
        <is>
          <t>532405-physical-examination-0-0</t>
        </is>
      </c>
      <c r="B1769" t="inlineStr"/>
      <c r="C1769" t="inlineStr"/>
      <c r="D1769">
        <f>HYPERLINK("http://nlpdeep.cs.uic.edu:8080/proofing/gsii/532405-physical-examination-0-0.pdf","gsii/532405-physical-examination-0-0.pdf")</f>
        <v/>
      </c>
      <c r="E1769" t="n">
        <v>119960</v>
      </c>
      <c r="F1769" t="n">
        <v>532405</v>
      </c>
      <c r="G1769" t="inlineStr">
        <is>
          <t>Physician</t>
        </is>
      </c>
      <c r="H1769" t="inlineStr">
        <is>
          <t>physical-examination</t>
        </is>
      </c>
      <c r="I1769" t="inlineStr">
        <is>
          <t>General: Alert, oriented, breathing heavily and appears in pain
   HEENT: Sclera anicteric, MMM
   Neck: supple, JVP 11 cm
   Lungs: Clear to auscultation bilaterally anteriorly but difficult to
   assess with much transmitted upper airway sounds, no wheezes, rales,
   ronchi
   CV: Irregularly irregular rhythm, normal rate, distant heart sounds, no
   murmurs, rubs, gallops
   Abdomen:  soft, non-tender, non-distended, bowel sounds present, no
   rebound tenderness or guarding
   GU: foley
   Ext: cool, 2+ DP pulses bilaterally, no clubbing.</t>
        </is>
      </c>
    </row>
    <row r="1770">
      <c r="A1770" t="inlineStr">
        <is>
          <t>532405-physical-examination-0-1</t>
        </is>
      </c>
      <c r="B1770" t="inlineStr"/>
      <c r="C1770" t="inlineStr"/>
      <c r="D1770">
        <f>HYPERLINK("http://nlpdeep.cs.uic.edu:8080/proofing/t5/532405-physical-examination-0-1.pdf","t5/532405-physical-examination-0-1.pdf")</f>
        <v/>
      </c>
      <c r="E1770" t="n">
        <v>119960</v>
      </c>
      <c r="F1770" t="n">
        <v>532405</v>
      </c>
      <c r="G1770" t="inlineStr">
        <is>
          <t>Physician</t>
        </is>
      </c>
      <c r="H1770" t="inlineStr">
        <is>
          <t>physical-examination</t>
        </is>
      </c>
      <c r="I1770" t="inlineStr">
        <is>
          <t>[**2-1**]+ pitting edema
   bilaterally; lower legs wrapped in ACE bandages.</t>
        </is>
      </c>
    </row>
    <row r="1771">
      <c r="A1771" t="inlineStr">
        <is>
          <t>532405-physical-examination-0-1</t>
        </is>
      </c>
      <c r="B1771" t="inlineStr"/>
      <c r="C1771" t="inlineStr"/>
      <c r="D1771">
        <f>HYPERLINK("http://nlpdeep.cs.uic.edu:8080/proofing/gsii/532405-physical-examination-0-1.pdf","gsii/532405-physical-examination-0-1.pdf")</f>
        <v/>
      </c>
      <c r="E1771" t="n">
        <v>119960</v>
      </c>
      <c r="F1771" t="n">
        <v>532405</v>
      </c>
      <c r="G1771" t="inlineStr">
        <is>
          <t>Physician</t>
        </is>
      </c>
      <c r="H1771" t="inlineStr">
        <is>
          <t>physical-examination</t>
        </is>
      </c>
      <c r="I1771" t="inlineStr">
        <is>
          <t>[**2-1**]+ pitting edema
   bilaterally; lower legs wrapped in ACE bandages.</t>
        </is>
      </c>
    </row>
    <row r="1772">
      <c r="A1772" t="inlineStr">
        <is>
          <t>532405-physical-examination-0-2</t>
        </is>
      </c>
      <c r="B1772" t="inlineStr"/>
      <c r="C1772" t="inlineStr"/>
      <c r="D1772">
        <f>HYPERLINK("http://nlpdeep.cs.uic.edu:8080/proofing/t5/532405-physical-examination-0-2.pdf","t5/532405-physical-examination-0-2.pdf")</f>
        <v/>
      </c>
      <c r="E1772" t="n">
        <v>119960</v>
      </c>
      <c r="F1772" t="n">
        <v>532405</v>
      </c>
      <c r="G1772" t="inlineStr">
        <is>
          <t>Physician</t>
        </is>
      </c>
      <c r="H1772" t="inlineStr">
        <is>
          <t>physical-examination</t>
        </is>
      </c>
      <c r="I1772" t="inlineStr">
        <is>
          <t>Multiple small
   ecchymoses on UE bilaterally.</t>
        </is>
      </c>
    </row>
    <row r="1773">
      <c r="A1773" t="inlineStr">
        <is>
          <t>532405-physical-examination-0-2</t>
        </is>
      </c>
      <c r="B1773" t="inlineStr"/>
      <c r="C1773" t="inlineStr"/>
      <c r="D1773">
        <f>HYPERLINK("http://nlpdeep.cs.uic.edu:8080/proofing/gsii/532405-physical-examination-0-2.pdf","gsii/532405-physical-examination-0-2.pdf")</f>
        <v/>
      </c>
      <c r="E1773" t="n">
        <v>119960</v>
      </c>
      <c r="F1773" t="n">
        <v>532405</v>
      </c>
      <c r="G1773" t="inlineStr">
        <is>
          <t>Physician</t>
        </is>
      </c>
      <c r="H1773" t="inlineStr">
        <is>
          <t>physical-examination</t>
        </is>
      </c>
      <c r="I1773" t="inlineStr">
        <is>
          <t>Multiple small
   ecchymoses on UE bilaterally.</t>
        </is>
      </c>
    </row>
    <row r="1774">
      <c r="A1774" t="inlineStr">
        <is>
          <t>532405-physical-examination-0-3</t>
        </is>
      </c>
      <c r="B1774" t="inlineStr"/>
      <c r="C1774" t="inlineStr"/>
      <c r="D1774">
        <f>HYPERLINK("http://nlpdeep.cs.uic.edu:8080/proofing/t5/532405-physical-examination-0-3.pdf","t5/532405-physical-examination-0-3.pdf")</f>
        <v/>
      </c>
      <c r="E1774" t="n">
        <v>119960</v>
      </c>
      <c r="F1774" t="n">
        <v>532405</v>
      </c>
      <c r="G1774" t="inlineStr">
        <is>
          <t>Physician</t>
        </is>
      </c>
      <c r="H1774" t="inlineStr">
        <is>
          <t>physical-examination</t>
        </is>
      </c>
      <c r="I1774" t="inlineStr">
        <is>
          <t>Left leg externally rotated and
   shortened, with ecchymosis noted on lateral hip area.</t>
        </is>
      </c>
    </row>
    <row r="1775">
      <c r="A1775" t="inlineStr">
        <is>
          <t>532405-physical-examination-0-3</t>
        </is>
      </c>
      <c r="B1775" t="inlineStr"/>
      <c r="C1775" t="inlineStr"/>
      <c r="D1775">
        <f>HYPERLINK("http://nlpdeep.cs.uic.edu:8080/proofing/gsii/532405-physical-examination-0-3.pdf","gsii/532405-physical-examination-0-3.pdf")</f>
        <v/>
      </c>
      <c r="E1775" t="n">
        <v>119960</v>
      </c>
      <c r="F1775" t="n">
        <v>532405</v>
      </c>
      <c r="G1775" t="inlineStr">
        <is>
          <t>Physician</t>
        </is>
      </c>
      <c r="H1775" t="inlineStr">
        <is>
          <t>physical-examination</t>
        </is>
      </c>
      <c r="I1775" t="inlineStr">
        <is>
          <t>Left leg externally rotated and
   shortened, with ecchymosis noted on lateral hip area.</t>
        </is>
      </c>
    </row>
    <row r="1776">
      <c r="A1776" t="inlineStr">
        <is>
          <t>532405-labs-imaging-0-0</t>
        </is>
      </c>
      <c r="B1776" t="inlineStr"/>
      <c r="C1776" t="inlineStr"/>
      <c r="D1776">
        <f>HYPERLINK("http://nlpdeep.cs.uic.edu:8080/proofing/t5/532405-labs-imaging-0-0.pdf","t5/532405-labs-imaging-0-0.pdf")</f>
        <v/>
      </c>
      <c r="E1776" t="n">
        <v>119960</v>
      </c>
      <c r="F1776" t="n">
        <v>532405</v>
      </c>
      <c r="G1776" t="inlineStr">
        <is>
          <t>Physician</t>
        </is>
      </c>
      <c r="H1776" t="inlineStr">
        <is>
          <t>labs-imaging</t>
        </is>
      </c>
      <c r="I1776" t="inlineStr">
        <is>
          <t>128 K/uL
   7.8 g/dL
   101 mEq/L
   5.1 mEq/L
   140 mEq/L
   22.8 %
   8.2 K/uL
        [image002.jpg]
                                  [**2136-12-31**]
                          2:33 A4/8/[**2140**]  08:20 PM
                                  [**2137-1-4**]
                                   10:20 P
                                  [**2137-1-5**]
                                   1:20 P
                                  [**2137-1-6**]
                                   11:50 P
                                  [**2137-1-7**]
                                   1:20 A
                                  [**2137-1-8**]
                                   7:20 P
                                  1//11/006
                                   1:23 P
                                  [**2137-1-31**]
                                   1:20 P
                                  [**2137-1-31**]
                                   11:20 P
                                  [**2137-1-31**]
                                   4:20 P
   WBC
                                     8.2
   Hct
                                    22.8
   Plt
                                     128
   Other labs: Lactic Acid:0.9 mmol/L, Mg++:2.1 mg/dL, PO4:5.0 mg/dL
   Micro: blood cx
 pending
   [**4-6**] CT Ab/pelvis w/o contrast: 1.</t>
        </is>
      </c>
    </row>
    <row r="1777">
      <c r="A1777" t="inlineStr">
        <is>
          <t>532405-labs-imaging-0-0</t>
        </is>
      </c>
      <c r="B1777" t="inlineStr"/>
      <c r="C1777" t="inlineStr"/>
      <c r="D1777">
        <f>HYPERLINK("http://nlpdeep.cs.uic.edu:8080/proofing/gsii/532405-labs-imaging-0-0.pdf","gsii/532405-labs-imaging-0-0.pdf")</f>
        <v/>
      </c>
      <c r="E1777" t="n">
        <v>119960</v>
      </c>
      <c r="F1777" t="n">
        <v>532405</v>
      </c>
      <c r="G1777" t="inlineStr">
        <is>
          <t>Physician</t>
        </is>
      </c>
      <c r="H1777" t="inlineStr">
        <is>
          <t>labs-imaging</t>
        </is>
      </c>
      <c r="I1777" t="inlineStr">
        <is>
          <t>128 K/uL
   7.8 g/dL
   101 mEq/L
   5.1 mEq/L
   140 mEq/L
   22.8 %
   8.2 K/uL
        [image002.jpg]
                                  [**2136-12-31**]
                          2:33 A4/8/[**2140**]  08:20 PM
                                  [**2137-1-4**]
                                   10:20 P
                                  [**2137-1-5**]
                                   1:20 P
                                  [**2137-1-6**]
                                   11:50 P
                                  [**2137-1-7**]
                                   1:20 A
                                  [**2137-1-8**]
                                   7:20 P
                                  1//11/006
                                   1:23 P
                                  [**2137-1-31**]
                                   1:20 P
                                  [**2137-1-31**]
                                   11:20 P
                                  [**2137-1-31**]
                                   4:20 P
   WBC
                                     8.2
   Hct
                                    22.8
   Plt
                                     128
   Other labs: Lactic Acid:0.9 mmol/L, Mg++:2.1 mg/dL, PO4:5.0 mg/dL
   Micro: blood cx
 pending
   [**4-6**] CT Ab/pelvis w/o contrast: 1.</t>
        </is>
      </c>
    </row>
    <row r="1778">
      <c r="A1778" t="inlineStr">
        <is>
          <t>532405-labs-imaging-0-1</t>
        </is>
      </c>
      <c r="B1778" t="inlineStr"/>
      <c r="C1778" t="inlineStr"/>
      <c r="D1778">
        <f>HYPERLINK("http://nlpdeep.cs.uic.edu:8080/proofing/t5/532405-labs-imaging-0-1.pdf","t5/532405-labs-imaging-0-1.pdf")</f>
        <v/>
      </c>
      <c r="E1778" t="n">
        <v>119960</v>
      </c>
      <c r="F1778" t="n">
        <v>532405</v>
      </c>
      <c r="G1778" t="inlineStr">
        <is>
          <t>Physician</t>
        </is>
      </c>
      <c r="H1778" t="inlineStr">
        <is>
          <t>labs-imaging</t>
        </is>
      </c>
      <c r="I1778" t="inlineStr">
        <is>
          <t>Left intertrochanteric hip fracture.</t>
        </is>
      </c>
    </row>
    <row r="1779">
      <c r="A1779" t="inlineStr">
        <is>
          <t>532405-labs-imaging-0-1</t>
        </is>
      </c>
      <c r="B1779" t="inlineStr"/>
      <c r="C1779" t="inlineStr"/>
      <c r="D1779">
        <f>HYPERLINK("http://nlpdeep.cs.uic.edu:8080/proofing/gsii/532405-labs-imaging-0-1.pdf","gsii/532405-labs-imaging-0-1.pdf")</f>
        <v/>
      </c>
      <c r="E1779" t="n">
        <v>119960</v>
      </c>
      <c r="F1779" t="n">
        <v>532405</v>
      </c>
      <c r="G1779" t="inlineStr">
        <is>
          <t>Physician</t>
        </is>
      </c>
      <c r="H1779" t="inlineStr">
        <is>
          <t>labs-imaging</t>
        </is>
      </c>
      <c r="I1779" t="inlineStr">
        <is>
          <t>Left intertrochanteric hip fracture.</t>
        </is>
      </c>
    </row>
    <row r="1780">
      <c r="A1780" t="inlineStr">
        <is>
          <t>532405-labs-imaging-0-2</t>
        </is>
      </c>
      <c r="B1780" t="inlineStr"/>
      <c r="C1780" t="inlineStr"/>
      <c r="D1780">
        <f>HYPERLINK("http://nlpdeep.cs.uic.edu:8080/proofing/t5/532405-labs-imaging-0-2.pdf","t5/532405-labs-imaging-0-2.pdf")</f>
        <v/>
      </c>
      <c r="E1780" t="n">
        <v>119960</v>
      </c>
      <c r="F1780" t="n">
        <v>532405</v>
      </c>
      <c r="G1780" t="inlineStr">
        <is>
          <t>Physician</t>
        </is>
      </c>
      <c r="H1780" t="inlineStr">
        <is>
          <t>labs-imaging</t>
        </is>
      </c>
      <c r="I1780" t="inlineStr">
        <is>
          <t>Large left adrenal mass, which is not characterized on non-contrast
   examination.</t>
        </is>
      </c>
    </row>
    <row r="1781">
      <c r="A1781" t="inlineStr">
        <is>
          <t>532405-labs-imaging-0-2</t>
        </is>
      </c>
      <c r="B1781" t="inlineStr"/>
      <c r="C1781" t="inlineStr"/>
      <c r="D1781">
        <f>HYPERLINK("http://nlpdeep.cs.uic.edu:8080/proofing/gsii/532405-labs-imaging-0-2.pdf","gsii/532405-labs-imaging-0-2.pdf")</f>
        <v/>
      </c>
      <c r="E1781" t="n">
        <v>119960</v>
      </c>
      <c r="F1781" t="n">
        <v>532405</v>
      </c>
      <c r="G1781" t="inlineStr">
        <is>
          <t>Physician</t>
        </is>
      </c>
      <c r="H1781" t="inlineStr">
        <is>
          <t>labs-imaging</t>
        </is>
      </c>
      <c r="I1781" t="inlineStr">
        <is>
          <t>Large left adrenal mass, which is not characterized on non-contrast
   examination.</t>
        </is>
      </c>
    </row>
    <row r="1782">
      <c r="A1782" t="inlineStr">
        <is>
          <t>532405-labs-imaging-0-3</t>
        </is>
      </c>
      <c r="B1782" t="inlineStr"/>
      <c r="C1782" t="inlineStr"/>
      <c r="D1782">
        <f>HYPERLINK("http://nlpdeep.cs.uic.edu:8080/proofing/t5/532405-labs-imaging-0-3.pdf","t5/532405-labs-imaging-0-3.pdf")</f>
        <v/>
      </c>
      <c r="E1782" t="n">
        <v>119960</v>
      </c>
      <c r="F1782" t="n">
        <v>532405</v>
      </c>
      <c r="G1782" t="inlineStr">
        <is>
          <t>Physician</t>
        </is>
      </c>
      <c r="H1782" t="inlineStr">
        <is>
          <t>labs-imaging</t>
        </is>
      </c>
      <c r="I1782" t="inlineStr">
        <is>
          <t>However, the imaging features are not consistent with an
   adrenal hematoma.</t>
        </is>
      </c>
    </row>
    <row r="1783">
      <c r="A1783" t="inlineStr">
        <is>
          <t>532405-labs-imaging-0-3</t>
        </is>
      </c>
      <c r="B1783" t="inlineStr"/>
      <c r="C1783" t="inlineStr"/>
      <c r="D1783">
        <f>HYPERLINK("http://nlpdeep.cs.uic.edu:8080/proofing/gsii/532405-labs-imaging-0-3.pdf","gsii/532405-labs-imaging-0-3.pdf")</f>
        <v/>
      </c>
      <c r="E1783" t="n">
        <v>119960</v>
      </c>
      <c r="F1783" t="n">
        <v>532405</v>
      </c>
      <c r="G1783" t="inlineStr">
        <is>
          <t>Physician</t>
        </is>
      </c>
      <c r="H1783" t="inlineStr">
        <is>
          <t>labs-imaging</t>
        </is>
      </c>
      <c r="I1783" t="inlineStr">
        <is>
          <t>However, the imaging features are not consistent with an
   adrenal hematoma.</t>
        </is>
      </c>
    </row>
    <row r="1784">
      <c r="A1784" t="inlineStr">
        <is>
          <t>532405-labs-imaging-0-4</t>
        </is>
      </c>
      <c r="B1784" t="inlineStr"/>
      <c r="C1784" t="inlineStr"/>
      <c r="D1784">
        <f>HYPERLINK("http://nlpdeep.cs.uic.edu:8080/proofing/t5/532405-labs-imaging-0-4.pdf","t5/532405-labs-imaging-0-4.pdf")</f>
        <v/>
      </c>
      <c r="E1784" t="n">
        <v>119960</v>
      </c>
      <c r="F1784" t="n">
        <v>532405</v>
      </c>
      <c r="G1784" t="inlineStr">
        <is>
          <t>Physician</t>
        </is>
      </c>
      <c r="H1784" t="inlineStr">
        <is>
          <t>labs-imaging</t>
        </is>
      </c>
      <c r="I1784" t="inlineStr">
        <is>
          <t>A nonurgent adrenal MR recommended for further
   characterization.</t>
        </is>
      </c>
    </row>
    <row r="1785">
      <c r="A1785" t="inlineStr">
        <is>
          <t>532405-labs-imaging-0-4</t>
        </is>
      </c>
      <c r="B1785" t="inlineStr"/>
      <c r="C1785" t="inlineStr"/>
      <c r="D1785">
        <f>HYPERLINK("http://nlpdeep.cs.uic.edu:8080/proofing/gsii/532405-labs-imaging-0-4.pdf","gsii/532405-labs-imaging-0-4.pdf")</f>
        <v/>
      </c>
      <c r="E1785" t="n">
        <v>119960</v>
      </c>
      <c r="F1785" t="n">
        <v>532405</v>
      </c>
      <c r="G1785" t="inlineStr">
        <is>
          <t>Physician</t>
        </is>
      </c>
      <c r="H1785" t="inlineStr">
        <is>
          <t>labs-imaging</t>
        </is>
      </c>
      <c r="I1785" t="inlineStr">
        <is>
          <t>A nonurgent adrenal MR recommended for further
   characterization.</t>
        </is>
      </c>
    </row>
    <row r="1786">
      <c r="A1786" t="inlineStr">
        <is>
          <t>532405-labs-imaging-0-5</t>
        </is>
      </c>
      <c r="B1786" t="inlineStr"/>
      <c r="C1786" t="inlineStr"/>
      <c r="D1786">
        <f>HYPERLINK("http://nlpdeep.cs.uic.edu:8080/proofing/t5/532405-labs-imaging-0-5.pdf","t5/532405-labs-imaging-0-5.pdf")</f>
        <v/>
      </c>
      <c r="E1786" t="n">
        <v>119960</v>
      </c>
      <c r="F1786" t="n">
        <v>532405</v>
      </c>
      <c r="G1786" t="inlineStr">
        <is>
          <t>Physician</t>
        </is>
      </c>
      <c r="H1786" t="inlineStr">
        <is>
          <t>labs-imaging</t>
        </is>
      </c>
      <c r="I1786" t="inlineStr">
        <is>
          <t>Cholelithiasis.</t>
        </is>
      </c>
    </row>
    <row r="1787">
      <c r="A1787" t="inlineStr">
        <is>
          <t>532405-labs-imaging-0-5</t>
        </is>
      </c>
      <c r="B1787" t="inlineStr"/>
      <c r="C1787" t="inlineStr"/>
      <c r="D1787">
        <f>HYPERLINK("http://nlpdeep.cs.uic.edu:8080/proofing/gsii/532405-labs-imaging-0-5.pdf","gsii/532405-labs-imaging-0-5.pdf")</f>
        <v/>
      </c>
      <c r="E1787" t="n">
        <v>119960</v>
      </c>
      <c r="F1787" t="n">
        <v>532405</v>
      </c>
      <c r="G1787" t="inlineStr">
        <is>
          <t>Physician</t>
        </is>
      </c>
      <c r="H1787" t="inlineStr">
        <is>
          <t>labs-imaging</t>
        </is>
      </c>
      <c r="I1787" t="inlineStr">
        <is>
          <t>Cholelithiasis.</t>
        </is>
      </c>
    </row>
    <row r="1788">
      <c r="A1788" t="inlineStr">
        <is>
          <t>532405-labs-imaging-0-6</t>
        </is>
      </c>
      <c r="B1788" t="inlineStr"/>
      <c r="C1788" t="inlineStr"/>
      <c r="D1788">
        <f>HYPERLINK("http://nlpdeep.cs.uic.edu:8080/proofing/t5/532405-labs-imaging-0-6.pdf","t5/532405-labs-imaging-0-6.pdf")</f>
        <v/>
      </c>
      <c r="E1788" t="n">
        <v>119960</v>
      </c>
      <c r="F1788" t="n">
        <v>532405</v>
      </c>
      <c r="G1788" t="inlineStr">
        <is>
          <t>Physician</t>
        </is>
      </c>
      <c r="H1788" t="inlineStr">
        <is>
          <t>labs-imaging</t>
        </is>
      </c>
      <c r="I1788" t="inlineStr">
        <is>
          <t>Atherosclerotic calcification
   of the abdominal aorta and its branches.</t>
        </is>
      </c>
    </row>
    <row r="1789">
      <c r="A1789" t="inlineStr">
        <is>
          <t>532405-labs-imaging-0-6</t>
        </is>
      </c>
      <c r="B1789" t="inlineStr"/>
      <c r="C1789" t="inlineStr"/>
      <c r="D1789">
        <f>HYPERLINK("http://nlpdeep.cs.uic.edu:8080/proofing/gsii/532405-labs-imaging-0-6.pdf","gsii/532405-labs-imaging-0-6.pdf")</f>
        <v/>
      </c>
      <c r="E1789" t="n">
        <v>119960</v>
      </c>
      <c r="F1789" t="n">
        <v>532405</v>
      </c>
      <c r="G1789" t="inlineStr">
        <is>
          <t>Physician</t>
        </is>
      </c>
      <c r="H1789" t="inlineStr">
        <is>
          <t>labs-imaging</t>
        </is>
      </c>
      <c r="I1789" t="inlineStr">
        <is>
          <t>Atherosclerotic calcification
   of the abdominal aorta and its branches.</t>
        </is>
      </c>
    </row>
    <row r="1790">
      <c r="A1790" t="inlineStr">
        <is>
          <t>532405-labs-imaging-0-7</t>
        </is>
      </c>
      <c r="B1790" t="inlineStr"/>
      <c r="C1790" t="inlineStr"/>
      <c r="D1790">
        <f>HYPERLINK("http://nlpdeep.cs.uic.edu:8080/proofing/t5/532405-labs-imaging-0-7.pdf","t5/532405-labs-imaging-0-7.pdf")</f>
        <v/>
      </c>
      <c r="E1790" t="n">
        <v>119960</v>
      </c>
      <c r="F1790" t="n">
        <v>532405</v>
      </c>
      <c r="G1790" t="inlineStr">
        <is>
          <t>Physician</t>
        </is>
      </c>
      <c r="H1790" t="inlineStr">
        <is>
          <t>labs-imaging</t>
        </is>
      </c>
      <c r="I1790" t="inlineStr">
        <is>
          <t>No evidence of
   retroperitoneal hematoma.</t>
        </is>
      </c>
    </row>
    <row r="1791">
      <c r="A1791" t="inlineStr">
        <is>
          <t>532405-labs-imaging-0-7</t>
        </is>
      </c>
      <c r="B1791" t="inlineStr"/>
      <c r="C1791" t="inlineStr"/>
      <c r="D1791">
        <f>HYPERLINK("http://nlpdeep.cs.uic.edu:8080/proofing/gsii/532405-labs-imaging-0-7.pdf","gsii/532405-labs-imaging-0-7.pdf")</f>
        <v/>
      </c>
      <c r="E1791" t="n">
        <v>119960</v>
      </c>
      <c r="F1791" t="n">
        <v>532405</v>
      </c>
      <c r="G1791" t="inlineStr">
        <is>
          <t>Physician</t>
        </is>
      </c>
      <c r="H1791" t="inlineStr">
        <is>
          <t>labs-imaging</t>
        </is>
      </c>
      <c r="I1791" t="inlineStr">
        <is>
          <t>No evidence of
   retroperitoneal hematoma.</t>
        </is>
      </c>
    </row>
    <row r="1792">
      <c r="A1792" t="inlineStr">
        <is>
          <t>532405-labs-imaging-0-8</t>
        </is>
      </c>
      <c r="B1792" t="inlineStr"/>
      <c r="C1792" t="inlineStr"/>
      <c r="D1792">
        <f>HYPERLINK("http://nlpdeep.cs.uic.edu:8080/proofing/t5/532405-labs-imaging-0-8.pdf","t5/532405-labs-imaging-0-8.pdf")</f>
        <v/>
      </c>
      <c r="E1792" t="n">
        <v>119960</v>
      </c>
      <c r="F1792" t="n">
        <v>532405</v>
      </c>
      <c r="G1792" t="inlineStr">
        <is>
          <t>Physician</t>
        </is>
      </c>
      <c r="H1792" t="inlineStr">
        <is>
          <t>labs-imaging</t>
        </is>
      </c>
      <c r="I1792" t="inlineStr">
        <is>
          <t>Prostatic enlargement.</t>
        </is>
      </c>
    </row>
    <row r="1793">
      <c r="A1793" t="inlineStr">
        <is>
          <t>532405-labs-imaging-0-8</t>
        </is>
      </c>
      <c r="B1793" t="inlineStr"/>
      <c r="C1793" t="inlineStr"/>
      <c r="D1793">
        <f>HYPERLINK("http://nlpdeep.cs.uic.edu:8080/proofing/gsii/532405-labs-imaging-0-8.pdf","gsii/532405-labs-imaging-0-8.pdf")</f>
        <v/>
      </c>
      <c r="E1793" t="n">
        <v>119960</v>
      </c>
      <c r="F1793" t="n">
        <v>532405</v>
      </c>
      <c r="G1793" t="inlineStr">
        <is>
          <t>Physician</t>
        </is>
      </c>
      <c r="H1793" t="inlineStr">
        <is>
          <t>labs-imaging</t>
        </is>
      </c>
      <c r="I1793" t="inlineStr">
        <is>
          <t>Prostatic enlargement.</t>
        </is>
      </c>
    </row>
    <row r="1794">
      <c r="A1794" t="inlineStr">
        <is>
          <t>532405-labs-imaging-1-0</t>
        </is>
      </c>
      <c r="B1794" t="inlineStr"/>
      <c r="C1794" t="inlineStr"/>
      <c r="D1794">
        <f>HYPERLINK("http://nlpdeep.cs.uic.edu:8080/proofing/t5/532405-labs-imaging-1-0.pdf","t5/532405-labs-imaging-1-0.pdf")</f>
        <v/>
      </c>
      <c r="E1794" t="n">
        <v>119960</v>
      </c>
      <c r="F1794" t="n">
        <v>532405</v>
      </c>
      <c r="G1794" t="inlineStr">
        <is>
          <t>Physician</t>
        </is>
      </c>
      <c r="H1794" t="inlineStr">
        <is>
          <t>labs-imaging</t>
        </is>
      </c>
      <c r="I1794" t="inlineStr"/>
    </row>
    <row r="1795">
      <c r="A1795" t="inlineStr">
        <is>
          <t>532405-labs-imaging-1-0</t>
        </is>
      </c>
      <c r="B1795" t="inlineStr"/>
      <c r="C1795" t="inlineStr"/>
      <c r="D1795">
        <f>HYPERLINK("http://nlpdeep.cs.uic.edu:8080/proofing/gsii/532405-labs-imaging-1-0.pdf","gsii/532405-labs-imaging-1-0.pdf")</f>
        <v/>
      </c>
      <c r="E1795" t="n">
        <v>119960</v>
      </c>
      <c r="F1795" t="n">
        <v>532405</v>
      </c>
      <c r="G1795" t="inlineStr">
        <is>
          <t>Physician</t>
        </is>
      </c>
      <c r="H1795" t="inlineStr">
        <is>
          <t>labs-imaging</t>
        </is>
      </c>
      <c r="I1795" t="inlineStr"/>
    </row>
    <row r="1796">
      <c r="A1796" t="inlineStr">
        <is>
          <t>532405-labs-imaging-2-0</t>
        </is>
      </c>
      <c r="B1796" t="inlineStr"/>
      <c r="C1796" t="inlineStr"/>
      <c r="D1796">
        <f>HYPERLINK("http://nlpdeep.cs.uic.edu:8080/proofing/t5/532405-labs-imaging-2-0.pdf","t5/532405-labs-imaging-2-0.pdf")</f>
        <v/>
      </c>
      <c r="E1796" t="n">
        <v>119960</v>
      </c>
      <c r="F1796" t="n">
        <v>532405</v>
      </c>
      <c r="G1796" t="inlineStr">
        <is>
          <t>Physician</t>
        </is>
      </c>
      <c r="H1796" t="inlineStr">
        <is>
          <t>labs-imaging</t>
        </is>
      </c>
      <c r="I1796" t="inlineStr"/>
    </row>
    <row r="1797">
      <c r="A1797" t="inlineStr">
        <is>
          <t>532405-labs-imaging-2-0</t>
        </is>
      </c>
      <c r="B1797" t="inlineStr"/>
      <c r="C1797" t="inlineStr"/>
      <c r="D1797">
        <f>HYPERLINK("http://nlpdeep.cs.uic.edu:8080/proofing/gsii/532405-labs-imaging-2-0.pdf","gsii/532405-labs-imaging-2-0.pdf")</f>
        <v/>
      </c>
      <c r="E1797" t="n">
        <v>119960</v>
      </c>
      <c r="F1797" t="n">
        <v>532405</v>
      </c>
      <c r="G1797" t="inlineStr">
        <is>
          <t>Physician</t>
        </is>
      </c>
      <c r="H1797" t="inlineStr">
        <is>
          <t>labs-imaging</t>
        </is>
      </c>
      <c r="I1797" t="inlineStr"/>
    </row>
    <row r="1798">
      <c r="A1798" t="inlineStr">
        <is>
          <t>532405-labs-imaging-3-0</t>
        </is>
      </c>
      <c r="B1798" t="inlineStr"/>
      <c r="C1798" t="inlineStr"/>
      <c r="D1798">
        <f>HYPERLINK("http://nlpdeep.cs.uic.edu:8080/proofing/t5/532405-labs-imaging-3-0.pdf","t5/532405-labs-imaging-3-0.pdf")</f>
        <v/>
      </c>
      <c r="E1798" t="n">
        <v>119960</v>
      </c>
      <c r="F1798" t="n">
        <v>532405</v>
      </c>
      <c r="G1798" t="inlineStr">
        <is>
          <t>Physician</t>
        </is>
      </c>
      <c r="H1798" t="inlineStr">
        <is>
          <t>labs-imaging</t>
        </is>
      </c>
      <c r="I1798" t="inlineStr"/>
    </row>
    <row r="1799">
      <c r="A1799" t="inlineStr">
        <is>
          <t>532405-labs-imaging-3-0</t>
        </is>
      </c>
      <c r="B1799" t="inlineStr"/>
      <c r="C1799" t="inlineStr"/>
      <c r="D1799">
        <f>HYPERLINK("http://nlpdeep.cs.uic.edu:8080/proofing/gsii/532405-labs-imaging-3-0.pdf","gsii/532405-labs-imaging-3-0.pdf")</f>
        <v/>
      </c>
      <c r="E1799" t="n">
        <v>119960</v>
      </c>
      <c r="F1799" t="n">
        <v>532405</v>
      </c>
      <c r="G1799" t="inlineStr">
        <is>
          <t>Physician</t>
        </is>
      </c>
      <c r="H1799" t="inlineStr">
        <is>
          <t>labs-imaging</t>
        </is>
      </c>
      <c r="I1799" t="inlineStr"/>
    </row>
    <row r="1800">
      <c r="A1800" t="inlineStr">
        <is>
          <t>532405-labs-imaging-4-0</t>
        </is>
      </c>
      <c r="B1800" t="inlineStr"/>
      <c r="C1800" t="inlineStr"/>
      <c r="D1800">
        <f>HYPERLINK("http://nlpdeep.cs.uic.edu:8080/proofing/t5/532405-labs-imaging-4-0.pdf","t5/532405-labs-imaging-4-0.pdf")</f>
        <v/>
      </c>
      <c r="E1800" t="n">
        <v>119960</v>
      </c>
      <c r="F1800" t="n">
        <v>532405</v>
      </c>
      <c r="G1800" t="inlineStr">
        <is>
          <t>Physician</t>
        </is>
      </c>
      <c r="H1800" t="inlineStr">
        <is>
          <t>labs-imaging</t>
        </is>
      </c>
      <c r="I1800" t="inlineStr">
        <is>
          <t xml:space="preserve">
   [**4-6**] CT C-spine w/o contrast - 1.</t>
        </is>
      </c>
    </row>
    <row r="1801">
      <c r="A1801" t="inlineStr">
        <is>
          <t>532405-labs-imaging-4-0</t>
        </is>
      </c>
      <c r="B1801" t="inlineStr"/>
      <c r="C1801" t="inlineStr"/>
      <c r="D1801">
        <f>HYPERLINK("http://nlpdeep.cs.uic.edu:8080/proofing/gsii/532405-labs-imaging-4-0.pdf","gsii/532405-labs-imaging-4-0.pdf")</f>
        <v/>
      </c>
      <c r="E1801" t="n">
        <v>119960</v>
      </c>
      <c r="F1801" t="n">
        <v>532405</v>
      </c>
      <c r="G1801" t="inlineStr">
        <is>
          <t>Physician</t>
        </is>
      </c>
      <c r="H1801" t="inlineStr">
        <is>
          <t>labs-imaging</t>
        </is>
      </c>
      <c r="I1801" t="inlineStr">
        <is>
          <t xml:space="preserve">
   [**4-6**] CT C-spine w/o contrast - 1.</t>
        </is>
      </c>
    </row>
    <row r="1802">
      <c r="A1802" t="inlineStr">
        <is>
          <t>532405-labs-imaging-4-1</t>
        </is>
      </c>
      <c r="B1802" t="inlineStr"/>
      <c r="C1802" t="inlineStr"/>
      <c r="D1802">
        <f>HYPERLINK("http://nlpdeep.cs.uic.edu:8080/proofing/t5/532405-labs-imaging-4-1.pdf","t5/532405-labs-imaging-4-1.pdf")</f>
        <v/>
      </c>
      <c r="E1802" t="n">
        <v>119960</v>
      </c>
      <c r="F1802" t="n">
        <v>532405</v>
      </c>
      <c r="G1802" t="inlineStr">
        <is>
          <t>Physician</t>
        </is>
      </c>
      <c r="H1802" t="inlineStr">
        <is>
          <t>labs-imaging</t>
        </is>
      </c>
      <c r="I1802" t="inlineStr">
        <is>
          <t>No fracture.</t>
        </is>
      </c>
    </row>
    <row r="1803">
      <c r="A1803" t="inlineStr">
        <is>
          <t>532405-labs-imaging-4-1</t>
        </is>
      </c>
      <c r="B1803" t="inlineStr"/>
      <c r="C1803" t="inlineStr"/>
      <c r="D1803">
        <f>HYPERLINK("http://nlpdeep.cs.uic.edu:8080/proofing/gsii/532405-labs-imaging-4-1.pdf","gsii/532405-labs-imaging-4-1.pdf")</f>
        <v/>
      </c>
      <c r="E1803" t="n">
        <v>119960</v>
      </c>
      <c r="F1803" t="n">
        <v>532405</v>
      </c>
      <c r="G1803" t="inlineStr">
        <is>
          <t>Physician</t>
        </is>
      </c>
      <c r="H1803" t="inlineStr">
        <is>
          <t>labs-imaging</t>
        </is>
      </c>
      <c r="I1803" t="inlineStr">
        <is>
          <t>No fracture.</t>
        </is>
      </c>
    </row>
    <row r="1804">
      <c r="A1804" t="inlineStr">
        <is>
          <t>532405-labs-imaging-4-2</t>
        </is>
      </c>
      <c r="B1804" t="inlineStr"/>
      <c r="C1804" t="inlineStr"/>
      <c r="D1804">
        <f>HYPERLINK("http://nlpdeep.cs.uic.edu:8080/proofing/t5/532405-labs-imaging-4-2.pdf","t5/532405-labs-imaging-4-2.pdf")</f>
        <v/>
      </c>
      <c r="E1804" t="n">
        <v>119960</v>
      </c>
      <c r="F1804" t="n">
        <v>532405</v>
      </c>
      <c r="G1804" t="inlineStr">
        <is>
          <t>Physician</t>
        </is>
      </c>
      <c r="H1804" t="inlineStr">
        <is>
          <t>labs-imaging</t>
        </is>
      </c>
      <c r="I1804" t="inlineStr">
        <is>
          <t>Multilevel
   degenerative change.</t>
        </is>
      </c>
    </row>
    <row r="1805">
      <c r="A1805" t="inlineStr">
        <is>
          <t>532405-labs-imaging-4-2</t>
        </is>
      </c>
      <c r="B1805" t="inlineStr"/>
      <c r="C1805" t="inlineStr"/>
      <c r="D1805">
        <f>HYPERLINK("http://nlpdeep.cs.uic.edu:8080/proofing/gsii/532405-labs-imaging-4-2.pdf","gsii/532405-labs-imaging-4-2.pdf")</f>
        <v/>
      </c>
      <c r="E1805" t="n">
        <v>119960</v>
      </c>
      <c r="F1805" t="n">
        <v>532405</v>
      </c>
      <c r="G1805" t="inlineStr">
        <is>
          <t>Physician</t>
        </is>
      </c>
      <c r="H1805" t="inlineStr">
        <is>
          <t>labs-imaging</t>
        </is>
      </c>
      <c r="I1805" t="inlineStr">
        <is>
          <t>Multilevel
   degenerative change.</t>
        </is>
      </c>
    </row>
    <row r="1806">
      <c r="A1806" t="inlineStr">
        <is>
          <t>532405-labs-imaging-4-3</t>
        </is>
      </c>
      <c r="B1806" t="inlineStr"/>
      <c r="C1806" t="inlineStr"/>
      <c r="D1806">
        <f>HYPERLINK("http://nlpdeep.cs.uic.edu:8080/proofing/t5/532405-labs-imaging-4-3.pdf","t5/532405-labs-imaging-4-3.pdf")</f>
        <v/>
      </c>
      <c r="E1806" t="n">
        <v>119960</v>
      </c>
      <c r="F1806" t="n">
        <v>532405</v>
      </c>
      <c r="G1806" t="inlineStr">
        <is>
          <t>Physician</t>
        </is>
      </c>
      <c r="H1806" t="inlineStr">
        <is>
          <t>labs-imaging</t>
        </is>
      </c>
      <c r="I1806" t="inlineStr">
        <is>
          <t>Grade I anterolisthesis of C7 on T1 and T1 on
   T2, presumably degenerative in nature.</t>
        </is>
      </c>
    </row>
    <row r="1807">
      <c r="A1807" t="inlineStr">
        <is>
          <t>532405-labs-imaging-4-3</t>
        </is>
      </c>
      <c r="B1807" t="inlineStr"/>
      <c r="C1807" t="inlineStr"/>
      <c r="D1807">
        <f>HYPERLINK("http://nlpdeep.cs.uic.edu:8080/proofing/gsii/532405-labs-imaging-4-3.pdf","gsii/532405-labs-imaging-4-3.pdf")</f>
        <v/>
      </c>
      <c r="E1807" t="n">
        <v>119960</v>
      </c>
      <c r="F1807" t="n">
        <v>532405</v>
      </c>
      <c r="G1807" t="inlineStr">
        <is>
          <t>Physician</t>
        </is>
      </c>
      <c r="H1807" t="inlineStr">
        <is>
          <t>labs-imaging</t>
        </is>
      </c>
      <c r="I1807" t="inlineStr">
        <is>
          <t>Grade I anterolisthesis of C7 on T1 and T1 on
   T2, presumably degenerative in nature.</t>
        </is>
      </c>
    </row>
    <row r="1808">
      <c r="A1808" t="inlineStr">
        <is>
          <t>532405-labs-imaging-5-0</t>
        </is>
      </c>
      <c r="B1808" t="inlineStr"/>
      <c r="C1808" t="inlineStr"/>
      <c r="D1808">
        <f>HYPERLINK("http://nlpdeep.cs.uic.edu:8080/proofing/t5/532405-labs-imaging-5-0.pdf","t5/532405-labs-imaging-5-0.pdf")</f>
        <v/>
      </c>
      <c r="E1808" t="n">
        <v>119960</v>
      </c>
      <c r="F1808" t="n">
        <v>532405</v>
      </c>
      <c r="G1808" t="inlineStr">
        <is>
          <t>Physician</t>
        </is>
      </c>
      <c r="H1808" t="inlineStr">
        <is>
          <t>labs-imaging</t>
        </is>
      </c>
      <c r="I1808" t="inlineStr">
        <is>
          <t xml:space="preserve">
   [**4-6**] CT head w/o contrast - There is no hemorrhage, edema, mass effect,
   shift of midline structures, or evidence of major vascular territorial
   infarction.</t>
        </is>
      </c>
    </row>
    <row r="1809">
      <c r="A1809" t="inlineStr">
        <is>
          <t>532405-labs-imaging-5-0</t>
        </is>
      </c>
      <c r="B1809" t="inlineStr"/>
      <c r="C1809" t="inlineStr"/>
      <c r="D1809">
        <f>HYPERLINK("http://nlpdeep.cs.uic.edu:8080/proofing/gsii/532405-labs-imaging-5-0.pdf","gsii/532405-labs-imaging-5-0.pdf")</f>
        <v/>
      </c>
      <c r="E1809" t="n">
        <v>119960</v>
      </c>
      <c r="F1809" t="n">
        <v>532405</v>
      </c>
      <c r="G1809" t="inlineStr">
        <is>
          <t>Physician</t>
        </is>
      </c>
      <c r="H1809" t="inlineStr">
        <is>
          <t>labs-imaging</t>
        </is>
      </c>
      <c r="I1809" t="inlineStr">
        <is>
          <t xml:space="preserve">
   [**4-6**] CT head w/o contrast - There is no hemorrhage, edema, mass effect,
   shift of midline structures, or evidence of major vascular territorial
   infarction.</t>
        </is>
      </c>
    </row>
    <row r="1810">
      <c r="A1810" t="inlineStr">
        <is>
          <t>532405-labs-imaging-5-1</t>
        </is>
      </c>
      <c r="B1810" t="inlineStr"/>
      <c r="C1810" t="inlineStr"/>
      <c r="D1810">
        <f>HYPERLINK("http://nlpdeep.cs.uic.edu:8080/proofing/t5/532405-labs-imaging-5-1.pdf","t5/532405-labs-imaging-5-1.pdf")</f>
        <v/>
      </c>
      <c r="E1810" t="n">
        <v>119960</v>
      </c>
      <c r="F1810" t="n">
        <v>532405</v>
      </c>
      <c r="G1810" t="inlineStr">
        <is>
          <t>Physician</t>
        </is>
      </c>
      <c r="H1810" t="inlineStr">
        <is>
          <t>labs-imaging</t>
        </is>
      </c>
      <c r="I1810" t="inlineStr">
        <is>
          <t>There is no acute fracture.</t>
        </is>
      </c>
    </row>
    <row r="1811">
      <c r="A1811" t="inlineStr">
        <is>
          <t>532405-labs-imaging-5-1</t>
        </is>
      </c>
      <c r="B1811" t="inlineStr"/>
      <c r="C1811" t="inlineStr"/>
      <c r="D1811">
        <f>HYPERLINK("http://nlpdeep.cs.uic.edu:8080/proofing/gsii/532405-labs-imaging-5-1.pdf","gsii/532405-labs-imaging-5-1.pdf")</f>
        <v/>
      </c>
      <c r="E1811" t="n">
        <v>119960</v>
      </c>
      <c r="F1811" t="n">
        <v>532405</v>
      </c>
      <c r="G1811" t="inlineStr">
        <is>
          <t>Physician</t>
        </is>
      </c>
      <c r="H1811" t="inlineStr">
        <is>
          <t>labs-imaging</t>
        </is>
      </c>
      <c r="I1811" t="inlineStr">
        <is>
          <t>There is no acute fracture.</t>
        </is>
      </c>
    </row>
    <row r="1812">
      <c r="A1812" t="inlineStr">
        <is>
          <t>532405-labs-imaging-5-2</t>
        </is>
      </c>
      <c r="B1812" t="inlineStr"/>
      <c r="C1812" t="inlineStr"/>
      <c r="D1812">
        <f>HYPERLINK("http://nlpdeep.cs.uic.edu:8080/proofing/t5/532405-labs-imaging-5-2.pdf","t5/532405-labs-imaging-5-2.pdf")</f>
        <v/>
      </c>
      <c r="E1812" t="n">
        <v>119960</v>
      </c>
      <c r="F1812" t="n">
        <v>532405</v>
      </c>
      <c r="G1812" t="inlineStr">
        <is>
          <t>Physician</t>
        </is>
      </c>
      <c r="H1812" t="inlineStr">
        <is>
          <t>labs-imaging</t>
        </is>
      </c>
      <c r="I1812" t="inlineStr">
        <is>
          <t>There is prominence of
   ventricles and sulci consistent with age-related parenchymal
   involutional change.</t>
        </is>
      </c>
    </row>
    <row r="1813">
      <c r="A1813" t="inlineStr">
        <is>
          <t>532405-labs-imaging-5-2</t>
        </is>
      </c>
      <c r="B1813" t="inlineStr"/>
      <c r="C1813" t="inlineStr"/>
      <c r="D1813">
        <f>HYPERLINK("http://nlpdeep.cs.uic.edu:8080/proofing/gsii/532405-labs-imaging-5-2.pdf","gsii/532405-labs-imaging-5-2.pdf")</f>
        <v/>
      </c>
      <c r="E1813" t="n">
        <v>119960</v>
      </c>
      <c r="F1813" t="n">
        <v>532405</v>
      </c>
      <c r="G1813" t="inlineStr">
        <is>
          <t>Physician</t>
        </is>
      </c>
      <c r="H1813" t="inlineStr">
        <is>
          <t>labs-imaging</t>
        </is>
      </c>
      <c r="I1813" t="inlineStr">
        <is>
          <t>There is prominence of
   ventricles and sulci consistent with age-related parenchymal
   involutional change.</t>
        </is>
      </c>
    </row>
    <row r="1814">
      <c r="A1814" t="inlineStr">
        <is>
          <t>532405-labs-imaging-5-3</t>
        </is>
      </c>
      <c r="B1814" t="inlineStr"/>
      <c r="C1814" t="inlineStr"/>
      <c r="D1814">
        <f>HYPERLINK("http://nlpdeep.cs.uic.edu:8080/proofing/t5/532405-labs-imaging-5-3.pdf","t5/532405-labs-imaging-5-3.pdf")</f>
        <v/>
      </c>
      <c r="E1814" t="n">
        <v>119960</v>
      </c>
      <c r="F1814" t="n">
        <v>532405</v>
      </c>
      <c r="G1814" t="inlineStr">
        <is>
          <t>Physician</t>
        </is>
      </c>
      <c r="H1814" t="inlineStr">
        <is>
          <t>labs-imaging</t>
        </is>
      </c>
      <c r="I1814" t="inlineStr">
        <is>
          <t>There is periventricular hypodensity consistent
   with chronic small vessel ischemic change.</t>
        </is>
      </c>
    </row>
    <row r="1815">
      <c r="A1815" t="inlineStr">
        <is>
          <t>532405-labs-imaging-5-3</t>
        </is>
      </c>
      <c r="B1815" t="inlineStr"/>
      <c r="C1815" t="inlineStr"/>
      <c r="D1815">
        <f>HYPERLINK("http://nlpdeep.cs.uic.edu:8080/proofing/gsii/532405-labs-imaging-5-3.pdf","gsii/532405-labs-imaging-5-3.pdf")</f>
        <v/>
      </c>
      <c r="E1815" t="n">
        <v>119960</v>
      </c>
      <c r="F1815" t="n">
        <v>532405</v>
      </c>
      <c r="G1815" t="inlineStr">
        <is>
          <t>Physician</t>
        </is>
      </c>
      <c r="H1815" t="inlineStr">
        <is>
          <t>labs-imaging</t>
        </is>
      </c>
      <c r="I1815" t="inlineStr">
        <is>
          <t>There is periventricular hypodensity consistent
   with chronic small vessel ischemic change.</t>
        </is>
      </c>
    </row>
    <row r="1816">
      <c r="A1816" t="inlineStr">
        <is>
          <t>532405-labs-imaging-5-4</t>
        </is>
      </c>
      <c r="B1816" t="inlineStr"/>
      <c r="C1816" t="inlineStr"/>
      <c r="D1816">
        <f>HYPERLINK("http://nlpdeep.cs.uic.edu:8080/proofing/t5/532405-labs-imaging-5-4.pdf","t5/532405-labs-imaging-5-4.pdf")</f>
        <v/>
      </c>
      <c r="E1816" t="n">
        <v>119960</v>
      </c>
      <c r="F1816" t="n">
        <v>532405</v>
      </c>
      <c r="G1816" t="inlineStr">
        <is>
          <t>Physician</t>
        </is>
      </c>
      <c r="H1816" t="inlineStr">
        <is>
          <t>labs-imaging</t>
        </is>
      </c>
      <c r="I1816" t="inlineStr">
        <is>
          <t>There is a subcentimeter
   right frontal sinus osteoma (2:16).</t>
        </is>
      </c>
    </row>
    <row r="1817">
      <c r="A1817" t="inlineStr">
        <is>
          <t>532405-labs-imaging-5-4</t>
        </is>
      </c>
      <c r="B1817" t="inlineStr"/>
      <c r="C1817" t="inlineStr"/>
      <c r="D1817">
        <f>HYPERLINK("http://nlpdeep.cs.uic.edu:8080/proofing/gsii/532405-labs-imaging-5-4.pdf","gsii/532405-labs-imaging-5-4.pdf")</f>
        <v/>
      </c>
      <c r="E1817" t="n">
        <v>119960</v>
      </c>
      <c r="F1817" t="n">
        <v>532405</v>
      </c>
      <c r="G1817" t="inlineStr">
        <is>
          <t>Physician</t>
        </is>
      </c>
      <c r="H1817" t="inlineStr">
        <is>
          <t>labs-imaging</t>
        </is>
      </c>
      <c r="I1817" t="inlineStr">
        <is>
          <t>There is a subcentimeter
   right frontal sinus osteoma (2:16).</t>
        </is>
      </c>
    </row>
    <row r="1818">
      <c r="A1818" t="inlineStr">
        <is>
          <t>532405-labs-imaging-6-0</t>
        </is>
      </c>
      <c r="B1818" t="inlineStr"/>
      <c r="C1818" t="inlineStr"/>
      <c r="D1818">
        <f>HYPERLINK("http://nlpdeep.cs.uic.edu:8080/proofing/t5/532405-labs-imaging-6-0.pdf","t5/532405-labs-imaging-6-0.pdf")</f>
        <v/>
      </c>
      <c r="E1818" t="n">
        <v>119960</v>
      </c>
      <c r="F1818" t="n">
        <v>532405</v>
      </c>
      <c r="G1818" t="inlineStr">
        <is>
          <t>Physician</t>
        </is>
      </c>
      <c r="H1818" t="inlineStr">
        <is>
          <t>labs-imaging</t>
        </is>
      </c>
      <c r="I1818" t="inlineStr">
        <is>
          <t xml:space="preserve">
   EKG: HR 60, QRS 134, QTc 494.</t>
        </is>
      </c>
    </row>
    <row r="1819">
      <c r="A1819" t="inlineStr">
        <is>
          <t>532405-labs-imaging-6-0</t>
        </is>
      </c>
      <c r="B1819" t="inlineStr"/>
      <c r="C1819" t="inlineStr"/>
      <c r="D1819">
        <f>HYPERLINK("http://nlpdeep.cs.uic.edu:8080/proofing/gsii/532405-labs-imaging-6-0.pdf","gsii/532405-labs-imaging-6-0.pdf")</f>
        <v/>
      </c>
      <c r="E1819" t="n">
        <v>119960</v>
      </c>
      <c r="F1819" t="n">
        <v>532405</v>
      </c>
      <c r="G1819" t="inlineStr">
        <is>
          <t>Physician</t>
        </is>
      </c>
      <c r="H1819" t="inlineStr">
        <is>
          <t>labs-imaging</t>
        </is>
      </c>
      <c r="I1819" t="inlineStr">
        <is>
          <t xml:space="preserve">
   EKG: HR 60, QRS 134, QTc 494.</t>
        </is>
      </c>
    </row>
    <row r="1820">
      <c r="A1820" t="inlineStr">
        <is>
          <t>532405-labs-imaging-6-1</t>
        </is>
      </c>
      <c r="B1820" t="inlineStr"/>
      <c r="C1820" t="inlineStr"/>
      <c r="D1820">
        <f>HYPERLINK("http://nlpdeep.cs.uic.edu:8080/proofing/t5/532405-labs-imaging-6-1.pdf","t5/532405-labs-imaging-6-1.pdf")</f>
        <v/>
      </c>
      <c r="E1820" t="n">
        <v>119960</v>
      </c>
      <c r="F1820" t="n">
        <v>532405</v>
      </c>
      <c r="G1820" t="inlineStr">
        <is>
          <t>Physician</t>
        </is>
      </c>
      <c r="H1820" t="inlineStr">
        <is>
          <t>labs-imaging</t>
        </is>
      </c>
      <c r="I1820" t="inlineStr">
        <is>
          <t>Atrial fibrillation.</t>
        </is>
      </c>
    </row>
    <row r="1821">
      <c r="A1821" t="inlineStr">
        <is>
          <t>532405-labs-imaging-6-1</t>
        </is>
      </c>
      <c r="B1821" t="inlineStr"/>
      <c r="C1821" t="inlineStr"/>
      <c r="D1821">
        <f>HYPERLINK("http://nlpdeep.cs.uic.edu:8080/proofing/gsii/532405-labs-imaging-6-1.pdf","gsii/532405-labs-imaging-6-1.pdf")</f>
        <v/>
      </c>
      <c r="E1821" t="n">
        <v>119960</v>
      </c>
      <c r="F1821" t="n">
        <v>532405</v>
      </c>
      <c r="G1821" t="inlineStr">
        <is>
          <t>Physician</t>
        </is>
      </c>
      <c r="H1821" t="inlineStr">
        <is>
          <t>labs-imaging</t>
        </is>
      </c>
      <c r="I1821" t="inlineStr">
        <is>
          <t>Atrial fibrillation.</t>
        </is>
      </c>
    </row>
    <row r="1822">
      <c r="A1822" t="inlineStr">
        <is>
          <t>532405-labs-imaging-6-2</t>
        </is>
      </c>
      <c r="B1822" t="inlineStr"/>
      <c r="C1822" t="inlineStr"/>
      <c r="D1822">
        <f>HYPERLINK("http://nlpdeep.cs.uic.edu:8080/proofing/t5/532405-labs-imaging-6-2.pdf","t5/532405-labs-imaging-6-2.pdf")</f>
        <v/>
      </c>
      <c r="E1822" t="n">
        <v>119960</v>
      </c>
      <c r="F1822" t="n">
        <v>532405</v>
      </c>
      <c r="G1822" t="inlineStr">
        <is>
          <t>Physician</t>
        </is>
      </c>
      <c r="H1822" t="inlineStr">
        <is>
          <t>labs-imaging</t>
        </is>
      </c>
      <c r="I1822" t="inlineStr">
        <is>
          <t>RBBB.</t>
        </is>
      </c>
    </row>
    <row r="1823">
      <c r="A1823" t="inlineStr">
        <is>
          <t>532405-labs-imaging-6-2</t>
        </is>
      </c>
      <c r="B1823" t="inlineStr"/>
      <c r="C1823" t="inlineStr"/>
      <c r="D1823">
        <f>HYPERLINK("http://nlpdeep.cs.uic.edu:8080/proofing/gsii/532405-labs-imaging-6-2.pdf","gsii/532405-labs-imaging-6-2.pdf")</f>
        <v/>
      </c>
      <c r="E1823" t="n">
        <v>119960</v>
      </c>
      <c r="F1823" t="n">
        <v>532405</v>
      </c>
      <c r="G1823" t="inlineStr">
        <is>
          <t>Physician</t>
        </is>
      </c>
      <c r="H1823" t="inlineStr">
        <is>
          <t>labs-imaging</t>
        </is>
      </c>
      <c r="I1823" t="inlineStr">
        <is>
          <t>RBBB.</t>
        </is>
      </c>
    </row>
    <row r="1824">
      <c r="A1824" t="inlineStr">
        <is>
          <t>532405-labs-imaging-6-3</t>
        </is>
      </c>
      <c r="B1824" t="inlineStr"/>
      <c r="C1824" t="inlineStr"/>
      <c r="D1824">
        <f>HYPERLINK("http://nlpdeep.cs.uic.edu:8080/proofing/t5/532405-labs-imaging-6-3.pdf","t5/532405-labs-imaging-6-3.pdf")</f>
        <v/>
      </c>
      <c r="E1824" t="n">
        <v>119960</v>
      </c>
      <c r="F1824" t="n">
        <v>532405</v>
      </c>
      <c r="G1824" t="inlineStr">
        <is>
          <t>Physician</t>
        </is>
      </c>
      <c r="H1824" t="inlineStr">
        <is>
          <t>labs-imaging</t>
        </is>
      </c>
      <c r="I1824" t="inlineStr">
        <is>
          <t>ST depression
   in V3 (unchanged from previous comparison, [**2141-3-17**])</t>
        </is>
      </c>
    </row>
    <row r="1825">
      <c r="A1825" t="inlineStr">
        <is>
          <t>532405-labs-imaging-6-3</t>
        </is>
      </c>
      <c r="B1825" t="inlineStr"/>
      <c r="C1825" t="inlineStr"/>
      <c r="D1825">
        <f>HYPERLINK("http://nlpdeep.cs.uic.edu:8080/proofing/gsii/532405-labs-imaging-6-3.pdf","gsii/532405-labs-imaging-6-3.pdf")</f>
        <v/>
      </c>
      <c r="E1825" t="n">
        <v>119960</v>
      </c>
      <c r="F1825" t="n">
        <v>532405</v>
      </c>
      <c r="G1825" t="inlineStr">
        <is>
          <t>Physician</t>
        </is>
      </c>
      <c r="H1825" t="inlineStr">
        <is>
          <t>labs-imaging</t>
        </is>
      </c>
      <c r="I1825" t="inlineStr">
        <is>
          <t>ST depression
   in V3 (unchanged from previous comparison, [**2141-3-17**])</t>
        </is>
      </c>
    </row>
    <row r="1826">
      <c r="A1826" t="inlineStr">
        <is>
          <t>532405-assessment-and-plan-0-0</t>
        </is>
      </c>
      <c r="B1826" t="inlineStr"/>
      <c r="C1826" t="inlineStr"/>
      <c r="D1826">
        <f>HYPERLINK("http://nlpdeep.cs.uic.edu:8080/proofing/t5/532405-assessment-and-plan-0-0.pdf","t5/532405-assessment-and-plan-0-0.pdf")</f>
        <v/>
      </c>
      <c r="E1826" t="n">
        <v>119960</v>
      </c>
      <c r="F1826" t="n">
        <v>532405</v>
      </c>
      <c r="G1826" t="inlineStr">
        <is>
          <t>Physician</t>
        </is>
      </c>
      <c r="H1826" t="inlineStr">
        <is>
          <t>assessment-and-plan</t>
        </is>
      </c>
      <c r="I1826" t="inlineStr">
        <is>
          <t>ICU Care
   Nutrition:
   Glycemic Control:
   Lines:
   18 Gauge - [**2141-4-6**] 08:30 PM
   Prophylaxis:
   DVT:
   Stress ulcer:
   VAP:
   Comments:
   Communication:  Comments:
   Code status:
   Disposition:</t>
        </is>
      </c>
    </row>
    <row r="1827">
      <c r="A1827" t="inlineStr">
        <is>
          <t>532405-assessment-and-plan-0-0</t>
        </is>
      </c>
      <c r="B1827" t="inlineStr"/>
      <c r="C1827" t="inlineStr"/>
      <c r="D1827">
        <f>HYPERLINK("http://nlpdeep.cs.uic.edu:8080/proofing/gsii/532405-assessment-and-plan-0-0.pdf","gsii/532405-assessment-and-plan-0-0.pdf")</f>
        <v/>
      </c>
      <c r="E1827" t="n">
        <v>119960</v>
      </c>
      <c r="F1827" t="n">
        <v>532405</v>
      </c>
      <c r="G1827" t="inlineStr">
        <is>
          <t>Physician</t>
        </is>
      </c>
      <c r="H1827" t="inlineStr">
        <is>
          <t>assessment-and-plan</t>
        </is>
      </c>
      <c r="I1827" t="inlineStr">
        <is>
          <t>ICU Care
   Nutrition:
   Glycemic Control:
   Lines:
   18 Gauge - [**2141-4-6**] 08:30 PM
   Prophylaxis:
   DVT:
   Stress ulcer:
   VAP:
   Comments:
   Communication:  Comments:
   Code status:
   Disposition:</t>
        </is>
      </c>
    </row>
    <row r="1828">
      <c r="A1828" t="inlineStr">
        <is>
          <t>532405-communication-0-0</t>
        </is>
      </c>
      <c r="B1828" t="inlineStr"/>
      <c r="C1828" t="inlineStr"/>
      <c r="D1828">
        <f>HYPERLINK("http://nlpdeep.cs.uic.edu:8080/proofing/t5/532405-communication-0-0.pdf","t5/532405-communication-0-0.pdf")</f>
        <v/>
      </c>
      <c r="E1828" t="n">
        <v>119960</v>
      </c>
      <c r="F1828" t="n">
        <v>532405</v>
      </c>
      <c r="G1828" t="inlineStr">
        <is>
          <t>Physician</t>
        </is>
      </c>
      <c r="H1828" t="inlineStr">
        <is>
          <t>communication</t>
        </is>
      </c>
      <c r="I1828" t="inlineStr">
        <is>
          <t>Patient, wife [**Name (NI) **] [**Name (NI) 14481**] [</t>
        </is>
      </c>
    </row>
    <row r="1829">
      <c r="A1829" t="inlineStr">
        <is>
          <t>532405-communication-0-0</t>
        </is>
      </c>
      <c r="B1829" t="inlineStr"/>
      <c r="C1829" t="inlineStr"/>
      <c r="D1829">
        <f>HYPERLINK("http://nlpdeep.cs.uic.edu:8080/proofing/gsii/532405-communication-0-0.pdf","gsii/532405-communication-0-0.pdf")</f>
        <v/>
      </c>
      <c r="E1829" t="n">
        <v>119960</v>
      </c>
      <c r="F1829" t="n">
        <v>532405</v>
      </c>
      <c r="G1829" t="inlineStr">
        <is>
          <t>Physician</t>
        </is>
      </c>
      <c r="H1829" t="inlineStr">
        <is>
          <t>communication</t>
        </is>
      </c>
      <c r="I1829" t="inlineStr">
        <is>
          <t>Patient, wife [**Name (NI) **] [**Name (NI) 14481**] [</t>
        </is>
      </c>
    </row>
    <row r="1830">
      <c r="A1830" t="inlineStr">
        <is>
          <t>532405-code-status-0-0</t>
        </is>
      </c>
      <c r="B1830" t="inlineStr"/>
      <c r="C1830" t="inlineStr"/>
      <c r="D1830">
        <f>HYPERLINK("http://nlpdeep.cs.uic.edu:8080/proofing/t5/532405-code-status-0-0.pdf","t5/532405-code-status-0-0.pdf")</f>
        <v/>
      </c>
      <c r="E1830" t="n">
        <v>119960</v>
      </c>
      <c r="F1830" t="n">
        <v>532405</v>
      </c>
      <c r="G1830" t="inlineStr">
        <is>
          <t>Physician</t>
        </is>
      </c>
      <c r="H1830" t="inlineStr">
        <is>
          <t>code-status</t>
        </is>
      </c>
      <c r="I1830" t="inlineStr">
        <is>
          <t>DNR/DNI (discussed with patient and wife) but willing to be
   Full Code for O</t>
        </is>
      </c>
    </row>
    <row r="1831">
      <c r="A1831" t="inlineStr">
        <is>
          <t>532405-code-status-0-0</t>
        </is>
      </c>
      <c r="B1831" t="inlineStr"/>
      <c r="C1831" t="inlineStr"/>
      <c r="D1831">
        <f>HYPERLINK("http://nlpdeep.cs.uic.edu:8080/proofing/gsii/532405-code-status-0-0.pdf","gsii/532405-code-status-0-0.pdf")</f>
        <v/>
      </c>
      <c r="E1831" t="n">
        <v>119960</v>
      </c>
      <c r="F1831" t="n">
        <v>532405</v>
      </c>
      <c r="G1831" t="inlineStr">
        <is>
          <t>Physician</t>
        </is>
      </c>
      <c r="H1831" t="inlineStr">
        <is>
          <t>code-status</t>
        </is>
      </c>
      <c r="I1831" t="inlineStr">
        <is>
          <t>DNR/DNI (discussed with patient and wife) but willing to be
   Full Code for O</t>
        </is>
      </c>
    </row>
    <row r="1832">
      <c r="A1832" t="inlineStr">
        <is>
          <t>532405-disposition-0-0</t>
        </is>
      </c>
      <c r="B1832" t="inlineStr"/>
      <c r="C1832" t="inlineStr"/>
      <c r="D1832">
        <f>HYPERLINK("http://nlpdeep.cs.uic.edu:8080/proofing/t5/532405-disposition-0-0.pdf","t5/532405-disposition-0-0.pdf")</f>
        <v/>
      </c>
      <c r="E1832" t="n">
        <v>119960</v>
      </c>
      <c r="F1832" t="n">
        <v>532405</v>
      </c>
      <c r="G1832" t="inlineStr">
        <is>
          <t>Physician</t>
        </is>
      </c>
      <c r="H1832" t="inlineStr">
        <is>
          <t>disposition</t>
        </is>
      </c>
      <c r="I1832" t="inlineStr">
        <is>
          <t>ICU pending clinical i</t>
        </is>
      </c>
    </row>
    <row r="1833">
      <c r="A1833" t="inlineStr">
        <is>
          <t>532405-disposition-0-0</t>
        </is>
      </c>
      <c r="B1833" t="inlineStr"/>
      <c r="C1833" t="inlineStr"/>
      <c r="D1833">
        <f>HYPERLINK("http://nlpdeep.cs.uic.edu:8080/proofing/gsii/532405-disposition-0-0.pdf","gsii/532405-disposition-0-0.pdf")</f>
        <v/>
      </c>
      <c r="E1833" t="n">
        <v>119960</v>
      </c>
      <c r="F1833" t="n">
        <v>532405</v>
      </c>
      <c r="G1833" t="inlineStr">
        <is>
          <t>Physician</t>
        </is>
      </c>
      <c r="H1833" t="inlineStr">
        <is>
          <t>disposition</t>
        </is>
      </c>
      <c r="I1833" t="inlineStr">
        <is>
          <t>ICU pending clinical i</t>
        </is>
      </c>
    </row>
    <row r="1834">
      <c r="A1834" t="inlineStr">
        <is>
          <t>532422-addendum-0-0</t>
        </is>
      </c>
      <c r="B1834" t="inlineStr"/>
      <c r="C1834" t="inlineStr"/>
      <c r="D1834">
        <f>HYPERLINK("http://nlpdeep.cs.uic.edu:8080/proofing/t5/532422-addendum-0-0.pdf","t5/532422-addendum-0-0.pdf")</f>
        <v/>
      </c>
      <c r="E1834" t="n">
        <v>119960</v>
      </c>
      <c r="F1834" t="n">
        <v>532422</v>
      </c>
      <c r="G1834" t="inlineStr">
        <is>
          <t>Physician</t>
        </is>
      </c>
      <c r="H1834" t="inlineStr">
        <is>
          <t>addendum</t>
        </is>
      </c>
      <c r="I1834" t="inlineStr">
        <is>
          <t>saw and examined the patient and was physically present with the ICU
   team for the key portions of the services provided.</t>
        </is>
      </c>
    </row>
    <row r="1835">
      <c r="A1835" t="inlineStr">
        <is>
          <t>532422-addendum-0-0</t>
        </is>
      </c>
      <c r="B1835" t="inlineStr"/>
      <c r="C1835" t="inlineStr"/>
      <c r="D1835">
        <f>HYPERLINK("http://nlpdeep.cs.uic.edu:8080/proofing/gsii/532422-addendum-0-0.pdf","gsii/532422-addendum-0-0.pdf")</f>
        <v/>
      </c>
      <c r="E1835" t="n">
        <v>119960</v>
      </c>
      <c r="F1835" t="n">
        <v>532422</v>
      </c>
      <c r="G1835" t="inlineStr">
        <is>
          <t>Physician</t>
        </is>
      </c>
      <c r="H1835" t="inlineStr">
        <is>
          <t>addendum</t>
        </is>
      </c>
      <c r="I1835" t="inlineStr">
        <is>
          <t>saw and examined the patient and was physically present with the ICU
   team for the key portions of the services provided.</t>
        </is>
      </c>
    </row>
    <row r="1836">
      <c r="A1836" t="inlineStr">
        <is>
          <t>532422-addendum-0-1</t>
        </is>
      </c>
      <c r="B1836" t="inlineStr"/>
      <c r="C1836" t="inlineStr"/>
      <c r="D1836">
        <f>HYPERLINK("http://nlpdeep.cs.uic.edu:8080/proofing/t5/532422-addendum-0-1.pdf","t5/532422-addendum-0-1.pdf")</f>
        <v/>
      </c>
      <c r="E1836" t="n">
        <v>119960</v>
      </c>
      <c r="F1836" t="n">
        <v>532422</v>
      </c>
      <c r="G1836" t="inlineStr">
        <is>
          <t>Physician</t>
        </is>
      </c>
      <c r="H1836" t="inlineStr">
        <is>
          <t>addendum</t>
        </is>
      </c>
      <c r="I1836" t="inlineStr">
        <is>
          <t>I agree with the
   resident note, including the assessment and plan.</t>
        </is>
      </c>
    </row>
    <row r="1837">
      <c r="A1837" t="inlineStr">
        <is>
          <t>532422-addendum-0-1</t>
        </is>
      </c>
      <c r="B1837" t="inlineStr"/>
      <c r="C1837" t="inlineStr"/>
      <c r="D1837">
        <f>HYPERLINK("http://nlpdeep.cs.uic.edu:8080/proofing/gsii/532422-addendum-0-1.pdf","gsii/532422-addendum-0-1.pdf")</f>
        <v/>
      </c>
      <c r="E1837" t="n">
        <v>119960</v>
      </c>
      <c r="F1837" t="n">
        <v>532422</v>
      </c>
      <c r="G1837" t="inlineStr">
        <is>
          <t>Physician</t>
        </is>
      </c>
      <c r="H1837" t="inlineStr">
        <is>
          <t>addendum</t>
        </is>
      </c>
      <c r="I1837" t="inlineStr">
        <is>
          <t>I agree with the
   resident note, including the assessment and plan.</t>
        </is>
      </c>
    </row>
    <row r="1838">
      <c r="A1838" t="inlineStr">
        <is>
          <t>532422-addendum-0-2</t>
        </is>
      </c>
      <c r="B1838" t="inlineStr"/>
      <c r="C1838" t="inlineStr"/>
      <c r="D1838">
        <f>HYPERLINK("http://nlpdeep.cs.uic.edu:8080/proofing/t5/532422-addendum-0-2.pdf","t5/532422-addendum-0-2.pdf")</f>
        <v/>
      </c>
      <c r="E1838" t="n">
        <v>119960</v>
      </c>
      <c r="F1838" t="n">
        <v>532422</v>
      </c>
      <c r="G1838" t="inlineStr">
        <is>
          <t>Physician</t>
        </is>
      </c>
      <c r="H1838" t="inlineStr">
        <is>
          <t>addendum</t>
        </is>
      </c>
      <c r="I1838" t="inlineStr">
        <is>
          <t>I would emphasize and
   add the following points: 87M dCHF, a-fib (no coumadin), HTN, CRI on
   vanco taper for recurrent c diff d/cd from [**Hospital Unit Name 1**] [**3-31**] p/w L IT fx after
   mechanical fall at [**Hospital 328**] rehab.</t>
        </is>
      </c>
    </row>
    <row r="1839">
      <c r="A1839" t="inlineStr">
        <is>
          <t>532422-addendum-0-2</t>
        </is>
      </c>
      <c r="B1839" t="inlineStr"/>
      <c r="C1839" t="inlineStr"/>
      <c r="D1839">
        <f>HYPERLINK("http://nlpdeep.cs.uic.edu:8080/proofing/gsii/532422-addendum-0-2.pdf","gsii/532422-addendum-0-2.pdf")</f>
        <v/>
      </c>
      <c r="E1839" t="n">
        <v>119960</v>
      </c>
      <c r="F1839" t="n">
        <v>532422</v>
      </c>
      <c r="G1839" t="inlineStr">
        <is>
          <t>Physician</t>
        </is>
      </c>
      <c r="H1839" t="inlineStr">
        <is>
          <t>addendum</t>
        </is>
      </c>
      <c r="I1839" t="inlineStr">
        <is>
          <t>I would emphasize and
   add the following points: 87M dCHF, a-fib (no coumadin), HTN, CRI on
   vanco taper for recurrent c diff d/cd from [**Hospital Unit Name 1**] [**3-31**] p/w L IT fx after
   mechanical fall at [**Hospital 328**] rehab.</t>
        </is>
      </c>
    </row>
    <row r="1840">
      <c r="A1840" t="inlineStr">
        <is>
          <t>532422-addendum-0-3</t>
        </is>
      </c>
      <c r="B1840" t="inlineStr"/>
      <c r="C1840" t="inlineStr"/>
      <c r="D1840">
        <f>HYPERLINK("http://nlpdeep.cs.uic.edu:8080/proofing/t5/532422-addendum-0-3.pdf","t5/532422-addendum-0-3.pdf")</f>
        <v/>
      </c>
      <c r="E1840" t="n">
        <v>119960</v>
      </c>
      <c r="F1840" t="n">
        <v>532422</v>
      </c>
      <c r="G1840" t="inlineStr">
        <is>
          <t>Physician</t>
        </is>
      </c>
      <c r="H1840" t="inlineStr">
        <is>
          <t>addendum</t>
        </is>
      </c>
      <c r="I1840" t="inlineStr">
        <is>
          <t>Denied LOC, CP, SOB.</t>
        </is>
      </c>
    </row>
    <row r="1841">
      <c r="A1841" t="inlineStr">
        <is>
          <t>532422-addendum-0-3</t>
        </is>
      </c>
      <c r="B1841" t="inlineStr"/>
      <c r="C1841" t="inlineStr"/>
      <c r="D1841">
        <f>HYPERLINK("http://nlpdeep.cs.uic.edu:8080/proofing/gsii/532422-addendum-0-3.pdf","gsii/532422-addendum-0-3.pdf")</f>
        <v/>
      </c>
      <c r="E1841" t="n">
        <v>119960</v>
      </c>
      <c r="F1841" t="n">
        <v>532422</v>
      </c>
      <c r="G1841" t="inlineStr">
        <is>
          <t>Physician</t>
        </is>
      </c>
      <c r="H1841" t="inlineStr">
        <is>
          <t>addendum</t>
        </is>
      </c>
      <c r="I1841" t="inlineStr">
        <is>
          <t>Denied LOC, CP, SOB.</t>
        </is>
      </c>
    </row>
    <row r="1842">
      <c r="A1842" t="inlineStr">
        <is>
          <t>532422-addendum-0-4</t>
        </is>
      </c>
      <c r="B1842" t="inlineStr"/>
      <c r="C1842" t="inlineStr"/>
      <c r="D1842">
        <f>HYPERLINK("http://nlpdeep.cs.uic.edu:8080/proofing/t5/532422-addendum-0-4.pdf","t5/532422-addendum-0-4.pdf")</f>
        <v/>
      </c>
      <c r="E1842" t="n">
        <v>119960</v>
      </c>
      <c r="F1842" t="n">
        <v>532422</v>
      </c>
      <c r="G1842" t="inlineStr">
        <is>
          <t>Physician</t>
        </is>
      </c>
      <c r="H1842" t="inlineStr">
        <is>
          <t>addendum</t>
        </is>
      </c>
      <c r="I1842" t="inlineStr">
        <is>
          <t>Seen by ortho in
   ED with THR recommended.</t>
        </is>
      </c>
    </row>
    <row r="1843">
      <c r="A1843" t="inlineStr">
        <is>
          <t>532422-addendum-0-4</t>
        </is>
      </c>
      <c r="B1843" t="inlineStr"/>
      <c r="C1843" t="inlineStr"/>
      <c r="D1843">
        <f>HYPERLINK("http://nlpdeep.cs.uic.edu:8080/proofing/gsii/532422-addendum-0-4.pdf","gsii/532422-addendum-0-4.pdf")</f>
        <v/>
      </c>
      <c r="E1843" t="n">
        <v>119960</v>
      </c>
      <c r="F1843" t="n">
        <v>532422</v>
      </c>
      <c r="G1843" t="inlineStr">
        <is>
          <t>Physician</t>
        </is>
      </c>
      <c r="H1843" t="inlineStr">
        <is>
          <t>addendum</t>
        </is>
      </c>
      <c r="I1843" t="inlineStr">
        <is>
          <t>Seen by ortho in
   ED with THR recommended.</t>
        </is>
      </c>
    </row>
    <row r="1844">
      <c r="A1844" t="inlineStr">
        <is>
          <t>532422-addendum-0-5</t>
        </is>
      </c>
      <c r="B1844" t="inlineStr"/>
      <c r="C1844" t="inlineStr"/>
      <c r="D1844">
        <f>HYPERLINK("http://nlpdeep.cs.uic.edu:8080/proofing/t5/532422-addendum-0-5.pdf","t5/532422-addendum-0-5.pdf")</f>
        <v/>
      </c>
      <c r="E1844" t="n">
        <v>119960</v>
      </c>
      <c r="F1844" t="n">
        <v>532422</v>
      </c>
      <c r="G1844" t="inlineStr">
        <is>
          <t>Physician</t>
        </is>
      </c>
      <c r="H1844" t="inlineStr">
        <is>
          <t>addendum</t>
        </is>
      </c>
      <c r="I1844" t="inlineStr">
        <is>
          <t>Ed course also notable for hypotension to sys
   80/90s.</t>
        </is>
      </c>
    </row>
    <row r="1845">
      <c r="A1845" t="inlineStr">
        <is>
          <t>532422-addendum-0-5</t>
        </is>
      </c>
      <c r="B1845" t="inlineStr"/>
      <c r="C1845" t="inlineStr"/>
      <c r="D1845">
        <f>HYPERLINK("http://nlpdeep.cs.uic.edu:8080/proofing/gsii/532422-addendum-0-5.pdf","gsii/532422-addendum-0-5.pdf")</f>
        <v/>
      </c>
      <c r="E1845" t="n">
        <v>119960</v>
      </c>
      <c r="F1845" t="n">
        <v>532422</v>
      </c>
      <c r="G1845" t="inlineStr">
        <is>
          <t>Physician</t>
        </is>
      </c>
      <c r="H1845" t="inlineStr">
        <is>
          <t>addendum</t>
        </is>
      </c>
      <c r="I1845" t="inlineStr">
        <is>
          <t>Ed course also notable for hypotension to sys
   80/90s.</t>
        </is>
      </c>
    </row>
    <row r="1846">
      <c r="A1846" t="inlineStr">
        <is>
          <t>532422-addendum-0-6</t>
        </is>
      </c>
      <c r="B1846" t="inlineStr"/>
      <c r="C1846" t="inlineStr"/>
      <c r="D1846">
        <f>HYPERLINK("http://nlpdeep.cs.uic.edu:8080/proofing/t5/532422-addendum-0-6.pdf","t5/532422-addendum-0-6.pdf")</f>
        <v/>
      </c>
      <c r="E1846" t="n">
        <v>119960</v>
      </c>
      <c r="F1846" t="n">
        <v>532422</v>
      </c>
      <c r="G1846" t="inlineStr">
        <is>
          <t>Physician</t>
        </is>
      </c>
      <c r="H1846" t="inlineStr">
        <is>
          <t>addendum</t>
        </is>
      </c>
      <c r="I1846" t="inlineStr">
        <is>
          <t>Lab abnormalities with  Hct of 24 (bl 30) and acute on CRI.</t>
        </is>
      </c>
    </row>
    <row r="1847">
      <c r="A1847" t="inlineStr">
        <is>
          <t>532422-addendum-0-6</t>
        </is>
      </c>
      <c r="B1847" t="inlineStr"/>
      <c r="C1847" t="inlineStr"/>
      <c r="D1847">
        <f>HYPERLINK("http://nlpdeep.cs.uic.edu:8080/proofing/gsii/532422-addendum-0-6.pdf","gsii/532422-addendum-0-6.pdf")</f>
        <v/>
      </c>
      <c r="E1847" t="n">
        <v>119960</v>
      </c>
      <c r="F1847" t="n">
        <v>532422</v>
      </c>
      <c r="G1847" t="inlineStr">
        <is>
          <t>Physician</t>
        </is>
      </c>
      <c r="H1847" t="inlineStr">
        <is>
          <t>addendum</t>
        </is>
      </c>
      <c r="I1847" t="inlineStr">
        <is>
          <t>Lab abnormalities with  Hct of 24 (bl 30) and acute on CRI.</t>
        </is>
      </c>
    </row>
    <row r="1848">
      <c r="A1848" t="inlineStr">
        <is>
          <t>532422-addendum-0-7</t>
        </is>
      </c>
      <c r="B1848" t="inlineStr"/>
      <c r="C1848" t="inlineStr"/>
      <c r="D1848">
        <f>HYPERLINK("http://nlpdeep.cs.uic.edu:8080/proofing/t5/532422-addendum-0-7.pdf","t5/532422-addendum-0-7.pdf")</f>
        <v/>
      </c>
      <c r="E1848" t="n">
        <v>119960</v>
      </c>
      <c r="F1848" t="n">
        <v>532422</v>
      </c>
      <c r="G1848" t="inlineStr">
        <is>
          <t>Physician</t>
        </is>
      </c>
      <c r="H1848" t="inlineStr">
        <is>
          <t>addendum</t>
        </is>
      </c>
      <c r="I1848" t="inlineStr">
        <is>
          <t xml:space="preserve">
   Had abd/pelvic CT which showed no RP bleed, but identified [**Doctor Last Name **] adrenal
   mass.</t>
        </is>
      </c>
    </row>
    <row r="1849">
      <c r="A1849" t="inlineStr">
        <is>
          <t>532422-addendum-0-7</t>
        </is>
      </c>
      <c r="B1849" t="inlineStr"/>
      <c r="C1849" t="inlineStr"/>
      <c r="D1849">
        <f>HYPERLINK("http://nlpdeep.cs.uic.edu:8080/proofing/gsii/532422-addendum-0-7.pdf","gsii/532422-addendum-0-7.pdf")</f>
        <v/>
      </c>
      <c r="E1849" t="n">
        <v>119960</v>
      </c>
      <c r="F1849" t="n">
        <v>532422</v>
      </c>
      <c r="G1849" t="inlineStr">
        <is>
          <t>Physician</t>
        </is>
      </c>
      <c r="H1849" t="inlineStr">
        <is>
          <t>addendum</t>
        </is>
      </c>
      <c r="I1849" t="inlineStr">
        <is>
          <t xml:space="preserve">
   Had abd/pelvic CT which showed no RP bleed, but identified [**Doctor Last Name **] adrenal
   mass.</t>
        </is>
      </c>
    </row>
    <row r="1850">
      <c r="A1850" t="inlineStr">
        <is>
          <t>532422-addendum-0-8</t>
        </is>
      </c>
      <c r="B1850" t="inlineStr"/>
      <c r="C1850" t="inlineStr"/>
      <c r="D1850">
        <f>HYPERLINK("http://nlpdeep.cs.uic.edu:8080/proofing/t5/532422-addendum-0-8.pdf","t5/532422-addendum-0-8.pdf")</f>
        <v/>
      </c>
      <c r="E1850" t="n">
        <v>119960</v>
      </c>
      <c r="F1850" t="n">
        <v>532422</v>
      </c>
      <c r="G1850" t="inlineStr">
        <is>
          <t>Physician</t>
        </is>
      </c>
      <c r="H1850" t="inlineStr">
        <is>
          <t>addendum</t>
        </is>
      </c>
      <c r="I1850" t="inlineStr">
        <is>
          <t xml:space="preserve"> Rectal was heme neg.</t>
        </is>
      </c>
    </row>
    <row r="1851">
      <c r="A1851" t="inlineStr">
        <is>
          <t>532422-addendum-0-8</t>
        </is>
      </c>
      <c r="B1851" t="inlineStr"/>
      <c r="C1851" t="inlineStr"/>
      <c r="D1851">
        <f>HYPERLINK("http://nlpdeep.cs.uic.edu:8080/proofing/gsii/532422-addendum-0-8.pdf","gsii/532422-addendum-0-8.pdf")</f>
        <v/>
      </c>
      <c r="E1851" t="n">
        <v>119960</v>
      </c>
      <c r="F1851" t="n">
        <v>532422</v>
      </c>
      <c r="G1851" t="inlineStr">
        <is>
          <t>Physician</t>
        </is>
      </c>
      <c r="H1851" t="inlineStr">
        <is>
          <t>addendum</t>
        </is>
      </c>
      <c r="I1851" t="inlineStr">
        <is>
          <t xml:space="preserve"> Rectal was heme neg.</t>
        </is>
      </c>
    </row>
    <row r="1852">
      <c r="A1852" t="inlineStr">
        <is>
          <t>532422-addendum-0-9</t>
        </is>
      </c>
      <c r="B1852" t="inlineStr"/>
      <c r="C1852" t="inlineStr"/>
      <c r="D1852">
        <f>HYPERLINK("http://nlpdeep.cs.uic.edu:8080/proofing/t5/532422-addendum-0-9.pdf","t5/532422-addendum-0-9.pdf")</f>
        <v/>
      </c>
      <c r="E1852" t="n">
        <v>119960</v>
      </c>
      <c r="F1852" t="n">
        <v>532422</v>
      </c>
      <c r="G1852" t="inlineStr">
        <is>
          <t>Physician</t>
        </is>
      </c>
      <c r="H1852" t="inlineStr">
        <is>
          <t>addendum</t>
        </is>
      </c>
      <c r="I1852" t="inlineStr">
        <is>
          <t xml:space="preserve"> CXR with ? RC infiltrate --&gt; for which he
   was given levoflox.</t>
        </is>
      </c>
    </row>
    <row r="1853">
      <c r="A1853" t="inlineStr">
        <is>
          <t>532422-addendum-0-9</t>
        </is>
      </c>
      <c r="B1853" t="inlineStr"/>
      <c r="C1853" t="inlineStr"/>
      <c r="D1853">
        <f>HYPERLINK("http://nlpdeep.cs.uic.edu:8080/proofing/gsii/532422-addendum-0-9.pdf","gsii/532422-addendum-0-9.pdf")</f>
        <v/>
      </c>
      <c r="E1853" t="n">
        <v>119960</v>
      </c>
      <c r="F1853" t="n">
        <v>532422</v>
      </c>
      <c r="G1853" t="inlineStr">
        <is>
          <t>Physician</t>
        </is>
      </c>
      <c r="H1853" t="inlineStr">
        <is>
          <t>addendum</t>
        </is>
      </c>
      <c r="I1853" t="inlineStr">
        <is>
          <t xml:space="preserve"> CXR with ? RC infiltrate --&gt; for which he
   was given levoflox.</t>
        </is>
      </c>
    </row>
    <row r="1854">
      <c r="A1854" t="inlineStr">
        <is>
          <t>532422-addendum-0-10</t>
        </is>
      </c>
      <c r="B1854" t="inlineStr"/>
      <c r="C1854" t="inlineStr"/>
      <c r="D1854">
        <f>HYPERLINK("http://nlpdeep.cs.uic.edu:8080/proofing/t5/532422-addendum-0-10.pdf","t5/532422-addendum-0-10.pdf")</f>
        <v/>
      </c>
      <c r="E1854" t="n">
        <v>119960</v>
      </c>
      <c r="F1854" t="n">
        <v>532422</v>
      </c>
      <c r="G1854" t="inlineStr">
        <is>
          <t>Physician</t>
        </is>
      </c>
      <c r="H1854" t="inlineStr">
        <is>
          <t>addendum</t>
        </is>
      </c>
      <c r="I1854" t="inlineStr">
        <is>
          <t xml:space="preserve"> Admitted to ICU for further management.</t>
        </is>
      </c>
    </row>
    <row r="1855">
      <c r="A1855" t="inlineStr">
        <is>
          <t>532422-addendum-0-10</t>
        </is>
      </c>
      <c r="B1855" t="inlineStr"/>
      <c r="C1855" t="inlineStr"/>
      <c r="D1855">
        <f>HYPERLINK("http://nlpdeep.cs.uic.edu:8080/proofing/gsii/532422-addendum-0-10.pdf","gsii/532422-addendum-0-10.pdf")</f>
        <v/>
      </c>
      <c r="E1855" t="n">
        <v>119960</v>
      </c>
      <c r="F1855" t="n">
        <v>532422</v>
      </c>
      <c r="G1855" t="inlineStr">
        <is>
          <t>Physician</t>
        </is>
      </c>
      <c r="H1855" t="inlineStr">
        <is>
          <t>addendum</t>
        </is>
      </c>
      <c r="I1855" t="inlineStr">
        <is>
          <t xml:space="preserve"> Admitted to ICU for further management.</t>
        </is>
      </c>
    </row>
    <row r="1856">
      <c r="A1856" t="inlineStr">
        <is>
          <t>532422-addendum-0-11</t>
        </is>
      </c>
      <c r="B1856" t="inlineStr"/>
      <c r="C1856" t="inlineStr"/>
      <c r="D1856">
        <f>HYPERLINK("http://nlpdeep.cs.uic.edu:8080/proofing/t5/532422-addendum-0-11.pdf","t5/532422-addendum-0-11.pdf")</f>
        <v/>
      </c>
      <c r="E1856" t="n">
        <v>119960</v>
      </c>
      <c r="F1856" t="n">
        <v>532422</v>
      </c>
      <c r="G1856" t="inlineStr">
        <is>
          <t>Physician</t>
        </is>
      </c>
      <c r="H1856" t="inlineStr">
        <is>
          <t>addendum</t>
        </is>
      </c>
      <c r="I1856" t="inlineStr">
        <is>
          <t xml:space="preserve">
   Adrenal insuffieiency is less likely though now with ?</t>
        </is>
      </c>
    </row>
    <row r="1857">
      <c r="A1857" t="inlineStr">
        <is>
          <t>532422-addendum-0-11</t>
        </is>
      </c>
      <c r="B1857" t="inlineStr"/>
      <c r="C1857" t="inlineStr"/>
      <c r="D1857">
        <f>HYPERLINK("http://nlpdeep.cs.uic.edu:8080/proofing/gsii/532422-addendum-0-11.pdf","gsii/532422-addendum-0-11.pdf")</f>
        <v/>
      </c>
      <c r="E1857" t="n">
        <v>119960</v>
      </c>
      <c r="F1857" t="n">
        <v>532422</v>
      </c>
      <c r="G1857" t="inlineStr">
        <is>
          <t>Physician</t>
        </is>
      </c>
      <c r="H1857" t="inlineStr">
        <is>
          <t>addendum</t>
        </is>
      </c>
      <c r="I1857" t="inlineStr">
        <is>
          <t xml:space="preserve">
   Adrenal insuffieiency is less likely though now with ?</t>
        </is>
      </c>
    </row>
    <row r="1858">
      <c r="A1858" t="inlineStr">
        <is>
          <t>532422-addendum-0-12</t>
        </is>
      </c>
      <c r="B1858" t="inlineStr"/>
      <c r="C1858" t="inlineStr"/>
      <c r="D1858">
        <f>HYPERLINK("http://nlpdeep.cs.uic.edu:8080/proofing/t5/532422-addendum-0-12.pdf","t5/532422-addendum-0-12.pdf")</f>
        <v/>
      </c>
      <c r="E1858" t="n">
        <v>119960</v>
      </c>
      <c r="F1858" t="n">
        <v>532422</v>
      </c>
      <c r="G1858" t="inlineStr">
        <is>
          <t>Physician</t>
        </is>
      </c>
      <c r="H1858" t="inlineStr">
        <is>
          <t>addendum</t>
        </is>
      </c>
      <c r="I1858" t="inlineStr">
        <is>
          <t>adrenal mass
   seen on CT.</t>
        </is>
      </c>
    </row>
    <row r="1859">
      <c r="A1859" t="inlineStr">
        <is>
          <t>532422-addendum-0-12</t>
        </is>
      </c>
      <c r="B1859" t="inlineStr"/>
      <c r="C1859" t="inlineStr"/>
      <c r="D1859">
        <f>HYPERLINK("http://nlpdeep.cs.uic.edu:8080/proofing/gsii/532422-addendum-0-12.pdf","gsii/532422-addendum-0-12.pdf")</f>
        <v/>
      </c>
      <c r="E1859" t="n">
        <v>119960</v>
      </c>
      <c r="F1859" t="n">
        <v>532422</v>
      </c>
      <c r="G1859" t="inlineStr">
        <is>
          <t>Physician</t>
        </is>
      </c>
      <c r="H1859" t="inlineStr">
        <is>
          <t>addendum</t>
        </is>
      </c>
      <c r="I1859" t="inlineStr">
        <is>
          <t>adrenal mass
   seen on CT.</t>
        </is>
      </c>
    </row>
    <row r="1860">
      <c r="A1860" t="inlineStr">
        <is>
          <t>532422-addendum-0-13</t>
        </is>
      </c>
      <c r="B1860" t="inlineStr"/>
      <c r="C1860" t="inlineStr"/>
      <c r="D1860">
        <f>HYPERLINK("http://nlpdeep.cs.uic.edu:8080/proofing/t5/532422-addendum-0-13.pdf","t5/532422-addendum-0-13.pdf")</f>
        <v/>
      </c>
      <c r="E1860" t="n">
        <v>119960</v>
      </c>
      <c r="F1860" t="n">
        <v>532422</v>
      </c>
      <c r="G1860" t="inlineStr">
        <is>
          <t>Physician</t>
        </is>
      </c>
      <c r="H1860" t="inlineStr">
        <is>
          <t>addendum</t>
        </is>
      </c>
      <c r="I1860" t="inlineStr">
        <is>
          <t>Pt is also hypothermic (stable per prior records) but is
   without localizing infectious symptoms or leukocytosis.</t>
        </is>
      </c>
    </row>
    <row r="1861">
      <c r="A1861" t="inlineStr">
        <is>
          <t>532422-addendum-0-13</t>
        </is>
      </c>
      <c r="B1861" t="inlineStr"/>
      <c r="C1861" t="inlineStr"/>
      <c r="D1861">
        <f>HYPERLINK("http://nlpdeep.cs.uic.edu:8080/proofing/gsii/532422-addendum-0-13.pdf","gsii/532422-addendum-0-13.pdf")</f>
        <v/>
      </c>
      <c r="E1861" t="n">
        <v>119960</v>
      </c>
      <c r="F1861" t="n">
        <v>532422</v>
      </c>
      <c r="G1861" t="inlineStr">
        <is>
          <t>Physician</t>
        </is>
      </c>
      <c r="H1861" t="inlineStr">
        <is>
          <t>addendum</t>
        </is>
      </c>
      <c r="I1861" t="inlineStr">
        <is>
          <t>Pt is also hypothermic (stable per prior records) but is
   without localizing infectious symptoms or leukocytosis.</t>
        </is>
      </c>
    </row>
    <row r="1862">
      <c r="A1862" t="inlineStr">
        <is>
          <t>532422-addendum-0-14</t>
        </is>
      </c>
      <c r="B1862" t="inlineStr"/>
      <c r="C1862" t="inlineStr"/>
      <c r="D1862">
        <f>HYPERLINK("http://nlpdeep.cs.uic.edu:8080/proofing/t5/532422-addendum-0-14.pdf","t5/532422-addendum-0-14.pdf")</f>
        <v/>
      </c>
      <c r="E1862" t="n">
        <v>119960</v>
      </c>
      <c r="F1862" t="n">
        <v>532422</v>
      </c>
      <c r="G1862" t="inlineStr">
        <is>
          <t>Physician</t>
        </is>
      </c>
      <c r="H1862" t="inlineStr">
        <is>
          <t>addendum</t>
        </is>
      </c>
      <c r="I1862" t="inlineStr">
        <is>
          <t xml:space="preserve"> His worsening
   anemia is likely multifactorial from ESRD,  dilutional from IVFs,
   though concern remains for possible bleed from hip injury or GI
   tract.</t>
        </is>
      </c>
    </row>
    <row r="1863">
      <c r="A1863" t="inlineStr">
        <is>
          <t>532422-addendum-0-14</t>
        </is>
      </c>
      <c r="B1863" t="inlineStr"/>
      <c r="C1863" t="inlineStr"/>
      <c r="D1863">
        <f>HYPERLINK("http://nlpdeep.cs.uic.edu:8080/proofing/gsii/532422-addendum-0-14.pdf","gsii/532422-addendum-0-14.pdf")</f>
        <v/>
      </c>
      <c r="E1863" t="n">
        <v>119960</v>
      </c>
      <c r="F1863" t="n">
        <v>532422</v>
      </c>
      <c r="G1863" t="inlineStr">
        <is>
          <t>Physician</t>
        </is>
      </c>
      <c r="H1863" t="inlineStr">
        <is>
          <t>addendum</t>
        </is>
      </c>
      <c r="I1863" t="inlineStr">
        <is>
          <t xml:space="preserve"> His worsening
   anemia is likely multifactorial from ESRD,  dilutional from IVFs,
   though concern remains for possible bleed from hip injury or GI
   tract.</t>
        </is>
      </c>
    </row>
    <row r="1864">
      <c r="A1864" t="inlineStr">
        <is>
          <t>532422-addendum-0-15</t>
        </is>
      </c>
      <c r="B1864" t="inlineStr"/>
      <c r="C1864" t="inlineStr"/>
      <c r="D1864">
        <f>HYPERLINK("http://nlpdeep.cs.uic.edu:8080/proofing/t5/532422-addendum-0-15.pdf","t5/532422-addendum-0-15.pdf")</f>
        <v/>
      </c>
      <c r="E1864" t="n">
        <v>119960</v>
      </c>
      <c r="F1864" t="n">
        <v>532422</v>
      </c>
      <c r="G1864" t="inlineStr">
        <is>
          <t>Physician</t>
        </is>
      </c>
      <c r="H1864" t="inlineStr">
        <is>
          <t>addendum</t>
        </is>
      </c>
      <c r="I1864" t="inlineStr">
        <is>
          <t>No obvious hematoma on CT and heme neg by rectal.</t>
        </is>
      </c>
    </row>
    <row r="1865">
      <c r="A1865" t="inlineStr">
        <is>
          <t>532422-addendum-0-15</t>
        </is>
      </c>
      <c r="B1865" t="inlineStr"/>
      <c r="C1865" t="inlineStr"/>
      <c r="D1865">
        <f>HYPERLINK("http://nlpdeep.cs.uic.edu:8080/proofing/gsii/532422-addendum-0-15.pdf","gsii/532422-addendum-0-15.pdf")</f>
        <v/>
      </c>
      <c r="E1865" t="n">
        <v>119960</v>
      </c>
      <c r="F1865" t="n">
        <v>532422</v>
      </c>
      <c r="G1865" t="inlineStr">
        <is>
          <t>Physician</t>
        </is>
      </c>
      <c r="H1865" t="inlineStr">
        <is>
          <t>addendum</t>
        </is>
      </c>
      <c r="I1865" t="inlineStr">
        <is>
          <t>No obvious hematoma on CT and heme neg by rectal.</t>
        </is>
      </c>
    </row>
    <row r="1866">
      <c r="A1866" t="inlineStr">
        <is>
          <t>532422-addendum-0-16</t>
        </is>
      </c>
      <c r="B1866" t="inlineStr"/>
      <c r="C1866" t="inlineStr"/>
      <c r="D1866">
        <f>HYPERLINK("http://nlpdeep.cs.uic.edu:8080/proofing/t5/532422-addendum-0-16.pdf","t5/532422-addendum-0-16.pdf")</f>
        <v/>
      </c>
      <c r="E1866" t="n">
        <v>119960</v>
      </c>
      <c r="F1866" t="n">
        <v>532422</v>
      </c>
      <c r="G1866" t="inlineStr">
        <is>
          <t>Physician</t>
        </is>
      </c>
      <c r="H1866" t="inlineStr">
        <is>
          <t>addendum</t>
        </is>
      </c>
      <c r="I1866" t="inlineStr">
        <is>
          <t xml:space="preserve"> Agree with
   plan to manage anemia/hypotension w/ PRBC transfusion, follow serial
   hct, consider starting epogen.</t>
        </is>
      </c>
    </row>
    <row r="1867">
      <c r="A1867" t="inlineStr">
        <is>
          <t>532422-addendum-0-16</t>
        </is>
      </c>
      <c r="B1867" t="inlineStr"/>
      <c r="C1867" t="inlineStr"/>
      <c r="D1867">
        <f>HYPERLINK("http://nlpdeep.cs.uic.edu:8080/proofing/gsii/532422-addendum-0-16.pdf","gsii/532422-addendum-0-16.pdf")</f>
        <v/>
      </c>
      <c r="E1867" t="n">
        <v>119960</v>
      </c>
      <c r="F1867" t="n">
        <v>532422</v>
      </c>
      <c r="G1867" t="inlineStr">
        <is>
          <t>Physician</t>
        </is>
      </c>
      <c r="H1867" t="inlineStr">
        <is>
          <t>addendum</t>
        </is>
      </c>
      <c r="I1867" t="inlineStr">
        <is>
          <t xml:space="preserve"> Agree with
   plan to manage anemia/hypotension w/ PRBC transfusion, follow serial
   hct, consider starting epogen.</t>
        </is>
      </c>
    </row>
    <row r="1868">
      <c r="A1868" t="inlineStr">
        <is>
          <t>532422-addendum-0-17</t>
        </is>
      </c>
      <c r="B1868" t="inlineStr"/>
      <c r="C1868" t="inlineStr"/>
      <c r="D1868">
        <f>HYPERLINK("http://nlpdeep.cs.uic.edu:8080/proofing/t5/532422-addendum-0-17.pdf","t5/532422-addendum-0-17.pdf")</f>
        <v/>
      </c>
      <c r="E1868" t="n">
        <v>119960</v>
      </c>
      <c r="F1868" t="n">
        <v>532422</v>
      </c>
      <c r="G1868" t="inlineStr">
        <is>
          <t>Physician</t>
        </is>
      </c>
      <c r="H1868" t="inlineStr">
        <is>
          <t>addendum</t>
        </is>
      </c>
      <c r="I1868" t="inlineStr">
        <is>
          <t>If continued hct drop or hemodynamic
   change would repeat CT. Will manage hip fx with pain control, NPO for
   possible THR tomorrow, pending cardiac clearance and family
   consent.</t>
        </is>
      </c>
    </row>
    <row r="1869">
      <c r="A1869" t="inlineStr">
        <is>
          <t>532422-addendum-0-17</t>
        </is>
      </c>
      <c r="B1869" t="inlineStr"/>
      <c r="C1869" t="inlineStr"/>
      <c r="D1869">
        <f>HYPERLINK("http://nlpdeep.cs.uic.edu:8080/proofing/gsii/532422-addendum-0-17.pdf","gsii/532422-addendum-0-17.pdf")</f>
        <v/>
      </c>
      <c r="E1869" t="n">
        <v>119960</v>
      </c>
      <c r="F1869" t="n">
        <v>532422</v>
      </c>
      <c r="G1869" t="inlineStr">
        <is>
          <t>Physician</t>
        </is>
      </c>
      <c r="H1869" t="inlineStr">
        <is>
          <t>addendum</t>
        </is>
      </c>
      <c r="I1869" t="inlineStr">
        <is>
          <t>If continued hct drop or hemodynamic
   change would repeat CT. Will manage hip fx with pain control, NPO for
   possible THR tomorrow, pending cardiac clearance and family
   consent.</t>
        </is>
      </c>
    </row>
    <row r="1870">
      <c r="A1870" t="inlineStr">
        <is>
          <t>532422-addendum-0-18</t>
        </is>
      </c>
      <c r="B1870" t="inlineStr"/>
      <c r="C1870" t="inlineStr"/>
      <c r="D1870">
        <f>HYPERLINK("http://nlpdeep.cs.uic.edu:8080/proofing/t5/532422-addendum-0-18.pdf","t5/532422-addendum-0-18.pdf")</f>
        <v/>
      </c>
      <c r="E1870" t="n">
        <v>119960</v>
      </c>
      <c r="F1870" t="n">
        <v>532422</v>
      </c>
      <c r="G1870" t="inlineStr">
        <is>
          <t>Physician</t>
        </is>
      </c>
      <c r="H1870" t="inlineStr">
        <is>
          <t>addendum</t>
        </is>
      </c>
      <c r="I1870" t="inlineStr">
        <is>
          <t>Will give low dose BB pre-operatively as BP tolerates.</t>
        </is>
      </c>
    </row>
    <row r="1871">
      <c r="A1871" t="inlineStr">
        <is>
          <t>532422-addendum-0-18</t>
        </is>
      </c>
      <c r="B1871" t="inlineStr"/>
      <c r="C1871" t="inlineStr"/>
      <c r="D1871">
        <f>HYPERLINK("http://nlpdeep.cs.uic.edu:8080/proofing/gsii/532422-addendum-0-18.pdf","gsii/532422-addendum-0-18.pdf")</f>
        <v/>
      </c>
      <c r="E1871" t="n">
        <v>119960</v>
      </c>
      <c r="F1871" t="n">
        <v>532422</v>
      </c>
      <c r="G1871" t="inlineStr">
        <is>
          <t>Physician</t>
        </is>
      </c>
      <c r="H1871" t="inlineStr">
        <is>
          <t>addendum</t>
        </is>
      </c>
      <c r="I1871" t="inlineStr">
        <is>
          <t>Will give low dose BB pre-operatively as BP tolerates.</t>
        </is>
      </c>
    </row>
    <row r="1872">
      <c r="A1872" t="inlineStr">
        <is>
          <t>532422-addendum-0-19</t>
        </is>
      </c>
      <c r="B1872" t="inlineStr"/>
      <c r="C1872" t="inlineStr"/>
      <c r="D1872">
        <f>HYPERLINK("http://nlpdeep.cs.uic.edu:8080/proofing/t5/532422-addendum-0-19.pdf","t5/532422-addendum-0-19.pdf")</f>
        <v/>
      </c>
      <c r="E1872" t="n">
        <v>119960</v>
      </c>
      <c r="F1872" t="n">
        <v>532422</v>
      </c>
      <c r="G1872" t="inlineStr">
        <is>
          <t>Physician</t>
        </is>
      </c>
      <c r="H1872" t="inlineStr">
        <is>
          <t>addendum</t>
        </is>
      </c>
      <c r="I1872" t="inlineStr">
        <is>
          <t xml:space="preserve">  Have
   a low suspicion for pna or other acute infection.</t>
        </is>
      </c>
    </row>
    <row r="1873">
      <c r="A1873" t="inlineStr">
        <is>
          <t>532422-addendum-0-19</t>
        </is>
      </c>
      <c r="B1873" t="inlineStr"/>
      <c r="C1873" t="inlineStr"/>
      <c r="D1873">
        <f>HYPERLINK("http://nlpdeep.cs.uic.edu:8080/proofing/gsii/532422-addendum-0-19.pdf","gsii/532422-addendum-0-19.pdf")</f>
        <v/>
      </c>
      <c r="E1873" t="n">
        <v>119960</v>
      </c>
      <c r="F1873" t="n">
        <v>532422</v>
      </c>
      <c r="G1873" t="inlineStr">
        <is>
          <t>Physician</t>
        </is>
      </c>
      <c r="H1873" t="inlineStr">
        <is>
          <t>addendum</t>
        </is>
      </c>
      <c r="I1873" t="inlineStr">
        <is>
          <t xml:space="preserve">  Have
   a low suspicion for pna or other acute infection.</t>
        </is>
      </c>
    </row>
    <row r="1874">
      <c r="A1874" t="inlineStr">
        <is>
          <t>532422-addendum-0-20</t>
        </is>
      </c>
      <c r="B1874" t="inlineStr"/>
      <c r="C1874" t="inlineStr"/>
      <c r="D1874">
        <f>HYPERLINK("http://nlpdeep.cs.uic.edu:8080/proofing/t5/532422-addendum-0-20.pdf","t5/532422-addendum-0-20.pdf")</f>
        <v/>
      </c>
      <c r="E1874" t="n">
        <v>119960</v>
      </c>
      <c r="F1874" t="n">
        <v>532422</v>
      </c>
      <c r="G1874" t="inlineStr">
        <is>
          <t>Physician</t>
        </is>
      </c>
      <c r="H1874" t="inlineStr">
        <is>
          <t>addendum</t>
        </is>
      </c>
      <c r="I1874" t="inlineStr">
        <is>
          <t xml:space="preserve"> Will hold on
   additional antbnx with low threshold to add in setting of decline.</t>
        </is>
      </c>
    </row>
    <row r="1875">
      <c r="A1875" t="inlineStr">
        <is>
          <t>532422-addendum-0-20</t>
        </is>
      </c>
      <c r="B1875" t="inlineStr"/>
      <c r="C1875" t="inlineStr"/>
      <c r="D1875">
        <f>HYPERLINK("http://nlpdeep.cs.uic.edu:8080/proofing/gsii/532422-addendum-0-20.pdf","gsii/532422-addendum-0-20.pdf")</f>
        <v/>
      </c>
      <c r="E1875" t="n">
        <v>119960</v>
      </c>
      <c r="F1875" t="n">
        <v>532422</v>
      </c>
      <c r="G1875" t="inlineStr">
        <is>
          <t>Physician</t>
        </is>
      </c>
      <c r="H1875" t="inlineStr">
        <is>
          <t>addendum</t>
        </is>
      </c>
      <c r="I1875" t="inlineStr">
        <is>
          <t xml:space="preserve"> Will hold on
   additional antbnx with low threshold to add in setting of decline.</t>
        </is>
      </c>
    </row>
    <row r="1876">
      <c r="A1876" t="inlineStr">
        <is>
          <t>532422-addendum-0-21</t>
        </is>
      </c>
      <c r="B1876" t="inlineStr"/>
      <c r="C1876" t="inlineStr"/>
      <c r="D1876">
        <f>HYPERLINK("http://nlpdeep.cs.uic.edu:8080/proofing/t5/532422-addendum-0-21.pdf","t5/532422-addendum-0-21.pdf")</f>
        <v/>
      </c>
      <c r="E1876" t="n">
        <v>119960</v>
      </c>
      <c r="F1876" t="n">
        <v>532422</v>
      </c>
      <c r="G1876" t="inlineStr">
        <is>
          <t>Physician</t>
        </is>
      </c>
      <c r="H1876" t="inlineStr">
        <is>
          <t>addendum</t>
        </is>
      </c>
      <c r="I1876" t="inlineStr">
        <is>
          <t xml:space="preserve">
   Wills send surveillance cx and continue PO vanco for known c diff.</t>
        </is>
      </c>
    </row>
    <row r="1877">
      <c r="A1877" t="inlineStr">
        <is>
          <t>532422-addendum-0-21</t>
        </is>
      </c>
      <c r="B1877" t="inlineStr"/>
      <c r="C1877" t="inlineStr"/>
      <c r="D1877">
        <f>HYPERLINK("http://nlpdeep.cs.uic.edu:8080/proofing/gsii/532422-addendum-0-21.pdf","gsii/532422-addendum-0-21.pdf")</f>
        <v/>
      </c>
      <c r="E1877" t="n">
        <v>119960</v>
      </c>
      <c r="F1877" t="n">
        <v>532422</v>
      </c>
      <c r="G1877" t="inlineStr">
        <is>
          <t>Physician</t>
        </is>
      </c>
      <c r="H1877" t="inlineStr">
        <is>
          <t>addendum</t>
        </is>
      </c>
      <c r="I1877" t="inlineStr">
        <is>
          <t xml:space="preserve">
   Wills send surveillance cx and continue PO vanco for known c diff.</t>
        </is>
      </c>
    </row>
    <row r="1878">
      <c r="A1878" t="inlineStr">
        <is>
          <t>532422-addendum-0-22</t>
        </is>
      </c>
      <c r="B1878" t="inlineStr"/>
      <c r="C1878" t="inlineStr"/>
      <c r="D1878">
        <f>HYPERLINK("http://nlpdeep.cs.uic.edu:8080/proofing/t5/532422-addendum-0-22.pdf","t5/532422-addendum-0-22.pdf")</f>
        <v/>
      </c>
      <c r="E1878" t="n">
        <v>119960</v>
      </c>
      <c r="F1878" t="n">
        <v>532422</v>
      </c>
      <c r="G1878" t="inlineStr">
        <is>
          <t>Physician</t>
        </is>
      </c>
      <c r="H1878" t="inlineStr">
        <is>
          <t>addendum</t>
        </is>
      </c>
      <c r="I1878" t="inlineStr">
        <is>
          <t xml:space="preserve">
   Acute on CRI is likely prerenal from dehydration and hypotension.</t>
        </is>
      </c>
    </row>
    <row r="1879">
      <c r="A1879" t="inlineStr">
        <is>
          <t>532422-addendum-0-22</t>
        </is>
      </c>
      <c r="B1879" t="inlineStr"/>
      <c r="C1879" t="inlineStr"/>
      <c r="D1879">
        <f>HYPERLINK("http://nlpdeep.cs.uic.edu:8080/proofing/gsii/532422-addendum-0-22.pdf","gsii/532422-addendum-0-22.pdf")</f>
        <v/>
      </c>
      <c r="E1879" t="n">
        <v>119960</v>
      </c>
      <c r="F1879" t="n">
        <v>532422</v>
      </c>
      <c r="G1879" t="inlineStr">
        <is>
          <t>Physician</t>
        </is>
      </c>
      <c r="H1879" t="inlineStr">
        <is>
          <t>addendum</t>
        </is>
      </c>
      <c r="I1879" t="inlineStr">
        <is>
          <t xml:space="preserve">
   Acute on CRI is likely prerenal from dehydration and hypotension.</t>
        </is>
      </c>
    </row>
    <row r="1880">
      <c r="A1880" t="inlineStr">
        <is>
          <t>532422-addendum-0-23</t>
        </is>
      </c>
      <c r="B1880" t="inlineStr"/>
      <c r="C1880" t="inlineStr"/>
      <c r="D1880">
        <f>HYPERLINK("http://nlpdeep.cs.uic.edu:8080/proofing/t5/532422-addendum-0-23.pdf","t5/532422-addendum-0-23.pdf")</f>
        <v/>
      </c>
      <c r="E1880" t="n">
        <v>119960</v>
      </c>
      <c r="F1880" t="n">
        <v>532422</v>
      </c>
      <c r="G1880" t="inlineStr">
        <is>
          <t>Physician</t>
        </is>
      </c>
      <c r="H1880" t="inlineStr">
        <is>
          <t>addendum</t>
        </is>
      </c>
      <c r="I1880" t="inlineStr">
        <is>
          <t xml:space="preserve"> Will
   send urine lytes, follow UOP, renally dose meds and hold diuresis at
   this time.</t>
        </is>
      </c>
    </row>
    <row r="1881">
      <c r="A1881" t="inlineStr">
        <is>
          <t>532422-addendum-0-23</t>
        </is>
      </c>
      <c r="B1881" t="inlineStr"/>
      <c r="C1881" t="inlineStr"/>
      <c r="D1881">
        <f>HYPERLINK("http://nlpdeep.cs.uic.edu:8080/proofing/gsii/532422-addendum-0-23.pdf","gsii/532422-addendum-0-23.pdf")</f>
        <v/>
      </c>
      <c r="E1881" t="n">
        <v>119960</v>
      </c>
      <c r="F1881" t="n">
        <v>532422</v>
      </c>
      <c r="G1881" t="inlineStr">
        <is>
          <t>Physician</t>
        </is>
      </c>
      <c r="H1881" t="inlineStr">
        <is>
          <t>addendum</t>
        </is>
      </c>
      <c r="I1881" t="inlineStr">
        <is>
          <t xml:space="preserve"> Will
   send urine lytes, follow UOP, renally dose meds and hold diuresis at
   this time.</t>
        </is>
      </c>
    </row>
    <row r="1882">
      <c r="A1882" t="inlineStr">
        <is>
          <t>532422-addendum-0-24</t>
        </is>
      </c>
      <c r="B1882" t="inlineStr"/>
      <c r="C1882" t="inlineStr"/>
      <c r="D1882">
        <f>HYPERLINK("http://nlpdeep.cs.uic.edu:8080/proofing/t5/532422-addendum-0-24.pdf","t5/532422-addendum-0-24.pdf")</f>
        <v/>
      </c>
      <c r="E1882" t="n">
        <v>119960</v>
      </c>
      <c r="F1882" t="n">
        <v>532422</v>
      </c>
      <c r="G1882" t="inlineStr">
        <is>
          <t>Physician</t>
        </is>
      </c>
      <c r="H1882" t="inlineStr">
        <is>
          <t>addendum</t>
        </is>
      </c>
      <c r="I1882" t="inlineStr">
        <is>
          <t xml:space="preserve"> Given hx of hypothermia and ? adrenally mass, will eval for
   adrenal insuff with random cortisol level.</t>
        </is>
      </c>
    </row>
    <row r="1883">
      <c r="A1883" t="inlineStr">
        <is>
          <t>532422-addendum-0-24</t>
        </is>
      </c>
      <c r="B1883" t="inlineStr"/>
      <c r="C1883" t="inlineStr"/>
      <c r="D1883">
        <f>HYPERLINK("http://nlpdeep.cs.uic.edu:8080/proofing/gsii/532422-addendum-0-24.pdf","gsii/532422-addendum-0-24.pdf")</f>
        <v/>
      </c>
      <c r="E1883" t="n">
        <v>119960</v>
      </c>
      <c r="F1883" t="n">
        <v>532422</v>
      </c>
      <c r="G1883" t="inlineStr">
        <is>
          <t>Physician</t>
        </is>
      </c>
      <c r="H1883" t="inlineStr">
        <is>
          <t>addendum</t>
        </is>
      </c>
      <c r="I1883" t="inlineStr">
        <is>
          <t xml:space="preserve"> Given hx of hypothermia and ? adrenally mass, will eval for
   adrenal insuff with random cortisol level.</t>
        </is>
      </c>
    </row>
    <row r="1884">
      <c r="A1884" t="inlineStr">
        <is>
          <t>532422-addendum-0-25</t>
        </is>
      </c>
      <c r="B1884" t="inlineStr"/>
      <c r="C1884" t="inlineStr"/>
      <c r="D1884">
        <f>HYPERLINK("http://nlpdeep.cs.uic.edu:8080/proofing/t5/532422-addendum-0-25.pdf","t5/532422-addendum-0-25.pdf")</f>
        <v/>
      </c>
      <c r="E1884" t="n">
        <v>119960</v>
      </c>
      <c r="F1884" t="n">
        <v>532422</v>
      </c>
      <c r="G1884" t="inlineStr">
        <is>
          <t>Physician</t>
        </is>
      </c>
      <c r="H1884" t="inlineStr">
        <is>
          <t>addendum</t>
        </is>
      </c>
      <c r="I1884" t="inlineStr">
        <is>
          <t xml:space="preserve">  Remainder of plan as
   outlined in resident note.</t>
        </is>
      </c>
    </row>
    <row r="1885">
      <c r="A1885" t="inlineStr">
        <is>
          <t>532422-addendum-0-25</t>
        </is>
      </c>
      <c r="B1885" t="inlineStr"/>
      <c r="C1885" t="inlineStr"/>
      <c r="D1885">
        <f>HYPERLINK("http://nlpdeep.cs.uic.edu:8080/proofing/gsii/532422-addendum-0-25.pdf","gsii/532422-addendum-0-25.pdf")</f>
        <v/>
      </c>
      <c r="E1885" t="n">
        <v>119960</v>
      </c>
      <c r="F1885" t="n">
        <v>532422</v>
      </c>
      <c r="G1885" t="inlineStr">
        <is>
          <t>Physician</t>
        </is>
      </c>
      <c r="H1885" t="inlineStr">
        <is>
          <t>addendum</t>
        </is>
      </c>
      <c r="I1885" t="inlineStr">
        <is>
          <t xml:space="preserve">  Remainder of plan as
   outlined in resident note.</t>
        </is>
      </c>
    </row>
    <row r="1886">
      <c r="A1886" t="inlineStr">
        <is>
          <t>532422-addendum-0-26</t>
        </is>
      </c>
      <c r="B1886" t="inlineStr"/>
      <c r="C1886" t="inlineStr"/>
      <c r="D1886">
        <f>HYPERLINK("http://nlpdeep.cs.uic.edu:8080/proofing/t5/532422-addendum-0-26.pdf","t5/532422-addendum-0-26.pdf")</f>
        <v/>
      </c>
      <c r="E1886" t="n">
        <v>119960</v>
      </c>
      <c r="F1886" t="n">
        <v>532422</v>
      </c>
      <c r="G1886" t="inlineStr">
        <is>
          <t>Physician</t>
        </is>
      </c>
      <c r="H1886" t="inlineStr">
        <is>
          <t>addendum</t>
        </is>
      </c>
      <c r="I1886" t="inlineStr">
        <is>
          <t xml:space="preserve">
   Patient is critically ill
   Total time: 60 min
</t>
        </is>
      </c>
    </row>
    <row r="1887">
      <c r="A1887" t="inlineStr">
        <is>
          <t>532422-addendum-0-26</t>
        </is>
      </c>
      <c r="B1887" t="inlineStr"/>
      <c r="C1887" t="inlineStr"/>
      <c r="D1887">
        <f>HYPERLINK("http://nlpdeep.cs.uic.edu:8080/proofing/gsii/532422-addendum-0-26.pdf","gsii/532422-addendum-0-26.pdf")</f>
        <v/>
      </c>
      <c r="E1887" t="n">
        <v>119960</v>
      </c>
      <c r="F1887" t="n">
        <v>532422</v>
      </c>
      <c r="G1887" t="inlineStr">
        <is>
          <t>Physician</t>
        </is>
      </c>
      <c r="H1887" t="inlineStr">
        <is>
          <t>addendum</t>
        </is>
      </c>
      <c r="I1887" t="inlineStr">
        <is>
          <t xml:space="preserve">
   Patient is critically ill
   Total time: 60 min
</t>
        </is>
      </c>
    </row>
    <row r="1888">
      <c r="A1888" t="inlineStr">
        <is>
          <t>532698-24-hour-events-0-0</t>
        </is>
      </c>
      <c r="B1888" t="inlineStr"/>
      <c r="C1888" t="inlineStr"/>
      <c r="D1888">
        <f>HYPERLINK("http://nlpdeep.cs.uic.edu:8080/proofing/t5/532698-24-hour-events-0-0.pdf","t5/532698-24-hour-events-0-0.pdf")</f>
        <v/>
      </c>
      <c r="E1888" t="n">
        <v>119960</v>
      </c>
      <c r="F1888" t="n">
        <v>532698</v>
      </c>
      <c r="G1888" t="inlineStr">
        <is>
          <t>Physician</t>
        </is>
      </c>
      <c r="H1888" t="inlineStr">
        <is>
          <t>24-hour-events</t>
        </is>
      </c>
      <c r="I1888" t="inlineStr">
        <is>
          <t>OR SENT - At [**2141-4-7**] 02:00 PM
 INVASIVE VENTILATION - START [**2141-4-7**] 04:55 PM
 INVASIVE VENTILATION - STOP [**2141-4-7**] 05:18 PM
 OR RECEIVED - At [**2141-4-7**] 06:00 PM
   [**2141-4-7**]:
   - Went to OR (ok'd per cards) for ORIF hip fracture with TFN
   - BP ok o/n SBP 100-130.</t>
        </is>
      </c>
    </row>
    <row r="1889">
      <c r="A1889" t="inlineStr">
        <is>
          <t>532698-24-hour-events-0-0</t>
        </is>
      </c>
      <c r="B1889" t="inlineStr"/>
      <c r="C1889" t="inlineStr"/>
      <c r="D1889">
        <f>HYPERLINK("http://nlpdeep.cs.uic.edu:8080/proofing/gsii/532698-24-hour-events-0-0.pdf","gsii/532698-24-hour-events-0-0.pdf")</f>
        <v/>
      </c>
      <c r="E1889" t="n">
        <v>119960</v>
      </c>
      <c r="F1889" t="n">
        <v>532698</v>
      </c>
      <c r="G1889" t="inlineStr">
        <is>
          <t>Physician</t>
        </is>
      </c>
      <c r="H1889" t="inlineStr">
        <is>
          <t>24-hour-events</t>
        </is>
      </c>
      <c r="I1889" t="inlineStr">
        <is>
          <t>OR SENT - At [**2141-4-7**] 02:00 PM
 INVASIVE VENTILATION - START [**2141-4-7**] 04:55 PM
 INVASIVE VENTILATION - STOP [**2141-4-7**] 05:18 PM
 OR RECEIVED - At [**2141-4-7**] 06:00 PM
   [**2141-4-7**]:
   - Went to OR (ok'd per cards) for ORIF hip fracture with TFN
   - BP ok o/n SBP 100-130.</t>
        </is>
      </c>
    </row>
    <row r="1890">
      <c r="A1890" t="inlineStr">
        <is>
          <t>532698-24-hour-events-0-1</t>
        </is>
      </c>
      <c r="B1890" t="inlineStr"/>
      <c r="C1890" t="inlineStr"/>
      <c r="D1890">
        <f>HYPERLINK("http://nlpdeep.cs.uic.edu:8080/proofing/t5/532698-24-hour-events-0-1.pdf","t5/532698-24-hour-events-0-1.pdf")</f>
        <v/>
      </c>
      <c r="E1890" t="n">
        <v>119960</v>
      </c>
      <c r="F1890" t="n">
        <v>532698</v>
      </c>
      <c r="G1890" t="inlineStr">
        <is>
          <t>Physician</t>
        </is>
      </c>
      <c r="H1890" t="inlineStr">
        <is>
          <t>24-hour-events</t>
        </is>
      </c>
      <c r="I1890" t="inlineStr">
        <is>
          <t xml:space="preserve"> Earlier in day given 1 unit pRBC for brief
   SBP 70s on neo (weaned off).</t>
        </is>
      </c>
    </row>
    <row r="1891">
      <c r="A1891" t="inlineStr">
        <is>
          <t>532698-24-hour-events-0-1</t>
        </is>
      </c>
      <c r="B1891" t="inlineStr"/>
      <c r="C1891" t="inlineStr"/>
      <c r="D1891">
        <f>HYPERLINK("http://nlpdeep.cs.uic.edu:8080/proofing/gsii/532698-24-hour-events-0-1.pdf","gsii/532698-24-hour-events-0-1.pdf")</f>
        <v/>
      </c>
      <c r="E1891" t="n">
        <v>119960</v>
      </c>
      <c r="F1891" t="n">
        <v>532698</v>
      </c>
      <c r="G1891" t="inlineStr">
        <is>
          <t>Physician</t>
        </is>
      </c>
      <c r="H1891" t="inlineStr">
        <is>
          <t>24-hour-events</t>
        </is>
      </c>
      <c r="I1891" t="inlineStr">
        <is>
          <t xml:space="preserve"> Earlier in day given 1 unit pRBC for brief
   SBP 70s on neo (weaned off).</t>
        </is>
      </c>
    </row>
    <row r="1892">
      <c r="A1892" t="inlineStr">
        <is>
          <t>532698-24-hour-events-0-2</t>
        </is>
      </c>
      <c r="B1892" t="inlineStr"/>
      <c r="C1892" t="inlineStr"/>
      <c r="D1892">
        <f>HYPERLINK("http://nlpdeep.cs.uic.edu:8080/proofing/t5/532698-24-hour-events-0-2.pdf","t5/532698-24-hour-events-0-2.pdf")</f>
        <v/>
      </c>
      <c r="E1892" t="n">
        <v>119960</v>
      </c>
      <c r="F1892" t="n">
        <v>532698</v>
      </c>
      <c r="G1892" t="inlineStr">
        <is>
          <t>Physician</t>
        </is>
      </c>
      <c r="H1892" t="inlineStr">
        <is>
          <t>24-hour-events</t>
        </is>
      </c>
      <c r="I1892" t="inlineStr">
        <is>
          <t>A line kept for blood draws.</t>
        </is>
      </c>
    </row>
    <row r="1893">
      <c r="A1893" t="inlineStr">
        <is>
          <t>532698-24-hour-events-0-2</t>
        </is>
      </c>
      <c r="B1893" t="inlineStr"/>
      <c r="C1893" t="inlineStr"/>
      <c r="D1893">
        <f>HYPERLINK("http://nlpdeep.cs.uic.edu:8080/proofing/gsii/532698-24-hour-events-0-2.pdf","gsii/532698-24-hour-events-0-2.pdf")</f>
        <v/>
      </c>
      <c r="E1893" t="n">
        <v>119960</v>
      </c>
      <c r="F1893" t="n">
        <v>532698</v>
      </c>
      <c r="G1893" t="inlineStr">
        <is>
          <t>Physician</t>
        </is>
      </c>
      <c r="H1893" t="inlineStr">
        <is>
          <t>24-hour-events</t>
        </is>
      </c>
      <c r="I1893" t="inlineStr">
        <is>
          <t>A line kept for blood draws.</t>
        </is>
      </c>
    </row>
    <row r="1894">
      <c r="A1894" t="inlineStr">
        <is>
          <t>532698-24-hour-events-0-3</t>
        </is>
      </c>
      <c r="B1894" t="inlineStr"/>
      <c r="C1894" t="inlineStr"/>
      <c r="D1894">
        <f>HYPERLINK("http://nlpdeep.cs.uic.edu:8080/proofing/t5/532698-24-hour-events-0-3.pdf","t5/532698-24-hour-events-0-3.pdf")</f>
        <v/>
      </c>
      <c r="E1894" t="n">
        <v>119960</v>
      </c>
      <c r="F1894" t="n">
        <v>532698</v>
      </c>
      <c r="G1894" t="inlineStr">
        <is>
          <t>Physician</t>
        </is>
      </c>
      <c r="H1894" t="inlineStr">
        <is>
          <t>24-hour-events</t>
        </is>
      </c>
      <c r="I1894" t="inlineStr">
        <is>
          <t>- Hyperkalemic (likely hemolyzed) but repeat K 5</t>
        </is>
      </c>
    </row>
    <row r="1895">
      <c r="A1895" t="inlineStr">
        <is>
          <t>532698-24-hour-events-0-3</t>
        </is>
      </c>
      <c r="B1895" t="inlineStr"/>
      <c r="C1895" t="inlineStr"/>
      <c r="D1895">
        <f>HYPERLINK("http://nlpdeep.cs.uic.edu:8080/proofing/gsii/532698-24-hour-events-0-3.pdf","gsii/532698-24-hour-events-0-3.pdf")</f>
        <v/>
      </c>
      <c r="E1895" t="n">
        <v>119960</v>
      </c>
      <c r="F1895" t="n">
        <v>532698</v>
      </c>
      <c r="G1895" t="inlineStr">
        <is>
          <t>Physician</t>
        </is>
      </c>
      <c r="H1895" t="inlineStr">
        <is>
          <t>24-hour-events</t>
        </is>
      </c>
      <c r="I1895" t="inlineStr">
        <is>
          <t>- Hyperkalemic (likely hemolyzed) but repeat K 5</t>
        </is>
      </c>
    </row>
    <row r="1896">
      <c r="A1896" t="inlineStr">
        <is>
          <t>532698-allergies-0-0</t>
        </is>
      </c>
      <c r="B1896" t="inlineStr"/>
      <c r="C1896" t="inlineStr"/>
      <c r="D1896">
        <f>HYPERLINK("http://nlpdeep.cs.uic.edu:8080/proofing/t5/532698-allergies-0-0.pdf","t5/532698-allergies-0-0.pdf")</f>
        <v/>
      </c>
      <c r="E1896" t="n">
        <v>119960</v>
      </c>
      <c r="F1896" t="n">
        <v>532698</v>
      </c>
      <c r="G1896" t="inlineStr">
        <is>
          <t>Physician</t>
        </is>
      </c>
      <c r="H1896" t="inlineStr">
        <is>
          <t>allergies</t>
        </is>
      </c>
      <c r="I1896" t="inlineStr">
        <is>
          <t>Quinidine
   fever;
   Propranolol
   Aggitation;
   Heparin Agents
   Thrombocytopeni
   Warfarin
   GI bleed;
   Zolpidem
   Unknown;</t>
        </is>
      </c>
    </row>
    <row r="1897">
      <c r="A1897" t="inlineStr">
        <is>
          <t>532698-allergies-0-0</t>
        </is>
      </c>
      <c r="B1897" t="inlineStr"/>
      <c r="C1897" t="inlineStr"/>
      <c r="D1897">
        <f>HYPERLINK("http://nlpdeep.cs.uic.edu:8080/proofing/gsii/532698-allergies-0-0.pdf","gsii/532698-allergies-0-0.pdf")</f>
        <v/>
      </c>
      <c r="E1897" t="n">
        <v>119960</v>
      </c>
      <c r="F1897" t="n">
        <v>532698</v>
      </c>
      <c r="G1897" t="inlineStr">
        <is>
          <t>Physician</t>
        </is>
      </c>
      <c r="H1897" t="inlineStr">
        <is>
          <t>allergies</t>
        </is>
      </c>
      <c r="I1897" t="inlineStr">
        <is>
          <t>Quinidine
   fever;
   Propranolol
   Aggitation;
   Heparin Agents
   Thrombocytopeni
   Warfarin
   GI bleed;
   Zolpidem
   Unknown;</t>
        </is>
      </c>
    </row>
    <row r="1898">
      <c r="A1898" t="inlineStr">
        <is>
          <t>532698-last-dose-of-antibiotics-0-0</t>
        </is>
      </c>
      <c r="B1898" t="inlineStr"/>
      <c r="C1898" t="inlineStr"/>
      <c r="D1898">
        <f>HYPERLINK("http://nlpdeep.cs.uic.edu:8080/proofing/t5/532698-last-dose-of-antibiotics-0-0.pdf","t5/532698-last-dose-of-antibiotics-0-0.pdf")</f>
        <v/>
      </c>
      <c r="E1898" t="n">
        <v>119960</v>
      </c>
      <c r="F1898" t="n">
        <v>532698</v>
      </c>
      <c r="G1898" t="inlineStr">
        <is>
          <t>Physician</t>
        </is>
      </c>
      <c r="H1898" t="inlineStr">
        <is>
          <t>last-dose-of-antibiotics</t>
        </is>
      </c>
      <c r="I1898" t="inlineStr">
        <is>
          <t>Cefazolin - [**2141-4-8**] 03:00 A</t>
        </is>
      </c>
    </row>
    <row r="1899">
      <c r="A1899" t="inlineStr">
        <is>
          <t>532698-last-dose-of-antibiotics-0-0</t>
        </is>
      </c>
      <c r="B1899" t="inlineStr"/>
      <c r="C1899" t="inlineStr"/>
      <c r="D1899">
        <f>HYPERLINK("http://nlpdeep.cs.uic.edu:8080/proofing/gsii/532698-last-dose-of-antibiotics-0-0.pdf","gsii/532698-last-dose-of-antibiotics-0-0.pdf")</f>
        <v/>
      </c>
      <c r="E1899" t="n">
        <v>119960</v>
      </c>
      <c r="F1899" t="n">
        <v>532698</v>
      </c>
      <c r="G1899" t="inlineStr">
        <is>
          <t>Physician</t>
        </is>
      </c>
      <c r="H1899" t="inlineStr">
        <is>
          <t>last-dose-of-antibiotics</t>
        </is>
      </c>
      <c r="I1899" t="inlineStr">
        <is>
          <t>Cefazolin - [**2141-4-8**] 03:00 A</t>
        </is>
      </c>
    </row>
    <row r="1900">
      <c r="A1900" t="inlineStr">
        <is>
          <t>532698-other-medications-0-0</t>
        </is>
      </c>
      <c r="B1900" t="inlineStr"/>
      <c r="C1900" t="inlineStr"/>
      <c r="D1900">
        <f>HYPERLINK("http://nlpdeep.cs.uic.edu:8080/proofing/t5/532698-other-medications-0-0.pdf","t5/532698-other-medications-0-0.pdf")</f>
        <v/>
      </c>
      <c r="E1900" t="n">
        <v>119960</v>
      </c>
      <c r="F1900" t="n">
        <v>532698</v>
      </c>
      <c r="G1900" t="inlineStr">
        <is>
          <t>Physician</t>
        </is>
      </c>
      <c r="H1900" t="inlineStr">
        <is>
          <t>other-medications</t>
        </is>
      </c>
      <c r="I1900" t="inlineStr">
        <is>
          <t>Enoxaparin (Lovenox) - [**2141-4-7**] 10:00 PM
   Furosemide (Lasix) - [**2141-4-7**] 10:50 PM
   Morphine Sulfate - [**2141-4-8**] 02:00 AM
   Other medications:</t>
        </is>
      </c>
    </row>
    <row r="1901">
      <c r="A1901" t="inlineStr">
        <is>
          <t>532698-other-medications-0-0</t>
        </is>
      </c>
      <c r="B1901" t="inlineStr"/>
      <c r="C1901" t="inlineStr"/>
      <c r="D1901">
        <f>HYPERLINK("http://nlpdeep.cs.uic.edu:8080/proofing/gsii/532698-other-medications-0-0.pdf","gsii/532698-other-medications-0-0.pdf")</f>
        <v/>
      </c>
      <c r="E1901" t="n">
        <v>119960</v>
      </c>
      <c r="F1901" t="n">
        <v>532698</v>
      </c>
      <c r="G1901" t="inlineStr">
        <is>
          <t>Physician</t>
        </is>
      </c>
      <c r="H1901" t="inlineStr">
        <is>
          <t>other-medications</t>
        </is>
      </c>
      <c r="I1901" t="inlineStr">
        <is>
          <t>Enoxaparin (Lovenox) - [**2141-4-7**] 10:00 PM
   Furosemide (Lasix) - [**2141-4-7**] 10:50 PM
   Morphine Sulfate - [**2141-4-8**] 02:00 AM
   Other medications:</t>
        </is>
      </c>
    </row>
    <row r="1902">
      <c r="A1902" t="inlineStr">
        <is>
          <t>532698-flowsheet-data-vitals-0-0</t>
        </is>
      </c>
      <c r="B1902" t="inlineStr"/>
      <c r="C1902" t="inlineStr"/>
      <c r="D1902">
        <f>HYPERLINK("http://nlpdeep.cs.uic.edu:8080/proofing/t5/532698-flowsheet-data-vitals-0-0.pdf","t5/532698-flowsheet-data-vitals-0-0.pdf")</f>
        <v/>
      </c>
      <c r="E1902" t="n">
        <v>119960</v>
      </c>
      <c r="F1902" t="n">
        <v>532698</v>
      </c>
      <c r="G1902" t="inlineStr">
        <is>
          <t>Physician</t>
        </is>
      </c>
      <c r="H1902" t="inlineStr">
        <is>
          <t>flowsheet-data-vitals</t>
        </is>
      </c>
      <c r="I1902" t="inlineStr">
        <is>
          <t>as of  [**2141-4-8**] 07:12 AM
   Vital signs
   Hemodynamic monitoring
   Fluid balance
                                                                  24 hours
                                                               Since [**42**] AM
   Tmax: 36.2
C (97.2
   Tcurrent: 36.2
C (97.1
   HR: 92 (68 - 116) bpm
   BP: 68/39(50) {62/37(46) - 82/50(61)} mmHg
   RR: 14 (11 - 20) insp/min
   SpO2: 97%
   Heart rhythm: AF (Atrial Fibrillation)
             Total In:
                                                                  1,990 mL
                                                                    122 mL
   PO:
             TF:
   IVF:
                                                                    940 mL
                                                                    122 mL
   Blood products:
                                                                  1,050 mL
   Total out:
                                                                  1,100 mL
                                                                    110 mL
   Urine:
                                                                  1,000 mL
                                                                    110 mL
   NG:
   Stool:
   Drains:
   Balance:
                                                                    890 mL
                                                                     12 mL
   Respiratory support
   O2 Delivery Device: Nasal cannula
   Ventilator mode: Standby
   Vt (Spontaneous): 515 (515 - 515) mL
   PS : 5 cmH2O
   RR (Spontaneous): 13
   PEEP: 5 cmH2O
   FiO2: 50%
   PIP: 10 cmH2O
   SpO2: 97%
   ABG: 7.35/44/73.[**Numeric Identifier 218**]/25/-1
   Ve: 6.3 L/min
   PaO2 / FiO2: 1</t>
        </is>
      </c>
    </row>
    <row r="1903">
      <c r="A1903" t="inlineStr">
        <is>
          <t>532698-flowsheet-data-vitals-0-0</t>
        </is>
      </c>
      <c r="B1903" t="inlineStr"/>
      <c r="C1903" t="inlineStr"/>
      <c r="D1903">
        <f>HYPERLINK("http://nlpdeep.cs.uic.edu:8080/proofing/gsii/532698-flowsheet-data-vitals-0-0.pdf","gsii/532698-flowsheet-data-vitals-0-0.pdf")</f>
        <v/>
      </c>
      <c r="E1903" t="n">
        <v>119960</v>
      </c>
      <c r="F1903" t="n">
        <v>532698</v>
      </c>
      <c r="G1903" t="inlineStr">
        <is>
          <t>Physician</t>
        </is>
      </c>
      <c r="H1903" t="inlineStr">
        <is>
          <t>flowsheet-data-vitals</t>
        </is>
      </c>
      <c r="I1903" t="inlineStr">
        <is>
          <t>as of  [**2141-4-8**] 07:12 AM
   Vital signs
   Hemodynamic monitoring
   Fluid balance
                                                                  24 hours
                                                               Since [**42**] AM
   Tmax: 36.2
C (97.2
   Tcurrent: 36.2
C (97.1
   HR: 92 (68 - 116) bpm
   BP: 68/39(50) {62/37(46) - 82/50(61)} mmHg
   RR: 14 (11 - 20) insp/min
   SpO2: 97%
   Heart rhythm: AF (Atrial Fibrillation)
             Total In:
                                                                  1,990 mL
                                                                    122 mL
   PO:
             TF:
   IVF:
                                                                    940 mL
                                                                    122 mL
   Blood products:
                                                                  1,050 mL
   Total out:
                                                                  1,100 mL
                                                                    110 mL
   Urine:
                                                                  1,000 mL
                                                                    110 mL
   NG:
   Stool:
   Drains:
   Balance:
                                                                    890 mL
                                                                     12 mL
   Respiratory support
   O2 Delivery Device: Nasal cannula
   Ventilator mode: Standby
   Vt (Spontaneous): 515 (515 - 515) mL
   PS : 5 cmH2O
   RR (Spontaneous): 13
   PEEP: 5 cmH2O
   FiO2: 50%
   PIP: 10 cmH2O
   SpO2: 97%
   ABG: 7.35/44/73.[**Numeric Identifier 218**]/25/-1
   Ve: 6.3 L/min
   PaO2 / FiO2: 1</t>
        </is>
      </c>
    </row>
    <row r="1904">
      <c r="A1904" t="inlineStr">
        <is>
          <t>532698-physical-examination-0-0</t>
        </is>
      </c>
      <c r="B1904" t="inlineStr"/>
      <c r="C1904" t="inlineStr"/>
      <c r="D1904">
        <f>HYPERLINK("http://nlpdeep.cs.uic.edu:8080/proofing/t5/532698-physical-examination-0-0.pdf","t5/532698-physical-examination-0-0.pdf")</f>
        <v/>
      </c>
      <c r="E1904" t="n">
        <v>119960</v>
      </c>
      <c r="F1904" t="n">
        <v>532698</v>
      </c>
      <c r="G1904" t="inlineStr">
        <is>
          <t>Physician</t>
        </is>
      </c>
      <c r="H1904" t="inlineStr">
        <is>
          <t>physical-examination</t>
        </is>
      </c>
      <c r="I1904" t="inlineStr">
        <is>
          <t>General: Alert, oriented, NAD
   HEENT: Sclera anicteric, MMM
   Neck: supple, JVP 11 cm
   Lungs: Clear to auscultation bilaterally anteriorly, no wheezes, rales,
   ronchi
   CV: Irregularly irregular rhythm, normal rate, distant heart sounds, no
   murmurs, rubs, gallops
   ABD:  soft, non-tender, non-distended, bowel sounds present, no rebound
   tenderness or guarding
   GU: foley
   Ext:
   Neuro:</t>
        </is>
      </c>
    </row>
    <row r="1905">
      <c r="A1905" t="inlineStr">
        <is>
          <t>532698-physical-examination-0-0</t>
        </is>
      </c>
      <c r="B1905" t="inlineStr"/>
      <c r="C1905" t="inlineStr"/>
      <c r="D1905">
        <f>HYPERLINK("http://nlpdeep.cs.uic.edu:8080/proofing/gsii/532698-physical-examination-0-0.pdf","gsii/532698-physical-examination-0-0.pdf")</f>
        <v/>
      </c>
      <c r="E1905" t="n">
        <v>119960</v>
      </c>
      <c r="F1905" t="n">
        <v>532698</v>
      </c>
      <c r="G1905" t="inlineStr">
        <is>
          <t>Physician</t>
        </is>
      </c>
      <c r="H1905" t="inlineStr">
        <is>
          <t>physical-examination</t>
        </is>
      </c>
      <c r="I1905" t="inlineStr">
        <is>
          <t>General: Alert, oriented, NAD
   HEENT: Sclera anicteric, MMM
   Neck: supple, JVP 11 cm
   Lungs: Clear to auscultation bilaterally anteriorly, no wheezes, rales,
   ronchi
   CV: Irregularly irregular rhythm, normal rate, distant heart sounds, no
   murmurs, rubs, gallops
   ABD:  soft, non-tender, non-distended, bowel sounds present, no rebound
   tenderness or guarding
   GU: foley
   Ext:
   Neuro:</t>
        </is>
      </c>
    </row>
    <row r="1906">
      <c r="A1906" t="inlineStr">
        <is>
          <t>532698-labs-imaging-0-0</t>
        </is>
      </c>
      <c r="B1906" t="inlineStr"/>
      <c r="C1906" t="inlineStr"/>
      <c r="D1906">
        <f>HYPERLINK("http://nlpdeep.cs.uic.edu:8080/proofing/t5/532698-labs-imaging-0-0.pdf","t5/532698-labs-imaging-0-0.pdf")</f>
        <v/>
      </c>
      <c r="E1906" t="n">
        <v>119960</v>
      </c>
      <c r="F1906" t="n">
        <v>532698</v>
      </c>
      <c r="G1906" t="inlineStr">
        <is>
          <t>Physician</t>
        </is>
      </c>
      <c r="H1906" t="inlineStr">
        <is>
          <t>labs-imaging</t>
        </is>
      </c>
      <c r="I1906" t="inlineStr">
        <is>
          <t>127 K/uL
   8.4 g/dL
   71 mg/dL
   3.2 mg/dL
   25 mEq/L
   5.2 mEq/L
   64 mg/dL
   107 mEq/L
   144 mEq/L
   24.2 %
   7.7 K/uL
        [image002.jpg]
                             [**2141-4-6**]  08:20 PM
                             [**2141-4-7**]  04:57 AM
                             [**2141-4-7**]  12:45 PM
                             [**2141-4-7**]  04:12 PM
                             [**2141-4-7**]  05:30 PM
                             [**2141-4-7**]  11:17 PM
                             [**2141-4-8**]  02:48 AM
   WBC
   8.2
   5.9
   9.5
   7.7
   Hct
   22.8
   29.7
   26.1
   32
   28.0
   25.5
   24.2
   Plt
   128
   110
   131
   127
   Cr
   2.4
   2.9
   3.2
   TCO2
   25
   Glucose
   106
   60
   78
   71
   Other labs: PT / PTT / INR:13.6/32.2/1.2,
   Lactic Acid:1.7 mmol/L,
    Ca++:8.7 mg/dL, Mg++:1.9 mg/dL, PO4:5.8 mg/dL
   MICRO:
   -urine legionella: negative
   - urine cx: ngtd
   - blood cx: ngtd
   CT ABDOMEN ([**4-6**]):
   1.</t>
        </is>
      </c>
    </row>
    <row r="1907">
      <c r="A1907" t="inlineStr">
        <is>
          <t>532698-labs-imaging-0-0</t>
        </is>
      </c>
      <c r="B1907" t="inlineStr"/>
      <c r="C1907" t="inlineStr"/>
      <c r="D1907">
        <f>HYPERLINK("http://nlpdeep.cs.uic.edu:8080/proofing/gsii/532698-labs-imaging-0-0.pdf","gsii/532698-labs-imaging-0-0.pdf")</f>
        <v/>
      </c>
      <c r="E1907" t="n">
        <v>119960</v>
      </c>
      <c r="F1907" t="n">
        <v>532698</v>
      </c>
      <c r="G1907" t="inlineStr">
        <is>
          <t>Physician</t>
        </is>
      </c>
      <c r="H1907" t="inlineStr">
        <is>
          <t>labs-imaging</t>
        </is>
      </c>
      <c r="I1907" t="inlineStr">
        <is>
          <t>127 K/uL
   8.4 g/dL
   71 mg/dL
   3.2 mg/dL
   25 mEq/L
   5.2 mEq/L
   64 mg/dL
   107 mEq/L
   144 mEq/L
   24.2 %
   7.7 K/uL
        [image002.jpg]
                             [**2141-4-6**]  08:20 PM
                             [**2141-4-7**]  04:57 AM
                             [**2141-4-7**]  12:45 PM
                             [**2141-4-7**]  04:12 PM
                             [**2141-4-7**]  05:30 PM
                             [**2141-4-7**]  11:17 PM
                             [**2141-4-8**]  02:48 AM
   WBC
   8.2
   5.9
   9.5
   7.7
   Hct
   22.8
   29.7
   26.1
   32
   28.0
   25.5
   24.2
   Plt
   128
   110
   131
   127
   Cr
   2.4
   2.9
   3.2
   TCO2
   25
   Glucose
   106
   60
   78
   71
   Other labs: PT / PTT / INR:13.6/32.2/1.2,
   Lactic Acid:1.7 mmol/L,
    Ca++:8.7 mg/dL, Mg++:1.9 mg/dL, PO4:5.8 mg/dL
   MICRO:
   -urine legionella: negative
   - urine cx: ngtd
   - blood cx: ngtd
   CT ABDOMEN ([**4-6**]):
   1.</t>
        </is>
      </c>
    </row>
    <row r="1908">
      <c r="A1908" t="inlineStr">
        <is>
          <t>532698-labs-imaging-0-1</t>
        </is>
      </c>
      <c r="B1908" t="inlineStr"/>
      <c r="C1908" t="inlineStr"/>
      <c r="D1908">
        <f>HYPERLINK("http://nlpdeep.cs.uic.edu:8080/proofing/t5/532698-labs-imaging-0-1.pdf","t5/532698-labs-imaging-0-1.pdf")</f>
        <v/>
      </c>
      <c r="E1908" t="n">
        <v>119960</v>
      </c>
      <c r="F1908" t="n">
        <v>532698</v>
      </c>
      <c r="G1908" t="inlineStr">
        <is>
          <t>Physician</t>
        </is>
      </c>
      <c r="H1908" t="inlineStr">
        <is>
          <t>labs-imaging</t>
        </is>
      </c>
      <c r="I1908" t="inlineStr">
        <is>
          <t>Left intertrochanteric hip fracture.</t>
        </is>
      </c>
    </row>
    <row r="1909">
      <c r="A1909" t="inlineStr">
        <is>
          <t>532698-labs-imaging-0-1</t>
        </is>
      </c>
      <c r="B1909" t="inlineStr"/>
      <c r="C1909" t="inlineStr"/>
      <c r="D1909">
        <f>HYPERLINK("http://nlpdeep.cs.uic.edu:8080/proofing/gsii/532698-labs-imaging-0-1.pdf","gsii/532698-labs-imaging-0-1.pdf")</f>
        <v/>
      </c>
      <c r="E1909" t="n">
        <v>119960</v>
      </c>
      <c r="F1909" t="n">
        <v>532698</v>
      </c>
      <c r="G1909" t="inlineStr">
        <is>
          <t>Physician</t>
        </is>
      </c>
      <c r="H1909" t="inlineStr">
        <is>
          <t>labs-imaging</t>
        </is>
      </c>
      <c r="I1909" t="inlineStr">
        <is>
          <t>Left intertrochanteric hip fracture.</t>
        </is>
      </c>
    </row>
    <row r="1910">
      <c r="A1910" t="inlineStr">
        <is>
          <t>532698-labs-imaging-0-2</t>
        </is>
      </c>
      <c r="B1910" t="inlineStr"/>
      <c r="C1910" t="inlineStr"/>
      <c r="D1910">
        <f>HYPERLINK("http://nlpdeep.cs.uic.edu:8080/proofing/t5/532698-labs-imaging-0-2.pdf","t5/532698-labs-imaging-0-2.pdf")</f>
        <v/>
      </c>
      <c r="E1910" t="n">
        <v>119960</v>
      </c>
      <c r="F1910" t="n">
        <v>532698</v>
      </c>
      <c r="G1910" t="inlineStr">
        <is>
          <t>Physician</t>
        </is>
      </c>
      <c r="H1910" t="inlineStr">
        <is>
          <t>labs-imaging</t>
        </is>
      </c>
      <c r="I1910" t="inlineStr">
        <is>
          <t>Large left adrenal mass, which is not characterized on non-contrast
   examination.</t>
        </is>
      </c>
    </row>
    <row r="1911">
      <c r="A1911" t="inlineStr">
        <is>
          <t>532698-labs-imaging-0-2</t>
        </is>
      </c>
      <c r="B1911" t="inlineStr"/>
      <c r="C1911" t="inlineStr"/>
      <c r="D1911">
        <f>HYPERLINK("http://nlpdeep.cs.uic.edu:8080/proofing/gsii/532698-labs-imaging-0-2.pdf","gsii/532698-labs-imaging-0-2.pdf")</f>
        <v/>
      </c>
      <c r="E1911" t="n">
        <v>119960</v>
      </c>
      <c r="F1911" t="n">
        <v>532698</v>
      </c>
      <c r="G1911" t="inlineStr">
        <is>
          <t>Physician</t>
        </is>
      </c>
      <c r="H1911" t="inlineStr">
        <is>
          <t>labs-imaging</t>
        </is>
      </c>
      <c r="I1911" t="inlineStr">
        <is>
          <t>Large left adrenal mass, which is not characterized on non-contrast
   examination.</t>
        </is>
      </c>
    </row>
    <row r="1912">
      <c r="A1912" t="inlineStr">
        <is>
          <t>532698-labs-imaging-0-3</t>
        </is>
      </c>
      <c r="B1912" t="inlineStr"/>
      <c r="C1912" t="inlineStr"/>
      <c r="D1912">
        <f>HYPERLINK("http://nlpdeep.cs.uic.edu:8080/proofing/t5/532698-labs-imaging-0-3.pdf","t5/532698-labs-imaging-0-3.pdf")</f>
        <v/>
      </c>
      <c r="E1912" t="n">
        <v>119960</v>
      </c>
      <c r="F1912" t="n">
        <v>532698</v>
      </c>
      <c r="G1912" t="inlineStr">
        <is>
          <t>Physician</t>
        </is>
      </c>
      <c r="H1912" t="inlineStr">
        <is>
          <t>labs-imaging</t>
        </is>
      </c>
      <c r="I1912" t="inlineStr">
        <is>
          <t>However, the imaging features are not consistent with an
   adrenal
   hematoma.</t>
        </is>
      </c>
    </row>
    <row r="1913">
      <c r="A1913" t="inlineStr">
        <is>
          <t>532698-labs-imaging-0-3</t>
        </is>
      </c>
      <c r="B1913" t="inlineStr"/>
      <c r="C1913" t="inlineStr"/>
      <c r="D1913">
        <f>HYPERLINK("http://nlpdeep.cs.uic.edu:8080/proofing/gsii/532698-labs-imaging-0-3.pdf","gsii/532698-labs-imaging-0-3.pdf")</f>
        <v/>
      </c>
      <c r="E1913" t="n">
        <v>119960</v>
      </c>
      <c r="F1913" t="n">
        <v>532698</v>
      </c>
      <c r="G1913" t="inlineStr">
        <is>
          <t>Physician</t>
        </is>
      </c>
      <c r="H1913" t="inlineStr">
        <is>
          <t>labs-imaging</t>
        </is>
      </c>
      <c r="I1913" t="inlineStr">
        <is>
          <t>However, the imaging features are not consistent with an
   adrenal
   hematoma.</t>
        </is>
      </c>
    </row>
    <row r="1914">
      <c r="A1914" t="inlineStr">
        <is>
          <t>532698-labs-imaging-0-4</t>
        </is>
      </c>
      <c r="B1914" t="inlineStr"/>
      <c r="C1914" t="inlineStr"/>
      <c r="D1914">
        <f>HYPERLINK("http://nlpdeep.cs.uic.edu:8080/proofing/t5/532698-labs-imaging-0-4.pdf","t5/532698-labs-imaging-0-4.pdf")</f>
        <v/>
      </c>
      <c r="E1914" t="n">
        <v>119960</v>
      </c>
      <c r="F1914" t="n">
        <v>532698</v>
      </c>
      <c r="G1914" t="inlineStr">
        <is>
          <t>Physician</t>
        </is>
      </c>
      <c r="H1914" t="inlineStr">
        <is>
          <t>labs-imaging</t>
        </is>
      </c>
      <c r="I1914" t="inlineStr">
        <is>
          <t>A nonurgent adrenal MR recommended for further
   characterization.</t>
        </is>
      </c>
    </row>
    <row r="1915">
      <c r="A1915" t="inlineStr">
        <is>
          <t>532698-labs-imaging-0-4</t>
        </is>
      </c>
      <c r="B1915" t="inlineStr"/>
      <c r="C1915" t="inlineStr"/>
      <c r="D1915">
        <f>HYPERLINK("http://nlpdeep.cs.uic.edu:8080/proofing/gsii/532698-labs-imaging-0-4.pdf","gsii/532698-labs-imaging-0-4.pdf")</f>
        <v/>
      </c>
      <c r="E1915" t="n">
        <v>119960</v>
      </c>
      <c r="F1915" t="n">
        <v>532698</v>
      </c>
      <c r="G1915" t="inlineStr">
        <is>
          <t>Physician</t>
        </is>
      </c>
      <c r="H1915" t="inlineStr">
        <is>
          <t>labs-imaging</t>
        </is>
      </c>
      <c r="I1915" t="inlineStr">
        <is>
          <t>A nonurgent adrenal MR recommended for further
   characterization.</t>
        </is>
      </c>
    </row>
    <row r="1916">
      <c r="A1916" t="inlineStr">
        <is>
          <t>532698-labs-imaging-0-5</t>
        </is>
      </c>
      <c r="B1916" t="inlineStr"/>
      <c r="C1916" t="inlineStr"/>
      <c r="D1916">
        <f>HYPERLINK("http://nlpdeep.cs.uic.edu:8080/proofing/t5/532698-labs-imaging-0-5.pdf","t5/532698-labs-imaging-0-5.pdf")</f>
        <v/>
      </c>
      <c r="E1916" t="n">
        <v>119960</v>
      </c>
      <c r="F1916" t="n">
        <v>532698</v>
      </c>
      <c r="G1916" t="inlineStr">
        <is>
          <t>Physician</t>
        </is>
      </c>
      <c r="H1916" t="inlineStr">
        <is>
          <t>labs-imaging</t>
        </is>
      </c>
      <c r="I1916" t="inlineStr">
        <is>
          <t>Cholelithiasis.</t>
        </is>
      </c>
    </row>
    <row r="1917">
      <c r="A1917" t="inlineStr">
        <is>
          <t>532698-labs-imaging-0-5</t>
        </is>
      </c>
      <c r="B1917" t="inlineStr"/>
      <c r="C1917" t="inlineStr"/>
      <c r="D1917">
        <f>HYPERLINK("http://nlpdeep.cs.uic.edu:8080/proofing/gsii/532698-labs-imaging-0-5.pdf","gsii/532698-labs-imaging-0-5.pdf")</f>
        <v/>
      </c>
      <c r="E1917" t="n">
        <v>119960</v>
      </c>
      <c r="F1917" t="n">
        <v>532698</v>
      </c>
      <c r="G1917" t="inlineStr">
        <is>
          <t>Physician</t>
        </is>
      </c>
      <c r="H1917" t="inlineStr">
        <is>
          <t>labs-imaging</t>
        </is>
      </c>
      <c r="I1917" t="inlineStr">
        <is>
          <t>Cholelithiasis.</t>
        </is>
      </c>
    </row>
    <row r="1918">
      <c r="A1918" t="inlineStr">
        <is>
          <t>532698-labs-imaging-0-6</t>
        </is>
      </c>
      <c r="B1918" t="inlineStr"/>
      <c r="C1918" t="inlineStr"/>
      <c r="D1918">
        <f>HYPERLINK("http://nlpdeep.cs.uic.edu:8080/proofing/t5/532698-labs-imaging-0-6.pdf","t5/532698-labs-imaging-0-6.pdf")</f>
        <v/>
      </c>
      <c r="E1918" t="n">
        <v>119960</v>
      </c>
      <c r="F1918" t="n">
        <v>532698</v>
      </c>
      <c r="G1918" t="inlineStr">
        <is>
          <t>Physician</t>
        </is>
      </c>
      <c r="H1918" t="inlineStr">
        <is>
          <t>labs-imaging</t>
        </is>
      </c>
      <c r="I1918" t="inlineStr">
        <is>
          <t>Atherosclerotic calcification of the abdominal aorta and its
   branches.</t>
        </is>
      </c>
    </row>
    <row r="1919">
      <c r="A1919" t="inlineStr">
        <is>
          <t>532698-labs-imaging-0-6</t>
        </is>
      </c>
      <c r="B1919" t="inlineStr"/>
      <c r="C1919" t="inlineStr"/>
      <c r="D1919">
        <f>HYPERLINK("http://nlpdeep.cs.uic.edu:8080/proofing/gsii/532698-labs-imaging-0-6.pdf","gsii/532698-labs-imaging-0-6.pdf")</f>
        <v/>
      </c>
      <c r="E1919" t="n">
        <v>119960</v>
      </c>
      <c r="F1919" t="n">
        <v>532698</v>
      </c>
      <c r="G1919" t="inlineStr">
        <is>
          <t>Physician</t>
        </is>
      </c>
      <c r="H1919" t="inlineStr">
        <is>
          <t>labs-imaging</t>
        </is>
      </c>
      <c r="I1919" t="inlineStr">
        <is>
          <t>Atherosclerotic calcification of the abdominal aorta and its
   branches.</t>
        </is>
      </c>
    </row>
    <row r="1920">
      <c r="A1920" t="inlineStr">
        <is>
          <t>532698-labs-imaging-0-7</t>
        </is>
      </c>
      <c r="B1920" t="inlineStr"/>
      <c r="C1920" t="inlineStr"/>
      <c r="D1920">
        <f>HYPERLINK("http://nlpdeep.cs.uic.edu:8080/proofing/t5/532698-labs-imaging-0-7.pdf","t5/532698-labs-imaging-0-7.pdf")</f>
        <v/>
      </c>
      <c r="E1920" t="n">
        <v>119960</v>
      </c>
      <c r="F1920" t="n">
        <v>532698</v>
      </c>
      <c r="G1920" t="inlineStr">
        <is>
          <t>Physician</t>
        </is>
      </c>
      <c r="H1920" t="inlineStr">
        <is>
          <t>labs-imaging</t>
        </is>
      </c>
      <c r="I1920" t="inlineStr">
        <is>
          <t>No evidence of retroperitoneal hematoma.</t>
        </is>
      </c>
    </row>
    <row r="1921">
      <c r="A1921" t="inlineStr">
        <is>
          <t>532698-labs-imaging-0-7</t>
        </is>
      </c>
      <c r="B1921" t="inlineStr"/>
      <c r="C1921" t="inlineStr"/>
      <c r="D1921">
        <f>HYPERLINK("http://nlpdeep.cs.uic.edu:8080/proofing/gsii/532698-labs-imaging-0-7.pdf","gsii/532698-labs-imaging-0-7.pdf")</f>
        <v/>
      </c>
      <c r="E1921" t="n">
        <v>119960</v>
      </c>
      <c r="F1921" t="n">
        <v>532698</v>
      </c>
      <c r="G1921" t="inlineStr">
        <is>
          <t>Physician</t>
        </is>
      </c>
      <c r="H1921" t="inlineStr">
        <is>
          <t>labs-imaging</t>
        </is>
      </c>
      <c r="I1921" t="inlineStr">
        <is>
          <t>No evidence of retroperitoneal hematoma.</t>
        </is>
      </c>
    </row>
    <row r="1922">
      <c r="A1922" t="inlineStr">
        <is>
          <t>532698-labs-imaging-0-8</t>
        </is>
      </c>
      <c r="B1922" t="inlineStr"/>
      <c r="C1922" t="inlineStr"/>
      <c r="D1922">
        <f>HYPERLINK("http://nlpdeep.cs.uic.edu:8080/proofing/t5/532698-labs-imaging-0-8.pdf","t5/532698-labs-imaging-0-8.pdf")</f>
        <v/>
      </c>
      <c r="E1922" t="n">
        <v>119960</v>
      </c>
      <c r="F1922" t="n">
        <v>532698</v>
      </c>
      <c r="G1922" t="inlineStr">
        <is>
          <t>Physician</t>
        </is>
      </c>
      <c r="H1922" t="inlineStr">
        <is>
          <t>labs-imaging</t>
        </is>
      </c>
      <c r="I1922" t="inlineStr">
        <is>
          <t>Prostatic enlargement.</t>
        </is>
      </c>
    </row>
    <row r="1923">
      <c r="A1923" t="inlineStr">
        <is>
          <t>532698-labs-imaging-0-8</t>
        </is>
      </c>
      <c r="B1923" t="inlineStr"/>
      <c r="C1923" t="inlineStr"/>
      <c r="D1923">
        <f>HYPERLINK("http://nlpdeep.cs.uic.edu:8080/proofing/gsii/532698-labs-imaging-0-8.pdf","gsii/532698-labs-imaging-0-8.pdf")</f>
        <v/>
      </c>
      <c r="E1923" t="n">
        <v>119960</v>
      </c>
      <c r="F1923" t="n">
        <v>532698</v>
      </c>
      <c r="G1923" t="inlineStr">
        <is>
          <t>Physician</t>
        </is>
      </c>
      <c r="H1923" t="inlineStr">
        <is>
          <t>labs-imaging</t>
        </is>
      </c>
      <c r="I1923" t="inlineStr">
        <is>
          <t>Prostatic enlargement.</t>
        </is>
      </c>
    </row>
    <row r="1924">
      <c r="A1924" t="inlineStr">
        <is>
          <t>532698-assessment-and-plan-0-0</t>
        </is>
      </c>
      <c r="B1924" t="inlineStr"/>
      <c r="C1924" t="inlineStr"/>
      <c r="D1924">
        <f>HYPERLINK("http://nlpdeep.cs.uic.edu:8080/proofing/t5/532698-assessment-and-plan-0-0.pdf","t5/532698-assessment-and-plan-0-0.pdf")</f>
        <v/>
      </c>
      <c r="E1924" t="n">
        <v>119960</v>
      </c>
      <c r="F1924" t="n">
        <v>532698</v>
      </c>
      <c r="G1924" t="inlineStr">
        <is>
          <t>Physician</t>
        </is>
      </c>
      <c r="H1924" t="inlineStr">
        <is>
          <t>assessment-and-plan</t>
        </is>
      </c>
      <c r="I1924" t="inlineStr">
        <is>
          <t>Comments:</t>
        </is>
      </c>
    </row>
    <row r="1925">
      <c r="A1925" t="inlineStr">
        <is>
          <t>532698-assessment-and-plan-0-0</t>
        </is>
      </c>
      <c r="B1925" t="inlineStr"/>
      <c r="C1925" t="inlineStr"/>
      <c r="D1925">
        <f>HYPERLINK("http://nlpdeep.cs.uic.edu:8080/proofing/gsii/532698-assessment-and-plan-0-0.pdf","gsii/532698-assessment-and-plan-0-0.pdf")</f>
        <v/>
      </c>
      <c r="E1925" t="n">
        <v>119960</v>
      </c>
      <c r="F1925" t="n">
        <v>532698</v>
      </c>
      <c r="G1925" t="inlineStr">
        <is>
          <t>Physician</t>
        </is>
      </c>
      <c r="H1925" t="inlineStr">
        <is>
          <t>assessment-and-plan</t>
        </is>
      </c>
      <c r="I1925" t="inlineStr">
        <is>
          <t>Comments:</t>
        </is>
      </c>
    </row>
    <row r="1926">
      <c r="A1926" t="inlineStr">
        <is>
          <t>532698-code-status-0-0</t>
        </is>
      </c>
      <c r="B1926" t="inlineStr"/>
      <c r="C1926" t="inlineStr"/>
      <c r="D1926">
        <f>HYPERLINK("http://nlpdeep.cs.uic.edu:8080/proofing/t5/532698-code-status-0-0.pdf","t5/532698-code-status-0-0.pdf")</f>
        <v/>
      </c>
      <c r="E1926" t="n">
        <v>119960</v>
      </c>
      <c r="F1926" t="n">
        <v>532698</v>
      </c>
      <c r="G1926" t="inlineStr">
        <is>
          <t>Physician</t>
        </is>
      </c>
      <c r="H1926" t="inlineStr">
        <is>
          <t>code-status</t>
        </is>
      </c>
      <c r="I1926" t="inlineStr">
        <is>
          <t>Full c</t>
        </is>
      </c>
    </row>
    <row r="1927">
      <c r="A1927" t="inlineStr">
        <is>
          <t>532698-code-status-0-0</t>
        </is>
      </c>
      <c r="B1927" t="inlineStr"/>
      <c r="C1927" t="inlineStr"/>
      <c r="D1927">
        <f>HYPERLINK("http://nlpdeep.cs.uic.edu:8080/proofing/gsii/532698-code-status-0-0.pdf","gsii/532698-code-status-0-0.pdf")</f>
        <v/>
      </c>
      <c r="E1927" t="n">
        <v>119960</v>
      </c>
      <c r="F1927" t="n">
        <v>532698</v>
      </c>
      <c r="G1927" t="inlineStr">
        <is>
          <t>Physician</t>
        </is>
      </c>
      <c r="H1927" t="inlineStr">
        <is>
          <t>code-status</t>
        </is>
      </c>
      <c r="I1927" t="inlineStr">
        <is>
          <t>Full c</t>
        </is>
      </c>
    </row>
    <row r="1928">
      <c r="A1928" t="inlineStr">
        <is>
          <t>532530-24-hour-events-0-0</t>
        </is>
      </c>
      <c r="B1928" t="inlineStr"/>
      <c r="C1928" t="inlineStr"/>
      <c r="D1928">
        <f>HYPERLINK("http://nlpdeep.cs.uic.edu:8080/proofing/t5/532530-24-hour-events-0-0.pdf","t5/532530-24-hour-events-0-0.pdf")</f>
        <v/>
      </c>
      <c r="E1928" t="n">
        <v>119960</v>
      </c>
      <c r="F1928" t="n">
        <v>532530</v>
      </c>
      <c r="G1928" t="inlineStr">
        <is>
          <t>Physician</t>
        </is>
      </c>
      <c r="H1928" t="inlineStr">
        <is>
          <t>24-hour-events</t>
        </is>
      </c>
      <c r="I1928" t="inlineStr">
        <is>
          <t>- Patient transfused 2 units pRBCs at MN and 3am.</t>
        </is>
      </c>
    </row>
    <row r="1929">
      <c r="A1929" t="inlineStr">
        <is>
          <t>532530-24-hour-events-0-0</t>
        </is>
      </c>
      <c r="B1929" t="inlineStr"/>
      <c r="C1929" t="inlineStr"/>
      <c r="D1929">
        <f>HYPERLINK("http://nlpdeep.cs.uic.edu:8080/proofing/gsii/532530-24-hour-events-0-0.pdf","gsii/532530-24-hour-events-0-0.pdf")</f>
        <v/>
      </c>
      <c r="E1929" t="n">
        <v>119960</v>
      </c>
      <c r="F1929" t="n">
        <v>532530</v>
      </c>
      <c r="G1929" t="inlineStr">
        <is>
          <t>Physician</t>
        </is>
      </c>
      <c r="H1929" t="inlineStr">
        <is>
          <t>24-hour-events</t>
        </is>
      </c>
      <c r="I1929" t="inlineStr">
        <is>
          <t>- Patient transfused 2 units pRBCs at MN and 3am.</t>
        </is>
      </c>
    </row>
    <row r="1930">
      <c r="A1930" t="inlineStr">
        <is>
          <t>532530-24-hour-events-0-1</t>
        </is>
      </c>
      <c r="B1930" t="inlineStr"/>
      <c r="C1930" t="inlineStr"/>
      <c r="D1930">
        <f>HYPERLINK("http://nlpdeep.cs.uic.edu:8080/proofing/t5/532530-24-hour-events-0-1.pdf","t5/532530-24-hour-events-0-1.pdf")</f>
        <v/>
      </c>
      <c r="E1930" t="n">
        <v>119960</v>
      </c>
      <c r="F1930" t="n">
        <v>532530</v>
      </c>
      <c r="G1930" t="inlineStr">
        <is>
          <t>Physician</t>
        </is>
      </c>
      <c r="H1930" t="inlineStr">
        <is>
          <t>24-hour-events</t>
        </is>
      </c>
      <c r="I1930" t="inlineStr">
        <is>
          <t>- K 7.3 at 5am; repeat K p</t>
        </is>
      </c>
    </row>
    <row r="1931">
      <c r="A1931" t="inlineStr">
        <is>
          <t>532530-24-hour-events-0-1</t>
        </is>
      </c>
      <c r="B1931" t="inlineStr"/>
      <c r="C1931" t="inlineStr"/>
      <c r="D1931">
        <f>HYPERLINK("http://nlpdeep.cs.uic.edu:8080/proofing/gsii/532530-24-hour-events-0-1.pdf","gsii/532530-24-hour-events-0-1.pdf")</f>
        <v/>
      </c>
      <c r="E1931" t="n">
        <v>119960</v>
      </c>
      <c r="F1931" t="n">
        <v>532530</v>
      </c>
      <c r="G1931" t="inlineStr">
        <is>
          <t>Physician</t>
        </is>
      </c>
      <c r="H1931" t="inlineStr">
        <is>
          <t>24-hour-events</t>
        </is>
      </c>
      <c r="I1931" t="inlineStr">
        <is>
          <t>- K 7.3 at 5am; repeat K p</t>
        </is>
      </c>
    </row>
    <row r="1932">
      <c r="A1932" t="inlineStr">
        <is>
          <t>532530-allergies-0-0</t>
        </is>
      </c>
      <c r="B1932" t="inlineStr"/>
      <c r="C1932" t="inlineStr"/>
      <c r="D1932">
        <f>HYPERLINK("http://nlpdeep.cs.uic.edu:8080/proofing/t5/532530-allergies-0-0.pdf","t5/532530-allergies-0-0.pdf")</f>
        <v/>
      </c>
      <c r="E1932" t="n">
        <v>119960</v>
      </c>
      <c r="F1932" t="n">
        <v>532530</v>
      </c>
      <c r="G1932" t="inlineStr">
        <is>
          <t>Physician</t>
        </is>
      </c>
      <c r="H1932" t="inlineStr">
        <is>
          <t>allergies</t>
        </is>
      </c>
      <c r="I1932" t="inlineStr">
        <is>
          <t>Quinidine
   fever;
   Propranolol
   Aggitation;
   Heparin Agents
   Thrombocytopeni
   Warfarin
   GI bleed;
   Zolpidem
   Unknown;</t>
        </is>
      </c>
    </row>
    <row r="1933">
      <c r="A1933" t="inlineStr">
        <is>
          <t>532530-allergies-0-0</t>
        </is>
      </c>
      <c r="B1933" t="inlineStr"/>
      <c r="C1933" t="inlineStr"/>
      <c r="D1933">
        <f>HYPERLINK("http://nlpdeep.cs.uic.edu:8080/proofing/gsii/532530-allergies-0-0.pdf","gsii/532530-allergies-0-0.pdf")</f>
        <v/>
      </c>
      <c r="E1933" t="n">
        <v>119960</v>
      </c>
      <c r="F1933" t="n">
        <v>532530</v>
      </c>
      <c r="G1933" t="inlineStr">
        <is>
          <t>Physician</t>
        </is>
      </c>
      <c r="H1933" t="inlineStr">
        <is>
          <t>allergies</t>
        </is>
      </c>
      <c r="I1933" t="inlineStr">
        <is>
          <t>Quinidine
   fever;
   Propranolol
   Aggitation;
   Heparin Agents
   Thrombocytopeni
   Warfarin
   GI bleed;
   Zolpidem
   Unknown;</t>
        </is>
      </c>
    </row>
    <row r="1934">
      <c r="A1934" t="inlineStr">
        <is>
          <t>532530-other-medications-0-0</t>
        </is>
      </c>
      <c r="B1934" t="inlineStr"/>
      <c r="C1934" t="inlineStr"/>
      <c r="D1934">
        <f>HYPERLINK("http://nlpdeep.cs.uic.edu:8080/proofing/t5/532530-other-medications-0-0.pdf","t5/532530-other-medications-0-0.pdf")</f>
        <v/>
      </c>
      <c r="E1934" t="n">
        <v>119960</v>
      </c>
      <c r="F1934" t="n">
        <v>532530</v>
      </c>
      <c r="G1934" t="inlineStr">
        <is>
          <t>Physician</t>
        </is>
      </c>
      <c r="H1934" t="inlineStr">
        <is>
          <t>other-medications</t>
        </is>
      </c>
      <c r="I1934" t="inlineStr">
        <is>
          <t>Morphine Sulfate - [**2141-4-6**] 09:30 PM
   Other medications:</t>
        </is>
      </c>
    </row>
    <row r="1935">
      <c r="A1935" t="inlineStr">
        <is>
          <t>532530-other-medications-0-0</t>
        </is>
      </c>
      <c r="B1935" t="inlineStr"/>
      <c r="C1935" t="inlineStr"/>
      <c r="D1935">
        <f>HYPERLINK("http://nlpdeep.cs.uic.edu:8080/proofing/gsii/532530-other-medications-0-0.pdf","gsii/532530-other-medications-0-0.pdf")</f>
        <v/>
      </c>
      <c r="E1935" t="n">
        <v>119960</v>
      </c>
      <c r="F1935" t="n">
        <v>532530</v>
      </c>
      <c r="G1935" t="inlineStr">
        <is>
          <t>Physician</t>
        </is>
      </c>
      <c r="H1935" t="inlineStr">
        <is>
          <t>other-medications</t>
        </is>
      </c>
      <c r="I1935" t="inlineStr">
        <is>
          <t>Morphine Sulfate - [**2141-4-6**] 09:30 PM
   Other medications:</t>
        </is>
      </c>
    </row>
    <row r="1936">
      <c r="A1936" t="inlineStr">
        <is>
          <t>532530-past-medical-history-0-0</t>
        </is>
      </c>
      <c r="B1936" t="inlineStr"/>
      <c r="C1936" t="inlineStr"/>
      <c r="D1936">
        <f>HYPERLINK("http://nlpdeep.cs.uic.edu:8080/proofing/t5/532530-past-medical-history-0-0.pdf","t5/532530-past-medical-history-0-0.pdf")</f>
        <v/>
      </c>
      <c r="E1936" t="n">
        <v>119960</v>
      </c>
      <c r="F1936" t="n">
        <v>532530</v>
      </c>
      <c r="G1936" t="inlineStr">
        <is>
          <t>Physician</t>
        </is>
      </c>
      <c r="H1936" t="inlineStr">
        <is>
          <t>past-medical-history</t>
        </is>
      </c>
      <c r="I1936" t="inlineStr">
        <is>
          <t>n</t>
        </is>
      </c>
    </row>
    <row r="1937">
      <c r="A1937" t="inlineStr">
        <is>
          <t>532530-past-medical-history-0-0</t>
        </is>
      </c>
      <c r="B1937" t="inlineStr"/>
      <c r="C1937" t="inlineStr"/>
      <c r="D1937">
        <f>HYPERLINK("http://nlpdeep.cs.uic.edu:8080/proofing/gsii/532530-past-medical-history-0-0.pdf","gsii/532530-past-medical-history-0-0.pdf")</f>
        <v/>
      </c>
      <c r="E1937" t="n">
        <v>119960</v>
      </c>
      <c r="F1937" t="n">
        <v>532530</v>
      </c>
      <c r="G1937" t="inlineStr">
        <is>
          <t>Physician</t>
        </is>
      </c>
      <c r="H1937" t="inlineStr">
        <is>
          <t>past-medical-history</t>
        </is>
      </c>
      <c r="I1937" t="inlineStr">
        <is>
          <t>n</t>
        </is>
      </c>
    </row>
    <row r="1938">
      <c r="A1938" t="inlineStr">
        <is>
          <t>532530-review-of-systems-0-0</t>
        </is>
      </c>
      <c r="B1938" t="inlineStr"/>
      <c r="C1938" t="inlineStr"/>
      <c r="D1938">
        <f>HYPERLINK("http://nlpdeep.cs.uic.edu:8080/proofing/t5/532530-review-of-systems-0-0.pdf","t5/532530-review-of-systems-0-0.pdf")</f>
        <v/>
      </c>
      <c r="E1938" t="n">
        <v>119960</v>
      </c>
      <c r="F1938" t="n">
        <v>532530</v>
      </c>
      <c r="G1938" t="inlineStr">
        <is>
          <t>Physician</t>
        </is>
      </c>
      <c r="H1938" t="inlineStr">
        <is>
          <t>review-of-systems</t>
        </is>
      </c>
      <c r="I1938" t="inlineStr">
        <is>
          <t>n</t>
        </is>
      </c>
    </row>
    <row r="1939">
      <c r="A1939" t="inlineStr">
        <is>
          <t>532530-review-of-systems-0-0</t>
        </is>
      </c>
      <c r="B1939" t="inlineStr"/>
      <c r="C1939" t="inlineStr"/>
      <c r="D1939">
        <f>HYPERLINK("http://nlpdeep.cs.uic.edu:8080/proofing/gsii/532530-review-of-systems-0-0.pdf","gsii/532530-review-of-systems-0-0.pdf")</f>
        <v/>
      </c>
      <c r="E1939" t="n">
        <v>119960</v>
      </c>
      <c r="F1939" t="n">
        <v>532530</v>
      </c>
      <c r="G1939" t="inlineStr">
        <is>
          <t>Physician</t>
        </is>
      </c>
      <c r="H1939" t="inlineStr">
        <is>
          <t>review-of-systems</t>
        </is>
      </c>
      <c r="I1939" t="inlineStr">
        <is>
          <t>n</t>
        </is>
      </c>
    </row>
    <row r="1940">
      <c r="A1940" t="inlineStr">
        <is>
          <t>532530-flowsheet-data-vitals-0-0</t>
        </is>
      </c>
      <c r="B1940" t="inlineStr"/>
      <c r="C1940" t="inlineStr"/>
      <c r="D1940">
        <f>HYPERLINK("http://nlpdeep.cs.uic.edu:8080/proofing/t5/532530-flowsheet-data-vitals-0-0.pdf","t5/532530-flowsheet-data-vitals-0-0.pdf")</f>
        <v/>
      </c>
      <c r="E1940" t="n">
        <v>119960</v>
      </c>
      <c r="F1940" t="n">
        <v>532530</v>
      </c>
      <c r="G1940" t="inlineStr">
        <is>
          <t>Physician</t>
        </is>
      </c>
      <c r="H1940" t="inlineStr">
        <is>
          <t>flowsheet-data-vitals</t>
        </is>
      </c>
      <c r="I1940" t="inlineStr">
        <is>
          <t>Vital signs
   Hemodynamic monitoring
   Fluid balance
                                                                  24 hours
                                                               Since [**42**] AM
   Tmax: 34.2
C (93.6
   Tcurrent: 33.8
C (92.9
   HR: 72 (65 - 75) bpm
   BP: 92/63(51) {87/40(48) - 191/158(169)} mmHg
   RR: 19 (12 - 32) insp/min
   SpO2: 94%
   Heart rhythm: AF (Atrial Fibrillation)
           Total In:
                                                                     33 mL
                                                                    771 mL
   PO:
           TF:
   IVF:
                                                                     33 mL
                                                                     71 mL
   Blood products:
   700 mL
   Total out:
                                                                    400 mL
                                                                    680 mL
   Urine:
                                                                    100 mL
                                                                    680 mL
   NG:
   Stool:
   Drains:
   Balance:
                                                                   -367 mL
                                                                     91 mL
   Respiratory support
   O2 Delivery Device: Nasal cannula
   SpO2: 94%
   ABG: ///24/</t>
        </is>
      </c>
    </row>
    <row r="1941">
      <c r="A1941" t="inlineStr">
        <is>
          <t>532530-flowsheet-data-vitals-0-0</t>
        </is>
      </c>
      <c r="B1941" t="inlineStr"/>
      <c r="C1941" t="inlineStr"/>
      <c r="D1941">
        <f>HYPERLINK("http://nlpdeep.cs.uic.edu:8080/proofing/gsii/532530-flowsheet-data-vitals-0-0.pdf","gsii/532530-flowsheet-data-vitals-0-0.pdf")</f>
        <v/>
      </c>
      <c r="E1941" t="n">
        <v>119960</v>
      </c>
      <c r="F1941" t="n">
        <v>532530</v>
      </c>
      <c r="G1941" t="inlineStr">
        <is>
          <t>Physician</t>
        </is>
      </c>
      <c r="H1941" t="inlineStr">
        <is>
          <t>flowsheet-data-vitals</t>
        </is>
      </c>
      <c r="I1941" t="inlineStr">
        <is>
          <t>Vital signs
   Hemodynamic monitoring
   Fluid balance
                                                                  24 hours
                                                               Since [**42**] AM
   Tmax: 34.2
C (93.6
   Tcurrent: 33.8
C (92.9
   HR: 72 (65 - 75) bpm
   BP: 92/63(51) {87/40(48) - 191/158(169)} mmHg
   RR: 19 (12 - 32) insp/min
   SpO2: 94%
   Heart rhythm: AF (Atrial Fibrillation)
           Total In:
                                                                     33 mL
                                                                    771 mL
   PO:
           TF:
   IVF:
                                                                     33 mL
                                                                     71 mL
   Blood products:
   700 mL
   Total out:
                                                                    400 mL
                                                                    680 mL
   Urine:
                                                                    100 mL
                                                                    680 mL
   NG:
   Stool:
   Drains:
   Balance:
                                                                   -367 mL
                                                                     91 mL
   Respiratory support
   O2 Delivery Device: Nasal cannula
   SpO2: 94%
   ABG: ///24/</t>
        </is>
      </c>
    </row>
    <row r="1942">
      <c r="A1942" t="inlineStr">
        <is>
          <t>532530-physical-examination-0-0</t>
        </is>
      </c>
      <c r="B1942" t="inlineStr"/>
      <c r="C1942" t="inlineStr"/>
      <c r="D1942">
        <f>HYPERLINK("http://nlpdeep.cs.uic.edu:8080/proofing/t5/532530-physical-examination-0-0.pdf","t5/532530-physical-examination-0-0.pdf")</f>
        <v/>
      </c>
      <c r="E1942" t="n">
        <v>119960</v>
      </c>
      <c r="F1942" t="n">
        <v>532530</v>
      </c>
      <c r="G1942" t="inlineStr">
        <is>
          <t>Physician</t>
        </is>
      </c>
      <c r="H1942" t="inlineStr">
        <is>
          <t>physical-examination</t>
        </is>
      </c>
      <c r="I1942" t="inlineStr">
        <is>
          <t>Extremities: 1+ DP bilaterally; extremities warm; 2+ pitting edema
   bilaterally.</t>
        </is>
      </c>
    </row>
    <row r="1943">
      <c r="A1943" t="inlineStr">
        <is>
          <t>532530-physical-examination-0-0</t>
        </is>
      </c>
      <c r="B1943" t="inlineStr"/>
      <c r="C1943" t="inlineStr"/>
      <c r="D1943">
        <f>HYPERLINK("http://nlpdeep.cs.uic.edu:8080/proofing/gsii/532530-physical-examination-0-0.pdf","gsii/532530-physical-examination-0-0.pdf")</f>
        <v/>
      </c>
      <c r="E1943" t="n">
        <v>119960</v>
      </c>
      <c r="F1943" t="n">
        <v>532530</v>
      </c>
      <c r="G1943" t="inlineStr">
        <is>
          <t>Physician</t>
        </is>
      </c>
      <c r="H1943" t="inlineStr">
        <is>
          <t>physical-examination</t>
        </is>
      </c>
      <c r="I1943" t="inlineStr">
        <is>
          <t>Extremities: 1+ DP bilaterally; extremities warm; 2+ pitting edema
   bilaterally.</t>
        </is>
      </c>
    </row>
    <row r="1944">
      <c r="A1944" t="inlineStr">
        <is>
          <t>532530-physical-examination-0-1</t>
        </is>
      </c>
      <c r="B1944" t="inlineStr"/>
      <c r="C1944" t="inlineStr"/>
      <c r="D1944">
        <f>HYPERLINK("http://nlpdeep.cs.uic.edu:8080/proofing/t5/532530-physical-examination-0-1.pdf","t5/532530-physical-examination-0-1.pdf")</f>
        <v/>
      </c>
      <c r="E1944" t="n">
        <v>119960</v>
      </c>
      <c r="F1944" t="n">
        <v>532530</v>
      </c>
      <c r="G1944" t="inlineStr">
        <is>
          <t>Physician</t>
        </is>
      </c>
      <c r="H1944" t="inlineStr">
        <is>
          <t>physical-examination</t>
        </is>
      </c>
      <c r="I1944" t="inlineStr">
        <is>
          <t>Signs of chronic venous insufficiency present bilaterally.</t>
        </is>
      </c>
    </row>
    <row r="1945">
      <c r="A1945" t="inlineStr">
        <is>
          <t>532530-physical-examination-0-1</t>
        </is>
      </c>
      <c r="B1945" t="inlineStr"/>
      <c r="C1945" t="inlineStr"/>
      <c r="D1945">
        <f>HYPERLINK("http://nlpdeep.cs.uic.edu:8080/proofing/gsii/532530-physical-examination-0-1.pdf","gsii/532530-physical-examination-0-1.pdf")</f>
        <v/>
      </c>
      <c r="E1945" t="n">
        <v>119960</v>
      </c>
      <c r="F1945" t="n">
        <v>532530</v>
      </c>
      <c r="G1945" t="inlineStr">
        <is>
          <t>Physician</t>
        </is>
      </c>
      <c r="H1945" t="inlineStr">
        <is>
          <t>physical-examination</t>
        </is>
      </c>
      <c r="I1945" t="inlineStr">
        <is>
          <t>Signs of chronic venous insufficiency present bilaterally.</t>
        </is>
      </c>
    </row>
    <row r="1946">
      <c r="A1946" t="inlineStr">
        <is>
          <t>532530-physical-examination-0-2</t>
        </is>
      </c>
      <c r="B1946" t="inlineStr"/>
      <c r="C1946" t="inlineStr"/>
      <c r="D1946">
        <f>HYPERLINK("http://nlpdeep.cs.uic.edu:8080/proofing/t5/532530-physical-examination-0-2.pdf","t5/532530-physical-examination-0-2.pdf")</f>
        <v/>
      </c>
      <c r="E1946" t="n">
        <v>119960</v>
      </c>
      <c r="F1946" t="n">
        <v>532530</v>
      </c>
      <c r="G1946" t="inlineStr">
        <is>
          <t>Physician</t>
        </is>
      </c>
      <c r="H1946" t="inlineStr">
        <is>
          <t>physical-examination</t>
        </is>
      </c>
      <c r="I1946" t="inlineStr">
        <is>
          <t xml:space="preserve">
   Left leg wrapped in ACE; no pneumoboots present.</t>
        </is>
      </c>
    </row>
    <row r="1947">
      <c r="A1947" t="inlineStr">
        <is>
          <t>532530-physical-examination-0-2</t>
        </is>
      </c>
      <c r="B1947" t="inlineStr"/>
      <c r="C1947" t="inlineStr"/>
      <c r="D1947">
        <f>HYPERLINK("http://nlpdeep.cs.uic.edu:8080/proofing/gsii/532530-physical-examination-0-2.pdf","gsii/532530-physical-examination-0-2.pdf")</f>
        <v/>
      </c>
      <c r="E1947" t="n">
        <v>119960</v>
      </c>
      <c r="F1947" t="n">
        <v>532530</v>
      </c>
      <c r="G1947" t="inlineStr">
        <is>
          <t>Physician</t>
        </is>
      </c>
      <c r="H1947" t="inlineStr">
        <is>
          <t>physical-examination</t>
        </is>
      </c>
      <c r="I1947" t="inlineStr">
        <is>
          <t xml:space="preserve">
   Left leg wrapped in ACE; no pneumoboots present.</t>
        </is>
      </c>
    </row>
    <row r="1948">
      <c r="A1948" t="inlineStr">
        <is>
          <t>532530-physical-examination-0-3</t>
        </is>
      </c>
      <c r="B1948" t="inlineStr"/>
      <c r="C1948" t="inlineStr"/>
      <c r="D1948">
        <f>HYPERLINK("http://nlpdeep.cs.uic.edu:8080/proofing/t5/532530-physical-examination-0-3.pdf","t5/532530-physical-examination-0-3.pdf")</f>
        <v/>
      </c>
      <c r="E1948" t="n">
        <v>119960</v>
      </c>
      <c r="F1948" t="n">
        <v>532530</v>
      </c>
      <c r="G1948" t="inlineStr">
        <is>
          <t>Physician</t>
        </is>
      </c>
      <c r="H1948" t="inlineStr">
        <is>
          <t>physical-examination</t>
        </is>
      </c>
      <c r="I1948" t="inlineStr">
        <is>
          <t xml:space="preserve">
   Skin:  Multiple ecchymoses on arms bilaterally
   Neurologic: Alert and oriented, maintains closed eyes throughout much
   of the conversation.</t>
        </is>
      </c>
    </row>
    <row r="1949">
      <c r="A1949" t="inlineStr">
        <is>
          <t>532530-physical-examination-0-3</t>
        </is>
      </c>
      <c r="B1949" t="inlineStr"/>
      <c r="C1949" t="inlineStr"/>
      <c r="D1949">
        <f>HYPERLINK("http://nlpdeep.cs.uic.edu:8080/proofing/gsii/532530-physical-examination-0-3.pdf","gsii/532530-physical-examination-0-3.pdf")</f>
        <v/>
      </c>
      <c r="E1949" t="n">
        <v>119960</v>
      </c>
      <c r="F1949" t="n">
        <v>532530</v>
      </c>
      <c r="G1949" t="inlineStr">
        <is>
          <t>Physician</t>
        </is>
      </c>
      <c r="H1949" t="inlineStr">
        <is>
          <t>physical-examination</t>
        </is>
      </c>
      <c r="I1949" t="inlineStr">
        <is>
          <t xml:space="preserve">
   Skin:  Multiple ecchymoses on arms bilaterally
   Neurologic: Alert and oriented, maintains closed eyes throughout much
   of the conversation.</t>
        </is>
      </c>
    </row>
    <row r="1950">
      <c r="A1950" t="inlineStr">
        <is>
          <t>532530-physical-examination-0-4</t>
        </is>
      </c>
      <c r="B1950" t="inlineStr"/>
      <c r="C1950" t="inlineStr"/>
      <c r="D1950">
        <f>HYPERLINK("http://nlpdeep.cs.uic.edu:8080/proofing/t5/532530-physical-examination-0-4.pdf","t5/532530-physical-examination-0-4.pdf")</f>
        <v/>
      </c>
      <c r="E1950" t="n">
        <v>119960</v>
      </c>
      <c r="F1950" t="n">
        <v>532530</v>
      </c>
      <c r="G1950" t="inlineStr">
        <is>
          <t>Physician</t>
        </is>
      </c>
      <c r="H1950" t="inlineStr">
        <is>
          <t>physical-examination</t>
        </is>
      </c>
      <c r="I1950" t="inlineStr">
        <is>
          <t>Intention tremor present (baseline)
   CV: Irregularly irregular rhythm, normal rate, no murmur/rub/gallop
   Pulm: rhonchorous breath sounds present bilaterally, otherwise clear
   Ab: Generally soft but mildly firm in RLQ&gt;LLQ, BS present, non-t</t>
        </is>
      </c>
    </row>
    <row r="1951">
      <c r="A1951" t="inlineStr">
        <is>
          <t>532530-physical-examination-0-4</t>
        </is>
      </c>
      <c r="B1951" t="inlineStr"/>
      <c r="C1951" t="inlineStr"/>
      <c r="D1951">
        <f>HYPERLINK("http://nlpdeep.cs.uic.edu:8080/proofing/gsii/532530-physical-examination-0-4.pdf","gsii/532530-physical-examination-0-4.pdf")</f>
        <v/>
      </c>
      <c r="E1951" t="n">
        <v>119960</v>
      </c>
      <c r="F1951" t="n">
        <v>532530</v>
      </c>
      <c r="G1951" t="inlineStr">
        <is>
          <t>Physician</t>
        </is>
      </c>
      <c r="H1951" t="inlineStr">
        <is>
          <t>physical-examination</t>
        </is>
      </c>
      <c r="I1951" t="inlineStr">
        <is>
          <t>Intention tremor present (baseline)
   CV: Irregularly irregular rhythm, normal rate, no murmur/rub/gallop
   Pulm: rhonchorous breath sounds present bilaterally, otherwise clear
   Ab: Generally soft but mildly firm in RLQ&gt;LLQ, BS present, non-t</t>
        </is>
      </c>
    </row>
    <row r="1952">
      <c r="A1952" t="inlineStr">
        <is>
          <t>532530-labs-imaging-0-0</t>
        </is>
      </c>
      <c r="B1952" t="inlineStr"/>
      <c r="C1952" t="inlineStr"/>
      <c r="D1952">
        <f>HYPERLINK("http://nlpdeep.cs.uic.edu:8080/proofing/t5/532530-labs-imaging-0-0.pdf","t5/532530-labs-imaging-0-0.pdf")</f>
        <v/>
      </c>
      <c r="E1952" t="n">
        <v>119960</v>
      </c>
      <c r="F1952" t="n">
        <v>532530</v>
      </c>
      <c r="G1952" t="inlineStr">
        <is>
          <t>Physician</t>
        </is>
      </c>
      <c r="H1952" t="inlineStr">
        <is>
          <t>labs-imaging</t>
        </is>
      </c>
      <c r="I1952" t="inlineStr">
        <is>
          <t>110 K/uL
   10.3 g/dL
   106 mg/dL
   2.4 mg/dL
   24 mEq/L
   7.3 mEq/L
   56 mg/dL
   101 mEq/L
   139 mEq/L
   29.7 %
   5.9 K/uL
        [image002.jpg]
                             [**2141-4-6**]  08:20 PM
                             [**2141-4-7**]  04:57 AM
   WBC
   8.2
   5.9
   Hct
   22.8
   29.7
   Plt
   128
   110
   Cr
   2.4
   Glucose
   106
   Other labs: PT / PTT / INR:13.6/32.2/1.2, Lactic Acid:0.9 mmol/L,
   Ca++:8.5 mg/dL, Mg++:2.1 mg/dL, PO4:6.8 mg/dL
   Cortisol 26.4
   UA hazy pink 1.008, lg blood, neg nitrite, neg leuk pH 6.5; sed 388 R,
   0 W, no bact/yeast, 2 hyaline casts
   Urine lytes: 10pm -= BUN 323, Cr 26, Na 78 (at 3pm serum levels 140 /
   65 / 2.7) = FEUN 51.6%, FeNa 5%
   Blood cx X2 pending; urine legionella negative; urine culture pending
   [**4-7**] CXR - u</t>
        </is>
      </c>
    </row>
    <row r="1953">
      <c r="A1953" t="inlineStr">
        <is>
          <t>532530-labs-imaging-0-0</t>
        </is>
      </c>
      <c r="B1953" t="inlineStr"/>
      <c r="C1953" t="inlineStr"/>
      <c r="D1953">
        <f>HYPERLINK("http://nlpdeep.cs.uic.edu:8080/proofing/gsii/532530-labs-imaging-0-0.pdf","gsii/532530-labs-imaging-0-0.pdf")</f>
        <v/>
      </c>
      <c r="E1953" t="n">
        <v>119960</v>
      </c>
      <c r="F1953" t="n">
        <v>532530</v>
      </c>
      <c r="G1953" t="inlineStr">
        <is>
          <t>Physician</t>
        </is>
      </c>
      <c r="H1953" t="inlineStr">
        <is>
          <t>labs-imaging</t>
        </is>
      </c>
      <c r="I1953" t="inlineStr">
        <is>
          <t>110 K/uL
   10.3 g/dL
   106 mg/dL
   2.4 mg/dL
   24 mEq/L
   7.3 mEq/L
   56 mg/dL
   101 mEq/L
   139 mEq/L
   29.7 %
   5.9 K/uL
        [image002.jpg]
                             [**2141-4-6**]  08:20 PM
                             [**2141-4-7**]  04:57 AM
   WBC
   8.2
   5.9
   Hct
   22.8
   29.7
   Plt
   128
   110
   Cr
   2.4
   Glucose
   106
   Other labs: PT / PTT / INR:13.6/32.2/1.2, Lactic Acid:0.9 mmol/L,
   Ca++:8.5 mg/dL, Mg++:2.1 mg/dL, PO4:6.8 mg/dL
   Cortisol 26.4
   UA hazy pink 1.008, lg blood, neg nitrite, neg leuk pH 6.5; sed 388 R,
   0 W, no bact/yeast, 2 hyaline casts
   Urine lytes: 10pm -= BUN 323, Cr 26, Na 78 (at 3pm serum levels 140 /
   65 / 2.7) = FEUN 51.6%, FeNa 5%
   Blood cx X2 pending; urine legionella negative; urine culture pending
   [**4-7**] CXR - u</t>
        </is>
      </c>
    </row>
    <row r="1954">
      <c r="A1954" t="inlineStr">
        <is>
          <t>532530-assessment-and-plan-0-0</t>
        </is>
      </c>
      <c r="B1954" t="inlineStr"/>
      <c r="C1954" t="inlineStr"/>
      <c r="D1954">
        <f>HYPERLINK("http://nlpdeep.cs.uic.edu:8080/proofing/t5/532530-assessment-and-plan-0-0.pdf","t5/532530-assessment-and-plan-0-0.pdf")</f>
        <v/>
      </c>
      <c r="E1954" t="n">
        <v>119960</v>
      </c>
      <c r="F1954" t="n">
        <v>532530</v>
      </c>
      <c r="G1954" t="inlineStr">
        <is>
          <t>Physician</t>
        </is>
      </c>
      <c r="H1954" t="inlineStr">
        <is>
          <t>assessment-and-plan</t>
        </is>
      </c>
      <c r="I1954" t="inlineStr">
        <is>
          <t>Disposition:</t>
        </is>
      </c>
    </row>
    <row r="1955">
      <c r="A1955" t="inlineStr">
        <is>
          <t>532530-assessment-and-plan-0-0</t>
        </is>
      </c>
      <c r="B1955" t="inlineStr"/>
      <c r="C1955" t="inlineStr"/>
      <c r="D1955">
        <f>HYPERLINK("http://nlpdeep.cs.uic.edu:8080/proofing/gsii/532530-assessment-and-plan-0-0.pdf","gsii/532530-assessment-and-plan-0-0.pdf")</f>
        <v/>
      </c>
      <c r="E1955" t="n">
        <v>119960</v>
      </c>
      <c r="F1955" t="n">
        <v>532530</v>
      </c>
      <c r="G1955" t="inlineStr">
        <is>
          <t>Physician</t>
        </is>
      </c>
      <c r="H1955" t="inlineStr">
        <is>
          <t>assessment-and-plan</t>
        </is>
      </c>
      <c r="I1955" t="inlineStr">
        <is>
          <t>Disposition:</t>
        </is>
      </c>
    </row>
    <row r="1956">
      <c r="A1956" t="inlineStr">
        <is>
          <t>532530-communication-0-0</t>
        </is>
      </c>
      <c r="B1956" t="inlineStr"/>
      <c r="C1956" t="inlineStr"/>
      <c r="D1956">
        <f>HYPERLINK("http://nlpdeep.cs.uic.edu:8080/proofing/t5/532530-communication-0-0.pdf","t5/532530-communication-0-0.pdf")</f>
        <v/>
      </c>
      <c r="E1956" t="n">
        <v>119960</v>
      </c>
      <c r="F1956" t="n">
        <v>532530</v>
      </c>
      <c r="G1956" t="inlineStr">
        <is>
          <t>Physician</t>
        </is>
      </c>
      <c r="H1956" t="inlineStr">
        <is>
          <t>communication</t>
        </is>
      </c>
      <c r="I1956" t="inlineStr">
        <is>
          <t>Patient, wife [**Name (NI) **] [**Name (NI) 14060**] [</t>
        </is>
      </c>
    </row>
    <row r="1957">
      <c r="A1957" t="inlineStr">
        <is>
          <t>532530-communication-0-0</t>
        </is>
      </c>
      <c r="B1957" t="inlineStr"/>
      <c r="C1957" t="inlineStr"/>
      <c r="D1957">
        <f>HYPERLINK("http://nlpdeep.cs.uic.edu:8080/proofing/gsii/532530-communication-0-0.pdf","gsii/532530-communication-0-0.pdf")</f>
        <v/>
      </c>
      <c r="E1957" t="n">
        <v>119960</v>
      </c>
      <c r="F1957" t="n">
        <v>532530</v>
      </c>
      <c r="G1957" t="inlineStr">
        <is>
          <t>Physician</t>
        </is>
      </c>
      <c r="H1957" t="inlineStr">
        <is>
          <t>communication</t>
        </is>
      </c>
      <c r="I1957" t="inlineStr">
        <is>
          <t>Patient, wife [**Name (NI) **] [**Name (NI) 14060**] [</t>
        </is>
      </c>
    </row>
    <row r="1958">
      <c r="A1958" t="inlineStr">
        <is>
          <t>532530-code-status-0-0</t>
        </is>
      </c>
      <c r="B1958" t="inlineStr"/>
      <c r="C1958" t="inlineStr"/>
      <c r="D1958">
        <f>HYPERLINK("http://nlpdeep.cs.uic.edu:8080/proofing/t5/532530-code-status-0-0.pdf","t5/532530-code-status-0-0.pdf")</f>
        <v/>
      </c>
      <c r="E1958" t="n">
        <v>119960</v>
      </c>
      <c r="F1958" t="n">
        <v>532530</v>
      </c>
      <c r="G1958" t="inlineStr">
        <is>
          <t>Physician</t>
        </is>
      </c>
      <c r="H1958" t="inlineStr">
        <is>
          <t>code-status</t>
        </is>
      </c>
      <c r="I1958" t="inlineStr">
        <is>
          <t>Full c</t>
        </is>
      </c>
    </row>
    <row r="1959">
      <c r="A1959" t="inlineStr">
        <is>
          <t>532530-code-status-0-0</t>
        </is>
      </c>
      <c r="B1959" t="inlineStr"/>
      <c r="C1959" t="inlineStr"/>
      <c r="D1959">
        <f>HYPERLINK("http://nlpdeep.cs.uic.edu:8080/proofing/gsii/532530-code-status-0-0.pdf","gsii/532530-code-status-0-0.pdf")</f>
        <v/>
      </c>
      <c r="E1959" t="n">
        <v>119960</v>
      </c>
      <c r="F1959" t="n">
        <v>532530</v>
      </c>
      <c r="G1959" t="inlineStr">
        <is>
          <t>Physician</t>
        </is>
      </c>
      <c r="H1959" t="inlineStr">
        <is>
          <t>code-status</t>
        </is>
      </c>
      <c r="I1959" t="inlineStr">
        <is>
          <t>Full c</t>
        </is>
      </c>
    </row>
    <row r="1960">
      <c r="A1960" t="inlineStr">
        <is>
          <t>532530-disposition-0-0</t>
        </is>
      </c>
      <c r="B1960" t="inlineStr"/>
      <c r="C1960" t="inlineStr"/>
      <c r="D1960">
        <f>HYPERLINK("http://nlpdeep.cs.uic.edu:8080/proofing/t5/532530-disposition-0-0.pdf","t5/532530-disposition-0-0.pdf")</f>
        <v/>
      </c>
      <c r="E1960" t="n">
        <v>119960</v>
      </c>
      <c r="F1960" t="n">
        <v>532530</v>
      </c>
      <c r="G1960" t="inlineStr">
        <is>
          <t>Physician</t>
        </is>
      </c>
      <c r="H1960" t="inlineStr">
        <is>
          <t>disposition</t>
        </is>
      </c>
      <c r="I1960" t="inlineStr">
        <is>
          <t>ICU pending clinical i</t>
        </is>
      </c>
    </row>
    <row r="1961">
      <c r="A1961" t="inlineStr">
        <is>
          <t>532530-disposition-0-0</t>
        </is>
      </c>
      <c r="B1961" t="inlineStr"/>
      <c r="C1961" t="inlineStr"/>
      <c r="D1961">
        <f>HYPERLINK("http://nlpdeep.cs.uic.edu:8080/proofing/gsii/532530-disposition-0-0.pdf","gsii/532530-disposition-0-0.pdf")</f>
        <v/>
      </c>
      <c r="E1961" t="n">
        <v>119960</v>
      </c>
      <c r="F1961" t="n">
        <v>532530</v>
      </c>
      <c r="G1961" t="inlineStr">
        <is>
          <t>Physician</t>
        </is>
      </c>
      <c r="H1961" t="inlineStr">
        <is>
          <t>disposition</t>
        </is>
      </c>
      <c r="I1961" t="inlineStr">
        <is>
          <t>ICU pending clinical i</t>
        </is>
      </c>
    </row>
    <row r="1962">
      <c r="A1962" t="inlineStr">
        <is>
          <t>532530-addendum-0-0</t>
        </is>
      </c>
      <c r="B1962" t="inlineStr"/>
      <c r="C1962" t="inlineStr"/>
      <c r="D1962">
        <f>HYPERLINK("http://nlpdeep.cs.uic.edu:8080/proofing/t5/532530-addendum-0-0.pdf","t5/532530-addendum-0-0.pdf")</f>
        <v/>
      </c>
      <c r="E1962" t="n">
        <v>119960</v>
      </c>
      <c r="F1962" t="n">
        <v>532530</v>
      </c>
      <c r="G1962" t="inlineStr">
        <is>
          <t>Physician</t>
        </is>
      </c>
      <c r="H1962" t="inlineStr">
        <is>
          <t>addendum</t>
        </is>
      </c>
      <c r="I1962" t="inlineStr">
        <is>
          <t>I saw and examined the patient, and was physically present with the ICU
   team for the key portions of the services provided.</t>
        </is>
      </c>
    </row>
    <row r="1963">
      <c r="A1963" t="inlineStr">
        <is>
          <t>532530-addendum-0-0</t>
        </is>
      </c>
      <c r="B1963" t="inlineStr"/>
      <c r="C1963" t="inlineStr"/>
      <c r="D1963">
        <f>HYPERLINK("http://nlpdeep.cs.uic.edu:8080/proofing/gsii/532530-addendum-0-0.pdf","gsii/532530-addendum-0-0.pdf")</f>
        <v/>
      </c>
      <c r="E1963" t="n">
        <v>119960</v>
      </c>
      <c r="F1963" t="n">
        <v>532530</v>
      </c>
      <c r="G1963" t="inlineStr">
        <is>
          <t>Physician</t>
        </is>
      </c>
      <c r="H1963" t="inlineStr">
        <is>
          <t>addendum</t>
        </is>
      </c>
      <c r="I1963" t="inlineStr">
        <is>
          <t>I saw and examined the patient, and was physically present with the ICU
   team for the key portions of the services provided.</t>
        </is>
      </c>
    </row>
    <row r="1964">
      <c r="A1964" t="inlineStr">
        <is>
          <t>532530-addendum-0-1</t>
        </is>
      </c>
      <c r="B1964" t="inlineStr"/>
      <c r="C1964" t="inlineStr"/>
      <c r="D1964">
        <f>HYPERLINK("http://nlpdeep.cs.uic.edu:8080/proofing/t5/532530-addendum-0-1.pdf","t5/532530-addendum-0-1.pdf")</f>
        <v/>
      </c>
      <c r="E1964" t="n">
        <v>119960</v>
      </c>
      <c r="F1964" t="n">
        <v>532530</v>
      </c>
      <c r="G1964" t="inlineStr">
        <is>
          <t>Physician</t>
        </is>
      </c>
      <c r="H1964" t="inlineStr">
        <is>
          <t>addendum</t>
        </is>
      </c>
      <c r="I1964" t="inlineStr">
        <is>
          <t>I agree with the
   note above, including the assessment and plan.</t>
        </is>
      </c>
    </row>
    <row r="1965">
      <c r="A1965" t="inlineStr">
        <is>
          <t>532530-addendum-0-1</t>
        </is>
      </c>
      <c r="B1965" t="inlineStr"/>
      <c r="C1965" t="inlineStr"/>
      <c r="D1965">
        <f>HYPERLINK("http://nlpdeep.cs.uic.edu:8080/proofing/gsii/532530-addendum-0-1.pdf","gsii/532530-addendum-0-1.pdf")</f>
        <v/>
      </c>
      <c r="E1965" t="n">
        <v>119960</v>
      </c>
      <c r="F1965" t="n">
        <v>532530</v>
      </c>
      <c r="G1965" t="inlineStr">
        <is>
          <t>Physician</t>
        </is>
      </c>
      <c r="H1965" t="inlineStr">
        <is>
          <t>addendum</t>
        </is>
      </c>
      <c r="I1965" t="inlineStr">
        <is>
          <t>I agree with the
   note above, including the assessment and plan.</t>
        </is>
      </c>
    </row>
    <row r="1966">
      <c r="A1966" t="inlineStr">
        <is>
          <t>532530-addendum-0-2</t>
        </is>
      </c>
      <c r="B1966" t="inlineStr"/>
      <c r="C1966" t="inlineStr"/>
      <c r="D1966">
        <f>HYPERLINK("http://nlpdeep.cs.uic.edu:8080/proofing/t5/532530-addendum-0-2.pdf","t5/532530-addendum-0-2.pdf")</f>
        <v/>
      </c>
      <c r="E1966" t="n">
        <v>119960</v>
      </c>
      <c r="F1966" t="n">
        <v>532530</v>
      </c>
      <c r="G1966" t="inlineStr">
        <is>
          <t>Physician</t>
        </is>
      </c>
      <c r="H1966" t="inlineStr">
        <is>
          <t>addendum</t>
        </is>
      </c>
      <c r="I1966" t="inlineStr">
        <is>
          <t>I would emphasize and
   add the following points: 87M dCHF, CKD, AF, mild AS, recurrent c.</t>
        </is>
      </c>
    </row>
    <row r="1967">
      <c r="A1967" t="inlineStr">
        <is>
          <t>532530-addendum-0-2</t>
        </is>
      </c>
      <c r="B1967" t="inlineStr"/>
      <c r="C1967" t="inlineStr"/>
      <c r="D1967">
        <f>HYPERLINK("http://nlpdeep.cs.uic.edu:8080/proofing/gsii/532530-addendum-0-2.pdf","gsii/532530-addendum-0-2.pdf")</f>
        <v/>
      </c>
      <c r="E1967" t="n">
        <v>119960</v>
      </c>
      <c r="F1967" t="n">
        <v>532530</v>
      </c>
      <c r="G1967" t="inlineStr">
        <is>
          <t>Physician</t>
        </is>
      </c>
      <c r="H1967" t="inlineStr">
        <is>
          <t>addendum</t>
        </is>
      </c>
      <c r="I1967" t="inlineStr">
        <is>
          <t>I would emphasize and
   add the following points: 87M dCHF, CKD, AF, mild AS, recurrent c.</t>
        </is>
      </c>
    </row>
    <row r="1968">
      <c r="A1968" t="inlineStr">
        <is>
          <t>532530-addendum-0-3</t>
        </is>
      </c>
      <c r="B1968" t="inlineStr"/>
      <c r="C1968" t="inlineStr"/>
      <c r="D1968">
        <f>HYPERLINK("http://nlpdeep.cs.uic.edu:8080/proofing/t5/532530-addendum-0-3.pdf","t5/532530-addendum-0-3.pdf")</f>
        <v/>
      </c>
      <c r="E1968" t="n">
        <v>119960</v>
      </c>
      <c r="F1968" t="n">
        <v>532530</v>
      </c>
      <c r="G1968" t="inlineStr">
        <is>
          <t>Physician</t>
        </is>
      </c>
      <c r="H1968" t="inlineStr">
        <is>
          <t>addendum</t>
        </is>
      </c>
      <c r="I1968" t="inlineStr">
        <is>
          <t xml:space="preserve">
   diff / MRSA + p/w mechanical fall and L hip fx.</t>
        </is>
      </c>
    </row>
    <row r="1969">
      <c r="A1969" t="inlineStr">
        <is>
          <t>532530-addendum-0-3</t>
        </is>
      </c>
      <c r="B1969" t="inlineStr"/>
      <c r="C1969" t="inlineStr"/>
      <c r="D1969">
        <f>HYPERLINK("http://nlpdeep.cs.uic.edu:8080/proofing/gsii/532530-addendum-0-3.pdf","gsii/532530-addendum-0-3.pdf")</f>
        <v/>
      </c>
      <c r="E1969" t="n">
        <v>119960</v>
      </c>
      <c r="F1969" t="n">
        <v>532530</v>
      </c>
      <c r="G1969" t="inlineStr">
        <is>
          <t>Physician</t>
        </is>
      </c>
      <c r="H1969" t="inlineStr">
        <is>
          <t>addendum</t>
        </is>
      </c>
      <c r="I1969" t="inlineStr">
        <is>
          <t xml:space="preserve">
   diff / MRSA + p/w mechanical fall and L hip fx.</t>
        </is>
      </c>
    </row>
    <row r="1970">
      <c r="A1970" t="inlineStr">
        <is>
          <t>532530-addendum-0-4</t>
        </is>
      </c>
      <c r="B1970" t="inlineStr"/>
      <c r="C1970" t="inlineStr"/>
      <c r="D1970">
        <f>HYPERLINK("http://nlpdeep.cs.uic.edu:8080/proofing/t5/532530-addendum-0-4.pdf","t5/532530-addendum-0-4.pdf")</f>
        <v/>
      </c>
      <c r="E1970" t="n">
        <v>119960</v>
      </c>
      <c r="F1970" t="n">
        <v>532530</v>
      </c>
      <c r="G1970" t="inlineStr">
        <is>
          <t>Physician</t>
        </is>
      </c>
      <c r="H1970" t="inlineStr">
        <is>
          <t>addendum</t>
        </is>
      </c>
      <c r="I1970" t="inlineStr">
        <is>
          <t>Hypotensive in ED with
   drop in HCT and bump in creatinine - admitted to MICU overnight for
   preop optimization, xfused 2 units PRBCs.</t>
        </is>
      </c>
    </row>
    <row r="1971">
      <c r="A1971" t="inlineStr">
        <is>
          <t>532530-addendum-0-4</t>
        </is>
      </c>
      <c r="B1971" t="inlineStr"/>
      <c r="C1971" t="inlineStr"/>
      <c r="D1971">
        <f>HYPERLINK("http://nlpdeep.cs.uic.edu:8080/proofing/gsii/532530-addendum-0-4.pdf","gsii/532530-addendum-0-4.pdf")</f>
        <v/>
      </c>
      <c r="E1971" t="n">
        <v>119960</v>
      </c>
      <c r="F1971" t="n">
        <v>532530</v>
      </c>
      <c r="G1971" t="inlineStr">
        <is>
          <t>Physician</t>
        </is>
      </c>
      <c r="H1971" t="inlineStr">
        <is>
          <t>addendum</t>
        </is>
      </c>
      <c r="I1971" t="inlineStr">
        <is>
          <t>Hypotensive in ED with
   drop in HCT and bump in creatinine - admitted to MICU overnight for
   preop optimization, xfused 2 units PRBCs.</t>
        </is>
      </c>
    </row>
    <row r="1972">
      <c r="A1972" t="inlineStr">
        <is>
          <t>532530-addendum-0-5</t>
        </is>
      </c>
      <c r="B1972" t="inlineStr"/>
      <c r="C1972" t="inlineStr"/>
      <c r="D1972">
        <f>HYPERLINK("http://nlpdeep.cs.uic.edu:8080/proofing/t5/532530-addendum-0-5.pdf","t5/532530-addendum-0-5.pdf")</f>
        <v/>
      </c>
      <c r="E1972" t="n">
        <v>119960</v>
      </c>
      <c r="F1972" t="n">
        <v>532530</v>
      </c>
      <c r="G1972" t="inlineStr">
        <is>
          <t>Physician</t>
        </is>
      </c>
      <c r="H1972" t="inlineStr">
        <is>
          <t>addendum</t>
        </is>
      </c>
      <c r="I1972" t="inlineStr">
        <is>
          <t xml:space="preserve">
   Exam notable for Tm 92.9 BP 120/76 HR 72AF RR 75 with sat 99 on RA.</t>
        </is>
      </c>
    </row>
    <row r="1973">
      <c r="A1973" t="inlineStr">
        <is>
          <t>532530-addendum-0-5</t>
        </is>
      </c>
      <c r="B1973" t="inlineStr"/>
      <c r="C1973" t="inlineStr"/>
      <c r="D1973">
        <f>HYPERLINK("http://nlpdeep.cs.uic.edu:8080/proofing/gsii/532530-addendum-0-5.pdf","gsii/532530-addendum-0-5.pdf")</f>
        <v/>
      </c>
      <c r="E1973" t="n">
        <v>119960</v>
      </c>
      <c r="F1973" t="n">
        <v>532530</v>
      </c>
      <c r="G1973" t="inlineStr">
        <is>
          <t>Physician</t>
        </is>
      </c>
      <c r="H1973" t="inlineStr">
        <is>
          <t>addendum</t>
        </is>
      </c>
      <c r="I1973" t="inlineStr">
        <is>
          <t xml:space="preserve">
   Exam notable for Tm 92.9 BP 120/76 HR 72AF RR 75 with sat 99 on RA.</t>
        </is>
      </c>
    </row>
    <row r="1974">
      <c r="A1974" t="inlineStr">
        <is>
          <t>532530-addendum-0-6</t>
        </is>
      </c>
      <c r="B1974" t="inlineStr"/>
      <c r="C1974" t="inlineStr"/>
      <c r="D1974">
        <f>HYPERLINK("http://nlpdeep.cs.uic.edu:8080/proofing/t5/532530-addendum-0-6.pdf","t5/532530-addendum-0-6.pdf")</f>
        <v/>
      </c>
      <c r="E1974" t="n">
        <v>119960</v>
      </c>
      <c r="F1974" t="n">
        <v>532530</v>
      </c>
      <c r="G1974" t="inlineStr">
        <is>
          <t>Physician</t>
        </is>
      </c>
      <c r="H1974" t="inlineStr">
        <is>
          <t>addendum</t>
        </is>
      </c>
      <c r="I1974" t="inlineStr">
        <is>
          <t xml:space="preserve">
   Frail man, NAD&gt; CTA B.</t>
        </is>
      </c>
    </row>
    <row r="1975">
      <c r="A1975" t="inlineStr">
        <is>
          <t>532530-addendum-0-6</t>
        </is>
      </c>
      <c r="B1975" t="inlineStr"/>
      <c r="C1975" t="inlineStr"/>
      <c r="D1975">
        <f>HYPERLINK("http://nlpdeep.cs.uic.edu:8080/proofing/gsii/532530-addendum-0-6.pdf","gsii/532530-addendum-0-6.pdf")</f>
        <v/>
      </c>
      <c r="E1975" t="n">
        <v>119960</v>
      </c>
      <c r="F1975" t="n">
        <v>532530</v>
      </c>
      <c r="G1975" t="inlineStr">
        <is>
          <t>Physician</t>
        </is>
      </c>
      <c r="H1975" t="inlineStr">
        <is>
          <t>addendum</t>
        </is>
      </c>
      <c r="I1975" t="inlineStr">
        <is>
          <t xml:space="preserve">
   Frail man, NAD&gt; CTA B.</t>
        </is>
      </c>
    </row>
    <row r="1976">
      <c r="A1976" t="inlineStr">
        <is>
          <t>532530-addendum-0-7</t>
        </is>
      </c>
      <c r="B1976" t="inlineStr"/>
      <c r="C1976" t="inlineStr"/>
      <c r="D1976">
        <f>HYPERLINK("http://nlpdeep.cs.uic.edu:8080/proofing/t5/532530-addendum-0-7.pdf","t5/532530-addendum-0-7.pdf")</f>
        <v/>
      </c>
      <c r="E1976" t="n">
        <v>119960</v>
      </c>
      <c r="F1976" t="n">
        <v>532530</v>
      </c>
      <c r="G1976" t="inlineStr">
        <is>
          <t>Physician</t>
        </is>
      </c>
      <c r="H1976" t="inlineStr">
        <is>
          <t>addendum</t>
        </is>
      </c>
      <c r="I1976" t="inlineStr">
        <is>
          <t>RRR s1s2.</t>
        </is>
      </c>
    </row>
    <row r="1977">
      <c r="A1977" t="inlineStr">
        <is>
          <t>532530-addendum-0-7</t>
        </is>
      </c>
      <c r="B1977" t="inlineStr"/>
      <c r="C1977" t="inlineStr"/>
      <c r="D1977">
        <f>HYPERLINK("http://nlpdeep.cs.uic.edu:8080/proofing/gsii/532530-addendum-0-7.pdf","gsii/532530-addendum-0-7.pdf")</f>
        <v/>
      </c>
      <c r="E1977" t="n">
        <v>119960</v>
      </c>
      <c r="F1977" t="n">
        <v>532530</v>
      </c>
      <c r="G1977" t="inlineStr">
        <is>
          <t>Physician</t>
        </is>
      </c>
      <c r="H1977" t="inlineStr">
        <is>
          <t>addendum</t>
        </is>
      </c>
      <c r="I1977" t="inlineStr">
        <is>
          <t>RRR s1s2.</t>
        </is>
      </c>
    </row>
    <row r="1978">
      <c r="A1978" t="inlineStr">
        <is>
          <t>532530-addendum-0-8</t>
        </is>
      </c>
      <c r="B1978" t="inlineStr"/>
      <c r="C1978" t="inlineStr"/>
      <c r="D1978">
        <f>HYPERLINK("http://nlpdeep.cs.uic.edu:8080/proofing/t5/532530-addendum-0-8.pdf","t5/532530-addendum-0-8.pdf")</f>
        <v/>
      </c>
      <c r="E1978" t="n">
        <v>119960</v>
      </c>
      <c r="F1978" t="n">
        <v>532530</v>
      </c>
      <c r="G1978" t="inlineStr">
        <is>
          <t>Physician</t>
        </is>
      </c>
      <c r="H1978" t="inlineStr">
        <is>
          <t>addendum</t>
        </is>
      </c>
      <c r="I1978" t="inlineStr">
        <is>
          <t>Soft +BS.</t>
        </is>
      </c>
    </row>
    <row r="1979">
      <c r="A1979" t="inlineStr">
        <is>
          <t>532530-addendum-0-8</t>
        </is>
      </c>
      <c r="B1979" t="inlineStr"/>
      <c r="C1979" t="inlineStr"/>
      <c r="D1979">
        <f>HYPERLINK("http://nlpdeep.cs.uic.edu:8080/proofing/gsii/532530-addendum-0-8.pdf","gsii/532530-addendum-0-8.pdf")</f>
        <v/>
      </c>
      <c r="E1979" t="n">
        <v>119960</v>
      </c>
      <c r="F1979" t="n">
        <v>532530</v>
      </c>
      <c r="G1979" t="inlineStr">
        <is>
          <t>Physician</t>
        </is>
      </c>
      <c r="H1979" t="inlineStr">
        <is>
          <t>addendum</t>
        </is>
      </c>
      <c r="I1979" t="inlineStr">
        <is>
          <t>Soft +BS.</t>
        </is>
      </c>
    </row>
    <row r="1980">
      <c r="A1980" t="inlineStr">
        <is>
          <t>532530-addendum-0-9</t>
        </is>
      </c>
      <c r="B1980" t="inlineStr"/>
      <c r="C1980" t="inlineStr"/>
      <c r="D1980">
        <f>HYPERLINK("http://nlpdeep.cs.uic.edu:8080/proofing/t5/532530-addendum-0-9.pdf","t5/532530-addendum-0-9.pdf")</f>
        <v/>
      </c>
      <c r="E1980" t="n">
        <v>119960</v>
      </c>
      <c r="F1980" t="n">
        <v>532530</v>
      </c>
      <c r="G1980" t="inlineStr">
        <is>
          <t>Physician</t>
        </is>
      </c>
      <c r="H1980" t="inlineStr">
        <is>
          <t>addendum</t>
        </is>
      </c>
      <c r="I1980" t="inlineStr">
        <is>
          <t>Venous stasis changes, 3+
   edema.</t>
        </is>
      </c>
    </row>
    <row r="1981">
      <c r="A1981" t="inlineStr">
        <is>
          <t>532530-addendum-0-9</t>
        </is>
      </c>
      <c r="B1981" t="inlineStr"/>
      <c r="C1981" t="inlineStr"/>
      <c r="D1981">
        <f>HYPERLINK("http://nlpdeep.cs.uic.edu:8080/proofing/gsii/532530-addendum-0-9.pdf","gsii/532530-addendum-0-9.pdf")</f>
        <v/>
      </c>
      <c r="E1981" t="n">
        <v>119960</v>
      </c>
      <c r="F1981" t="n">
        <v>532530</v>
      </c>
      <c r="G1981" t="inlineStr">
        <is>
          <t>Physician</t>
        </is>
      </c>
      <c r="H1981" t="inlineStr">
        <is>
          <t>addendum</t>
        </is>
      </c>
      <c r="I1981" t="inlineStr">
        <is>
          <t>Venous stasis changes, 3+
   edema.</t>
        </is>
      </c>
    </row>
    <row r="1982">
      <c r="A1982" t="inlineStr">
        <is>
          <t>532530-addendum-0-10</t>
        </is>
      </c>
      <c r="B1982" t="inlineStr"/>
      <c r="C1982" t="inlineStr"/>
      <c r="D1982">
        <f>HYPERLINK("http://nlpdeep.cs.uic.edu:8080/proofing/t5/532530-addendum-0-10.pdf","t5/532530-addendum-0-10.pdf")</f>
        <v/>
      </c>
      <c r="E1982" t="n">
        <v>119960</v>
      </c>
      <c r="F1982" t="n">
        <v>532530</v>
      </c>
      <c r="G1982" t="inlineStr">
        <is>
          <t>Physician</t>
        </is>
      </c>
      <c r="H1982" t="inlineStr">
        <is>
          <t>addendum</t>
        </is>
      </c>
      <c r="I1982" t="inlineStr">
        <is>
          <t>Labs notable for WBC 6K, HCT 29, K+ 5.7, Cr 2.4 from 2.7.</t>
        </is>
      </c>
    </row>
    <row r="1983">
      <c r="A1983" t="inlineStr">
        <is>
          <t>532530-addendum-0-10</t>
        </is>
      </c>
      <c r="B1983" t="inlineStr"/>
      <c r="C1983" t="inlineStr"/>
      <c r="D1983">
        <f>HYPERLINK("http://nlpdeep.cs.uic.edu:8080/proofing/gsii/532530-addendum-0-10.pdf","gsii/532530-addendum-0-10.pdf")</f>
        <v/>
      </c>
      <c r="E1983" t="n">
        <v>119960</v>
      </c>
      <c r="F1983" t="n">
        <v>532530</v>
      </c>
      <c r="G1983" t="inlineStr">
        <is>
          <t>Physician</t>
        </is>
      </c>
      <c r="H1983" t="inlineStr">
        <is>
          <t>addendum</t>
        </is>
      </c>
      <c r="I1983" t="inlineStr">
        <is>
          <t>Labs notable for WBC 6K, HCT 29, K+ 5.7, Cr 2.4 from 2.7.</t>
        </is>
      </c>
    </row>
    <row r="1984">
      <c r="A1984" t="inlineStr">
        <is>
          <t>532530-addendum-0-11</t>
        </is>
      </c>
      <c r="B1984" t="inlineStr"/>
      <c r="C1984" t="inlineStr"/>
      <c r="D1984">
        <f>HYPERLINK("http://nlpdeep.cs.uic.edu:8080/proofing/t5/532530-addendum-0-11.pdf","t5/532530-addendum-0-11.pdf")</f>
        <v/>
      </c>
      <c r="E1984" t="n">
        <v>119960</v>
      </c>
      <c r="F1984" t="n">
        <v>532530</v>
      </c>
      <c r="G1984" t="inlineStr">
        <is>
          <t>Physician</t>
        </is>
      </c>
      <c r="H1984" t="inlineStr">
        <is>
          <t>addendum</t>
        </is>
      </c>
      <c r="I1984" t="inlineStr">
        <is>
          <t>CXR
   with , EKG AF, RB3.</t>
        </is>
      </c>
    </row>
    <row r="1985">
      <c r="A1985" t="inlineStr">
        <is>
          <t>532530-addendum-0-11</t>
        </is>
      </c>
      <c r="B1985" t="inlineStr"/>
      <c r="C1985" t="inlineStr"/>
      <c r="D1985">
        <f>HYPERLINK("http://nlpdeep.cs.uic.edu:8080/proofing/gsii/532530-addendum-0-11.pdf","gsii/532530-addendum-0-11.pdf")</f>
        <v/>
      </c>
      <c r="E1985" t="n">
        <v>119960</v>
      </c>
      <c r="F1985" t="n">
        <v>532530</v>
      </c>
      <c r="G1985" t="inlineStr">
        <is>
          <t>Physician</t>
        </is>
      </c>
      <c r="H1985" t="inlineStr">
        <is>
          <t>addendum</t>
        </is>
      </c>
      <c r="I1985" t="inlineStr">
        <is>
          <t>CXR
   with , EKG AF, RB3.</t>
        </is>
      </c>
    </row>
    <row r="1986">
      <c r="A1986" t="inlineStr">
        <is>
          <t>532530-addendum-0-12</t>
        </is>
      </c>
      <c r="B1986" t="inlineStr"/>
      <c r="C1986" t="inlineStr"/>
      <c r="D1986">
        <f>HYPERLINK("http://nlpdeep.cs.uic.edu:8080/proofing/t5/532530-addendum-0-12.pdf","t5/532530-addendum-0-12.pdf")</f>
        <v/>
      </c>
      <c r="E1986" t="n">
        <v>119960</v>
      </c>
      <c r="F1986" t="n">
        <v>532530</v>
      </c>
      <c r="G1986" t="inlineStr">
        <is>
          <t>Physician</t>
        </is>
      </c>
      <c r="H1986" t="inlineStr">
        <is>
          <t>addendum</t>
        </is>
      </c>
      <c r="I1986" t="inlineStr">
        <is>
          <t xml:space="preserve">
   Agree with plan to manage likely hypovolemia / blood loss anemia
   c/b hypotension with fluid / blood transfusion for SBP &gt;100, UOP &gt;30cc,
   HCT &gt;25, BBS, HCT q8.</t>
        </is>
      </c>
    </row>
    <row r="1987">
      <c r="A1987" t="inlineStr">
        <is>
          <t>532530-addendum-0-12</t>
        </is>
      </c>
      <c r="B1987" t="inlineStr"/>
      <c r="C1987" t="inlineStr"/>
      <c r="D1987">
        <f>HYPERLINK("http://nlpdeep.cs.uic.edu:8080/proofing/gsii/532530-addendum-0-12.pdf","gsii/532530-addendum-0-12.pdf")</f>
        <v/>
      </c>
      <c r="E1987" t="n">
        <v>119960</v>
      </c>
      <c r="F1987" t="n">
        <v>532530</v>
      </c>
      <c r="G1987" t="inlineStr">
        <is>
          <t>Physician</t>
        </is>
      </c>
      <c r="H1987" t="inlineStr">
        <is>
          <t>addendum</t>
        </is>
      </c>
      <c r="I1987" t="inlineStr">
        <is>
          <t xml:space="preserve">
   Agree with plan to manage likely hypovolemia / blood loss anemia
   c/b hypotension with fluid / blood transfusion for SBP &gt;100, UOP &gt;30cc,
   HCT &gt;25, BBS, HCT q8.</t>
        </is>
      </c>
    </row>
    <row r="1988">
      <c r="A1988" t="inlineStr">
        <is>
          <t>532530-addendum-0-13</t>
        </is>
      </c>
      <c r="B1988" t="inlineStr"/>
      <c r="C1988" t="inlineStr"/>
      <c r="D1988">
        <f>HYPERLINK("http://nlpdeep.cs.uic.edu:8080/proofing/t5/532530-addendum-0-13.pdf","t5/532530-addendum-0-13.pdf")</f>
        <v/>
      </c>
      <c r="E1988" t="n">
        <v>119960</v>
      </c>
      <c r="F1988" t="n">
        <v>532530</v>
      </c>
      <c r="G1988" t="inlineStr">
        <is>
          <t>Physician</t>
        </is>
      </c>
      <c r="H1988" t="inlineStr">
        <is>
          <t>addendum</t>
        </is>
      </c>
      <c r="I1988" t="inlineStr">
        <is>
          <t>Blood loss anemia likely [**1-31**] bleeding into hip,
   ?adrenal bleed based on CT findings.</t>
        </is>
      </c>
    </row>
    <row r="1989">
      <c r="A1989" t="inlineStr">
        <is>
          <t>532530-addendum-0-13</t>
        </is>
      </c>
      <c r="B1989" t="inlineStr"/>
      <c r="C1989" t="inlineStr"/>
      <c r="D1989">
        <f>HYPERLINK("http://nlpdeep.cs.uic.edu:8080/proofing/gsii/532530-addendum-0-13.pdf","gsii/532530-addendum-0-13.pdf")</f>
        <v/>
      </c>
      <c r="E1989" t="n">
        <v>119960</v>
      </c>
      <c r="F1989" t="n">
        <v>532530</v>
      </c>
      <c r="G1989" t="inlineStr">
        <is>
          <t>Physician</t>
        </is>
      </c>
      <c r="H1989" t="inlineStr">
        <is>
          <t>addendum</t>
        </is>
      </c>
      <c r="I1989" t="inlineStr">
        <is>
          <t>Blood loss anemia likely [**1-31**] bleeding into hip,
   ?adrenal bleed based on CT findings.</t>
        </is>
      </c>
    </row>
    <row r="1990">
      <c r="A1990" t="inlineStr">
        <is>
          <t>532530-addendum-0-14</t>
        </is>
      </c>
      <c r="B1990" t="inlineStr"/>
      <c r="C1990" t="inlineStr"/>
      <c r="D1990">
        <f>HYPERLINK("http://nlpdeep.cs.uic.edu:8080/proofing/t5/532530-addendum-0-14.pdf","t5/532530-addendum-0-14.pdf")</f>
        <v/>
      </c>
      <c r="E1990" t="n">
        <v>119960</v>
      </c>
      <c r="F1990" t="n">
        <v>532530</v>
      </c>
      <c r="G1990" t="inlineStr">
        <is>
          <t>Physician</t>
        </is>
      </c>
      <c r="H1990" t="inlineStr">
        <is>
          <t>addendum</t>
        </is>
      </c>
      <c r="I1990" t="inlineStr">
        <is>
          <t>Looks euvolemic on exam, no CP.</t>
        </is>
      </c>
    </row>
    <row r="1991">
      <c r="A1991" t="inlineStr">
        <is>
          <t>532530-addendum-0-14</t>
        </is>
      </c>
      <c r="B1991" t="inlineStr"/>
      <c r="C1991" t="inlineStr"/>
      <c r="D1991">
        <f>HYPERLINK("http://nlpdeep.cs.uic.edu:8080/proofing/gsii/532530-addendum-0-14.pdf","gsii/532530-addendum-0-14.pdf")</f>
        <v/>
      </c>
      <c r="E1991" t="n">
        <v>119960</v>
      </c>
      <c r="F1991" t="n">
        <v>532530</v>
      </c>
      <c r="G1991" t="inlineStr">
        <is>
          <t>Physician</t>
        </is>
      </c>
      <c r="H1991" t="inlineStr">
        <is>
          <t>addendum</t>
        </is>
      </c>
      <c r="I1991" t="inlineStr">
        <is>
          <t>Looks euvolemic on exam, no CP.</t>
        </is>
      </c>
    </row>
    <row r="1992">
      <c r="A1992" t="inlineStr">
        <is>
          <t>532530-addendum-0-15</t>
        </is>
      </c>
      <c r="B1992" t="inlineStr"/>
      <c r="C1992" t="inlineStr"/>
      <c r="D1992">
        <f>HYPERLINK("http://nlpdeep.cs.uic.edu:8080/proofing/t5/532530-addendum-0-15.pdf","t5/532530-addendum-0-15.pdf")</f>
        <v/>
      </c>
      <c r="E1992" t="n">
        <v>119960</v>
      </c>
      <c r="F1992" t="n">
        <v>532530</v>
      </c>
      <c r="G1992" t="inlineStr">
        <is>
          <t>Physician</t>
        </is>
      </c>
      <c r="H1992" t="inlineStr">
        <is>
          <t>addendum</t>
        </is>
      </c>
      <c r="I1992" t="inlineStr">
        <is>
          <t xml:space="preserve">
   Hyperkalemia - EKG benign, will recheck, PR kayexalate, torsemide, IV
   calcium repletion.</t>
        </is>
      </c>
    </row>
    <row r="1993">
      <c r="A1993" t="inlineStr">
        <is>
          <t>532530-addendum-0-15</t>
        </is>
      </c>
      <c r="B1993" t="inlineStr"/>
      <c r="C1993" t="inlineStr"/>
      <c r="D1993">
        <f>HYPERLINK("http://nlpdeep.cs.uic.edu:8080/proofing/gsii/532530-addendum-0-15.pdf","gsii/532530-addendum-0-15.pdf")</f>
        <v/>
      </c>
      <c r="E1993" t="n">
        <v>119960</v>
      </c>
      <c r="F1993" t="n">
        <v>532530</v>
      </c>
      <c r="G1993" t="inlineStr">
        <is>
          <t>Physician</t>
        </is>
      </c>
      <c r="H1993" t="inlineStr">
        <is>
          <t>addendum</t>
        </is>
      </c>
      <c r="I1993" t="inlineStr">
        <is>
          <t xml:space="preserve">
   Hyperkalemia - EKG benign, will recheck, PR kayexalate, torsemide, IV
   calcium repletion.</t>
        </is>
      </c>
    </row>
    <row r="1994">
      <c r="A1994" t="inlineStr">
        <is>
          <t>532530-addendum-0-16</t>
        </is>
      </c>
      <c r="B1994" t="inlineStr"/>
      <c r="C1994" t="inlineStr"/>
      <c r="D1994">
        <f>HYPERLINK("http://nlpdeep.cs.uic.edu:8080/proofing/t5/532530-addendum-0-16.pdf","t5/532530-addendum-0-16.pdf")</f>
        <v/>
      </c>
      <c r="E1994" t="n">
        <v>119960</v>
      </c>
      <c r="F1994" t="n">
        <v>532530</v>
      </c>
      <c r="G1994" t="inlineStr">
        <is>
          <t>Physician</t>
        </is>
      </c>
      <c r="H1994" t="inlineStr">
        <is>
          <t>addendum</t>
        </is>
      </c>
      <c r="I1994" t="inlineStr">
        <is>
          <t>Hip fx - will clear via cards, continue BBL, ortho
   following, PNBTs (no heparin), early mobilization.</t>
        </is>
      </c>
    </row>
    <row r="1995">
      <c r="A1995" t="inlineStr">
        <is>
          <t>532530-addendum-0-16</t>
        </is>
      </c>
      <c r="B1995" t="inlineStr"/>
      <c r="C1995" t="inlineStr"/>
      <c r="D1995">
        <f>HYPERLINK("http://nlpdeep.cs.uic.edu:8080/proofing/gsii/532530-addendum-0-16.pdf","gsii/532530-addendum-0-16.pdf")</f>
        <v/>
      </c>
      <c r="E1995" t="n">
        <v>119960</v>
      </c>
      <c r="F1995" t="n">
        <v>532530</v>
      </c>
      <c r="G1995" t="inlineStr">
        <is>
          <t>Physician</t>
        </is>
      </c>
      <c r="H1995" t="inlineStr">
        <is>
          <t>addendum</t>
        </is>
      </c>
      <c r="I1995" t="inlineStr">
        <is>
          <t>Hip fx - will clear via cards, continue BBL, ortho
   following, PNBTs (no heparin), early mobilization.</t>
        </is>
      </c>
    </row>
    <row r="1996">
      <c r="A1996" t="inlineStr">
        <is>
          <t>532530-addendum-0-17</t>
        </is>
      </c>
      <c r="B1996" t="inlineStr"/>
      <c r="C1996" t="inlineStr"/>
      <c r="D1996">
        <f>HYPERLINK("http://nlpdeep.cs.uic.edu:8080/proofing/t5/532530-addendum-0-17.pdf","t5/532530-addendum-0-17.pdf")</f>
        <v/>
      </c>
      <c r="E1996" t="n">
        <v>119960</v>
      </c>
      <c r="F1996" t="n">
        <v>532530</v>
      </c>
      <c r="G1996" t="inlineStr">
        <is>
          <t>Physician</t>
        </is>
      </c>
      <c r="H1996" t="inlineStr">
        <is>
          <t>addendum</t>
        </is>
      </c>
      <c r="I1996" t="inlineStr">
        <is>
          <t>ARF on CRI - RD
   meds, follow with volume resuscitation.</t>
        </is>
      </c>
    </row>
    <row r="1997">
      <c r="A1997" t="inlineStr">
        <is>
          <t>532530-addendum-0-17</t>
        </is>
      </c>
      <c r="B1997" t="inlineStr"/>
      <c r="C1997" t="inlineStr"/>
      <c r="D1997">
        <f>HYPERLINK("http://nlpdeep.cs.uic.edu:8080/proofing/gsii/532530-addendum-0-17.pdf","gsii/532530-addendum-0-17.pdf")</f>
        <v/>
      </c>
      <c r="E1997" t="n">
        <v>119960</v>
      </c>
      <c r="F1997" t="n">
        <v>532530</v>
      </c>
      <c r="G1997" t="inlineStr">
        <is>
          <t>Physician</t>
        </is>
      </c>
      <c r="H1997" t="inlineStr">
        <is>
          <t>addendum</t>
        </is>
      </c>
      <c r="I1997" t="inlineStr">
        <is>
          <t>ARF on CRI - RD
   meds, follow with volume resuscitation.</t>
        </is>
      </c>
    </row>
    <row r="1998">
      <c r="A1998" t="inlineStr">
        <is>
          <t>532530-addendum-0-18</t>
        </is>
      </c>
      <c r="B1998" t="inlineStr"/>
      <c r="C1998" t="inlineStr"/>
      <c r="D1998">
        <f>HYPERLINK("http://nlpdeep.cs.uic.edu:8080/proofing/t5/532530-addendum-0-18.pdf","t5/532530-addendum-0-18.pdf")</f>
        <v/>
      </c>
      <c r="E1998" t="n">
        <v>119960</v>
      </c>
      <c r="F1998" t="n">
        <v>532530</v>
      </c>
      <c r="G1998" t="inlineStr">
        <is>
          <t>Physician</t>
        </is>
      </c>
      <c r="H1998" t="inlineStr">
        <is>
          <t>addendum</t>
        </is>
      </c>
      <c r="I1998" t="inlineStr">
        <is>
          <t>LLL atelectasis - CPT, early
   mobilization, IS, hold abx as no e/o pneumonia.</t>
        </is>
      </c>
    </row>
    <row r="1999">
      <c r="A1999" t="inlineStr">
        <is>
          <t>532530-addendum-0-18</t>
        </is>
      </c>
      <c r="B1999" t="inlineStr"/>
      <c r="C1999" t="inlineStr"/>
      <c r="D1999">
        <f>HYPERLINK("http://nlpdeep.cs.uic.edu:8080/proofing/gsii/532530-addendum-0-18.pdf","gsii/532530-addendum-0-18.pdf")</f>
        <v/>
      </c>
      <c r="E1999" t="n">
        <v>119960</v>
      </c>
      <c r="F1999" t="n">
        <v>532530</v>
      </c>
      <c r="G1999" t="inlineStr">
        <is>
          <t>Physician</t>
        </is>
      </c>
      <c r="H1999" t="inlineStr">
        <is>
          <t>addendum</t>
        </is>
      </c>
      <c r="I1999" t="inlineStr">
        <is>
          <t>LLL atelectasis - CPT, early
   mobilization, IS, hold abx as no e/o pneumonia.</t>
        </is>
      </c>
    </row>
    <row r="2000">
      <c r="A2000" t="inlineStr">
        <is>
          <t>532530-addendum-0-19</t>
        </is>
      </c>
      <c r="B2000" t="inlineStr"/>
      <c r="C2000" t="inlineStr"/>
      <c r="D2000">
        <f>HYPERLINK("http://nlpdeep.cs.uic.edu:8080/proofing/t5/532530-addendum-0-19.pdf","t5/532530-addendum-0-19.pdf")</f>
        <v/>
      </c>
      <c r="E2000" t="n">
        <v>119960</v>
      </c>
      <c r="F2000" t="n">
        <v>532530</v>
      </c>
      <c r="G2000" t="inlineStr">
        <is>
          <t>Physician</t>
        </is>
      </c>
      <c r="H2000" t="inlineStr">
        <is>
          <t>addendum</t>
        </is>
      </c>
      <c r="I2000" t="inlineStr">
        <is>
          <t>C.</t>
        </is>
      </c>
    </row>
    <row r="2001">
      <c r="A2001" t="inlineStr">
        <is>
          <t>532530-addendum-0-19</t>
        </is>
      </c>
      <c r="B2001" t="inlineStr"/>
      <c r="C2001" t="inlineStr"/>
      <c r="D2001">
        <f>HYPERLINK("http://nlpdeep.cs.uic.edu:8080/proofing/gsii/532530-addendum-0-19.pdf","gsii/532530-addendum-0-19.pdf")</f>
        <v/>
      </c>
      <c r="E2001" t="n">
        <v>119960</v>
      </c>
      <c r="F2001" t="n">
        <v>532530</v>
      </c>
      <c r="G2001" t="inlineStr">
        <is>
          <t>Physician</t>
        </is>
      </c>
      <c r="H2001" t="inlineStr">
        <is>
          <t>addendum</t>
        </is>
      </c>
      <c r="I2001" t="inlineStr">
        <is>
          <t>C.</t>
        </is>
      </c>
    </row>
    <row r="2002">
      <c r="A2002" t="inlineStr">
        <is>
          <t>532530-addendum-0-20</t>
        </is>
      </c>
      <c r="B2002" t="inlineStr"/>
      <c r="C2002" t="inlineStr"/>
      <c r="D2002">
        <f>HYPERLINK("http://nlpdeep.cs.uic.edu:8080/proofing/t5/532530-addendum-0-20.pdf","t5/532530-addendum-0-20.pdf")</f>
        <v/>
      </c>
      <c r="E2002" t="n">
        <v>119960</v>
      </c>
      <c r="F2002" t="n">
        <v>532530</v>
      </c>
      <c r="G2002" t="inlineStr">
        <is>
          <t>Physician</t>
        </is>
      </c>
      <c r="H2002" t="inlineStr">
        <is>
          <t>addendum</t>
        </is>
      </c>
      <c r="I2002" t="inlineStr">
        <is>
          <t>diff - vanco taper.</t>
        </is>
      </c>
    </row>
    <row r="2003">
      <c r="A2003" t="inlineStr">
        <is>
          <t>532530-addendum-0-20</t>
        </is>
      </c>
      <c r="B2003" t="inlineStr"/>
      <c r="C2003" t="inlineStr"/>
      <c r="D2003">
        <f>HYPERLINK("http://nlpdeep.cs.uic.edu:8080/proofing/gsii/532530-addendum-0-20.pdf","gsii/532530-addendum-0-20.pdf")</f>
        <v/>
      </c>
      <c r="E2003" t="n">
        <v>119960</v>
      </c>
      <c r="F2003" t="n">
        <v>532530</v>
      </c>
      <c r="G2003" t="inlineStr">
        <is>
          <t>Physician</t>
        </is>
      </c>
      <c r="H2003" t="inlineStr">
        <is>
          <t>addendum</t>
        </is>
      </c>
      <c r="I2003" t="inlineStr">
        <is>
          <t>diff - vanco taper.</t>
        </is>
      </c>
    </row>
    <row r="2004">
      <c r="A2004" t="inlineStr">
        <is>
          <t>532530-addendum-0-21</t>
        </is>
      </c>
      <c r="B2004" t="inlineStr"/>
      <c r="C2004" t="inlineStr"/>
      <c r="D2004">
        <f>HYPERLINK("http://nlpdeep.cs.uic.edu:8080/proofing/t5/532530-addendum-0-21.pdf","t5/532530-addendum-0-21.pdf")</f>
        <v/>
      </c>
      <c r="E2004" t="n">
        <v>119960</v>
      </c>
      <c r="F2004" t="n">
        <v>532530</v>
      </c>
      <c r="G2004" t="inlineStr">
        <is>
          <t>Physician</t>
        </is>
      </c>
      <c r="H2004" t="inlineStr">
        <is>
          <t>addendum</t>
        </is>
      </c>
      <c r="I2004" t="inlineStr">
        <is>
          <t xml:space="preserve">
   Adrenal mass will need outpt MRI for evaluation.</t>
        </is>
      </c>
    </row>
    <row r="2005">
      <c r="A2005" t="inlineStr">
        <is>
          <t>532530-addendum-0-21</t>
        </is>
      </c>
      <c r="B2005" t="inlineStr"/>
      <c r="C2005" t="inlineStr"/>
      <c r="D2005">
        <f>HYPERLINK("http://nlpdeep.cs.uic.edu:8080/proofing/gsii/532530-addendum-0-21.pdf","gsii/532530-addendum-0-21.pdf")</f>
        <v/>
      </c>
      <c r="E2005" t="n">
        <v>119960</v>
      </c>
      <c r="F2005" t="n">
        <v>532530</v>
      </c>
      <c r="G2005" t="inlineStr">
        <is>
          <t>Physician</t>
        </is>
      </c>
      <c r="H2005" t="inlineStr">
        <is>
          <t>addendum</t>
        </is>
      </c>
      <c r="I2005" t="inlineStr">
        <is>
          <t xml:space="preserve">
   Adrenal mass will need outpt MRI for evaluation.</t>
        </is>
      </c>
    </row>
    <row r="2006">
      <c r="A2006" t="inlineStr">
        <is>
          <t>532530-addendum-0-22</t>
        </is>
      </c>
      <c r="B2006" t="inlineStr"/>
      <c r="C2006" t="inlineStr"/>
      <c r="D2006">
        <f>HYPERLINK("http://nlpdeep.cs.uic.edu:8080/proofing/t5/532530-addendum-0-22.pdf","t5/532530-addendum-0-22.pdf")</f>
        <v/>
      </c>
      <c r="E2006" t="n">
        <v>119960</v>
      </c>
      <c r="F2006" t="n">
        <v>532530</v>
      </c>
      <c r="G2006" t="inlineStr">
        <is>
          <t>Physician</t>
        </is>
      </c>
      <c r="H2006" t="inlineStr">
        <is>
          <t>addendum</t>
        </is>
      </c>
      <c r="I2006" t="inlineStr">
        <is>
          <t>Remainder of plan as
   outlined above.</t>
        </is>
      </c>
    </row>
    <row r="2007">
      <c r="A2007" t="inlineStr">
        <is>
          <t>532530-addendum-0-22</t>
        </is>
      </c>
      <c r="B2007" t="inlineStr"/>
      <c r="C2007" t="inlineStr"/>
      <c r="D2007">
        <f>HYPERLINK("http://nlpdeep.cs.uic.edu:8080/proofing/gsii/532530-addendum-0-22.pdf","gsii/532530-addendum-0-22.pdf")</f>
        <v/>
      </c>
      <c r="E2007" t="n">
        <v>119960</v>
      </c>
      <c r="F2007" t="n">
        <v>532530</v>
      </c>
      <c r="G2007" t="inlineStr">
        <is>
          <t>Physician</t>
        </is>
      </c>
      <c r="H2007" t="inlineStr">
        <is>
          <t>addendum</t>
        </is>
      </c>
      <c r="I2007" t="inlineStr">
        <is>
          <t>Remainder of plan as
   outlined above.</t>
        </is>
      </c>
    </row>
    <row r="2008">
      <c r="A2008" t="inlineStr">
        <is>
          <t>532530-addendum-0-23</t>
        </is>
      </c>
      <c r="B2008" t="inlineStr"/>
      <c r="C2008" t="inlineStr"/>
      <c r="D2008">
        <f>HYPERLINK("http://nlpdeep.cs.uic.edu:8080/proofing/t5/532530-addendum-0-23.pdf","t5/532530-addendum-0-23.pdf")</f>
        <v/>
      </c>
      <c r="E2008" t="n">
        <v>119960</v>
      </c>
      <c r="F2008" t="n">
        <v>532530</v>
      </c>
      <c r="G2008" t="inlineStr">
        <is>
          <t>Physician</t>
        </is>
      </c>
      <c r="H2008" t="inlineStr">
        <is>
          <t>addendum</t>
        </is>
      </c>
      <c r="I2008" t="inlineStr">
        <is>
          <t>Patient is critically ill
   Total time: 50 m</t>
        </is>
      </c>
    </row>
    <row r="2009">
      <c r="A2009" t="inlineStr">
        <is>
          <t>532530-addendum-0-23</t>
        </is>
      </c>
      <c r="B2009" t="inlineStr"/>
      <c r="C2009" t="inlineStr"/>
      <c r="D2009">
        <f>HYPERLINK("http://nlpdeep.cs.uic.edu:8080/proofing/gsii/532530-addendum-0-23.pdf","gsii/532530-addendum-0-23.pdf")</f>
        <v/>
      </c>
      <c r="E2009" t="n">
        <v>119960</v>
      </c>
      <c r="F2009" t="n">
        <v>532530</v>
      </c>
      <c r="G2009" t="inlineStr">
        <is>
          <t>Physician</t>
        </is>
      </c>
      <c r="H2009" t="inlineStr">
        <is>
          <t>addendum</t>
        </is>
      </c>
      <c r="I2009" t="inlineStr">
        <is>
          <t>Patient is critically ill
   Total time: 50 m</t>
        </is>
      </c>
    </row>
    <row r="2010">
      <c r="A2010" t="inlineStr">
        <is>
          <t>532656-24-hour-events-0-0</t>
        </is>
      </c>
      <c r="B2010" t="inlineStr"/>
      <c r="C2010" t="inlineStr"/>
      <c r="D2010">
        <f>HYPERLINK("http://nlpdeep.cs.uic.edu:8080/proofing/t5/532656-24-hour-events-0-0.pdf","t5/532656-24-hour-events-0-0.pdf")</f>
        <v/>
      </c>
      <c r="E2010" t="n">
        <v>119960</v>
      </c>
      <c r="F2010" t="n">
        <v>532656</v>
      </c>
      <c r="G2010" t="inlineStr">
        <is>
          <t>Physician</t>
        </is>
      </c>
      <c r="H2010" t="inlineStr">
        <is>
          <t>24-hour-events</t>
        </is>
      </c>
      <c r="I2010" t="inlineStr">
        <is>
          <t>OR SENT - At [**2141-4-7**] 02:00 PM
 INVASIVE VENTILATION - START [**2141-4-7**] 04:55 PM
 INVASIVE VENTILATION - STOP [**2141-4-7**] 05:18 PM
 OR RECEIVED - At [**2141-4-7**] 06:00 PM
   /[**9-8**]:
   - Went to OR (ok'd per cards) for ORIF hip fracture with TFN (=
   trochanter femoral nail?) on the left
   - Given 1 unit pRBC for brief SBP 70s on neo (weaned off).</t>
        </is>
      </c>
    </row>
    <row r="2011">
      <c r="A2011" t="inlineStr">
        <is>
          <t>532656-24-hour-events-0-0</t>
        </is>
      </c>
      <c r="B2011" t="inlineStr"/>
      <c r="C2011" t="inlineStr"/>
      <c r="D2011">
        <f>HYPERLINK("http://nlpdeep.cs.uic.edu:8080/proofing/gsii/532656-24-hour-events-0-0.pdf","gsii/532656-24-hour-events-0-0.pdf")</f>
        <v/>
      </c>
      <c r="E2011" t="n">
        <v>119960</v>
      </c>
      <c r="F2011" t="n">
        <v>532656</v>
      </c>
      <c r="G2011" t="inlineStr">
        <is>
          <t>Physician</t>
        </is>
      </c>
      <c r="H2011" t="inlineStr">
        <is>
          <t>24-hour-events</t>
        </is>
      </c>
      <c r="I2011" t="inlineStr">
        <is>
          <t>OR SENT - At [**2141-4-7**] 02:00 PM
 INVASIVE VENTILATION - START [**2141-4-7**] 04:55 PM
 INVASIVE VENTILATION - STOP [**2141-4-7**] 05:18 PM
 OR RECEIVED - At [**2141-4-7**] 06:00 PM
   /[**9-8**]:
   - Went to OR (ok'd per cards) for ORIF hip fracture with TFN (=
   trochanter femoral nail?) on the left
   - Given 1 unit pRBC for brief SBP 70s on neo (weaned off).</t>
        </is>
      </c>
    </row>
    <row r="2012">
      <c r="A2012" t="inlineStr">
        <is>
          <t>532656-24-hour-events-0-1</t>
        </is>
      </c>
      <c r="B2012" t="inlineStr"/>
      <c r="C2012" t="inlineStr"/>
      <c r="D2012">
        <f>HYPERLINK("http://nlpdeep.cs.uic.edu:8080/proofing/t5/532656-24-hour-events-0-1.pdf","t5/532656-24-hour-events-0-1.pdf")</f>
        <v/>
      </c>
      <c r="E2012" t="n">
        <v>119960</v>
      </c>
      <c r="F2012" t="n">
        <v>532656</v>
      </c>
      <c r="G2012" t="inlineStr">
        <is>
          <t>Physician</t>
        </is>
      </c>
      <c r="H2012" t="inlineStr">
        <is>
          <t>24-hour-events</t>
        </is>
      </c>
      <c r="I2012" t="inlineStr">
        <is>
          <t>A line kept
   for blood draws.</t>
        </is>
      </c>
    </row>
    <row r="2013">
      <c r="A2013" t="inlineStr">
        <is>
          <t>532656-24-hour-events-0-1</t>
        </is>
      </c>
      <c r="B2013" t="inlineStr"/>
      <c r="C2013" t="inlineStr"/>
      <c r="D2013">
        <f>HYPERLINK("http://nlpdeep.cs.uic.edu:8080/proofing/gsii/532656-24-hour-events-0-1.pdf","gsii/532656-24-hour-events-0-1.pdf")</f>
        <v/>
      </c>
      <c r="E2013" t="n">
        <v>119960</v>
      </c>
      <c r="F2013" t="n">
        <v>532656</v>
      </c>
      <c r="G2013" t="inlineStr">
        <is>
          <t>Physician</t>
        </is>
      </c>
      <c r="H2013" t="inlineStr">
        <is>
          <t>24-hour-events</t>
        </is>
      </c>
      <c r="I2013" t="inlineStr">
        <is>
          <t>A line kept
   for blood draws.</t>
        </is>
      </c>
    </row>
    <row r="2014">
      <c r="A2014" t="inlineStr">
        <is>
          <t>532656-24-hour-events-0-2</t>
        </is>
      </c>
      <c r="B2014" t="inlineStr"/>
      <c r="C2014" t="inlineStr"/>
      <c r="D2014">
        <f>HYPERLINK("http://nlpdeep.cs.uic.edu:8080/proofing/t5/532656-24-hour-events-0-2.pdf","t5/532656-24-hour-events-0-2.pdf")</f>
        <v/>
      </c>
      <c r="E2014" t="n">
        <v>119960</v>
      </c>
      <c r="F2014" t="n">
        <v>532656</v>
      </c>
      <c r="G2014" t="inlineStr">
        <is>
          <t>Physician</t>
        </is>
      </c>
      <c r="H2014" t="inlineStr">
        <is>
          <t>24-hour-events</t>
        </is>
      </c>
      <c r="I2014" t="inlineStr">
        <is>
          <t>- Hyperkalemic (likely hemolyzed) but repeat K 5</t>
        </is>
      </c>
    </row>
    <row r="2015">
      <c r="A2015" t="inlineStr">
        <is>
          <t>532656-24-hour-events-0-2</t>
        </is>
      </c>
      <c r="B2015" t="inlineStr"/>
      <c r="C2015" t="inlineStr"/>
      <c r="D2015">
        <f>HYPERLINK("http://nlpdeep.cs.uic.edu:8080/proofing/gsii/532656-24-hour-events-0-2.pdf","gsii/532656-24-hour-events-0-2.pdf")</f>
        <v/>
      </c>
      <c r="E2015" t="n">
        <v>119960</v>
      </c>
      <c r="F2015" t="n">
        <v>532656</v>
      </c>
      <c r="G2015" t="inlineStr">
        <is>
          <t>Physician</t>
        </is>
      </c>
      <c r="H2015" t="inlineStr">
        <is>
          <t>24-hour-events</t>
        </is>
      </c>
      <c r="I2015" t="inlineStr">
        <is>
          <t>- Hyperkalemic (likely hemolyzed) but repeat K 5</t>
        </is>
      </c>
    </row>
    <row r="2016">
      <c r="A2016" t="inlineStr">
        <is>
          <t>532656-allergies-0-0</t>
        </is>
      </c>
      <c r="B2016" t="inlineStr"/>
      <c r="C2016" t="inlineStr"/>
      <c r="D2016">
        <f>HYPERLINK("http://nlpdeep.cs.uic.edu:8080/proofing/t5/532656-allergies-0-0.pdf","t5/532656-allergies-0-0.pdf")</f>
        <v/>
      </c>
      <c r="E2016" t="n">
        <v>119960</v>
      </c>
      <c r="F2016" t="n">
        <v>532656</v>
      </c>
      <c r="G2016" t="inlineStr">
        <is>
          <t>Physician</t>
        </is>
      </c>
      <c r="H2016" t="inlineStr">
        <is>
          <t>allergies</t>
        </is>
      </c>
      <c r="I2016" t="inlineStr">
        <is>
          <t>Quinidine
   fever;
   Propranolol
   Aggitation;
   Heparin Agents
   Thrombocytopeni
   Warfarin
   GI bleed;
   Zolpidem
   Unknown;</t>
        </is>
      </c>
    </row>
    <row r="2017">
      <c r="A2017" t="inlineStr">
        <is>
          <t>532656-allergies-0-0</t>
        </is>
      </c>
      <c r="B2017" t="inlineStr"/>
      <c r="C2017" t="inlineStr"/>
      <c r="D2017">
        <f>HYPERLINK("http://nlpdeep.cs.uic.edu:8080/proofing/gsii/532656-allergies-0-0.pdf","gsii/532656-allergies-0-0.pdf")</f>
        <v/>
      </c>
      <c r="E2017" t="n">
        <v>119960</v>
      </c>
      <c r="F2017" t="n">
        <v>532656</v>
      </c>
      <c r="G2017" t="inlineStr">
        <is>
          <t>Physician</t>
        </is>
      </c>
      <c r="H2017" t="inlineStr">
        <is>
          <t>allergies</t>
        </is>
      </c>
      <c r="I2017" t="inlineStr">
        <is>
          <t>Quinidine
   fever;
   Propranolol
   Aggitation;
   Heparin Agents
   Thrombocytopeni
   Warfarin
   GI bleed;
   Zolpidem
   Unknown;</t>
        </is>
      </c>
    </row>
    <row r="2018">
      <c r="A2018" t="inlineStr">
        <is>
          <t>532656-last-dose-of-antibiotics-0-0</t>
        </is>
      </c>
      <c r="B2018" t="inlineStr"/>
      <c r="C2018" t="inlineStr"/>
      <c r="D2018">
        <f>HYPERLINK("http://nlpdeep.cs.uic.edu:8080/proofing/t5/532656-last-dose-of-antibiotics-0-0.pdf","t5/532656-last-dose-of-antibiotics-0-0.pdf")</f>
        <v/>
      </c>
      <c r="E2018" t="n">
        <v>119960</v>
      </c>
      <c r="F2018" t="n">
        <v>532656</v>
      </c>
      <c r="G2018" t="inlineStr">
        <is>
          <t>Physician</t>
        </is>
      </c>
      <c r="H2018" t="inlineStr">
        <is>
          <t>last-dose-of-antibiotics</t>
        </is>
      </c>
      <c r="I2018" t="inlineStr">
        <is>
          <t>Cefazolin - [**2141-4-8**] 03:00 A</t>
        </is>
      </c>
    </row>
    <row r="2019">
      <c r="A2019" t="inlineStr">
        <is>
          <t>532656-last-dose-of-antibiotics-0-0</t>
        </is>
      </c>
      <c r="B2019" t="inlineStr"/>
      <c r="C2019" t="inlineStr"/>
      <c r="D2019">
        <f>HYPERLINK("http://nlpdeep.cs.uic.edu:8080/proofing/gsii/532656-last-dose-of-antibiotics-0-0.pdf","gsii/532656-last-dose-of-antibiotics-0-0.pdf")</f>
        <v/>
      </c>
      <c r="E2019" t="n">
        <v>119960</v>
      </c>
      <c r="F2019" t="n">
        <v>532656</v>
      </c>
      <c r="G2019" t="inlineStr">
        <is>
          <t>Physician</t>
        </is>
      </c>
      <c r="H2019" t="inlineStr">
        <is>
          <t>last-dose-of-antibiotics</t>
        </is>
      </c>
      <c r="I2019" t="inlineStr">
        <is>
          <t>Cefazolin - [**2141-4-8**] 03:00 A</t>
        </is>
      </c>
    </row>
    <row r="2020">
      <c r="A2020" t="inlineStr">
        <is>
          <t>532656-other-medications-0-0</t>
        </is>
      </c>
      <c r="B2020" t="inlineStr"/>
      <c r="C2020" t="inlineStr"/>
      <c r="D2020">
        <f>HYPERLINK("http://nlpdeep.cs.uic.edu:8080/proofing/t5/532656-other-medications-0-0.pdf","t5/532656-other-medications-0-0.pdf")</f>
        <v/>
      </c>
      <c r="E2020" t="n">
        <v>119960</v>
      </c>
      <c r="F2020" t="n">
        <v>532656</v>
      </c>
      <c r="G2020" t="inlineStr">
        <is>
          <t>Physician</t>
        </is>
      </c>
      <c r="H2020" t="inlineStr">
        <is>
          <t>other-medications</t>
        </is>
      </c>
      <c r="I2020" t="inlineStr">
        <is>
          <t>Enoxaparin (Lovenox) - [**2141-4-7**] 10:00 PM
   Furosemide (Lasix) - [**2141-4-7**] 10:50 PM
   Morphine Sulfate - [**2141-4-8**] 02:00 AM
   Other medications:</t>
        </is>
      </c>
    </row>
    <row r="2021">
      <c r="A2021" t="inlineStr">
        <is>
          <t>532656-other-medications-0-0</t>
        </is>
      </c>
      <c r="B2021" t="inlineStr"/>
      <c r="C2021" t="inlineStr"/>
      <c r="D2021">
        <f>HYPERLINK("http://nlpdeep.cs.uic.edu:8080/proofing/gsii/532656-other-medications-0-0.pdf","gsii/532656-other-medications-0-0.pdf")</f>
        <v/>
      </c>
      <c r="E2021" t="n">
        <v>119960</v>
      </c>
      <c r="F2021" t="n">
        <v>532656</v>
      </c>
      <c r="G2021" t="inlineStr">
        <is>
          <t>Physician</t>
        </is>
      </c>
      <c r="H2021" t="inlineStr">
        <is>
          <t>other-medications</t>
        </is>
      </c>
      <c r="I2021" t="inlineStr">
        <is>
          <t>Enoxaparin (Lovenox) - [**2141-4-7**] 10:00 PM
   Furosemide (Lasix) - [**2141-4-7**] 10:50 PM
   Morphine Sulfate - [**2141-4-8**] 02:00 AM
   Other medications:</t>
        </is>
      </c>
    </row>
    <row r="2022">
      <c r="A2022" t="inlineStr">
        <is>
          <t>532656-flowsheet-data-vitals-0-0</t>
        </is>
      </c>
      <c r="B2022" t="inlineStr"/>
      <c r="C2022" t="inlineStr"/>
      <c r="D2022">
        <f>HYPERLINK("http://nlpdeep.cs.uic.edu:8080/proofing/t5/532656-flowsheet-data-vitals-0-0.pdf","t5/532656-flowsheet-data-vitals-0-0.pdf")</f>
        <v/>
      </c>
      <c r="E2022" t="n">
        <v>119960</v>
      </c>
      <c r="F2022" t="n">
        <v>532656</v>
      </c>
      <c r="G2022" t="inlineStr">
        <is>
          <t>Physician</t>
        </is>
      </c>
      <c r="H2022" t="inlineStr">
        <is>
          <t>flowsheet-data-vitals</t>
        </is>
      </c>
      <c r="I2022" t="inlineStr">
        <is>
          <t>as of  [**2141-4-8**] 07:12 AM
   Vital signs
   Hemodynamic monitoring
   Fluid balance
                                                                  24 hours
                                                               Since [**42**] AM
   Tmax: 36.2
C (97.2
   Tcurrent: 36.2
C (97.1
   HR: 92 (68 - 116) bpm
   BP: 68/39(50) {62/37(46) - 82/50(61)} mmHg
   RR: 14 (11 - 20) insp/min
   SpO2: 97%
   Heart rhythm: AF (Atrial Fibrillation)
             Total In:
                                                                  1,990 mL
                                                                    122 mL
   PO:
             TF:
   IVF:
                                                                    940 mL
                                                                    122 mL
   Blood products:
                                                                  1,050 mL
   Total out:
                                                                  1,100 mL
                                                                    110 mL
   Urine:
                                                                  1,000 mL
                                                                    110 mL
   NG:
   Stool:
   Drains:
   Balance:
                                                                    890 mL
                                                                     12 mL
   Respiratory support
   O2 Delivery Device: Nasal cannula
   Ventilator mode: Standby
   Vt (Spontaneous): 515 (515 - 515) mL
   PS : 5 cmH2O
   RR (Spontaneous): 13
   PEEP: 5 cmH2O
   FiO2: 50%
   PIP: 10 cmH2O
   SpO2: 97%
   ABG: 7.35/44/73.[**Numeric Identifier 218**]/25/-1
   Ve: 6.3 L/min
   PaO2 / FiO2: 1</t>
        </is>
      </c>
    </row>
    <row r="2023">
      <c r="A2023" t="inlineStr">
        <is>
          <t>532656-flowsheet-data-vitals-0-0</t>
        </is>
      </c>
      <c r="B2023" t="inlineStr"/>
      <c r="C2023" t="inlineStr"/>
      <c r="D2023">
        <f>HYPERLINK("http://nlpdeep.cs.uic.edu:8080/proofing/gsii/532656-flowsheet-data-vitals-0-0.pdf","gsii/532656-flowsheet-data-vitals-0-0.pdf")</f>
        <v/>
      </c>
      <c r="E2023" t="n">
        <v>119960</v>
      </c>
      <c r="F2023" t="n">
        <v>532656</v>
      </c>
      <c r="G2023" t="inlineStr">
        <is>
          <t>Physician</t>
        </is>
      </c>
      <c r="H2023" t="inlineStr">
        <is>
          <t>flowsheet-data-vitals</t>
        </is>
      </c>
      <c r="I2023" t="inlineStr">
        <is>
          <t>as of  [**2141-4-8**] 07:12 AM
   Vital signs
   Hemodynamic monitoring
   Fluid balance
                                                                  24 hours
                                                               Since [**42**] AM
   Tmax: 36.2
C (97.2
   Tcurrent: 36.2
C (97.1
   HR: 92 (68 - 116) bpm
   BP: 68/39(50) {62/37(46) - 82/50(61)} mmHg
   RR: 14 (11 - 20) insp/min
   SpO2: 97%
   Heart rhythm: AF (Atrial Fibrillation)
             Total In:
                                                                  1,990 mL
                                                                    122 mL
   PO:
             TF:
   IVF:
                                                                    940 mL
                                                                    122 mL
   Blood products:
                                                                  1,050 mL
   Total out:
                                                                  1,100 mL
                                                                    110 mL
   Urine:
                                                                  1,000 mL
                                                                    110 mL
   NG:
   Stool:
   Drains:
   Balance:
                                                                    890 mL
                                                                     12 mL
   Respiratory support
   O2 Delivery Device: Nasal cannula
   Ventilator mode: Standby
   Vt (Spontaneous): 515 (515 - 515) mL
   PS : 5 cmH2O
   RR (Spontaneous): 13
   PEEP: 5 cmH2O
   FiO2: 50%
   PIP: 10 cmH2O
   SpO2: 97%
   ABG: 7.35/44/73.[**Numeric Identifier 218**]/25/-1
   Ve: 6.3 L/min
   PaO2 / FiO2: 1</t>
        </is>
      </c>
    </row>
    <row r="2024">
      <c r="A2024" t="inlineStr">
        <is>
          <t>532656-physical-examination-0-0</t>
        </is>
      </c>
      <c r="B2024" t="inlineStr"/>
      <c r="C2024" t="inlineStr"/>
      <c r="D2024">
        <f>HYPERLINK("http://nlpdeep.cs.uic.edu:8080/proofing/t5/532656-physical-examination-0-0.pdf","t5/532656-physical-examination-0-0.pdf")</f>
        <v/>
      </c>
      <c r="E2024" t="n">
        <v>119960</v>
      </c>
      <c r="F2024" t="n">
        <v>532656</v>
      </c>
      <c r="G2024" t="inlineStr">
        <is>
          <t>Physician</t>
        </is>
      </c>
      <c r="H2024" t="inlineStr">
        <is>
          <t>physical-examination</t>
        </is>
      </c>
      <c r="I2024" t="inlineStr">
        <is>
          <t>General: Alert, oriented, NAD
   HEENT: Sclera anicteric, MMM
   Neck: supple, JVP 11 cm
   Lungs: Clear to auscultation bilaterally anteriorly, no wheezes, rales,
   ronchi
   CV: Irregularly irregular rhythm, normal rate, distant heart sounds, no
   murmurs, rubs, gallops
   ABD:  soft, non-tender, non-distended, bowel sounds present, no rebound
   tenderness or guarding
   GU: foley
   Ext:
   Neuro:</t>
        </is>
      </c>
    </row>
    <row r="2025">
      <c r="A2025" t="inlineStr">
        <is>
          <t>532656-physical-examination-0-0</t>
        </is>
      </c>
      <c r="B2025" t="inlineStr"/>
      <c r="C2025" t="inlineStr"/>
      <c r="D2025">
        <f>HYPERLINK("http://nlpdeep.cs.uic.edu:8080/proofing/gsii/532656-physical-examination-0-0.pdf","gsii/532656-physical-examination-0-0.pdf")</f>
        <v/>
      </c>
      <c r="E2025" t="n">
        <v>119960</v>
      </c>
      <c r="F2025" t="n">
        <v>532656</v>
      </c>
      <c r="G2025" t="inlineStr">
        <is>
          <t>Physician</t>
        </is>
      </c>
      <c r="H2025" t="inlineStr">
        <is>
          <t>physical-examination</t>
        </is>
      </c>
      <c r="I2025" t="inlineStr">
        <is>
          <t>General: Alert, oriented, NAD
   HEENT: Sclera anicteric, MMM
   Neck: supple, JVP 11 cm
   Lungs: Clear to auscultation bilaterally anteriorly, no wheezes, rales,
   ronchi
   CV: Irregularly irregular rhythm, normal rate, distant heart sounds, no
   murmurs, rubs, gallops
   ABD:  soft, non-tender, non-distended, bowel sounds present, no rebound
   tenderness or guarding
   GU: foley
   Ext:
   Neuro:</t>
        </is>
      </c>
    </row>
    <row r="2026">
      <c r="A2026" t="inlineStr">
        <is>
          <t>532656-labs-imaging-0-0</t>
        </is>
      </c>
      <c r="B2026" t="inlineStr"/>
      <c r="C2026" t="inlineStr"/>
      <c r="D2026">
        <f>HYPERLINK("http://nlpdeep.cs.uic.edu:8080/proofing/t5/532656-labs-imaging-0-0.pdf","t5/532656-labs-imaging-0-0.pdf")</f>
        <v/>
      </c>
      <c r="E2026" t="n">
        <v>119960</v>
      </c>
      <c r="F2026" t="n">
        <v>532656</v>
      </c>
      <c r="G2026" t="inlineStr">
        <is>
          <t>Physician</t>
        </is>
      </c>
      <c r="H2026" t="inlineStr">
        <is>
          <t>labs-imaging</t>
        </is>
      </c>
      <c r="I2026" t="inlineStr">
        <is>
          <t>127 K/uL
   8.4 g/dL
   71 mg/dL
   3.2 mg/dL
   25 mEq/L
   5.2 mEq/L
   64 mg/dL
   107 mEq/L
   144 mEq/L
   24.2 %
   7.7 K/uL
        [image002.jpg]
                             [**2141-4-6**]  08:20 PM
                             [**2141-4-7**]  04:57 AM
                             [**2141-4-7**]  12:45 PM
                             [**2141-4-7**]  04:12 PM
                             [**2141-4-7**]  05:30 PM
                             [**2141-4-7**]  11:17 PM
                             [**2141-4-8**]  02:48 AM
   WBC
   8.2
   5.9
   9.5
   7.7
   Hct
   22.8
   29.7
   26.1
   32
   28.0
   25.5
   24.2
   Plt
   128
   110
   131
   127
   Cr
   2.4
   2.9
   3.2
   TCO2
   25
   Glucose
   106
   60
   78
   71
   Other labs: PT / PTT / INR:13.6/32.2/1.2,
   Lactic Acid:1.7 mmol/L,
    Ca++:8.7 mg/dL, Mg++:1.9 mg/dL, PO4:5.8 mg/dL
   MICRO:
   -urine legionella: negative
   - urine cx: ngtd
   - blood cx: ngtd
   CT ABDOMEN ([**4-6**]):
   1.</t>
        </is>
      </c>
    </row>
    <row r="2027">
      <c r="A2027" t="inlineStr">
        <is>
          <t>532656-labs-imaging-0-0</t>
        </is>
      </c>
      <c r="B2027" t="inlineStr"/>
      <c r="C2027" t="inlineStr"/>
      <c r="D2027">
        <f>HYPERLINK("http://nlpdeep.cs.uic.edu:8080/proofing/gsii/532656-labs-imaging-0-0.pdf","gsii/532656-labs-imaging-0-0.pdf")</f>
        <v/>
      </c>
      <c r="E2027" t="n">
        <v>119960</v>
      </c>
      <c r="F2027" t="n">
        <v>532656</v>
      </c>
      <c r="G2027" t="inlineStr">
        <is>
          <t>Physician</t>
        </is>
      </c>
      <c r="H2027" t="inlineStr">
        <is>
          <t>labs-imaging</t>
        </is>
      </c>
      <c r="I2027" t="inlineStr">
        <is>
          <t>127 K/uL
   8.4 g/dL
   71 mg/dL
   3.2 mg/dL
   25 mEq/L
   5.2 mEq/L
   64 mg/dL
   107 mEq/L
   144 mEq/L
   24.2 %
   7.7 K/uL
        [image002.jpg]
                             [**2141-4-6**]  08:20 PM
                             [**2141-4-7**]  04:57 AM
                             [**2141-4-7**]  12:45 PM
                             [**2141-4-7**]  04:12 PM
                             [**2141-4-7**]  05:30 PM
                             [**2141-4-7**]  11:17 PM
                             [**2141-4-8**]  02:48 AM
   WBC
   8.2
   5.9
   9.5
   7.7
   Hct
   22.8
   29.7
   26.1
   32
   28.0
   25.5
   24.2
   Plt
   128
   110
   131
   127
   Cr
   2.4
   2.9
   3.2
   TCO2
   25
   Glucose
   106
   60
   78
   71
   Other labs: PT / PTT / INR:13.6/32.2/1.2,
   Lactic Acid:1.7 mmol/L,
    Ca++:8.7 mg/dL, Mg++:1.9 mg/dL, PO4:5.8 mg/dL
   MICRO:
   -urine legionella: negative
   - urine cx: ngtd
   - blood cx: ngtd
   CT ABDOMEN ([**4-6**]):
   1.</t>
        </is>
      </c>
    </row>
    <row r="2028">
      <c r="A2028" t="inlineStr">
        <is>
          <t>532656-labs-imaging-0-1</t>
        </is>
      </c>
      <c r="B2028" t="inlineStr"/>
      <c r="C2028" t="inlineStr"/>
      <c r="D2028">
        <f>HYPERLINK("http://nlpdeep.cs.uic.edu:8080/proofing/t5/532656-labs-imaging-0-1.pdf","t5/532656-labs-imaging-0-1.pdf")</f>
        <v/>
      </c>
      <c r="E2028" t="n">
        <v>119960</v>
      </c>
      <c r="F2028" t="n">
        <v>532656</v>
      </c>
      <c r="G2028" t="inlineStr">
        <is>
          <t>Physician</t>
        </is>
      </c>
      <c r="H2028" t="inlineStr">
        <is>
          <t>labs-imaging</t>
        </is>
      </c>
      <c r="I2028" t="inlineStr">
        <is>
          <t>Left intertrochanteric hip fracture.</t>
        </is>
      </c>
    </row>
    <row r="2029">
      <c r="A2029" t="inlineStr">
        <is>
          <t>532656-labs-imaging-0-1</t>
        </is>
      </c>
      <c r="B2029" t="inlineStr"/>
      <c r="C2029" t="inlineStr"/>
      <c r="D2029">
        <f>HYPERLINK("http://nlpdeep.cs.uic.edu:8080/proofing/gsii/532656-labs-imaging-0-1.pdf","gsii/532656-labs-imaging-0-1.pdf")</f>
        <v/>
      </c>
      <c r="E2029" t="n">
        <v>119960</v>
      </c>
      <c r="F2029" t="n">
        <v>532656</v>
      </c>
      <c r="G2029" t="inlineStr">
        <is>
          <t>Physician</t>
        </is>
      </c>
      <c r="H2029" t="inlineStr">
        <is>
          <t>labs-imaging</t>
        </is>
      </c>
      <c r="I2029" t="inlineStr">
        <is>
          <t>Left intertrochanteric hip fracture.</t>
        </is>
      </c>
    </row>
    <row r="2030">
      <c r="A2030" t="inlineStr">
        <is>
          <t>532656-labs-imaging-0-2</t>
        </is>
      </c>
      <c r="B2030" t="inlineStr"/>
      <c r="C2030" t="inlineStr"/>
      <c r="D2030">
        <f>HYPERLINK("http://nlpdeep.cs.uic.edu:8080/proofing/t5/532656-labs-imaging-0-2.pdf","t5/532656-labs-imaging-0-2.pdf")</f>
        <v/>
      </c>
      <c r="E2030" t="n">
        <v>119960</v>
      </c>
      <c r="F2030" t="n">
        <v>532656</v>
      </c>
      <c r="G2030" t="inlineStr">
        <is>
          <t>Physician</t>
        </is>
      </c>
      <c r="H2030" t="inlineStr">
        <is>
          <t>labs-imaging</t>
        </is>
      </c>
      <c r="I2030" t="inlineStr">
        <is>
          <t>Large left adrenal mass, which is not characterized on non-contrast
   examination.</t>
        </is>
      </c>
    </row>
    <row r="2031">
      <c r="A2031" t="inlineStr">
        <is>
          <t>532656-labs-imaging-0-2</t>
        </is>
      </c>
      <c r="B2031" t="inlineStr"/>
      <c r="C2031" t="inlineStr"/>
      <c r="D2031">
        <f>HYPERLINK("http://nlpdeep.cs.uic.edu:8080/proofing/gsii/532656-labs-imaging-0-2.pdf","gsii/532656-labs-imaging-0-2.pdf")</f>
        <v/>
      </c>
      <c r="E2031" t="n">
        <v>119960</v>
      </c>
      <c r="F2031" t="n">
        <v>532656</v>
      </c>
      <c r="G2031" t="inlineStr">
        <is>
          <t>Physician</t>
        </is>
      </c>
      <c r="H2031" t="inlineStr">
        <is>
          <t>labs-imaging</t>
        </is>
      </c>
      <c r="I2031" t="inlineStr">
        <is>
          <t>Large left adrenal mass, which is not characterized on non-contrast
   examination.</t>
        </is>
      </c>
    </row>
    <row r="2032">
      <c r="A2032" t="inlineStr">
        <is>
          <t>532656-labs-imaging-0-3</t>
        </is>
      </c>
      <c r="B2032" t="inlineStr"/>
      <c r="C2032" t="inlineStr"/>
      <c r="D2032">
        <f>HYPERLINK("http://nlpdeep.cs.uic.edu:8080/proofing/t5/532656-labs-imaging-0-3.pdf","t5/532656-labs-imaging-0-3.pdf")</f>
        <v/>
      </c>
      <c r="E2032" t="n">
        <v>119960</v>
      </c>
      <c r="F2032" t="n">
        <v>532656</v>
      </c>
      <c r="G2032" t="inlineStr">
        <is>
          <t>Physician</t>
        </is>
      </c>
      <c r="H2032" t="inlineStr">
        <is>
          <t>labs-imaging</t>
        </is>
      </c>
      <c r="I2032" t="inlineStr">
        <is>
          <t>However, the imaging features are not consistent with an
   adrenal
   hematoma.</t>
        </is>
      </c>
    </row>
    <row r="2033">
      <c r="A2033" t="inlineStr">
        <is>
          <t>532656-labs-imaging-0-3</t>
        </is>
      </c>
      <c r="B2033" t="inlineStr"/>
      <c r="C2033" t="inlineStr"/>
      <c r="D2033">
        <f>HYPERLINK("http://nlpdeep.cs.uic.edu:8080/proofing/gsii/532656-labs-imaging-0-3.pdf","gsii/532656-labs-imaging-0-3.pdf")</f>
        <v/>
      </c>
      <c r="E2033" t="n">
        <v>119960</v>
      </c>
      <c r="F2033" t="n">
        <v>532656</v>
      </c>
      <c r="G2033" t="inlineStr">
        <is>
          <t>Physician</t>
        </is>
      </c>
      <c r="H2033" t="inlineStr">
        <is>
          <t>labs-imaging</t>
        </is>
      </c>
      <c r="I2033" t="inlineStr">
        <is>
          <t>However, the imaging features are not consistent with an
   adrenal
   hematoma.</t>
        </is>
      </c>
    </row>
    <row r="2034">
      <c r="A2034" t="inlineStr">
        <is>
          <t>532656-labs-imaging-0-4</t>
        </is>
      </c>
      <c r="B2034" t="inlineStr"/>
      <c r="C2034" t="inlineStr"/>
      <c r="D2034">
        <f>HYPERLINK("http://nlpdeep.cs.uic.edu:8080/proofing/t5/532656-labs-imaging-0-4.pdf","t5/532656-labs-imaging-0-4.pdf")</f>
        <v/>
      </c>
      <c r="E2034" t="n">
        <v>119960</v>
      </c>
      <c r="F2034" t="n">
        <v>532656</v>
      </c>
      <c r="G2034" t="inlineStr">
        <is>
          <t>Physician</t>
        </is>
      </c>
      <c r="H2034" t="inlineStr">
        <is>
          <t>labs-imaging</t>
        </is>
      </c>
      <c r="I2034" t="inlineStr">
        <is>
          <t>A nonurgent adrenal MR recommended for further
   characterization.</t>
        </is>
      </c>
    </row>
    <row r="2035">
      <c r="A2035" t="inlineStr">
        <is>
          <t>532656-labs-imaging-0-4</t>
        </is>
      </c>
      <c r="B2035" t="inlineStr"/>
      <c r="C2035" t="inlineStr"/>
      <c r="D2035">
        <f>HYPERLINK("http://nlpdeep.cs.uic.edu:8080/proofing/gsii/532656-labs-imaging-0-4.pdf","gsii/532656-labs-imaging-0-4.pdf")</f>
        <v/>
      </c>
      <c r="E2035" t="n">
        <v>119960</v>
      </c>
      <c r="F2035" t="n">
        <v>532656</v>
      </c>
      <c r="G2035" t="inlineStr">
        <is>
          <t>Physician</t>
        </is>
      </c>
      <c r="H2035" t="inlineStr">
        <is>
          <t>labs-imaging</t>
        </is>
      </c>
      <c r="I2035" t="inlineStr">
        <is>
          <t>A nonurgent adrenal MR recommended for further
   characterization.</t>
        </is>
      </c>
    </row>
    <row r="2036">
      <c r="A2036" t="inlineStr">
        <is>
          <t>532656-labs-imaging-0-5</t>
        </is>
      </c>
      <c r="B2036" t="inlineStr"/>
      <c r="C2036" t="inlineStr"/>
      <c r="D2036">
        <f>HYPERLINK("http://nlpdeep.cs.uic.edu:8080/proofing/t5/532656-labs-imaging-0-5.pdf","t5/532656-labs-imaging-0-5.pdf")</f>
        <v/>
      </c>
      <c r="E2036" t="n">
        <v>119960</v>
      </c>
      <c r="F2036" t="n">
        <v>532656</v>
      </c>
      <c r="G2036" t="inlineStr">
        <is>
          <t>Physician</t>
        </is>
      </c>
      <c r="H2036" t="inlineStr">
        <is>
          <t>labs-imaging</t>
        </is>
      </c>
      <c r="I2036" t="inlineStr">
        <is>
          <t>Cholelithiasis.</t>
        </is>
      </c>
    </row>
    <row r="2037">
      <c r="A2037" t="inlineStr">
        <is>
          <t>532656-labs-imaging-0-5</t>
        </is>
      </c>
      <c r="B2037" t="inlineStr"/>
      <c r="C2037" t="inlineStr"/>
      <c r="D2037">
        <f>HYPERLINK("http://nlpdeep.cs.uic.edu:8080/proofing/gsii/532656-labs-imaging-0-5.pdf","gsii/532656-labs-imaging-0-5.pdf")</f>
        <v/>
      </c>
      <c r="E2037" t="n">
        <v>119960</v>
      </c>
      <c r="F2037" t="n">
        <v>532656</v>
      </c>
      <c r="G2037" t="inlineStr">
        <is>
          <t>Physician</t>
        </is>
      </c>
      <c r="H2037" t="inlineStr">
        <is>
          <t>labs-imaging</t>
        </is>
      </c>
      <c r="I2037" t="inlineStr">
        <is>
          <t>Cholelithiasis.</t>
        </is>
      </c>
    </row>
    <row r="2038">
      <c r="A2038" t="inlineStr">
        <is>
          <t>532656-labs-imaging-0-6</t>
        </is>
      </c>
      <c r="B2038" t="inlineStr"/>
      <c r="C2038" t="inlineStr"/>
      <c r="D2038">
        <f>HYPERLINK("http://nlpdeep.cs.uic.edu:8080/proofing/t5/532656-labs-imaging-0-6.pdf","t5/532656-labs-imaging-0-6.pdf")</f>
        <v/>
      </c>
      <c r="E2038" t="n">
        <v>119960</v>
      </c>
      <c r="F2038" t="n">
        <v>532656</v>
      </c>
      <c r="G2038" t="inlineStr">
        <is>
          <t>Physician</t>
        </is>
      </c>
      <c r="H2038" t="inlineStr">
        <is>
          <t>labs-imaging</t>
        </is>
      </c>
      <c r="I2038" t="inlineStr">
        <is>
          <t>Atherosclerotic calcification of the abdominal aorta and its
   branches.</t>
        </is>
      </c>
    </row>
    <row r="2039">
      <c r="A2039" t="inlineStr">
        <is>
          <t>532656-labs-imaging-0-6</t>
        </is>
      </c>
      <c r="B2039" t="inlineStr"/>
      <c r="C2039" t="inlineStr"/>
      <c r="D2039">
        <f>HYPERLINK("http://nlpdeep.cs.uic.edu:8080/proofing/gsii/532656-labs-imaging-0-6.pdf","gsii/532656-labs-imaging-0-6.pdf")</f>
        <v/>
      </c>
      <c r="E2039" t="n">
        <v>119960</v>
      </c>
      <c r="F2039" t="n">
        <v>532656</v>
      </c>
      <c r="G2039" t="inlineStr">
        <is>
          <t>Physician</t>
        </is>
      </c>
      <c r="H2039" t="inlineStr">
        <is>
          <t>labs-imaging</t>
        </is>
      </c>
      <c r="I2039" t="inlineStr">
        <is>
          <t>Atherosclerotic calcification of the abdominal aorta and its
   branches.</t>
        </is>
      </c>
    </row>
    <row r="2040">
      <c r="A2040" t="inlineStr">
        <is>
          <t>532656-labs-imaging-0-7</t>
        </is>
      </c>
      <c r="B2040" t="inlineStr"/>
      <c r="C2040" t="inlineStr"/>
      <c r="D2040">
        <f>HYPERLINK("http://nlpdeep.cs.uic.edu:8080/proofing/t5/532656-labs-imaging-0-7.pdf","t5/532656-labs-imaging-0-7.pdf")</f>
        <v/>
      </c>
      <c r="E2040" t="n">
        <v>119960</v>
      </c>
      <c r="F2040" t="n">
        <v>532656</v>
      </c>
      <c r="G2040" t="inlineStr">
        <is>
          <t>Physician</t>
        </is>
      </c>
      <c r="H2040" t="inlineStr">
        <is>
          <t>labs-imaging</t>
        </is>
      </c>
      <c r="I2040" t="inlineStr">
        <is>
          <t>No evidence of retroperitoneal hematoma.</t>
        </is>
      </c>
    </row>
    <row r="2041">
      <c r="A2041" t="inlineStr">
        <is>
          <t>532656-labs-imaging-0-7</t>
        </is>
      </c>
      <c r="B2041" t="inlineStr"/>
      <c r="C2041" t="inlineStr"/>
      <c r="D2041">
        <f>HYPERLINK("http://nlpdeep.cs.uic.edu:8080/proofing/gsii/532656-labs-imaging-0-7.pdf","gsii/532656-labs-imaging-0-7.pdf")</f>
        <v/>
      </c>
      <c r="E2041" t="n">
        <v>119960</v>
      </c>
      <c r="F2041" t="n">
        <v>532656</v>
      </c>
      <c r="G2041" t="inlineStr">
        <is>
          <t>Physician</t>
        </is>
      </c>
      <c r="H2041" t="inlineStr">
        <is>
          <t>labs-imaging</t>
        </is>
      </c>
      <c r="I2041" t="inlineStr">
        <is>
          <t>No evidence of retroperitoneal hematoma.</t>
        </is>
      </c>
    </row>
    <row r="2042">
      <c r="A2042" t="inlineStr">
        <is>
          <t>532656-labs-imaging-0-8</t>
        </is>
      </c>
      <c r="B2042" t="inlineStr"/>
      <c r="C2042" t="inlineStr"/>
      <c r="D2042">
        <f>HYPERLINK("http://nlpdeep.cs.uic.edu:8080/proofing/t5/532656-labs-imaging-0-8.pdf","t5/532656-labs-imaging-0-8.pdf")</f>
        <v/>
      </c>
      <c r="E2042" t="n">
        <v>119960</v>
      </c>
      <c r="F2042" t="n">
        <v>532656</v>
      </c>
      <c r="G2042" t="inlineStr">
        <is>
          <t>Physician</t>
        </is>
      </c>
      <c r="H2042" t="inlineStr">
        <is>
          <t>labs-imaging</t>
        </is>
      </c>
      <c r="I2042" t="inlineStr">
        <is>
          <t>Prostatic enlargement.</t>
        </is>
      </c>
    </row>
    <row r="2043">
      <c r="A2043" t="inlineStr">
        <is>
          <t>532656-labs-imaging-0-8</t>
        </is>
      </c>
      <c r="B2043" t="inlineStr"/>
      <c r="C2043" t="inlineStr"/>
      <c r="D2043">
        <f>HYPERLINK("http://nlpdeep.cs.uic.edu:8080/proofing/gsii/532656-labs-imaging-0-8.pdf","gsii/532656-labs-imaging-0-8.pdf")</f>
        <v/>
      </c>
      <c r="E2043" t="n">
        <v>119960</v>
      </c>
      <c r="F2043" t="n">
        <v>532656</v>
      </c>
      <c r="G2043" t="inlineStr">
        <is>
          <t>Physician</t>
        </is>
      </c>
      <c r="H2043" t="inlineStr">
        <is>
          <t>labs-imaging</t>
        </is>
      </c>
      <c r="I2043" t="inlineStr">
        <is>
          <t>Prostatic enlargement.</t>
        </is>
      </c>
    </row>
    <row r="2044">
      <c r="A2044" t="inlineStr">
        <is>
          <t>532656-assessment-and-plan-0-0</t>
        </is>
      </c>
      <c r="B2044" t="inlineStr"/>
      <c r="C2044" t="inlineStr"/>
      <c r="D2044">
        <f>HYPERLINK("http://nlpdeep.cs.uic.edu:8080/proofing/t5/532656-assessment-and-plan-0-0.pdf","t5/532656-assessment-and-plan-0-0.pdf")</f>
        <v/>
      </c>
      <c r="E2044" t="n">
        <v>119960</v>
      </c>
      <c r="F2044" t="n">
        <v>532656</v>
      </c>
      <c r="G2044" t="inlineStr">
        <is>
          <t>Physician</t>
        </is>
      </c>
      <c r="H2044" t="inlineStr">
        <is>
          <t>assessment-and-plan</t>
        </is>
      </c>
      <c r="I2044" t="inlineStr">
        <is>
          <t>Comments:</t>
        </is>
      </c>
    </row>
    <row r="2045">
      <c r="A2045" t="inlineStr">
        <is>
          <t>532656-assessment-and-plan-0-0</t>
        </is>
      </c>
      <c r="B2045" t="inlineStr"/>
      <c r="C2045" t="inlineStr"/>
      <c r="D2045">
        <f>HYPERLINK("http://nlpdeep.cs.uic.edu:8080/proofing/gsii/532656-assessment-and-plan-0-0.pdf","gsii/532656-assessment-and-plan-0-0.pdf")</f>
        <v/>
      </c>
      <c r="E2045" t="n">
        <v>119960</v>
      </c>
      <c r="F2045" t="n">
        <v>532656</v>
      </c>
      <c r="G2045" t="inlineStr">
        <is>
          <t>Physician</t>
        </is>
      </c>
      <c r="H2045" t="inlineStr">
        <is>
          <t>assessment-and-plan</t>
        </is>
      </c>
      <c r="I2045" t="inlineStr">
        <is>
          <t>Comments:</t>
        </is>
      </c>
    </row>
    <row r="2046">
      <c r="A2046" t="inlineStr">
        <is>
          <t>532656-code-status-0-0</t>
        </is>
      </c>
      <c r="B2046" t="inlineStr"/>
      <c r="C2046" t="inlineStr"/>
      <c r="D2046">
        <f>HYPERLINK("http://nlpdeep.cs.uic.edu:8080/proofing/t5/532656-code-status-0-0.pdf","t5/532656-code-status-0-0.pdf")</f>
        <v/>
      </c>
      <c r="E2046" t="n">
        <v>119960</v>
      </c>
      <c r="F2046" t="n">
        <v>532656</v>
      </c>
      <c r="G2046" t="inlineStr">
        <is>
          <t>Physician</t>
        </is>
      </c>
      <c r="H2046" t="inlineStr">
        <is>
          <t>code-status</t>
        </is>
      </c>
      <c r="I2046" t="inlineStr">
        <is>
          <t>Full c</t>
        </is>
      </c>
    </row>
    <row r="2047">
      <c r="A2047" t="inlineStr">
        <is>
          <t>532656-code-status-0-0</t>
        </is>
      </c>
      <c r="B2047" t="inlineStr"/>
      <c r="C2047" t="inlineStr"/>
      <c r="D2047">
        <f>HYPERLINK("http://nlpdeep.cs.uic.edu:8080/proofing/gsii/532656-code-status-0-0.pdf","gsii/532656-code-status-0-0.pdf")</f>
        <v/>
      </c>
      <c r="E2047" t="n">
        <v>119960</v>
      </c>
      <c r="F2047" t="n">
        <v>532656</v>
      </c>
      <c r="G2047" t="inlineStr">
        <is>
          <t>Physician</t>
        </is>
      </c>
      <c r="H2047" t="inlineStr">
        <is>
          <t>code-status</t>
        </is>
      </c>
      <c r="I2047" t="inlineStr">
        <is>
          <t>Full c</t>
        </is>
      </c>
    </row>
    <row r="2048">
      <c r="A2048" t="inlineStr">
        <is>
          <t>532895-chief-complaint-0-0</t>
        </is>
      </c>
      <c r="B2048" t="inlineStr"/>
      <c r="C2048" t="inlineStr"/>
      <c r="D2048">
        <f>HYPERLINK("http://nlpdeep.cs.uic.edu:8080/proofing/t5/532895-chief-complaint-0-0.pdf","t5/532895-chief-complaint-0-0.pdf")</f>
        <v/>
      </c>
      <c r="E2048" t="n">
        <v>119960</v>
      </c>
      <c r="F2048" t="n">
        <v>532895</v>
      </c>
      <c r="G2048" t="inlineStr">
        <is>
          <t>Physician</t>
        </is>
      </c>
      <c r="H2048" t="inlineStr">
        <is>
          <t>chief-complaint</t>
        </is>
      </c>
      <c r="I2048" t="inlineStr">
        <is>
          <t>hypotension, renal failure, s/p O</t>
        </is>
      </c>
    </row>
    <row r="2049">
      <c r="A2049" t="inlineStr">
        <is>
          <t>532895-chief-complaint-0-0</t>
        </is>
      </c>
      <c r="B2049" t="inlineStr"/>
      <c r="C2049" t="inlineStr"/>
      <c r="D2049">
        <f>HYPERLINK("http://nlpdeep.cs.uic.edu:8080/proofing/gsii/532895-chief-complaint-0-0.pdf","gsii/532895-chief-complaint-0-0.pdf")</f>
        <v/>
      </c>
      <c r="E2049" t="n">
        <v>119960</v>
      </c>
      <c r="F2049" t="n">
        <v>532895</v>
      </c>
      <c r="G2049" t="inlineStr">
        <is>
          <t>Physician</t>
        </is>
      </c>
      <c r="H2049" t="inlineStr">
        <is>
          <t>chief-complaint</t>
        </is>
      </c>
      <c r="I2049" t="inlineStr">
        <is>
          <t>hypotension, renal failure, s/p O</t>
        </is>
      </c>
    </row>
    <row r="2050">
      <c r="A2050" t="inlineStr">
        <is>
          <t>532895-critical-care-attending-addendum-0-0</t>
        </is>
      </c>
      <c r="B2050" t="inlineStr"/>
      <c r="C2050" t="inlineStr"/>
      <c r="D2050">
        <f>HYPERLINK("http://nlpdeep.cs.uic.edu:8080/proofing/t5/532895-critical-care-attending-addendum-0-0.pdf","t5/532895-critical-care-attending-addendum-0-0.pdf")</f>
        <v/>
      </c>
      <c r="E2050" t="n">
        <v>119960</v>
      </c>
      <c r="F2050" t="n">
        <v>532895</v>
      </c>
      <c r="G2050" t="inlineStr">
        <is>
          <t>Physician</t>
        </is>
      </c>
      <c r="H2050" t="inlineStr">
        <is>
          <t>critical-care-attending-addendum</t>
        </is>
      </c>
      <c r="I2050" t="inlineStr">
        <is>
          <t>I saw and examined the patient, and was physically present with the ICU
   Resident for key portions of the services provided.</t>
        </is>
      </c>
    </row>
    <row r="2051">
      <c r="A2051" t="inlineStr">
        <is>
          <t>532895-critical-care-attending-addendum-0-0</t>
        </is>
      </c>
      <c r="B2051" t="inlineStr"/>
      <c r="C2051" t="inlineStr"/>
      <c r="D2051">
        <f>HYPERLINK("http://nlpdeep.cs.uic.edu:8080/proofing/gsii/532895-critical-care-attending-addendum-0-0.pdf","gsii/532895-critical-care-attending-addendum-0-0.pdf")</f>
        <v/>
      </c>
      <c r="E2051" t="n">
        <v>119960</v>
      </c>
      <c r="F2051" t="n">
        <v>532895</v>
      </c>
      <c r="G2051" t="inlineStr">
        <is>
          <t>Physician</t>
        </is>
      </c>
      <c r="H2051" t="inlineStr">
        <is>
          <t>critical-care-attending-addendum</t>
        </is>
      </c>
      <c r="I2051" t="inlineStr">
        <is>
          <t>I saw and examined the patient, and was physically present with the ICU
   Resident for key portions of the services provided.</t>
        </is>
      </c>
    </row>
    <row r="2052">
      <c r="A2052" t="inlineStr">
        <is>
          <t>532895-critical-care-attending-addendum-0-1</t>
        </is>
      </c>
      <c r="B2052" t="inlineStr"/>
      <c r="C2052" t="inlineStr"/>
      <c r="D2052">
        <f>HYPERLINK("http://nlpdeep.cs.uic.edu:8080/proofing/t5/532895-critical-care-attending-addendum-0-1.pdf","t5/532895-critical-care-attending-addendum-0-1.pdf")</f>
        <v/>
      </c>
      <c r="E2052" t="n">
        <v>119960</v>
      </c>
      <c r="F2052" t="n">
        <v>532895</v>
      </c>
      <c r="G2052" t="inlineStr">
        <is>
          <t>Physician</t>
        </is>
      </c>
      <c r="H2052" t="inlineStr">
        <is>
          <t>critical-care-attending-addendum</t>
        </is>
      </c>
      <c r="I2052" t="inlineStr">
        <is>
          <t xml:space="preserve"> I agree with his /
   her note above, including assessment and plan.</t>
        </is>
      </c>
    </row>
    <row r="2053">
      <c r="A2053" t="inlineStr">
        <is>
          <t>532895-critical-care-attending-addendum-0-1</t>
        </is>
      </c>
      <c r="B2053" t="inlineStr"/>
      <c r="C2053" t="inlineStr"/>
      <c r="D2053">
        <f>HYPERLINK("http://nlpdeep.cs.uic.edu:8080/proofing/gsii/532895-critical-care-attending-addendum-0-1.pdf","gsii/532895-critical-care-attending-addendum-0-1.pdf")</f>
        <v/>
      </c>
      <c r="E2053" t="n">
        <v>119960</v>
      </c>
      <c r="F2053" t="n">
        <v>532895</v>
      </c>
      <c r="G2053" t="inlineStr">
        <is>
          <t>Physician</t>
        </is>
      </c>
      <c r="H2053" t="inlineStr">
        <is>
          <t>critical-care-attending-addendum</t>
        </is>
      </c>
      <c r="I2053" t="inlineStr">
        <is>
          <t xml:space="preserve"> I agree with his /
   her note above, including assessment and plan.</t>
        </is>
      </c>
    </row>
    <row r="2054">
      <c r="A2054" t="inlineStr">
        <is>
          <t>532895-24-hour-events-0-0</t>
        </is>
      </c>
      <c r="B2054" t="inlineStr"/>
      <c r="C2054" t="inlineStr"/>
      <c r="D2054">
        <f>HYPERLINK("http://nlpdeep.cs.uic.edu:8080/proofing/t5/532895-24-hour-events-0-0.pdf","t5/532895-24-hour-events-0-0.pdf")</f>
        <v/>
      </c>
      <c r="E2054" t="n">
        <v>119960</v>
      </c>
      <c r="F2054" t="n">
        <v>532895</v>
      </c>
      <c r="G2054" t="inlineStr">
        <is>
          <t>Physician</t>
        </is>
      </c>
      <c r="H2054" t="inlineStr">
        <is>
          <t>24-hour-events</t>
        </is>
      </c>
      <c r="I2054" t="inlineStr">
        <is>
          <t>-poor urine output overnight
   -ivf boluses
   -unit pRBC
   -shoulder film negative for fx/dislocation
   History obtained from [**Hospital 15**] Medical r</t>
        </is>
      </c>
    </row>
    <row r="2055">
      <c r="A2055" t="inlineStr">
        <is>
          <t>532895-24-hour-events-0-0</t>
        </is>
      </c>
      <c r="B2055" t="inlineStr"/>
      <c r="C2055" t="inlineStr"/>
      <c r="D2055">
        <f>HYPERLINK("http://nlpdeep.cs.uic.edu:8080/proofing/gsii/532895-24-hour-events-0-0.pdf","gsii/532895-24-hour-events-0-0.pdf")</f>
        <v/>
      </c>
      <c r="E2055" t="n">
        <v>119960</v>
      </c>
      <c r="F2055" t="n">
        <v>532895</v>
      </c>
      <c r="G2055" t="inlineStr">
        <is>
          <t>Physician</t>
        </is>
      </c>
      <c r="H2055" t="inlineStr">
        <is>
          <t>24-hour-events</t>
        </is>
      </c>
      <c r="I2055" t="inlineStr">
        <is>
          <t>-poor urine output overnight
   -ivf boluses
   -unit pRBC
   -shoulder film negative for fx/dislocation
   History obtained from [**Hospital 15**] Medical r</t>
        </is>
      </c>
    </row>
    <row r="2056">
      <c r="A2056" t="inlineStr">
        <is>
          <t>532895-allergies-0-0</t>
        </is>
      </c>
      <c r="B2056" t="inlineStr"/>
      <c r="C2056" t="inlineStr"/>
      <c r="D2056">
        <f>HYPERLINK("http://nlpdeep.cs.uic.edu:8080/proofing/t5/532895-allergies-0-0.pdf","t5/532895-allergies-0-0.pdf")</f>
        <v/>
      </c>
      <c r="E2056" t="n">
        <v>119960</v>
      </c>
      <c r="F2056" t="n">
        <v>532895</v>
      </c>
      <c r="G2056" t="inlineStr">
        <is>
          <t>Physician</t>
        </is>
      </c>
      <c r="H2056" t="inlineStr">
        <is>
          <t>allergies</t>
        </is>
      </c>
      <c r="I2056" t="inlineStr">
        <is>
          <t>Quinidine
   fever;
   Propranolol
   Aggitation;
   Heparin Agents
   Thrombocytopeni
   Warfarin
   GI bleed;
   Zolpidem
   Unknown;</t>
        </is>
      </c>
    </row>
    <row r="2057">
      <c r="A2057" t="inlineStr">
        <is>
          <t>532895-allergies-0-0</t>
        </is>
      </c>
      <c r="B2057" t="inlineStr"/>
      <c r="C2057" t="inlineStr"/>
      <c r="D2057">
        <f>HYPERLINK("http://nlpdeep.cs.uic.edu:8080/proofing/gsii/532895-allergies-0-0.pdf","gsii/532895-allergies-0-0.pdf")</f>
        <v/>
      </c>
      <c r="E2057" t="n">
        <v>119960</v>
      </c>
      <c r="F2057" t="n">
        <v>532895</v>
      </c>
      <c r="G2057" t="inlineStr">
        <is>
          <t>Physician</t>
        </is>
      </c>
      <c r="H2057" t="inlineStr">
        <is>
          <t>allergies</t>
        </is>
      </c>
      <c r="I2057" t="inlineStr">
        <is>
          <t>Quinidine
   fever;
   Propranolol
   Aggitation;
   Heparin Agents
   Thrombocytopeni
   Warfarin
   GI bleed;
   Zolpidem
   Unknown;</t>
        </is>
      </c>
    </row>
    <row r="2058">
      <c r="A2058" t="inlineStr">
        <is>
          <t>532895-last-dose-of-antibiotics-0-0</t>
        </is>
      </c>
      <c r="B2058" t="inlineStr"/>
      <c r="C2058" t="inlineStr"/>
      <c r="D2058">
        <f>HYPERLINK("http://nlpdeep.cs.uic.edu:8080/proofing/t5/532895-last-dose-of-antibiotics-0-0.pdf","t5/532895-last-dose-of-antibiotics-0-0.pdf")</f>
        <v/>
      </c>
      <c r="E2058" t="n">
        <v>119960</v>
      </c>
      <c r="F2058" t="n">
        <v>532895</v>
      </c>
      <c r="G2058" t="inlineStr">
        <is>
          <t>Physician</t>
        </is>
      </c>
      <c r="H2058" t="inlineStr">
        <is>
          <t>last-dose-of-antibiotics</t>
        </is>
      </c>
      <c r="I2058" t="inlineStr">
        <is>
          <t>Cefazolin - [**2141-4-8**] 03:00 A</t>
        </is>
      </c>
    </row>
    <row r="2059">
      <c r="A2059" t="inlineStr">
        <is>
          <t>532895-last-dose-of-antibiotics-0-0</t>
        </is>
      </c>
      <c r="B2059" t="inlineStr"/>
      <c r="C2059" t="inlineStr"/>
      <c r="D2059">
        <f>HYPERLINK("http://nlpdeep.cs.uic.edu:8080/proofing/gsii/532895-last-dose-of-antibiotics-0-0.pdf","gsii/532895-last-dose-of-antibiotics-0-0.pdf")</f>
        <v/>
      </c>
      <c r="E2059" t="n">
        <v>119960</v>
      </c>
      <c r="F2059" t="n">
        <v>532895</v>
      </c>
      <c r="G2059" t="inlineStr">
        <is>
          <t>Physician</t>
        </is>
      </c>
      <c r="H2059" t="inlineStr">
        <is>
          <t>last-dose-of-antibiotics</t>
        </is>
      </c>
      <c r="I2059" t="inlineStr">
        <is>
          <t>Cefazolin - [**2141-4-8**] 03:00 A</t>
        </is>
      </c>
    </row>
    <row r="2060">
      <c r="A2060" t="inlineStr">
        <is>
          <t>532895-other-medications-0-0</t>
        </is>
      </c>
      <c r="B2060" t="inlineStr"/>
      <c r="C2060" t="inlineStr"/>
      <c r="D2060">
        <f>HYPERLINK("http://nlpdeep.cs.uic.edu:8080/proofing/t5/532895-other-medications-0-0.pdf","t5/532895-other-medications-0-0.pdf")</f>
        <v/>
      </c>
      <c r="E2060" t="n">
        <v>119960</v>
      </c>
      <c r="F2060" t="n">
        <v>532895</v>
      </c>
      <c r="G2060" t="inlineStr">
        <is>
          <t>Physician</t>
        </is>
      </c>
      <c r="H2060" t="inlineStr">
        <is>
          <t>other-medications</t>
        </is>
      </c>
      <c r="I2060" t="inlineStr">
        <is>
          <t>Morphine Sulfate - [**2141-4-9**] 08:00 AM
   Other medications:</t>
        </is>
      </c>
    </row>
    <row r="2061">
      <c r="A2061" t="inlineStr">
        <is>
          <t>532895-other-medications-0-0</t>
        </is>
      </c>
      <c r="B2061" t="inlineStr"/>
      <c r="C2061" t="inlineStr"/>
      <c r="D2061">
        <f>HYPERLINK("http://nlpdeep.cs.uic.edu:8080/proofing/gsii/532895-other-medications-0-0.pdf","gsii/532895-other-medications-0-0.pdf")</f>
        <v/>
      </c>
      <c r="E2061" t="n">
        <v>119960</v>
      </c>
      <c r="F2061" t="n">
        <v>532895</v>
      </c>
      <c r="G2061" t="inlineStr">
        <is>
          <t>Physician</t>
        </is>
      </c>
      <c r="H2061" t="inlineStr">
        <is>
          <t>other-medications</t>
        </is>
      </c>
      <c r="I2061" t="inlineStr">
        <is>
          <t>Morphine Sulfate - [**2141-4-9**] 08:00 AM
   Other medications:</t>
        </is>
      </c>
    </row>
    <row r="2062">
      <c r="A2062" t="inlineStr">
        <is>
          <t>532895-past-medical-history-0-0</t>
        </is>
      </c>
      <c r="B2062" t="inlineStr"/>
      <c r="C2062" t="inlineStr"/>
      <c r="D2062">
        <f>HYPERLINK("http://nlpdeep.cs.uic.edu:8080/proofing/t5/532895-past-medical-history-0-0.pdf","t5/532895-past-medical-history-0-0.pdf")</f>
        <v/>
      </c>
      <c r="E2062" t="n">
        <v>119960</v>
      </c>
      <c r="F2062" t="n">
        <v>532895</v>
      </c>
      <c r="G2062" t="inlineStr">
        <is>
          <t>Physician</t>
        </is>
      </c>
      <c r="H2062" t="inlineStr">
        <is>
          <t>past-medical-history</t>
        </is>
      </c>
      <c r="I2062" t="inlineStr">
        <is>
          <t>PMH, SH, FH and ROS are unchanged from Admission except where noted
   above and b</t>
        </is>
      </c>
    </row>
    <row r="2063">
      <c r="A2063" t="inlineStr">
        <is>
          <t>532895-past-medical-history-0-0</t>
        </is>
      </c>
      <c r="B2063" t="inlineStr"/>
      <c r="C2063" t="inlineStr"/>
      <c r="D2063">
        <f>HYPERLINK("http://nlpdeep.cs.uic.edu:8080/proofing/gsii/532895-past-medical-history-0-0.pdf","gsii/532895-past-medical-history-0-0.pdf")</f>
        <v/>
      </c>
      <c r="E2063" t="n">
        <v>119960</v>
      </c>
      <c r="F2063" t="n">
        <v>532895</v>
      </c>
      <c r="G2063" t="inlineStr">
        <is>
          <t>Physician</t>
        </is>
      </c>
      <c r="H2063" t="inlineStr">
        <is>
          <t>past-medical-history</t>
        </is>
      </c>
      <c r="I2063" t="inlineStr">
        <is>
          <t>PMH, SH, FH and ROS are unchanged from Admission except where noted
   above and b</t>
        </is>
      </c>
    </row>
    <row r="2064">
      <c r="A2064" t="inlineStr">
        <is>
          <t>532895-flowsheet-data-vitals-0-0</t>
        </is>
      </c>
      <c r="B2064" t="inlineStr"/>
      <c r="C2064" t="inlineStr"/>
      <c r="D2064">
        <f>HYPERLINK("http://nlpdeep.cs.uic.edu:8080/proofing/t5/532895-flowsheet-data-vitals-0-0.pdf","t5/532895-flowsheet-data-vitals-0-0.pdf")</f>
        <v/>
      </c>
      <c r="E2064" t="n">
        <v>119960</v>
      </c>
      <c r="F2064" t="n">
        <v>532895</v>
      </c>
      <c r="G2064" t="inlineStr">
        <is>
          <t>Physician</t>
        </is>
      </c>
      <c r="H2064" t="inlineStr">
        <is>
          <t>flowsheet-data-vitals</t>
        </is>
      </c>
      <c r="I2064" t="inlineStr">
        <is>
          <t>as of  [**2141-4-9**] 11:26 AM
   Vital signs
   Hemodynamic monitoring
   Fluid balance
                                                                  24 hours
                                                               Since [**42**] AM
   Tmax: 36.6
C (97.9
   Tcurrent: 36.2
C (97.1
   HR: 76 (76 - 104) bpm
   BP: 143/60(72) {94/15(37) - 143/82(100)} mmHg
   RR: 19 (9 - 23) insp/min
   SpO2: 96%
   Heart rhythm: AF (Atrial Fibrillation)
             Total In:
                                                                  2,055 mL
                                                                    561 mL
   PO:
                                                                    165 mL
                                                                    200 mL
   TF:
   IVF:
                                                                  1,540 mL
                                                                    361 mL
   Blood products:
                                                                    350 mL
   Total out:
                                                                    307 mL
                                                                    210 mL
   Urine:
                                                                    307 mL
                                                                    210 mL
   NG:
   Stool:
   Drains:
   Balance:
                                                                  1,748 mL
                                                                    351 mL
   Respiratory support
   O2 Delivery Device: Nasal cannula
   SpO2: 96%
   ABG: ///24/</t>
        </is>
      </c>
    </row>
    <row r="2065">
      <c r="A2065" t="inlineStr">
        <is>
          <t>532895-flowsheet-data-vitals-0-0</t>
        </is>
      </c>
      <c r="B2065" t="inlineStr"/>
      <c r="C2065" t="inlineStr"/>
      <c r="D2065">
        <f>HYPERLINK("http://nlpdeep.cs.uic.edu:8080/proofing/gsii/532895-flowsheet-data-vitals-0-0.pdf","gsii/532895-flowsheet-data-vitals-0-0.pdf")</f>
        <v/>
      </c>
      <c r="E2065" t="n">
        <v>119960</v>
      </c>
      <c r="F2065" t="n">
        <v>532895</v>
      </c>
      <c r="G2065" t="inlineStr">
        <is>
          <t>Physician</t>
        </is>
      </c>
      <c r="H2065" t="inlineStr">
        <is>
          <t>flowsheet-data-vitals</t>
        </is>
      </c>
      <c r="I2065" t="inlineStr">
        <is>
          <t>as of  [**2141-4-9**] 11:26 AM
   Vital signs
   Hemodynamic monitoring
   Fluid balance
                                                                  24 hours
                                                               Since [**42**] AM
   Tmax: 36.6
C (97.9
   Tcurrent: 36.2
C (97.1
   HR: 76 (76 - 104) bpm
   BP: 143/60(72) {94/15(37) - 143/82(100)} mmHg
   RR: 19 (9 - 23) insp/min
   SpO2: 96%
   Heart rhythm: AF (Atrial Fibrillation)
             Total In:
                                                                  2,055 mL
                                                                    561 mL
   PO:
                                                                    165 mL
                                                                    200 mL
   TF:
   IVF:
                                                                  1,540 mL
                                                                    361 mL
   Blood products:
                                                                    350 mL
   Total out:
                                                                    307 mL
                                                                    210 mL
   Urine:
                                                                    307 mL
                                                                    210 mL
   NG:
   Stool:
   Drains:
   Balance:
                                                                  1,748 mL
                                                                    351 mL
   Respiratory support
   O2 Delivery Device: Nasal cannula
   SpO2: 96%
   ABG: ///24/</t>
        </is>
      </c>
    </row>
    <row r="2066">
      <c r="A2066" t="inlineStr">
        <is>
          <t>532895-physical-examination-0-0</t>
        </is>
      </c>
      <c r="B2066" t="inlineStr"/>
      <c r="C2066" t="inlineStr"/>
      <c r="D2066">
        <f>HYPERLINK("http://nlpdeep.cs.uic.edu:8080/proofing/t5/532895-physical-examination-0-0.pdf","t5/532895-physical-examination-0-0.pdf")</f>
        <v/>
      </c>
      <c r="E2066" t="n">
        <v>119960</v>
      </c>
      <c r="F2066" t="n">
        <v>532895</v>
      </c>
      <c r="G2066" t="inlineStr">
        <is>
          <t>Physician</t>
        </is>
      </c>
      <c r="H2066" t="inlineStr">
        <is>
          <t>physical-examination</t>
        </is>
      </c>
      <c r="I2066" t="inlineStr">
        <is>
          <t>General Appearance: Thin
   Head, Ears, Nose, Throat: Normocephalic
   Cardiovascular: (S1: Normal), (S2: Normal)
   Peripheral Vascular: (Right radial pulse: Not assessed), (Left radial
   pulse: Not assessed), (Right DP pulse: Not assessed), (Left DP pulse:
   Not assessed)
   Respiratory / Chest: (Expansion: Symmetric), (Breath Sounds: Clear : )
   Abdominal: Soft, Non-tender, Bowel sounds present
   Skin:  Warm
   Neurologic: Attentive, Follows simple commands, Responds to: Verbal
   stimuli, Oriented (to): x3, Movement: Purposeful, Tone: Not a</t>
        </is>
      </c>
    </row>
    <row r="2067">
      <c r="A2067" t="inlineStr">
        <is>
          <t>532895-physical-examination-0-0</t>
        </is>
      </c>
      <c r="B2067" t="inlineStr"/>
      <c r="C2067" t="inlineStr"/>
      <c r="D2067">
        <f>HYPERLINK("http://nlpdeep.cs.uic.edu:8080/proofing/gsii/532895-physical-examination-0-0.pdf","gsii/532895-physical-examination-0-0.pdf")</f>
        <v/>
      </c>
      <c r="E2067" t="n">
        <v>119960</v>
      </c>
      <c r="F2067" t="n">
        <v>532895</v>
      </c>
      <c r="G2067" t="inlineStr">
        <is>
          <t>Physician</t>
        </is>
      </c>
      <c r="H2067" t="inlineStr">
        <is>
          <t>physical-examination</t>
        </is>
      </c>
      <c r="I2067" t="inlineStr">
        <is>
          <t>General Appearance: Thin
   Head, Ears, Nose, Throat: Normocephalic
   Cardiovascular: (S1: Normal), (S2: Normal)
   Peripheral Vascular: (Right radial pulse: Not assessed), (Left radial
   pulse: Not assessed), (Right DP pulse: Not assessed), (Left DP pulse:
   Not assessed)
   Respiratory / Chest: (Expansion: Symmetric), (Breath Sounds: Clear : )
   Abdominal: Soft, Non-tender, Bowel sounds present
   Skin:  Warm
   Neurologic: Attentive, Follows simple commands, Responds to: Verbal
   stimuli, Oriented (to): x3, Movement: Purposeful, Tone: Not a</t>
        </is>
      </c>
    </row>
    <row r="2068">
      <c r="A2068" t="inlineStr">
        <is>
          <t>532895-assessment-and-plan-0-0</t>
        </is>
      </c>
      <c r="B2068" t="inlineStr"/>
      <c r="C2068" t="inlineStr"/>
      <c r="D2068">
        <f>HYPERLINK("http://nlpdeep.cs.uic.edu:8080/proofing/t5/532895-assessment-and-plan-0-0.pdf","t5/532895-assessment-and-plan-0-0.pdf")</f>
        <v/>
      </c>
      <c r="E2068" t="n">
        <v>119960</v>
      </c>
      <c r="F2068" t="n">
        <v>532895</v>
      </c>
      <c r="G2068" t="inlineStr">
        <is>
          <t>Physician</t>
        </is>
      </c>
      <c r="H2068" t="inlineStr">
        <is>
          <t>assessment-and-plan</t>
        </is>
      </c>
      <c r="I2068" t="inlineStr">
        <is>
          <t>Comments:</t>
        </is>
      </c>
    </row>
    <row r="2069">
      <c r="A2069" t="inlineStr">
        <is>
          <t>532895-assessment-and-plan-0-0</t>
        </is>
      </c>
      <c r="B2069" t="inlineStr"/>
      <c r="C2069" t="inlineStr"/>
      <c r="D2069">
        <f>HYPERLINK("http://nlpdeep.cs.uic.edu:8080/proofing/gsii/532895-assessment-and-plan-0-0.pdf","gsii/532895-assessment-and-plan-0-0.pdf")</f>
        <v/>
      </c>
      <c r="E2069" t="n">
        <v>119960</v>
      </c>
      <c r="F2069" t="n">
        <v>532895</v>
      </c>
      <c r="G2069" t="inlineStr">
        <is>
          <t>Physician</t>
        </is>
      </c>
      <c r="H2069" t="inlineStr">
        <is>
          <t>assessment-and-plan</t>
        </is>
      </c>
      <c r="I2069" t="inlineStr">
        <is>
          <t>Comments:</t>
        </is>
      </c>
    </row>
    <row r="2070">
      <c r="A2070" t="inlineStr">
        <is>
          <t>532895-code-status-0-0</t>
        </is>
      </c>
      <c r="B2070" t="inlineStr"/>
      <c r="C2070" t="inlineStr"/>
      <c r="D2070">
        <f>HYPERLINK("http://nlpdeep.cs.uic.edu:8080/proofing/t5/532895-code-status-0-0.pdf","t5/532895-code-status-0-0.pdf")</f>
        <v/>
      </c>
      <c r="E2070" t="n">
        <v>119960</v>
      </c>
      <c r="F2070" t="n">
        <v>532895</v>
      </c>
      <c r="G2070" t="inlineStr">
        <is>
          <t>Physician</t>
        </is>
      </c>
      <c r="H2070" t="inlineStr">
        <is>
          <t>code-status</t>
        </is>
      </c>
      <c r="I2070" t="inlineStr">
        <is>
          <t>Full c</t>
        </is>
      </c>
    </row>
    <row r="2071">
      <c r="A2071" t="inlineStr">
        <is>
          <t>532895-code-status-0-0</t>
        </is>
      </c>
      <c r="B2071" t="inlineStr"/>
      <c r="C2071" t="inlineStr"/>
      <c r="D2071">
        <f>HYPERLINK("http://nlpdeep.cs.uic.edu:8080/proofing/gsii/532895-code-status-0-0.pdf","gsii/532895-code-status-0-0.pdf")</f>
        <v/>
      </c>
      <c r="E2071" t="n">
        <v>119960</v>
      </c>
      <c r="F2071" t="n">
        <v>532895</v>
      </c>
      <c r="G2071" t="inlineStr">
        <is>
          <t>Physician</t>
        </is>
      </c>
      <c r="H2071" t="inlineStr">
        <is>
          <t>code-status</t>
        </is>
      </c>
      <c r="I2071" t="inlineStr">
        <is>
          <t>Full c</t>
        </is>
      </c>
    </row>
    <row r="2072">
      <c r="A2072" t="inlineStr">
        <is>
          <t>532700-critical-care-attending-addendum-0-0</t>
        </is>
      </c>
      <c r="B2072" t="inlineStr"/>
      <c r="C2072" t="inlineStr"/>
      <c r="D2072">
        <f>HYPERLINK("http://nlpdeep.cs.uic.edu:8080/proofing/t5/532700-critical-care-attending-addendum-0-0.pdf","t5/532700-critical-care-attending-addendum-0-0.pdf")</f>
        <v/>
      </c>
      <c r="E2072" t="n">
        <v>119960</v>
      </c>
      <c r="F2072" t="n">
        <v>532700</v>
      </c>
      <c r="G2072" t="inlineStr">
        <is>
          <t>Physician</t>
        </is>
      </c>
      <c r="H2072" t="inlineStr">
        <is>
          <t>critical-care-attending-addendum</t>
        </is>
      </c>
      <c r="I2072" t="inlineStr">
        <is>
          <t>I saw and examined the patient, and was physically present with the ICU
   Resident for key portions of the services provided.</t>
        </is>
      </c>
    </row>
    <row r="2073">
      <c r="A2073" t="inlineStr">
        <is>
          <t>532700-critical-care-attending-addendum-0-0</t>
        </is>
      </c>
      <c r="B2073" t="inlineStr"/>
      <c r="C2073" t="inlineStr"/>
      <c r="D2073">
        <f>HYPERLINK("http://nlpdeep.cs.uic.edu:8080/proofing/gsii/532700-critical-care-attending-addendum-0-0.pdf","gsii/532700-critical-care-attending-addendum-0-0.pdf")</f>
        <v/>
      </c>
      <c r="E2073" t="n">
        <v>119960</v>
      </c>
      <c r="F2073" t="n">
        <v>532700</v>
      </c>
      <c r="G2073" t="inlineStr">
        <is>
          <t>Physician</t>
        </is>
      </c>
      <c r="H2073" t="inlineStr">
        <is>
          <t>critical-care-attending-addendum</t>
        </is>
      </c>
      <c r="I2073" t="inlineStr">
        <is>
          <t>I saw and examined the patient, and was physically present with the ICU
   Resident for key portions of the services provided.</t>
        </is>
      </c>
    </row>
    <row r="2074">
      <c r="A2074" t="inlineStr">
        <is>
          <t>532700-critical-care-attending-addendum-0-1</t>
        </is>
      </c>
      <c r="B2074" t="inlineStr"/>
      <c r="C2074" t="inlineStr"/>
      <c r="D2074">
        <f>HYPERLINK("http://nlpdeep.cs.uic.edu:8080/proofing/t5/532700-critical-care-attending-addendum-0-1.pdf","t5/532700-critical-care-attending-addendum-0-1.pdf")</f>
        <v/>
      </c>
      <c r="E2074" t="n">
        <v>119960</v>
      </c>
      <c r="F2074" t="n">
        <v>532700</v>
      </c>
      <c r="G2074" t="inlineStr">
        <is>
          <t>Physician</t>
        </is>
      </c>
      <c r="H2074" t="inlineStr">
        <is>
          <t>critical-care-attending-addendum</t>
        </is>
      </c>
      <c r="I2074" t="inlineStr">
        <is>
          <t xml:space="preserve"> I agree with his /
   her note above, including assessment and plan.</t>
        </is>
      </c>
    </row>
    <row r="2075">
      <c r="A2075" t="inlineStr">
        <is>
          <t>532700-critical-care-attending-addendum-0-1</t>
        </is>
      </c>
      <c r="B2075" t="inlineStr"/>
      <c r="C2075" t="inlineStr"/>
      <c r="D2075">
        <f>HYPERLINK("http://nlpdeep.cs.uic.edu:8080/proofing/gsii/532700-critical-care-attending-addendum-0-1.pdf","gsii/532700-critical-care-attending-addendum-0-1.pdf")</f>
        <v/>
      </c>
      <c r="E2075" t="n">
        <v>119960</v>
      </c>
      <c r="F2075" t="n">
        <v>532700</v>
      </c>
      <c r="G2075" t="inlineStr">
        <is>
          <t>Physician</t>
        </is>
      </c>
      <c r="H2075" t="inlineStr">
        <is>
          <t>critical-care-attending-addendum</t>
        </is>
      </c>
      <c r="I2075" t="inlineStr">
        <is>
          <t xml:space="preserve"> I agree with his /
   her note above, including assessment and plan.</t>
        </is>
      </c>
    </row>
    <row r="2076">
      <c r="A2076" t="inlineStr">
        <is>
          <t>532700-24-hour-events-0-0</t>
        </is>
      </c>
      <c r="B2076" t="inlineStr"/>
      <c r="C2076" t="inlineStr"/>
      <c r="D2076">
        <f>HYPERLINK("http://nlpdeep.cs.uic.edu:8080/proofing/t5/532700-24-hour-events-0-0.pdf","t5/532700-24-hour-events-0-0.pdf")</f>
        <v/>
      </c>
      <c r="E2076" t="n">
        <v>119960</v>
      </c>
      <c r="F2076" t="n">
        <v>532700</v>
      </c>
      <c r="G2076" t="inlineStr">
        <is>
          <t>Physician</t>
        </is>
      </c>
      <c r="H2076" t="inlineStr">
        <is>
          <t>24-hour-events</t>
        </is>
      </c>
      <c r="I2076" t="inlineStr">
        <is>
          <t>OR - ORIF
 INVASIVE VENTILATION - STOP [**2141-4-7**] 05:18 PM
 Neo weaned off
Low urine output
   History obtained from [**Hospital 15**] Medical r</t>
        </is>
      </c>
    </row>
    <row r="2077">
      <c r="A2077" t="inlineStr">
        <is>
          <t>532700-24-hour-events-0-0</t>
        </is>
      </c>
      <c r="B2077" t="inlineStr"/>
      <c r="C2077" t="inlineStr"/>
      <c r="D2077">
        <f>HYPERLINK("http://nlpdeep.cs.uic.edu:8080/proofing/gsii/532700-24-hour-events-0-0.pdf","gsii/532700-24-hour-events-0-0.pdf")</f>
        <v/>
      </c>
      <c r="E2077" t="n">
        <v>119960</v>
      </c>
      <c r="F2077" t="n">
        <v>532700</v>
      </c>
      <c r="G2077" t="inlineStr">
        <is>
          <t>Physician</t>
        </is>
      </c>
      <c r="H2077" t="inlineStr">
        <is>
          <t>24-hour-events</t>
        </is>
      </c>
      <c r="I2077" t="inlineStr">
        <is>
          <t>OR - ORIF
 INVASIVE VENTILATION - STOP [**2141-4-7**] 05:18 PM
 Neo weaned off
Low urine output
   History obtained from [**Hospital 15**] Medical r</t>
        </is>
      </c>
    </row>
    <row r="2078">
      <c r="A2078" t="inlineStr">
        <is>
          <t>532700-allergies-0-0</t>
        </is>
      </c>
      <c r="B2078" t="inlineStr"/>
      <c r="C2078" t="inlineStr"/>
      <c r="D2078">
        <f>HYPERLINK("http://nlpdeep.cs.uic.edu:8080/proofing/t5/532700-allergies-0-0.pdf","t5/532700-allergies-0-0.pdf")</f>
        <v/>
      </c>
      <c r="E2078" t="n">
        <v>119960</v>
      </c>
      <c r="F2078" t="n">
        <v>532700</v>
      </c>
      <c r="G2078" t="inlineStr">
        <is>
          <t>Physician</t>
        </is>
      </c>
      <c r="H2078" t="inlineStr">
        <is>
          <t>allergies</t>
        </is>
      </c>
      <c r="I2078" t="inlineStr">
        <is>
          <t>Quinidine
   fever;
   Propranolol
   Aggitation;
   Heparin Agents
   Thrombocytopeni
   Warfarin
   GI bleed;
   Zolpidem
   Unknown;</t>
        </is>
      </c>
    </row>
    <row r="2079">
      <c r="A2079" t="inlineStr">
        <is>
          <t>532700-allergies-0-0</t>
        </is>
      </c>
      <c r="B2079" t="inlineStr"/>
      <c r="C2079" t="inlineStr"/>
      <c r="D2079">
        <f>HYPERLINK("http://nlpdeep.cs.uic.edu:8080/proofing/gsii/532700-allergies-0-0.pdf","gsii/532700-allergies-0-0.pdf")</f>
        <v/>
      </c>
      <c r="E2079" t="n">
        <v>119960</v>
      </c>
      <c r="F2079" t="n">
        <v>532700</v>
      </c>
      <c r="G2079" t="inlineStr">
        <is>
          <t>Physician</t>
        </is>
      </c>
      <c r="H2079" t="inlineStr">
        <is>
          <t>allergies</t>
        </is>
      </c>
      <c r="I2079" t="inlineStr">
        <is>
          <t>Quinidine
   fever;
   Propranolol
   Aggitation;
   Heparin Agents
   Thrombocytopeni
   Warfarin
   GI bleed;
   Zolpidem
   Unknown;</t>
        </is>
      </c>
    </row>
    <row r="2080">
      <c r="A2080" t="inlineStr">
        <is>
          <t>532700-last-dose-of-antibiotics-0-0</t>
        </is>
      </c>
      <c r="B2080" t="inlineStr"/>
      <c r="C2080" t="inlineStr"/>
      <c r="D2080">
        <f>HYPERLINK("http://nlpdeep.cs.uic.edu:8080/proofing/t5/532700-last-dose-of-antibiotics-0-0.pdf","t5/532700-last-dose-of-antibiotics-0-0.pdf")</f>
        <v/>
      </c>
      <c r="E2080" t="n">
        <v>119960</v>
      </c>
      <c r="F2080" t="n">
        <v>532700</v>
      </c>
      <c r="G2080" t="inlineStr">
        <is>
          <t>Physician</t>
        </is>
      </c>
      <c r="H2080" t="inlineStr">
        <is>
          <t>last-dose-of-antibiotics</t>
        </is>
      </c>
      <c r="I2080" t="inlineStr">
        <is>
          <t>Cefazolin - [**2141-4-8**] 03:00 A</t>
        </is>
      </c>
    </row>
    <row r="2081">
      <c r="A2081" t="inlineStr">
        <is>
          <t>532700-last-dose-of-antibiotics-0-0</t>
        </is>
      </c>
      <c r="B2081" t="inlineStr"/>
      <c r="C2081" t="inlineStr"/>
      <c r="D2081">
        <f>HYPERLINK("http://nlpdeep.cs.uic.edu:8080/proofing/gsii/532700-last-dose-of-antibiotics-0-0.pdf","gsii/532700-last-dose-of-antibiotics-0-0.pdf")</f>
        <v/>
      </c>
      <c r="E2081" t="n">
        <v>119960</v>
      </c>
      <c r="F2081" t="n">
        <v>532700</v>
      </c>
      <c r="G2081" t="inlineStr">
        <is>
          <t>Physician</t>
        </is>
      </c>
      <c r="H2081" t="inlineStr">
        <is>
          <t>last-dose-of-antibiotics</t>
        </is>
      </c>
      <c r="I2081" t="inlineStr">
        <is>
          <t>Cefazolin - [**2141-4-8**] 03:00 A</t>
        </is>
      </c>
    </row>
    <row r="2082">
      <c r="A2082" t="inlineStr">
        <is>
          <t>532700-other-medications-0-0</t>
        </is>
      </c>
      <c r="B2082" t="inlineStr"/>
      <c r="C2082" t="inlineStr"/>
      <c r="D2082">
        <f>HYPERLINK("http://nlpdeep.cs.uic.edu:8080/proofing/t5/532700-other-medications-0-0.pdf","t5/532700-other-medications-0-0.pdf")</f>
        <v/>
      </c>
      <c r="E2082" t="n">
        <v>119960</v>
      </c>
      <c r="F2082" t="n">
        <v>532700</v>
      </c>
      <c r="G2082" t="inlineStr">
        <is>
          <t>Physician</t>
        </is>
      </c>
      <c r="H2082" t="inlineStr">
        <is>
          <t>other-medications</t>
        </is>
      </c>
      <c r="I2082" t="inlineStr">
        <is>
          <t>Enoxaparin (Lovenox) - [**2141-4-7**] 10:00 PM
   Furosemide (Lasix) - [**2141-4-7**] 10:50 PM
   Morphine Sulfate - [**2141-4-8**] 08:00 AM
   Other medications:</t>
        </is>
      </c>
    </row>
    <row r="2083">
      <c r="A2083" t="inlineStr">
        <is>
          <t>532700-other-medications-0-0</t>
        </is>
      </c>
      <c r="B2083" t="inlineStr"/>
      <c r="C2083" t="inlineStr"/>
      <c r="D2083">
        <f>HYPERLINK("http://nlpdeep.cs.uic.edu:8080/proofing/gsii/532700-other-medications-0-0.pdf","gsii/532700-other-medications-0-0.pdf")</f>
        <v/>
      </c>
      <c r="E2083" t="n">
        <v>119960</v>
      </c>
      <c r="F2083" t="n">
        <v>532700</v>
      </c>
      <c r="G2083" t="inlineStr">
        <is>
          <t>Physician</t>
        </is>
      </c>
      <c r="H2083" t="inlineStr">
        <is>
          <t>other-medications</t>
        </is>
      </c>
      <c r="I2083" t="inlineStr">
        <is>
          <t>Enoxaparin (Lovenox) - [**2141-4-7**] 10:00 PM
   Furosemide (Lasix) - [**2141-4-7**] 10:50 PM
   Morphine Sulfate - [**2141-4-8**] 08:00 AM
   Other medications:</t>
        </is>
      </c>
    </row>
    <row r="2084">
      <c r="A2084" t="inlineStr">
        <is>
          <t>532700-past-medical-history-0-0</t>
        </is>
      </c>
      <c r="B2084" t="inlineStr"/>
      <c r="C2084" t="inlineStr"/>
      <c r="D2084">
        <f>HYPERLINK("http://nlpdeep.cs.uic.edu:8080/proofing/t5/532700-past-medical-history-0-0.pdf","t5/532700-past-medical-history-0-0.pdf")</f>
        <v/>
      </c>
      <c r="E2084" t="n">
        <v>119960</v>
      </c>
      <c r="F2084" t="n">
        <v>532700</v>
      </c>
      <c r="G2084" t="inlineStr">
        <is>
          <t>Physician</t>
        </is>
      </c>
      <c r="H2084" t="inlineStr">
        <is>
          <t>past-medical-history</t>
        </is>
      </c>
      <c r="I2084" t="inlineStr">
        <is>
          <t>PMH, SH, FH and ROS are unchanged from Admission except where n</t>
        </is>
      </c>
    </row>
    <row r="2085">
      <c r="A2085" t="inlineStr">
        <is>
          <t>532700-past-medical-history-0-0</t>
        </is>
      </c>
      <c r="B2085" t="inlineStr"/>
      <c r="C2085" t="inlineStr"/>
      <c r="D2085">
        <f>HYPERLINK("http://nlpdeep.cs.uic.edu:8080/proofing/gsii/532700-past-medical-history-0-0.pdf","gsii/532700-past-medical-history-0-0.pdf")</f>
        <v/>
      </c>
      <c r="E2085" t="n">
        <v>119960</v>
      </c>
      <c r="F2085" t="n">
        <v>532700</v>
      </c>
      <c r="G2085" t="inlineStr">
        <is>
          <t>Physician</t>
        </is>
      </c>
      <c r="H2085" t="inlineStr">
        <is>
          <t>past-medical-history</t>
        </is>
      </c>
      <c r="I2085" t="inlineStr">
        <is>
          <t>PMH, SH, FH and ROS are unchanged from Admission except where n</t>
        </is>
      </c>
    </row>
    <row r="2086">
      <c r="A2086" t="inlineStr">
        <is>
          <t>532700-flowsheet-data-vitals-0-0</t>
        </is>
      </c>
      <c r="B2086" t="inlineStr"/>
      <c r="C2086" t="inlineStr"/>
      <c r="D2086">
        <f>HYPERLINK("http://nlpdeep.cs.uic.edu:8080/proofing/t5/532700-flowsheet-data-vitals-0-0.pdf","t5/532700-flowsheet-data-vitals-0-0.pdf")</f>
        <v/>
      </c>
      <c r="E2086" t="n">
        <v>119960</v>
      </c>
      <c r="F2086" t="n">
        <v>532700</v>
      </c>
      <c r="G2086" t="inlineStr">
        <is>
          <t>Physician</t>
        </is>
      </c>
      <c r="H2086" t="inlineStr">
        <is>
          <t>flowsheet-data-vitals</t>
        </is>
      </c>
      <c r="I2086" t="inlineStr">
        <is>
          <t>as of  [**2141-4-8**] 12:02 PM
   Vital signs
   Hemodynamic monitoring
   Fluid balance
                                                                  24 hours
                                                               Since [**42**] AM
   Tmax: 36.2
C (97.2
   Tcurrent: 36.2
C (97.1
   HR: 88 (68 - 116) bpm
   BP: 104/49(61) {96/27(44) - 132/121(124)} mmHg
   RR: 14 (11 - 21) insp/min
   SpO2: 100%
   Heart rhythm: AF (Atrial Fibrillation)
             Total In:
                                                                  1,990 mL
                                                                    226 mL
   PO:
             60 mL
   TF:
   IVF:
                                                                    940 mL
                                                                    166 mL
   Blood products:
                                                                  1,050 mL
   Total out:
                                                                  1,100 mL
                                                                    110 mL
   Urine:
                                                                  1,000 mL
                                                                    110 mL
   NG:
   Stool:
   Drains:
   Balance:
                                                                    890 mL
                                                                    116 mL
   Respiratory support
   O2 Delivery Device: Nasal cannula
   Ventilator mode: Standby
   Vt (Spontaneous): 515 (515 - 515) mL
   PS : 5 cmH2O
   RR (Spontaneous): 13
   PEEP: 5 cmH2O
   FiO2: 50%
   PIP: 10 cmH2O
   SpO2: 100%
   ABG: 7.35/44/73.[**Numeric Identifier 218**]/25/-1
   Ve: 6.3 L/min
   PaO2 / FiO2: 1</t>
        </is>
      </c>
    </row>
    <row r="2087">
      <c r="A2087" t="inlineStr">
        <is>
          <t>532700-flowsheet-data-vitals-0-0</t>
        </is>
      </c>
      <c r="B2087" t="inlineStr"/>
      <c r="C2087" t="inlineStr"/>
      <c r="D2087">
        <f>HYPERLINK("http://nlpdeep.cs.uic.edu:8080/proofing/gsii/532700-flowsheet-data-vitals-0-0.pdf","gsii/532700-flowsheet-data-vitals-0-0.pdf")</f>
        <v/>
      </c>
      <c r="E2087" t="n">
        <v>119960</v>
      </c>
      <c r="F2087" t="n">
        <v>532700</v>
      </c>
      <c r="G2087" t="inlineStr">
        <is>
          <t>Physician</t>
        </is>
      </c>
      <c r="H2087" t="inlineStr">
        <is>
          <t>flowsheet-data-vitals</t>
        </is>
      </c>
      <c r="I2087" t="inlineStr">
        <is>
          <t>as of  [**2141-4-8**] 12:02 PM
   Vital signs
   Hemodynamic monitoring
   Fluid balance
                                                                  24 hours
                                                               Since [**42**] AM
   Tmax: 36.2
C (97.2
   Tcurrent: 36.2
C (97.1
   HR: 88 (68 - 116) bpm
   BP: 104/49(61) {96/27(44) - 132/121(124)} mmHg
   RR: 14 (11 - 21) insp/min
   SpO2: 100%
   Heart rhythm: AF (Atrial Fibrillation)
             Total In:
                                                                  1,990 mL
                                                                    226 mL
   PO:
             60 mL
   TF:
   IVF:
                                                                    940 mL
                                                                    166 mL
   Blood products:
                                                                  1,050 mL
   Total out:
                                                                  1,100 mL
                                                                    110 mL
   Urine:
                                                                  1,000 mL
                                                                    110 mL
   NG:
   Stool:
   Drains:
   Balance:
                                                                    890 mL
                                                                    116 mL
   Respiratory support
   O2 Delivery Device: Nasal cannula
   Ventilator mode: Standby
   Vt (Spontaneous): 515 (515 - 515) mL
   PS : 5 cmH2O
   RR (Spontaneous): 13
   PEEP: 5 cmH2O
   FiO2: 50%
   PIP: 10 cmH2O
   SpO2: 100%
   ABG: 7.35/44/73.[**Numeric Identifier 218**]/25/-1
   Ve: 6.3 L/min
   PaO2 / FiO2: 1</t>
        </is>
      </c>
    </row>
    <row r="2088">
      <c r="A2088" t="inlineStr">
        <is>
          <t>532700-physical-examination-0-0</t>
        </is>
      </c>
      <c r="B2088" t="inlineStr"/>
      <c r="C2088" t="inlineStr"/>
      <c r="D2088">
        <f>HYPERLINK("http://nlpdeep.cs.uic.edu:8080/proofing/t5/532700-physical-examination-0-0.pdf","t5/532700-physical-examination-0-0.pdf")</f>
        <v/>
      </c>
      <c r="E2088" t="n">
        <v>119960</v>
      </c>
      <c r="F2088" t="n">
        <v>532700</v>
      </c>
      <c r="G2088" t="inlineStr">
        <is>
          <t>Physician</t>
        </is>
      </c>
      <c r="H2088" t="inlineStr">
        <is>
          <t>physical-examination</t>
        </is>
      </c>
      <c r="I2088" t="inlineStr">
        <is>
          <t>General Appearance: Thin
   Head, Ears, Nose, Throat: Normocephalic
   Cardiovascular: (S1: Normal), (S2: Normal), (Murmur: Systolic)
   Peripheral Vascular: (Right radial pulse: Not assessed), (Left radial
   pulse: Not assessed), (Right DP pulse: Not assessed), (Left DP pulse:
   Not assessed)
   Respiratory / Chest: (Breath Sounds: Clear : )
   Abdominal: Soft, Non-tender, Bowel sounds present
   Extremities: LE neurovascularly intact
   Musculoskeletal: sig tenderness over Lt shoulder with sig discomfort on
   passive abduction shoulder joint
   Skin:  Not assessed
   Neurologic: Attentive, Follows simple commands, Responds to: Verbal
   stimuli, Movement: Purposeful, Tone: Not assessed, sig e</t>
        </is>
      </c>
    </row>
    <row r="2089">
      <c r="A2089" t="inlineStr">
        <is>
          <t>532700-physical-examination-0-0</t>
        </is>
      </c>
      <c r="B2089" t="inlineStr"/>
      <c r="C2089" t="inlineStr"/>
      <c r="D2089">
        <f>HYPERLINK("http://nlpdeep.cs.uic.edu:8080/proofing/gsii/532700-physical-examination-0-0.pdf","gsii/532700-physical-examination-0-0.pdf")</f>
        <v/>
      </c>
      <c r="E2089" t="n">
        <v>119960</v>
      </c>
      <c r="F2089" t="n">
        <v>532700</v>
      </c>
      <c r="G2089" t="inlineStr">
        <is>
          <t>Physician</t>
        </is>
      </c>
      <c r="H2089" t="inlineStr">
        <is>
          <t>physical-examination</t>
        </is>
      </c>
      <c r="I2089" t="inlineStr">
        <is>
          <t>General Appearance: Thin
   Head, Ears, Nose, Throat: Normocephalic
   Cardiovascular: (S1: Normal), (S2: Normal), (Murmur: Systolic)
   Peripheral Vascular: (Right radial pulse: Not assessed), (Left radial
   pulse: Not assessed), (Right DP pulse: Not assessed), (Left DP pulse:
   Not assessed)
   Respiratory / Chest: (Breath Sounds: Clear : )
   Abdominal: Soft, Non-tender, Bowel sounds present
   Extremities: LE neurovascularly intact
   Musculoskeletal: sig tenderness over Lt shoulder with sig discomfort on
   passive abduction shoulder joint
   Skin:  Not assessed
   Neurologic: Attentive, Follows simple commands, Responds to: Verbal
   stimuli, Movement: Purposeful, Tone: Not assessed, sig e</t>
        </is>
      </c>
    </row>
    <row r="2090">
      <c r="A2090" t="inlineStr">
        <is>
          <t>532700-assessment-and-plan-0-0</t>
        </is>
      </c>
      <c r="B2090" t="inlineStr"/>
      <c r="C2090" t="inlineStr"/>
      <c r="D2090">
        <f>HYPERLINK("http://nlpdeep.cs.uic.edu:8080/proofing/t5/532700-assessment-and-plan-0-0.pdf","t5/532700-assessment-and-plan-0-0.pdf")</f>
        <v/>
      </c>
      <c r="E2090" t="n">
        <v>119960</v>
      </c>
      <c r="F2090" t="n">
        <v>532700</v>
      </c>
      <c r="G2090" t="inlineStr">
        <is>
          <t>Physician</t>
        </is>
      </c>
      <c r="H2090" t="inlineStr">
        <is>
          <t>assessment-and-plan</t>
        </is>
      </c>
      <c r="I2090" t="inlineStr">
        <is>
          <t>Comments:</t>
        </is>
      </c>
    </row>
    <row r="2091">
      <c r="A2091" t="inlineStr">
        <is>
          <t>532700-assessment-and-plan-0-0</t>
        </is>
      </c>
      <c r="B2091" t="inlineStr"/>
      <c r="C2091" t="inlineStr"/>
      <c r="D2091">
        <f>HYPERLINK("http://nlpdeep.cs.uic.edu:8080/proofing/gsii/532700-assessment-and-plan-0-0.pdf","gsii/532700-assessment-and-plan-0-0.pdf")</f>
        <v/>
      </c>
      <c r="E2091" t="n">
        <v>119960</v>
      </c>
      <c r="F2091" t="n">
        <v>532700</v>
      </c>
      <c r="G2091" t="inlineStr">
        <is>
          <t>Physician</t>
        </is>
      </c>
      <c r="H2091" t="inlineStr">
        <is>
          <t>assessment-and-plan</t>
        </is>
      </c>
      <c r="I2091" t="inlineStr">
        <is>
          <t>Comments:</t>
        </is>
      </c>
    </row>
    <row r="2092">
      <c r="A2092" t="inlineStr">
        <is>
          <t>532700-code-status-0-0</t>
        </is>
      </c>
      <c r="B2092" t="inlineStr"/>
      <c r="C2092" t="inlineStr"/>
      <c r="D2092">
        <f>HYPERLINK("http://nlpdeep.cs.uic.edu:8080/proofing/t5/532700-code-status-0-0.pdf","t5/532700-code-status-0-0.pdf")</f>
        <v/>
      </c>
      <c r="E2092" t="n">
        <v>119960</v>
      </c>
      <c r="F2092" t="n">
        <v>532700</v>
      </c>
      <c r="G2092" t="inlineStr">
        <is>
          <t>Physician</t>
        </is>
      </c>
      <c r="H2092" t="inlineStr">
        <is>
          <t>code-status</t>
        </is>
      </c>
      <c r="I2092" t="inlineStr">
        <is>
          <t>Full c</t>
        </is>
      </c>
    </row>
    <row r="2093">
      <c r="A2093" t="inlineStr">
        <is>
          <t>532700-code-status-0-0</t>
        </is>
      </c>
      <c r="B2093" t="inlineStr"/>
      <c r="C2093" t="inlineStr"/>
      <c r="D2093">
        <f>HYPERLINK("http://nlpdeep.cs.uic.edu:8080/proofing/gsii/532700-code-status-0-0.pdf","gsii/532700-code-status-0-0.pdf")</f>
        <v/>
      </c>
      <c r="E2093" t="n">
        <v>119960</v>
      </c>
      <c r="F2093" t="n">
        <v>532700</v>
      </c>
      <c r="G2093" t="inlineStr">
        <is>
          <t>Physician</t>
        </is>
      </c>
      <c r="H2093" t="inlineStr">
        <is>
          <t>code-status</t>
        </is>
      </c>
      <c r="I2093" t="inlineStr">
        <is>
          <t>Full c</t>
        </is>
      </c>
    </row>
    <row r="2094">
      <c r="A2094" t="inlineStr">
        <is>
          <t>532700-disposition-0-0</t>
        </is>
      </c>
      <c r="B2094" t="inlineStr"/>
      <c r="C2094" t="inlineStr"/>
      <c r="D2094">
        <f>HYPERLINK("http://nlpdeep.cs.uic.edu:8080/proofing/t5/532700-disposition-0-0.pdf","t5/532700-disposition-0-0.pdf")</f>
        <v/>
      </c>
      <c r="E2094" t="n">
        <v>119960</v>
      </c>
      <c r="F2094" t="n">
        <v>532700</v>
      </c>
      <c r="G2094" t="inlineStr">
        <is>
          <t>Physician</t>
        </is>
      </c>
      <c r="H2094" t="inlineStr">
        <is>
          <t>disposition</t>
        </is>
      </c>
      <c r="I2094" t="inlineStr">
        <is>
          <t>:I</t>
        </is>
      </c>
    </row>
    <row r="2095">
      <c r="A2095" t="inlineStr">
        <is>
          <t>532700-disposition-0-0</t>
        </is>
      </c>
      <c r="B2095" t="inlineStr"/>
      <c r="C2095" t="inlineStr"/>
      <c r="D2095">
        <f>HYPERLINK("http://nlpdeep.cs.uic.edu:8080/proofing/gsii/532700-disposition-0-0.pdf","gsii/532700-disposition-0-0.pdf")</f>
        <v/>
      </c>
      <c r="E2095" t="n">
        <v>119960</v>
      </c>
      <c r="F2095" t="n">
        <v>532700</v>
      </c>
      <c r="G2095" t="inlineStr">
        <is>
          <t>Physician</t>
        </is>
      </c>
      <c r="H2095" t="inlineStr">
        <is>
          <t>disposition</t>
        </is>
      </c>
      <c r="I2095" t="inlineStr">
        <is>
          <t>:I</t>
        </is>
      </c>
    </row>
    <row r="2096">
      <c r="A2096" t="inlineStr">
        <is>
          <t>532407-chief-complaint-0-0</t>
        </is>
      </c>
      <c r="B2096" t="inlineStr"/>
      <c r="C2096" t="inlineStr"/>
      <c r="D2096">
        <f>HYPERLINK("http://nlpdeep.cs.uic.edu:8080/proofing/t5/532407-chief-complaint-0-0.pdf","t5/532407-chief-complaint-0-0.pdf")</f>
        <v/>
      </c>
      <c r="E2096" t="n">
        <v>119960</v>
      </c>
      <c r="F2096" t="n">
        <v>532407</v>
      </c>
      <c r="G2096" t="inlineStr">
        <is>
          <t>Physician</t>
        </is>
      </c>
      <c r="H2096" t="inlineStr">
        <is>
          <t>chief-complaint</t>
        </is>
      </c>
      <c r="I2096" t="inlineStr">
        <is>
          <t>hypotension, h</t>
        </is>
      </c>
    </row>
    <row r="2097">
      <c r="A2097" t="inlineStr">
        <is>
          <t>532407-chief-complaint-0-0</t>
        </is>
      </c>
      <c r="B2097" t="inlineStr"/>
      <c r="C2097" t="inlineStr"/>
      <c r="D2097">
        <f>HYPERLINK("http://nlpdeep.cs.uic.edu:8080/proofing/gsii/532407-chief-complaint-0-0.pdf","gsii/532407-chief-complaint-0-0.pdf")</f>
        <v/>
      </c>
      <c r="E2097" t="n">
        <v>119960</v>
      </c>
      <c r="F2097" t="n">
        <v>532407</v>
      </c>
      <c r="G2097" t="inlineStr">
        <is>
          <t>Physician</t>
        </is>
      </c>
      <c r="H2097" t="inlineStr">
        <is>
          <t>chief-complaint</t>
        </is>
      </c>
      <c r="I2097" t="inlineStr">
        <is>
          <t>hypotension, h</t>
        </is>
      </c>
    </row>
    <row r="2098">
      <c r="A2098" t="inlineStr">
        <is>
          <t>532407-history-of-present-illness-0-0</t>
        </is>
      </c>
      <c r="B2098" t="inlineStr"/>
      <c r="C2098" t="inlineStr"/>
      <c r="D2098">
        <f>HYPERLINK("http://nlpdeep.cs.uic.edu:8080/proofing/t5/532407-history-of-present-illness-0-0.pdf","t5/532407-history-of-present-illness-0-0.pdf")</f>
        <v/>
      </c>
      <c r="E2098" t="n">
        <v>119960</v>
      </c>
      <c r="F2098" t="n">
        <v>532407</v>
      </c>
      <c r="G2098" t="inlineStr">
        <is>
          <t>Physician</t>
        </is>
      </c>
      <c r="H2098" t="inlineStr">
        <is>
          <t>history-of-present-illness</t>
        </is>
      </c>
      <c r="I2098" t="inlineStr">
        <is>
          <t>Mr. [**Known lastname 14060**] is an 87 yo male with a history of diastolic CHF (EF 65%
   1/10), AFib not on coumadin, mild AS, stage IV CKD, and HTN, who
   presented from acute rehab after falling at his nursing home.</t>
        </is>
      </c>
    </row>
    <row r="2099">
      <c r="A2099" t="inlineStr">
        <is>
          <t>532407-history-of-present-illness-0-0</t>
        </is>
      </c>
      <c r="B2099" t="inlineStr"/>
      <c r="C2099" t="inlineStr"/>
      <c r="D2099">
        <f>HYPERLINK("http://nlpdeep.cs.uic.edu:8080/proofing/gsii/532407-history-of-present-illness-0-0.pdf","gsii/532407-history-of-present-illness-0-0.pdf")</f>
        <v/>
      </c>
      <c r="E2099" t="n">
        <v>119960</v>
      </c>
      <c r="F2099" t="n">
        <v>532407</v>
      </c>
      <c r="G2099" t="inlineStr">
        <is>
          <t>Physician</t>
        </is>
      </c>
      <c r="H2099" t="inlineStr">
        <is>
          <t>history-of-present-illness</t>
        </is>
      </c>
      <c r="I2099" t="inlineStr">
        <is>
          <t>Mr. [**Known lastname 14060**] is an 87 yo male with a history of diastolic CHF (EF 65%
   1/10), AFib not on coumadin, mild AS, stage IV CKD, and HTN, who
   presented from acute rehab after falling at his nursing home.</t>
        </is>
      </c>
    </row>
    <row r="2100">
      <c r="A2100" t="inlineStr">
        <is>
          <t>532407-history-of-present-illness-0-1</t>
        </is>
      </c>
      <c r="B2100" t="inlineStr"/>
      <c r="C2100" t="inlineStr"/>
      <c r="D2100">
        <f>HYPERLINK("http://nlpdeep.cs.uic.edu:8080/proofing/t5/532407-history-of-present-illness-0-1.pdf","t5/532407-history-of-present-illness-0-1.pdf")</f>
        <v/>
      </c>
      <c r="E2100" t="n">
        <v>119960</v>
      </c>
      <c r="F2100" t="n">
        <v>532407</v>
      </c>
      <c r="G2100" t="inlineStr">
        <is>
          <t>Physician</t>
        </is>
      </c>
      <c r="H2100" t="inlineStr">
        <is>
          <t>history-of-present-illness</t>
        </is>
      </c>
      <c r="I2100" t="inlineStr">
        <is>
          <t xml:space="preserve">
   Yesterday he had been feeling well, walking with PT (using a walker)
   and feeling well.</t>
        </is>
      </c>
    </row>
    <row r="2101">
      <c r="A2101" t="inlineStr">
        <is>
          <t>532407-history-of-present-illness-0-1</t>
        </is>
      </c>
      <c r="B2101" t="inlineStr"/>
      <c r="C2101" t="inlineStr"/>
      <c r="D2101">
        <f>HYPERLINK("http://nlpdeep.cs.uic.edu:8080/proofing/gsii/532407-history-of-present-illness-0-1.pdf","gsii/532407-history-of-present-illness-0-1.pdf")</f>
        <v/>
      </c>
      <c r="E2101" t="n">
        <v>119960</v>
      </c>
      <c r="F2101" t="n">
        <v>532407</v>
      </c>
      <c r="G2101" t="inlineStr">
        <is>
          <t>Physician</t>
        </is>
      </c>
      <c r="H2101" t="inlineStr">
        <is>
          <t>history-of-present-illness</t>
        </is>
      </c>
      <c r="I2101" t="inlineStr">
        <is>
          <t xml:space="preserve">
   Yesterday he had been feeling well, walking with PT (using a walker)
   and feeling well.</t>
        </is>
      </c>
    </row>
    <row r="2102">
      <c r="A2102" t="inlineStr">
        <is>
          <t>532407-history-of-present-illness-0-2</t>
        </is>
      </c>
      <c r="B2102" t="inlineStr"/>
      <c r="C2102" t="inlineStr"/>
      <c r="D2102">
        <f>HYPERLINK("http://nlpdeep.cs.uic.edu:8080/proofing/t5/532407-history-of-present-illness-0-2.pdf","t5/532407-history-of-present-illness-0-2.pdf")</f>
        <v/>
      </c>
      <c r="E2102" t="n">
        <v>119960</v>
      </c>
      <c r="F2102" t="n">
        <v>532407</v>
      </c>
      <c r="G2102" t="inlineStr">
        <is>
          <t>Physician</t>
        </is>
      </c>
      <c r="H2102" t="inlineStr">
        <is>
          <t>history-of-present-illness</t>
        </is>
      </c>
      <c r="I2102" t="inlineStr">
        <is>
          <t>Today he was reaching onto a shelf for batteries when
   he turned too quickly and twisted his left foot under him, falling on
   his left side and left arm.</t>
        </is>
      </c>
    </row>
    <row r="2103">
      <c r="A2103" t="inlineStr">
        <is>
          <t>532407-history-of-present-illness-0-2</t>
        </is>
      </c>
      <c r="B2103" t="inlineStr"/>
      <c r="C2103" t="inlineStr"/>
      <c r="D2103">
        <f>HYPERLINK("http://nlpdeep.cs.uic.edu:8080/proofing/gsii/532407-history-of-present-illness-0-2.pdf","gsii/532407-history-of-present-illness-0-2.pdf")</f>
        <v/>
      </c>
      <c r="E2103" t="n">
        <v>119960</v>
      </c>
      <c r="F2103" t="n">
        <v>532407</v>
      </c>
      <c r="G2103" t="inlineStr">
        <is>
          <t>Physician</t>
        </is>
      </c>
      <c r="H2103" t="inlineStr">
        <is>
          <t>history-of-present-illness</t>
        </is>
      </c>
      <c r="I2103" t="inlineStr">
        <is>
          <t>Today he was reaching onto a shelf for batteries when
   he turned too quickly and twisted his left foot under him, falling on
   his left side and left arm.</t>
        </is>
      </c>
    </row>
    <row r="2104">
      <c r="A2104" t="inlineStr">
        <is>
          <t>532407-history-of-present-illness-0-3</t>
        </is>
      </c>
      <c r="B2104" t="inlineStr"/>
      <c r="C2104" t="inlineStr"/>
      <c r="D2104">
        <f>HYPERLINK("http://nlpdeep.cs.uic.edu:8080/proofing/t5/532407-history-of-present-illness-0-3.pdf","t5/532407-history-of-present-illness-0-3.pdf")</f>
        <v/>
      </c>
      <c r="E2104" t="n">
        <v>119960</v>
      </c>
      <c r="F2104" t="n">
        <v>532407</v>
      </c>
      <c r="G2104" t="inlineStr">
        <is>
          <t>Physician</t>
        </is>
      </c>
      <c r="H2104" t="inlineStr">
        <is>
          <t>history-of-present-illness</t>
        </is>
      </c>
      <c r="I2104" t="inlineStr">
        <is>
          <t>He was sent from rehab to the ED.</t>
        </is>
      </c>
    </row>
    <row r="2105">
      <c r="A2105" t="inlineStr">
        <is>
          <t>532407-history-of-present-illness-0-3</t>
        </is>
      </c>
      <c r="B2105" t="inlineStr"/>
      <c r="C2105" t="inlineStr"/>
      <c r="D2105">
        <f>HYPERLINK("http://nlpdeep.cs.uic.edu:8080/proofing/gsii/532407-history-of-present-illness-0-3.pdf","gsii/532407-history-of-present-illness-0-3.pdf")</f>
        <v/>
      </c>
      <c r="E2105" t="n">
        <v>119960</v>
      </c>
      <c r="F2105" t="n">
        <v>532407</v>
      </c>
      <c r="G2105" t="inlineStr">
        <is>
          <t>Physician</t>
        </is>
      </c>
      <c r="H2105" t="inlineStr">
        <is>
          <t>history-of-present-illness</t>
        </is>
      </c>
      <c r="I2105" t="inlineStr">
        <is>
          <t>He was sent from rehab to the ED.</t>
        </is>
      </c>
    </row>
    <row r="2106">
      <c r="A2106" t="inlineStr">
        <is>
          <t>532407-history-of-present-illness-0-4</t>
        </is>
      </c>
      <c r="B2106" t="inlineStr"/>
      <c r="C2106" t="inlineStr"/>
      <c r="D2106">
        <f>HYPERLINK("http://nlpdeep.cs.uic.edu:8080/proofing/t5/532407-history-of-present-illness-0-4.pdf","t5/532407-history-of-present-illness-0-4.pdf")</f>
        <v/>
      </c>
      <c r="E2106" t="n">
        <v>119960</v>
      </c>
      <c r="F2106" t="n">
        <v>532407</v>
      </c>
      <c r="G2106" t="inlineStr">
        <is>
          <t>Physician</t>
        </is>
      </c>
      <c r="H2106" t="inlineStr">
        <is>
          <t>history-of-present-illness</t>
        </is>
      </c>
      <c r="I2106" t="inlineStr">
        <is>
          <t xml:space="preserve"> On exam,
   his hip was externally rotated and shortened.</t>
        </is>
      </c>
    </row>
    <row r="2107">
      <c r="A2107" t="inlineStr">
        <is>
          <t>532407-history-of-present-illness-0-4</t>
        </is>
      </c>
      <c r="B2107" t="inlineStr"/>
      <c r="C2107" t="inlineStr"/>
      <c r="D2107">
        <f>HYPERLINK("http://nlpdeep.cs.uic.edu:8080/proofing/gsii/532407-history-of-present-illness-0-4.pdf","gsii/532407-history-of-present-illness-0-4.pdf")</f>
        <v/>
      </c>
      <c r="E2107" t="n">
        <v>119960</v>
      </c>
      <c r="F2107" t="n">
        <v>532407</v>
      </c>
      <c r="G2107" t="inlineStr">
        <is>
          <t>Physician</t>
        </is>
      </c>
      <c r="H2107" t="inlineStr">
        <is>
          <t>history-of-present-illness</t>
        </is>
      </c>
      <c r="I2107" t="inlineStr">
        <is>
          <t xml:space="preserve"> On exam,
   his hip was externally rotated and shortened.</t>
        </is>
      </c>
    </row>
    <row r="2108">
      <c r="A2108" t="inlineStr">
        <is>
          <t>532407-history-of-present-illness-0-5</t>
        </is>
      </c>
      <c r="B2108" t="inlineStr"/>
      <c r="C2108" t="inlineStr"/>
      <c r="D2108">
        <f>HYPERLINK("http://nlpdeep.cs.uic.edu:8080/proofing/t5/532407-history-of-present-illness-0-5.pdf","t5/532407-history-of-present-illness-0-5.pdf")</f>
        <v/>
      </c>
      <c r="E2108" t="n">
        <v>119960</v>
      </c>
      <c r="F2108" t="n">
        <v>532407</v>
      </c>
      <c r="G2108" t="inlineStr">
        <is>
          <t>Physician</t>
        </is>
      </c>
      <c r="H2108" t="inlineStr">
        <is>
          <t>history-of-present-illness</t>
        </is>
      </c>
      <c r="I2108" t="inlineStr">
        <is>
          <t xml:space="preserve"> He had no other
   complaints and denied loss of consciousness or hitting his head on the
   fall.</t>
        </is>
      </c>
    </row>
    <row r="2109">
      <c r="A2109" t="inlineStr">
        <is>
          <t>532407-history-of-present-illness-0-5</t>
        </is>
      </c>
      <c r="B2109" t="inlineStr"/>
      <c r="C2109" t="inlineStr"/>
      <c r="D2109">
        <f>HYPERLINK("http://nlpdeep.cs.uic.edu:8080/proofing/gsii/532407-history-of-present-illness-0-5.pdf","gsii/532407-history-of-present-illness-0-5.pdf")</f>
        <v/>
      </c>
      <c r="E2109" t="n">
        <v>119960</v>
      </c>
      <c r="F2109" t="n">
        <v>532407</v>
      </c>
      <c r="G2109" t="inlineStr">
        <is>
          <t>Physician</t>
        </is>
      </c>
      <c r="H2109" t="inlineStr">
        <is>
          <t>history-of-present-illness</t>
        </is>
      </c>
      <c r="I2109" t="inlineStr">
        <is>
          <t xml:space="preserve"> He had no other
   complaints and denied loss of consciousness or hitting his head on the
   fall.</t>
        </is>
      </c>
    </row>
    <row r="2110">
      <c r="A2110" t="inlineStr">
        <is>
          <t>532407-history-of-present-illness-0-6</t>
        </is>
      </c>
      <c r="B2110" t="inlineStr"/>
      <c r="C2110" t="inlineStr"/>
      <c r="D2110">
        <f>HYPERLINK("http://nlpdeep.cs.uic.edu:8080/proofing/t5/532407-history-of-present-illness-0-6.pdf","t5/532407-history-of-present-illness-0-6.pdf")</f>
        <v/>
      </c>
      <c r="E2110" t="n">
        <v>119960</v>
      </c>
      <c r="F2110" t="n">
        <v>532407</v>
      </c>
      <c r="G2110" t="inlineStr">
        <is>
          <t>Physician</t>
        </is>
      </c>
      <c r="H2110" t="inlineStr">
        <is>
          <t>history-of-present-illness</t>
        </is>
      </c>
      <c r="I2110" t="inlineStr">
        <is>
          <t xml:space="preserve"> Hct was 29.6 at rehab, Na 142, K 4.0, BUN 51, Creat 2.1, WBC
   6.8, Plt 215.</t>
        </is>
      </c>
    </row>
    <row r="2111">
      <c r="A2111" t="inlineStr">
        <is>
          <t>532407-history-of-present-illness-0-6</t>
        </is>
      </c>
      <c r="B2111" t="inlineStr"/>
      <c r="C2111" t="inlineStr"/>
      <c r="D2111">
        <f>HYPERLINK("http://nlpdeep.cs.uic.edu:8080/proofing/gsii/532407-history-of-present-illness-0-6.pdf","gsii/532407-history-of-present-illness-0-6.pdf")</f>
        <v/>
      </c>
      <c r="E2111" t="n">
        <v>119960</v>
      </c>
      <c r="F2111" t="n">
        <v>532407</v>
      </c>
      <c r="G2111" t="inlineStr">
        <is>
          <t>Physician</t>
        </is>
      </c>
      <c r="H2111" t="inlineStr">
        <is>
          <t>history-of-present-illness</t>
        </is>
      </c>
      <c r="I2111" t="inlineStr">
        <is>
          <t xml:space="preserve"> Hct was 29.6 at rehab, Na 142, K 4.0, BUN 51, Creat 2.1, WBC
   6.8, Plt 215.</t>
        </is>
      </c>
    </row>
    <row r="2112">
      <c r="A2112" t="inlineStr">
        <is>
          <t>532407-history-of-present-illness-1-0</t>
        </is>
      </c>
      <c r="B2112" t="inlineStr"/>
      <c r="C2112" t="inlineStr"/>
      <c r="D2112">
        <f>HYPERLINK("http://nlpdeep.cs.uic.edu:8080/proofing/t5/532407-history-of-present-illness-1-0.pdf","t5/532407-history-of-present-illness-1-0.pdf")</f>
        <v/>
      </c>
      <c r="E2112" t="n">
        <v>119960</v>
      </c>
      <c r="F2112" t="n">
        <v>532407</v>
      </c>
      <c r="G2112" t="inlineStr">
        <is>
          <t>Physician</t>
        </is>
      </c>
      <c r="H2112" t="inlineStr">
        <is>
          <t>history-of-present-illness</t>
        </is>
      </c>
      <c r="I2112" t="inlineStr">
        <is>
          <t xml:space="preserve">
   In the ED, triage vs were: T 96.3 P 60 BP 107/62 R 16 O2 sat 96% on RA,
   but he was then found to have systolic BP of 83-90s on exam.</t>
        </is>
      </c>
    </row>
    <row r="2113">
      <c r="A2113" t="inlineStr">
        <is>
          <t>532407-history-of-present-illness-1-0</t>
        </is>
      </c>
      <c r="B2113" t="inlineStr"/>
      <c r="C2113" t="inlineStr"/>
      <c r="D2113">
        <f>HYPERLINK("http://nlpdeep.cs.uic.edu:8080/proofing/gsii/532407-history-of-present-illness-1-0.pdf","gsii/532407-history-of-present-illness-1-0.pdf")</f>
        <v/>
      </c>
      <c r="E2113" t="n">
        <v>119960</v>
      </c>
      <c r="F2113" t="n">
        <v>532407</v>
      </c>
      <c r="G2113" t="inlineStr">
        <is>
          <t>Physician</t>
        </is>
      </c>
      <c r="H2113" t="inlineStr">
        <is>
          <t>history-of-present-illness</t>
        </is>
      </c>
      <c r="I2113" t="inlineStr">
        <is>
          <t xml:space="preserve">
   In the ED, triage vs were: T 96.3 P 60 BP 107/62 R 16 O2 sat 96% on RA,
   but he was then found to have systolic BP of 83-90s on exam.</t>
        </is>
      </c>
    </row>
    <row r="2114">
      <c r="A2114" t="inlineStr">
        <is>
          <t>532407-history-of-present-illness-1-1</t>
        </is>
      </c>
      <c r="B2114" t="inlineStr"/>
      <c r="C2114" t="inlineStr"/>
      <c r="D2114">
        <f>HYPERLINK("http://nlpdeep.cs.uic.edu:8080/proofing/t5/532407-history-of-present-illness-1-1.pdf","t5/532407-history-of-present-illness-1-1.pdf")</f>
        <v/>
      </c>
      <c r="E2114" t="n">
        <v>119960</v>
      </c>
      <c r="F2114" t="n">
        <v>532407</v>
      </c>
      <c r="G2114" t="inlineStr">
        <is>
          <t>Physician</t>
        </is>
      </c>
      <c r="H2114" t="inlineStr">
        <is>
          <t>history-of-present-illness</t>
        </is>
      </c>
      <c r="I2114" t="inlineStr">
        <is>
          <t>He had
   good peripheral pulses.</t>
        </is>
      </c>
    </row>
    <row r="2115">
      <c r="A2115" t="inlineStr">
        <is>
          <t>532407-history-of-present-illness-1-1</t>
        </is>
      </c>
      <c r="B2115" t="inlineStr"/>
      <c r="C2115" t="inlineStr"/>
      <c r="D2115">
        <f>HYPERLINK("http://nlpdeep.cs.uic.edu:8080/proofing/gsii/532407-history-of-present-illness-1-1.pdf","gsii/532407-history-of-present-illness-1-1.pdf")</f>
        <v/>
      </c>
      <c r="E2115" t="n">
        <v>119960</v>
      </c>
      <c r="F2115" t="n">
        <v>532407</v>
      </c>
      <c r="G2115" t="inlineStr">
        <is>
          <t>Physician</t>
        </is>
      </c>
      <c r="H2115" t="inlineStr">
        <is>
          <t>history-of-present-illness</t>
        </is>
      </c>
      <c r="I2115" t="inlineStr">
        <is>
          <t>He had
   good peripheral pulses.</t>
        </is>
      </c>
    </row>
    <row r="2116">
      <c r="A2116" t="inlineStr">
        <is>
          <t>532407-history-of-present-illness-1-2</t>
        </is>
      </c>
      <c r="B2116" t="inlineStr"/>
      <c r="C2116" t="inlineStr"/>
      <c r="D2116">
        <f>HYPERLINK("http://nlpdeep.cs.uic.edu:8080/proofing/t5/532407-history-of-present-illness-1-2.pdf","t5/532407-history-of-present-illness-1-2.pdf")</f>
        <v/>
      </c>
      <c r="E2116" t="n">
        <v>119960</v>
      </c>
      <c r="F2116" t="n">
        <v>532407</v>
      </c>
      <c r="G2116" t="inlineStr">
        <is>
          <t>Physician</t>
        </is>
      </c>
      <c r="H2116" t="inlineStr">
        <is>
          <t>history-of-present-illness</t>
        </is>
      </c>
      <c r="I2116" t="inlineStr">
        <is>
          <t xml:space="preserve"> He was evaluated for trauma and plain films of
   the left hip and femur were completed, showing multiple comminuted
   fractures for which the patient would need a THR.</t>
        </is>
      </c>
    </row>
    <row r="2117">
      <c r="A2117" t="inlineStr">
        <is>
          <t>532407-history-of-present-illness-1-2</t>
        </is>
      </c>
      <c r="B2117" t="inlineStr"/>
      <c r="C2117" t="inlineStr"/>
      <c r="D2117">
        <f>HYPERLINK("http://nlpdeep.cs.uic.edu:8080/proofing/gsii/532407-history-of-present-illness-1-2.pdf","gsii/532407-history-of-present-illness-1-2.pdf")</f>
        <v/>
      </c>
      <c r="E2117" t="n">
        <v>119960</v>
      </c>
      <c r="F2117" t="n">
        <v>532407</v>
      </c>
      <c r="G2117" t="inlineStr">
        <is>
          <t>Physician</t>
        </is>
      </c>
      <c r="H2117" t="inlineStr">
        <is>
          <t>history-of-present-illness</t>
        </is>
      </c>
      <c r="I2117" t="inlineStr">
        <is>
          <t xml:space="preserve"> He was evaluated for trauma and plain films of
   the left hip and femur were completed, showing multiple comminuted
   fractures for which the patient would need a THR.</t>
        </is>
      </c>
    </row>
    <row r="2118">
      <c r="A2118" t="inlineStr">
        <is>
          <t>532407-history-of-present-illness-1-3</t>
        </is>
      </c>
      <c r="B2118" t="inlineStr"/>
      <c r="C2118" t="inlineStr"/>
      <c r="D2118">
        <f>HYPERLINK("http://nlpdeep.cs.uic.edu:8080/proofing/t5/532407-history-of-present-illness-1-3.pdf","t5/532407-history-of-present-illness-1-3.pdf")</f>
        <v/>
      </c>
      <c r="E2118" t="n">
        <v>119960</v>
      </c>
      <c r="F2118" t="n">
        <v>532407</v>
      </c>
      <c r="G2118" t="inlineStr">
        <is>
          <t>Physician</t>
        </is>
      </c>
      <c r="H2118" t="inlineStr">
        <is>
          <t>history-of-present-illness</t>
        </is>
      </c>
      <c r="I2118" t="inlineStr">
        <is>
          <t xml:space="preserve"> CT C-spine showed no
   fracture or malalignment, and moderate multilevel degenerative change
   on preliminary read.</t>
        </is>
      </c>
    </row>
    <row r="2119">
      <c r="A2119" t="inlineStr">
        <is>
          <t>532407-history-of-present-illness-1-3</t>
        </is>
      </c>
      <c r="B2119" t="inlineStr"/>
      <c r="C2119" t="inlineStr"/>
      <c r="D2119">
        <f>HYPERLINK("http://nlpdeep.cs.uic.edu:8080/proofing/gsii/532407-history-of-present-illness-1-3.pdf","gsii/532407-history-of-present-illness-1-3.pdf")</f>
        <v/>
      </c>
      <c r="E2119" t="n">
        <v>119960</v>
      </c>
      <c r="F2119" t="n">
        <v>532407</v>
      </c>
      <c r="G2119" t="inlineStr">
        <is>
          <t>Physician</t>
        </is>
      </c>
      <c r="H2119" t="inlineStr">
        <is>
          <t>history-of-present-illness</t>
        </is>
      </c>
      <c r="I2119" t="inlineStr">
        <is>
          <t xml:space="preserve"> CT C-spine showed no
   fracture or malalignment, and moderate multilevel degenerative change
   on preliminary read.</t>
        </is>
      </c>
    </row>
    <row r="2120">
      <c r="A2120" t="inlineStr">
        <is>
          <t>532407-history-of-present-illness-1-4</t>
        </is>
      </c>
      <c r="B2120" t="inlineStr"/>
      <c r="C2120" t="inlineStr"/>
      <c r="D2120">
        <f>HYPERLINK("http://nlpdeep.cs.uic.edu:8080/proofing/t5/532407-history-of-present-illness-1-4.pdf","t5/532407-history-of-present-illness-1-4.pdf")</f>
        <v/>
      </c>
      <c r="E2120" t="n">
        <v>119960</v>
      </c>
      <c r="F2120" t="n">
        <v>532407</v>
      </c>
      <c r="G2120" t="inlineStr">
        <is>
          <t>Physician</t>
        </is>
      </c>
      <c r="H2120" t="inlineStr">
        <is>
          <t>history-of-present-illness</t>
        </is>
      </c>
      <c r="I2120" t="inlineStr">
        <is>
          <t>CT head without contrast showed no fracture or
   hemorrhage (preliminary read).</t>
        </is>
      </c>
    </row>
    <row r="2121">
      <c r="A2121" t="inlineStr">
        <is>
          <t>532407-history-of-present-illness-1-4</t>
        </is>
      </c>
      <c r="B2121" t="inlineStr"/>
      <c r="C2121" t="inlineStr"/>
      <c r="D2121">
        <f>HYPERLINK("http://nlpdeep.cs.uic.edu:8080/proofing/gsii/532407-history-of-present-illness-1-4.pdf","gsii/532407-history-of-present-illness-1-4.pdf")</f>
        <v/>
      </c>
      <c r="E2121" t="n">
        <v>119960</v>
      </c>
      <c r="F2121" t="n">
        <v>532407</v>
      </c>
      <c r="G2121" t="inlineStr">
        <is>
          <t>Physician</t>
        </is>
      </c>
      <c r="H2121" t="inlineStr">
        <is>
          <t>history-of-present-illness</t>
        </is>
      </c>
      <c r="I2121" t="inlineStr">
        <is>
          <t>CT head without contrast showed no fracture or
   hemorrhage (preliminary read).</t>
        </is>
      </c>
    </row>
    <row r="2122">
      <c r="A2122" t="inlineStr">
        <is>
          <t>532407-history-of-present-illness-2-0</t>
        </is>
      </c>
      <c r="B2122" t="inlineStr"/>
      <c r="C2122" t="inlineStr"/>
      <c r="D2122">
        <f>HYPERLINK("http://nlpdeep.cs.uic.edu:8080/proofing/t5/532407-history-of-present-illness-2-0.pdf","t5/532407-history-of-present-illness-2-0.pdf")</f>
        <v/>
      </c>
      <c r="E2122" t="n">
        <v>119960</v>
      </c>
      <c r="F2122" t="n">
        <v>532407</v>
      </c>
      <c r="G2122" t="inlineStr">
        <is>
          <t>Physician</t>
        </is>
      </c>
      <c r="H2122" t="inlineStr">
        <is>
          <t>history-of-present-illness</t>
        </is>
      </c>
      <c r="I2122" t="inlineStr">
        <is>
          <t xml:space="preserve">
   The patient was given 1L IVF and fentanyl 100 mcg for pain.</t>
        </is>
      </c>
    </row>
    <row r="2123">
      <c r="A2123" t="inlineStr">
        <is>
          <t>532407-history-of-present-illness-2-0</t>
        </is>
      </c>
      <c r="B2123" t="inlineStr"/>
      <c r="C2123" t="inlineStr"/>
      <c r="D2123">
        <f>HYPERLINK("http://nlpdeep.cs.uic.edu:8080/proofing/gsii/532407-history-of-present-illness-2-0.pdf","gsii/532407-history-of-present-illness-2-0.pdf")</f>
        <v/>
      </c>
      <c r="E2123" t="n">
        <v>119960</v>
      </c>
      <c r="F2123" t="n">
        <v>532407</v>
      </c>
      <c r="G2123" t="inlineStr">
        <is>
          <t>Physician</t>
        </is>
      </c>
      <c r="H2123" t="inlineStr">
        <is>
          <t>history-of-present-illness</t>
        </is>
      </c>
      <c r="I2123" t="inlineStr">
        <is>
          <t xml:space="preserve">
   The patient was given 1L IVF and fentanyl 100 mcg for pain.</t>
        </is>
      </c>
    </row>
    <row r="2124">
      <c r="A2124" t="inlineStr">
        <is>
          <t>532407-history-of-present-illness-2-1</t>
        </is>
      </c>
      <c r="B2124" t="inlineStr"/>
      <c r="C2124" t="inlineStr"/>
      <c r="D2124">
        <f>HYPERLINK("http://nlpdeep.cs.uic.edu:8080/proofing/t5/532407-history-of-present-illness-2-1.pdf","t5/532407-history-of-present-illness-2-1.pdf")</f>
        <v/>
      </c>
      <c r="E2124" t="n">
        <v>119960</v>
      </c>
      <c r="F2124" t="n">
        <v>532407</v>
      </c>
      <c r="G2124" t="inlineStr">
        <is>
          <t>Physician</t>
        </is>
      </c>
      <c r="H2124" t="inlineStr">
        <is>
          <t>history-of-present-illness</t>
        </is>
      </c>
      <c r="I2124" t="inlineStr">
        <is>
          <t>His SBPs
   persisted in the 80s/90s.</t>
        </is>
      </c>
    </row>
    <row r="2125">
      <c r="A2125" t="inlineStr">
        <is>
          <t>532407-history-of-present-illness-2-1</t>
        </is>
      </c>
      <c r="B2125" t="inlineStr"/>
      <c r="C2125" t="inlineStr"/>
      <c r="D2125">
        <f>HYPERLINK("http://nlpdeep.cs.uic.edu:8080/proofing/gsii/532407-history-of-present-illness-2-1.pdf","gsii/532407-history-of-present-illness-2-1.pdf")</f>
        <v/>
      </c>
      <c r="E2125" t="n">
        <v>119960</v>
      </c>
      <c r="F2125" t="n">
        <v>532407</v>
      </c>
      <c r="G2125" t="inlineStr">
        <is>
          <t>Physician</t>
        </is>
      </c>
      <c r="H2125" t="inlineStr">
        <is>
          <t>history-of-present-illness</t>
        </is>
      </c>
      <c r="I2125" t="inlineStr">
        <is>
          <t>His SBPs
   persisted in the 80s/90s.</t>
        </is>
      </c>
    </row>
    <row r="2126">
      <c r="A2126" t="inlineStr">
        <is>
          <t>532407-history-of-present-illness-2-2</t>
        </is>
      </c>
      <c r="B2126" t="inlineStr"/>
      <c r="C2126" t="inlineStr"/>
      <c r="D2126">
        <f>HYPERLINK("http://nlpdeep.cs.uic.edu:8080/proofing/t5/532407-history-of-present-illness-2-2.pdf","t5/532407-history-of-present-illness-2-2.pdf")</f>
        <v/>
      </c>
      <c r="E2126" t="n">
        <v>119960</v>
      </c>
      <c r="F2126" t="n">
        <v>532407</v>
      </c>
      <c r="G2126" t="inlineStr">
        <is>
          <t>Physician</t>
        </is>
      </c>
      <c r="H2126" t="inlineStr">
        <is>
          <t>history-of-present-illness</t>
        </is>
      </c>
      <c r="I2126" t="inlineStr">
        <is>
          <t>His Hct was found to be 24, down [**4-3**] points.</t>
        </is>
      </c>
    </row>
    <row r="2127">
      <c r="A2127" t="inlineStr">
        <is>
          <t>532407-history-of-present-illness-2-2</t>
        </is>
      </c>
      <c r="B2127" t="inlineStr"/>
      <c r="C2127" t="inlineStr"/>
      <c r="D2127">
        <f>HYPERLINK("http://nlpdeep.cs.uic.edu:8080/proofing/gsii/532407-history-of-present-illness-2-2.pdf","gsii/532407-history-of-present-illness-2-2.pdf")</f>
        <v/>
      </c>
      <c r="E2127" t="n">
        <v>119960</v>
      </c>
      <c r="F2127" t="n">
        <v>532407</v>
      </c>
      <c r="G2127" t="inlineStr">
        <is>
          <t>Physician</t>
        </is>
      </c>
      <c r="H2127" t="inlineStr">
        <is>
          <t>history-of-present-illness</t>
        </is>
      </c>
      <c r="I2127" t="inlineStr">
        <is>
          <t>His Hct was found to be 24, down [**4-3**] points.</t>
        </is>
      </c>
    </row>
    <row r="2128">
      <c r="A2128" t="inlineStr">
        <is>
          <t>532407-history-of-present-illness-2-3</t>
        </is>
      </c>
      <c r="B2128" t="inlineStr"/>
      <c r="C2128" t="inlineStr"/>
      <c r="D2128">
        <f>HYPERLINK("http://nlpdeep.cs.uic.edu:8080/proofing/t5/532407-history-of-present-illness-2-3.pdf","t5/532407-history-of-present-illness-2-3.pdf")</f>
        <v/>
      </c>
      <c r="E2128" t="n">
        <v>119960</v>
      </c>
      <c r="F2128" t="n">
        <v>532407</v>
      </c>
      <c r="G2128" t="inlineStr">
        <is>
          <t>Physician</t>
        </is>
      </c>
      <c r="H2128" t="inlineStr">
        <is>
          <t>history-of-present-illness</t>
        </is>
      </c>
      <c r="I2128" t="inlineStr">
        <is>
          <t xml:space="preserve">
   CT ab/pelvis was performed in the setting of the Hct drop, showing left
   hip intertrochanteric fracture, a large retroperitoneal mass likely
   from left adrenal gland (non-urgent MR recommended for further
   evaluation), and no retroperitoneal hematoma on preliminary read.</t>
        </is>
      </c>
    </row>
    <row r="2129">
      <c r="A2129" t="inlineStr">
        <is>
          <t>532407-history-of-present-illness-2-3</t>
        </is>
      </c>
      <c r="B2129" t="inlineStr"/>
      <c r="C2129" t="inlineStr"/>
      <c r="D2129">
        <f>HYPERLINK("http://nlpdeep.cs.uic.edu:8080/proofing/gsii/532407-history-of-present-illness-2-3.pdf","gsii/532407-history-of-present-illness-2-3.pdf")</f>
        <v/>
      </c>
      <c r="E2129" t="n">
        <v>119960</v>
      </c>
      <c r="F2129" t="n">
        <v>532407</v>
      </c>
      <c r="G2129" t="inlineStr">
        <is>
          <t>Physician</t>
        </is>
      </c>
      <c r="H2129" t="inlineStr">
        <is>
          <t>history-of-present-illness</t>
        </is>
      </c>
      <c r="I2129" t="inlineStr">
        <is>
          <t xml:space="preserve">
   CT ab/pelvis was performed in the setting of the Hct drop, showing left
   hip intertrochanteric fracture, a large retroperitoneal mass likely
   from left adrenal gland (non-urgent MR recommended for further
   evaluation), and no retroperitoneal hematoma on preliminary read.</t>
        </is>
      </c>
    </row>
    <row r="2130">
      <c r="A2130" t="inlineStr">
        <is>
          <t>532407-history-of-present-illness-2-4</t>
        </is>
      </c>
      <c r="B2130" t="inlineStr"/>
      <c r="C2130" t="inlineStr"/>
      <c r="D2130">
        <f>HYPERLINK("http://nlpdeep.cs.uic.edu:8080/proofing/t5/532407-history-of-present-illness-2-4.pdf","t5/532407-history-of-present-illness-2-4.pdf")</f>
        <v/>
      </c>
      <c r="E2130" t="n">
        <v>119960</v>
      </c>
      <c r="F2130" t="n">
        <v>532407</v>
      </c>
      <c r="G2130" t="inlineStr">
        <is>
          <t>Physician</t>
        </is>
      </c>
      <c r="H2130" t="inlineStr">
        <is>
          <t>history-of-present-illness</t>
        </is>
      </c>
      <c r="I2130" t="inlineStr">
        <is>
          <t>He
   was found to be guaiac negative.</t>
        </is>
      </c>
    </row>
    <row r="2131">
      <c r="A2131" t="inlineStr">
        <is>
          <t>532407-history-of-present-illness-2-4</t>
        </is>
      </c>
      <c r="B2131" t="inlineStr"/>
      <c r="C2131" t="inlineStr"/>
      <c r="D2131">
        <f>HYPERLINK("http://nlpdeep.cs.uic.edu:8080/proofing/gsii/532407-history-of-present-illness-2-4.pdf","gsii/532407-history-of-present-illness-2-4.pdf")</f>
        <v/>
      </c>
      <c r="E2131" t="n">
        <v>119960</v>
      </c>
      <c r="F2131" t="n">
        <v>532407</v>
      </c>
      <c r="G2131" t="inlineStr">
        <is>
          <t>Physician</t>
        </is>
      </c>
      <c r="H2131" t="inlineStr">
        <is>
          <t>history-of-present-illness</t>
        </is>
      </c>
      <c r="I2131" t="inlineStr">
        <is>
          <t>He
   was found to be guaiac negative.</t>
        </is>
      </c>
    </row>
    <row r="2132">
      <c r="A2132" t="inlineStr">
        <is>
          <t>532407-history-of-present-illness-2-5</t>
        </is>
      </c>
      <c r="B2132" t="inlineStr"/>
      <c r="C2132" t="inlineStr"/>
      <c r="D2132">
        <f>HYPERLINK("http://nlpdeep.cs.uic.edu:8080/proofing/t5/532407-history-of-present-illness-2-5.pdf","t5/532407-history-of-present-illness-2-5.pdf")</f>
        <v/>
      </c>
      <c r="E2132" t="n">
        <v>119960</v>
      </c>
      <c r="F2132" t="n">
        <v>532407</v>
      </c>
      <c r="G2132" t="inlineStr">
        <is>
          <t>Physician</t>
        </is>
      </c>
      <c r="H2132" t="inlineStr">
        <is>
          <t>history-of-present-illness</t>
        </is>
      </c>
      <c r="I2132" t="inlineStr">
        <is>
          <t>He continued with HR in 60s and
   systolics in 90s, received an additional 1L IVF (and a second liter was
   begun prior to transfer), and was typed and crossed for 2 units pRBC.</t>
        </is>
      </c>
    </row>
    <row r="2133">
      <c r="A2133" t="inlineStr">
        <is>
          <t>532407-history-of-present-illness-2-5</t>
        </is>
      </c>
      <c r="B2133" t="inlineStr"/>
      <c r="C2133" t="inlineStr"/>
      <c r="D2133">
        <f>HYPERLINK("http://nlpdeep.cs.uic.edu:8080/proofing/gsii/532407-history-of-present-illness-2-5.pdf","gsii/532407-history-of-present-illness-2-5.pdf")</f>
        <v/>
      </c>
      <c r="E2133" t="n">
        <v>119960</v>
      </c>
      <c r="F2133" t="n">
        <v>532407</v>
      </c>
      <c r="G2133" t="inlineStr">
        <is>
          <t>Physician</t>
        </is>
      </c>
      <c r="H2133" t="inlineStr">
        <is>
          <t>history-of-present-illness</t>
        </is>
      </c>
      <c r="I2133" t="inlineStr">
        <is>
          <t>He continued with HR in 60s and
   systolics in 90s, received an additional 1L IVF (and a second liter was
   begun prior to transfer), and was typed and crossed for 2 units pRBC.</t>
        </is>
      </c>
    </row>
    <row r="2134">
      <c r="A2134" t="inlineStr">
        <is>
          <t>532407-history-of-present-illness-2-6</t>
        </is>
      </c>
      <c r="B2134" t="inlineStr"/>
      <c r="C2134" t="inlineStr"/>
      <c r="D2134">
        <f>HYPERLINK("http://nlpdeep.cs.uic.edu:8080/proofing/t5/532407-history-of-present-illness-2-6.pdf","t5/532407-history-of-present-illness-2-6.pdf")</f>
        <v/>
      </c>
      <c r="E2134" t="n">
        <v>119960</v>
      </c>
      <c r="F2134" t="n">
        <v>532407</v>
      </c>
      <c r="G2134" t="inlineStr">
        <is>
          <t>Physician</t>
        </is>
      </c>
      <c r="H2134" t="inlineStr">
        <is>
          <t>history-of-present-illness</t>
        </is>
      </c>
      <c r="I2134" t="inlineStr">
        <is>
          <t xml:space="preserve">
   CXR showed a retrocardiac opacity and he was given levofloxacin 750 mg
   for empiric pneumonia coverage after a single blood culture was drawn.</t>
        </is>
      </c>
    </row>
    <row r="2135">
      <c r="A2135" t="inlineStr">
        <is>
          <t>532407-history-of-present-illness-2-6</t>
        </is>
      </c>
      <c r="B2135" t="inlineStr"/>
      <c r="C2135" t="inlineStr"/>
      <c r="D2135">
        <f>HYPERLINK("http://nlpdeep.cs.uic.edu:8080/proofing/gsii/532407-history-of-present-illness-2-6.pdf","gsii/532407-history-of-present-illness-2-6.pdf")</f>
        <v/>
      </c>
      <c r="E2135" t="n">
        <v>119960</v>
      </c>
      <c r="F2135" t="n">
        <v>532407</v>
      </c>
      <c r="G2135" t="inlineStr">
        <is>
          <t>Physician</t>
        </is>
      </c>
      <c r="H2135" t="inlineStr">
        <is>
          <t>history-of-present-illness</t>
        </is>
      </c>
      <c r="I2135" t="inlineStr">
        <is>
          <t xml:space="preserve">
   CXR showed a retrocardiac opacity and he was given levofloxacin 750 mg
   for empiric pneumonia coverage after a single blood culture was drawn.</t>
        </is>
      </c>
    </row>
    <row r="2136">
      <c r="A2136" t="inlineStr">
        <is>
          <t>532407-history-of-present-illness-2-7</t>
        </is>
      </c>
      <c r="B2136" t="inlineStr"/>
      <c r="C2136" t="inlineStr"/>
      <c r="D2136">
        <f>HYPERLINK("http://nlpdeep.cs.uic.edu:8080/proofing/t5/532407-history-of-present-illness-2-7.pdf","t5/532407-history-of-present-illness-2-7.pdf")</f>
        <v/>
      </c>
      <c r="E2136" t="n">
        <v>119960</v>
      </c>
      <c r="F2136" t="n">
        <v>532407</v>
      </c>
      <c r="G2136" t="inlineStr">
        <is>
          <t>Physician</t>
        </is>
      </c>
      <c r="H2136" t="inlineStr">
        <is>
          <t>history-of-present-illness</t>
        </is>
      </c>
      <c r="I2136" t="inlineStr">
        <is>
          <t xml:space="preserve">
   A Foley was placed.</t>
        </is>
      </c>
    </row>
    <row r="2137">
      <c r="A2137" t="inlineStr">
        <is>
          <t>532407-history-of-present-illness-2-7</t>
        </is>
      </c>
      <c r="B2137" t="inlineStr"/>
      <c r="C2137" t="inlineStr"/>
      <c r="D2137">
        <f>HYPERLINK("http://nlpdeep.cs.uic.edu:8080/proofing/gsii/532407-history-of-present-illness-2-7.pdf","gsii/532407-history-of-present-illness-2-7.pdf")</f>
        <v/>
      </c>
      <c r="E2137" t="n">
        <v>119960</v>
      </c>
      <c r="F2137" t="n">
        <v>532407</v>
      </c>
      <c r="G2137" t="inlineStr">
        <is>
          <t>Physician</t>
        </is>
      </c>
      <c r="H2137" t="inlineStr">
        <is>
          <t>history-of-present-illness</t>
        </is>
      </c>
      <c r="I2137" t="inlineStr">
        <is>
          <t xml:space="preserve">
   A Foley was placed.</t>
        </is>
      </c>
    </row>
    <row r="2138">
      <c r="A2138" t="inlineStr">
        <is>
          <t>532407-history-of-present-illness-2-8</t>
        </is>
      </c>
      <c r="B2138" t="inlineStr"/>
      <c r="C2138" t="inlineStr"/>
      <c r="D2138">
        <f>HYPERLINK("http://nlpdeep.cs.uic.edu:8080/proofing/t5/532407-history-of-present-illness-2-8.pdf","t5/532407-history-of-present-illness-2-8.pdf")</f>
        <v/>
      </c>
      <c r="E2138" t="n">
        <v>119960</v>
      </c>
      <c r="F2138" t="n">
        <v>532407</v>
      </c>
      <c r="G2138" t="inlineStr">
        <is>
          <t>Physician</t>
        </is>
      </c>
      <c r="H2138" t="inlineStr">
        <is>
          <t>history-of-present-illness</t>
        </is>
      </c>
      <c r="I2138" t="inlineStr">
        <is>
          <t>Transfer vitals in the ED were HR 64, RR19 100% on
   4L (desatted after NS to low 90s), 88/48.</t>
        </is>
      </c>
    </row>
    <row r="2139">
      <c r="A2139" t="inlineStr">
        <is>
          <t>532407-history-of-present-illness-2-8</t>
        </is>
      </c>
      <c r="B2139" t="inlineStr"/>
      <c r="C2139" t="inlineStr"/>
      <c r="D2139">
        <f>HYPERLINK("http://nlpdeep.cs.uic.edu:8080/proofing/gsii/532407-history-of-present-illness-2-8.pdf","gsii/532407-history-of-present-illness-2-8.pdf")</f>
        <v/>
      </c>
      <c r="E2139" t="n">
        <v>119960</v>
      </c>
      <c r="F2139" t="n">
        <v>532407</v>
      </c>
      <c r="G2139" t="inlineStr">
        <is>
          <t>Physician</t>
        </is>
      </c>
      <c r="H2139" t="inlineStr">
        <is>
          <t>history-of-present-illness</t>
        </is>
      </c>
      <c r="I2139" t="inlineStr">
        <is>
          <t>Transfer vitals in the ED were HR 64, RR19 100% on
   4L (desatted after NS to low 90s), 88/48.</t>
        </is>
      </c>
    </row>
    <row r="2140">
      <c r="A2140" t="inlineStr">
        <is>
          <t>532407-history-of-present-illness-3-0</t>
        </is>
      </c>
      <c r="B2140" t="inlineStr"/>
      <c r="C2140" t="inlineStr"/>
      <c r="D2140">
        <f>HYPERLINK("http://nlpdeep.cs.uic.edu:8080/proofing/t5/532407-history-of-present-illness-3-0.pdf","t5/532407-history-of-present-illness-3-0.pdf")</f>
        <v/>
      </c>
      <c r="E2140" t="n">
        <v>119960</v>
      </c>
      <c r="F2140" t="n">
        <v>532407</v>
      </c>
      <c r="G2140" t="inlineStr">
        <is>
          <t>Physician</t>
        </is>
      </c>
      <c r="H2140" t="inlineStr">
        <is>
          <t>history-of-present-illness</t>
        </is>
      </c>
      <c r="I2140" t="inlineStr">
        <is>
          <t xml:space="preserve">
   The patient was admitted to the MICU, where initial vitals were HR 69
   BP 102/63-120/75, RR 32-20, SpO2 100% on 1L NC.</t>
        </is>
      </c>
    </row>
    <row r="2141">
      <c r="A2141" t="inlineStr">
        <is>
          <t>532407-history-of-present-illness-3-0</t>
        </is>
      </c>
      <c r="B2141" t="inlineStr"/>
      <c r="C2141" t="inlineStr"/>
      <c r="D2141">
        <f>HYPERLINK("http://nlpdeep.cs.uic.edu:8080/proofing/gsii/532407-history-of-present-illness-3-0.pdf","gsii/532407-history-of-present-illness-3-0.pdf")</f>
        <v/>
      </c>
      <c r="E2141" t="n">
        <v>119960</v>
      </c>
      <c r="F2141" t="n">
        <v>532407</v>
      </c>
      <c r="G2141" t="inlineStr">
        <is>
          <t>Physician</t>
        </is>
      </c>
      <c r="H2141" t="inlineStr">
        <is>
          <t>history-of-present-illness</t>
        </is>
      </c>
      <c r="I2141" t="inlineStr">
        <is>
          <t xml:space="preserve">
   The patient was admitted to the MICU, where initial vitals were HR 69
   BP 102/63-120/75, RR 32-20, SpO2 100% on 1L NC.</t>
        </is>
      </c>
    </row>
    <row r="2142">
      <c r="A2142" t="inlineStr">
        <is>
          <t>532407-history-of-present-illness-4-0</t>
        </is>
      </c>
      <c r="B2142" t="inlineStr"/>
      <c r="C2142" t="inlineStr"/>
      <c r="D2142">
        <f>HYPERLINK("http://nlpdeep.cs.uic.edu:8080/proofing/t5/532407-history-of-present-illness-4-0.pdf","t5/532407-history-of-present-illness-4-0.pdf")</f>
        <v/>
      </c>
      <c r="E2142" t="n">
        <v>119960</v>
      </c>
      <c r="F2142" t="n">
        <v>532407</v>
      </c>
      <c r="G2142" t="inlineStr">
        <is>
          <t>Physician</t>
        </is>
      </c>
      <c r="H2142" t="inlineStr">
        <is>
          <t>history-of-present-illness</t>
        </is>
      </c>
      <c r="I2142" t="inlineStr">
        <is>
          <t xml:space="preserve">
   On ROS, the patient denies any LOC, dizziness/lightheadedness, recent
   diarrhea (though had diarrhea in prior admission).</t>
        </is>
      </c>
    </row>
    <row r="2143">
      <c r="A2143" t="inlineStr">
        <is>
          <t>532407-history-of-present-illness-4-0</t>
        </is>
      </c>
      <c r="B2143" t="inlineStr"/>
      <c r="C2143" t="inlineStr"/>
      <c r="D2143">
        <f>HYPERLINK("http://nlpdeep.cs.uic.edu:8080/proofing/gsii/532407-history-of-present-illness-4-0.pdf","gsii/532407-history-of-present-illness-4-0.pdf")</f>
        <v/>
      </c>
      <c r="E2143" t="n">
        <v>119960</v>
      </c>
      <c r="F2143" t="n">
        <v>532407</v>
      </c>
      <c r="G2143" t="inlineStr">
        <is>
          <t>Physician</t>
        </is>
      </c>
      <c r="H2143" t="inlineStr">
        <is>
          <t>history-of-present-illness</t>
        </is>
      </c>
      <c r="I2143" t="inlineStr">
        <is>
          <t xml:space="preserve">
   On ROS, the patient denies any LOC, dizziness/lightheadedness, recent
   diarrhea (though had diarrhea in prior admission).</t>
        </is>
      </c>
    </row>
    <row r="2144">
      <c r="A2144" t="inlineStr">
        <is>
          <t>532407-history-of-present-illness-4-1</t>
        </is>
      </c>
      <c r="B2144" t="inlineStr"/>
      <c r="C2144" t="inlineStr"/>
      <c r="D2144">
        <f>HYPERLINK("http://nlpdeep.cs.uic.edu:8080/proofing/t5/532407-history-of-present-illness-4-1.pdf","t5/532407-history-of-present-illness-4-1.pdf")</f>
        <v/>
      </c>
      <c r="E2144" t="n">
        <v>119960</v>
      </c>
      <c r="F2144" t="n">
        <v>532407</v>
      </c>
      <c r="G2144" t="inlineStr">
        <is>
          <t>Physician</t>
        </is>
      </c>
      <c r="H2144" t="inlineStr">
        <is>
          <t>history-of-present-illness</t>
        </is>
      </c>
      <c r="I2144" t="inlineStr">
        <is>
          <t>+cough with small
   amounts of yellowish sputum but not in past few days.</t>
        </is>
      </c>
    </row>
    <row r="2145">
      <c r="A2145" t="inlineStr">
        <is>
          <t>532407-history-of-present-illness-4-1</t>
        </is>
      </c>
      <c r="B2145" t="inlineStr"/>
      <c r="C2145" t="inlineStr"/>
      <c r="D2145">
        <f>HYPERLINK("http://nlpdeep.cs.uic.edu:8080/proofing/gsii/532407-history-of-present-illness-4-1.pdf","gsii/532407-history-of-present-illness-4-1.pdf")</f>
        <v/>
      </c>
      <c r="E2145" t="n">
        <v>119960</v>
      </c>
      <c r="F2145" t="n">
        <v>532407</v>
      </c>
      <c r="G2145" t="inlineStr">
        <is>
          <t>Physician</t>
        </is>
      </c>
      <c r="H2145" t="inlineStr">
        <is>
          <t>history-of-present-illness</t>
        </is>
      </c>
      <c r="I2145" t="inlineStr">
        <is>
          <t>+cough with small
   amounts of yellowish sputum but not in past few days.</t>
        </is>
      </c>
    </row>
    <row r="2146">
      <c r="A2146" t="inlineStr">
        <is>
          <t>532407-history-of-present-illness-4-2</t>
        </is>
      </c>
      <c r="B2146" t="inlineStr"/>
      <c r="C2146" t="inlineStr"/>
      <c r="D2146">
        <f>HYPERLINK("http://nlpdeep.cs.uic.edu:8080/proofing/t5/532407-history-of-present-illness-4-2.pdf","t5/532407-history-of-present-illness-4-2.pdf")</f>
        <v/>
      </c>
      <c r="E2146" t="n">
        <v>119960</v>
      </c>
      <c r="F2146" t="n">
        <v>532407</v>
      </c>
      <c r="G2146" t="inlineStr">
        <is>
          <t>Physician</t>
        </is>
      </c>
      <c r="H2146" t="inlineStr">
        <is>
          <t>history-of-present-illness</t>
        </is>
      </c>
      <c r="I2146" t="inlineStr">
        <is>
          <t>Patient admitted from: [**Hospital1 19**] ER
   History obtained from Patient, Family / F</t>
        </is>
      </c>
    </row>
    <row r="2147">
      <c r="A2147" t="inlineStr">
        <is>
          <t>532407-history-of-present-illness-4-2</t>
        </is>
      </c>
      <c r="B2147" t="inlineStr"/>
      <c r="C2147" t="inlineStr"/>
      <c r="D2147">
        <f>HYPERLINK("http://nlpdeep.cs.uic.edu:8080/proofing/gsii/532407-history-of-present-illness-4-2.pdf","gsii/532407-history-of-present-illness-4-2.pdf")</f>
        <v/>
      </c>
      <c r="E2147" t="n">
        <v>119960</v>
      </c>
      <c r="F2147" t="n">
        <v>532407</v>
      </c>
      <c r="G2147" t="inlineStr">
        <is>
          <t>Physician</t>
        </is>
      </c>
      <c r="H2147" t="inlineStr">
        <is>
          <t>history-of-present-illness</t>
        </is>
      </c>
      <c r="I2147" t="inlineStr">
        <is>
          <t>Patient admitted from: [**Hospital1 19**] ER
   History obtained from Patient, Family / F</t>
        </is>
      </c>
    </row>
    <row r="2148">
      <c r="A2148" t="inlineStr">
        <is>
          <t>532407-allergies-0-0</t>
        </is>
      </c>
      <c r="B2148" t="inlineStr"/>
      <c r="C2148" t="inlineStr"/>
      <c r="D2148">
        <f>HYPERLINK("http://nlpdeep.cs.uic.edu:8080/proofing/t5/532407-allergies-0-0.pdf","t5/532407-allergies-0-0.pdf")</f>
        <v/>
      </c>
      <c r="E2148" t="n">
        <v>119960</v>
      </c>
      <c r="F2148" t="n">
        <v>532407</v>
      </c>
      <c r="G2148" t="inlineStr">
        <is>
          <t>Physician</t>
        </is>
      </c>
      <c r="H2148" t="inlineStr">
        <is>
          <t>allergies</t>
        </is>
      </c>
      <c r="I2148" t="inlineStr">
        <is>
          <t>Quinidine
   fever;
   Propranolol
   Aggitation;</t>
        </is>
      </c>
    </row>
    <row r="2149">
      <c r="A2149" t="inlineStr">
        <is>
          <t>532407-allergies-0-0</t>
        </is>
      </c>
      <c r="B2149" t="inlineStr"/>
      <c r="C2149" t="inlineStr"/>
      <c r="D2149">
        <f>HYPERLINK("http://nlpdeep.cs.uic.edu:8080/proofing/gsii/532407-allergies-0-0.pdf","gsii/532407-allergies-0-0.pdf")</f>
        <v/>
      </c>
      <c r="E2149" t="n">
        <v>119960</v>
      </c>
      <c r="F2149" t="n">
        <v>532407</v>
      </c>
      <c r="G2149" t="inlineStr">
        <is>
          <t>Physician</t>
        </is>
      </c>
      <c r="H2149" t="inlineStr">
        <is>
          <t>allergies</t>
        </is>
      </c>
      <c r="I2149" t="inlineStr">
        <is>
          <t>Quinidine
   fever;
   Propranolol
   Aggitation;</t>
        </is>
      </c>
    </row>
    <row r="2150">
      <c r="A2150" t="inlineStr">
        <is>
          <t>532407-other-medications-0-0</t>
        </is>
      </c>
      <c r="B2150" t="inlineStr"/>
      <c r="C2150" t="inlineStr"/>
      <c r="D2150">
        <f>HYPERLINK("http://nlpdeep.cs.uic.edu:8080/proofing/t5/532407-other-medications-0-0.pdf","t5/532407-other-medications-0-0.pdf")</f>
        <v/>
      </c>
      <c r="E2150" t="n">
        <v>119960</v>
      </c>
      <c r="F2150" t="n">
        <v>532407</v>
      </c>
      <c r="G2150" t="inlineStr">
        <is>
          <t>Physician</t>
        </is>
      </c>
      <c r="H2150" t="inlineStr">
        <is>
          <t>other-medications</t>
        </is>
      </c>
      <c r="I2150" t="inlineStr">
        <is>
          <t>Morphine Sulfate - [**2141-4-6**] 09:30 PM
   Other medications:
   Meds from rehab:
   -Vicodin 5/500 2 tabs qd
   -Pantoprazole 40 mg Tablet qd
   -Vancomycin 125 mg PO Q6H; taper as follows:
        [**Date range (1) 14476**] 125mg Q6H;
        [**Date range (1) 14477**] 125mg Q12H;
        [**Date range (1) 14478**] 125mg daily;
        [**Date range (1) 14479**] 125mg; every other day
        [**Date range (1) 14480**] 125mg; every third day; then stop.</t>
        </is>
      </c>
    </row>
    <row r="2151">
      <c r="A2151" t="inlineStr">
        <is>
          <t>532407-other-medications-0-0</t>
        </is>
      </c>
      <c r="B2151" t="inlineStr"/>
      <c r="C2151" t="inlineStr"/>
      <c r="D2151">
        <f>HYPERLINK("http://nlpdeep.cs.uic.edu:8080/proofing/gsii/532407-other-medications-0-0.pdf","gsii/532407-other-medications-0-0.pdf")</f>
        <v/>
      </c>
      <c r="E2151" t="n">
        <v>119960</v>
      </c>
      <c r="F2151" t="n">
        <v>532407</v>
      </c>
      <c r="G2151" t="inlineStr">
        <is>
          <t>Physician</t>
        </is>
      </c>
      <c r="H2151" t="inlineStr">
        <is>
          <t>other-medications</t>
        </is>
      </c>
      <c r="I2151" t="inlineStr">
        <is>
          <t>Morphine Sulfate - [**2141-4-6**] 09:30 PM
   Other medications:
   Meds from rehab:
   -Vicodin 5/500 2 tabs qd
   -Pantoprazole 40 mg Tablet qd
   -Vancomycin 125 mg PO Q6H; taper as follows:
        [**Date range (1) 14476**] 125mg Q6H;
        [**Date range (1) 14477**] 125mg Q12H;
        [**Date range (1) 14478**] 125mg daily;
        [**Date range (1) 14479**] 125mg; every other day
        [**Date range (1) 14480**] 125mg; every third day; then stop.</t>
        </is>
      </c>
    </row>
    <row r="2152">
      <c r="A2152" t="inlineStr">
        <is>
          <t>532407-other-medications-0-1</t>
        </is>
      </c>
      <c r="B2152" t="inlineStr"/>
      <c r="C2152" t="inlineStr"/>
      <c r="D2152">
        <f>HYPERLINK("http://nlpdeep.cs.uic.edu:8080/proofing/t5/532407-other-medications-0-1.pdf","t5/532407-other-medications-0-1.pdf")</f>
        <v/>
      </c>
      <c r="E2152" t="n">
        <v>119960</v>
      </c>
      <c r="F2152" t="n">
        <v>532407</v>
      </c>
      <c r="G2152" t="inlineStr">
        <is>
          <t>Physician</t>
        </is>
      </c>
      <c r="H2152" t="inlineStr">
        <is>
          <t>other-medications</t>
        </is>
      </c>
      <c r="I2152" t="inlineStr">
        <is>
          <t xml:space="preserve">
   -Ativan 0.125 mg tid prn
   -Ammonium Lactate 12% Lotion Topical [**Hospital1 7**]
   -Ipratropium Bromide 0.5 mg Neb Inhalation Q6H PRN SOB/Wheezing.</t>
        </is>
      </c>
    </row>
    <row r="2153">
      <c r="A2153" t="inlineStr">
        <is>
          <t>532407-other-medications-0-1</t>
        </is>
      </c>
      <c r="B2153" t="inlineStr"/>
      <c r="C2153" t="inlineStr"/>
      <c r="D2153">
        <f>HYPERLINK("http://nlpdeep.cs.uic.edu:8080/proofing/gsii/532407-other-medications-0-1.pdf","gsii/532407-other-medications-0-1.pdf")</f>
        <v/>
      </c>
      <c r="E2153" t="n">
        <v>119960</v>
      </c>
      <c r="F2153" t="n">
        <v>532407</v>
      </c>
      <c r="G2153" t="inlineStr">
        <is>
          <t>Physician</t>
        </is>
      </c>
      <c r="H2153" t="inlineStr">
        <is>
          <t>other-medications</t>
        </is>
      </c>
      <c r="I2153" t="inlineStr">
        <is>
          <t xml:space="preserve">
   -Ativan 0.125 mg tid prn
   -Ammonium Lactate 12% Lotion Topical [**Hospital1 7**]
   -Ipratropium Bromide 0.5 mg Neb Inhalation Q6H PRN SOB/Wheezing.</t>
        </is>
      </c>
    </row>
    <row r="2154">
      <c r="A2154" t="inlineStr">
        <is>
          <t>532407-other-medications-0-2</t>
        </is>
      </c>
      <c r="B2154" t="inlineStr"/>
      <c r="C2154" t="inlineStr"/>
      <c r="D2154">
        <f>HYPERLINK("http://nlpdeep.cs.uic.edu:8080/proofing/t5/532407-other-medications-0-2.pdf","t5/532407-other-medications-0-2.pdf")</f>
        <v/>
      </c>
      <c r="E2154" t="n">
        <v>119960</v>
      </c>
      <c r="F2154" t="n">
        <v>532407</v>
      </c>
      <c r="G2154" t="inlineStr">
        <is>
          <t>Physician</t>
        </is>
      </c>
      <c r="H2154" t="inlineStr">
        <is>
          <t>other-medications</t>
        </is>
      </c>
      <c r="I2154" t="inlineStr">
        <is>
          <t xml:space="preserve">
   -Torsemide 40 mg PO BID (if weight &gt; 160lbs, increase to 80mg in the
   morning and 40mg at night; if weight &lt; 145lbs, decrease torsemide to
   40mg daily)
   -Spironolactone 25 mg Tablet PO DAILY
   -Metoprolol Tartrate 12.5 mg PO BID
   -Simvastatin 40 mg PO qpm
   -Ergocalciferol (Vitamin D2) 5,000 unit po weekly
   -Bisacodyl suppository 10 mg qd prn
   -Senna qd prn
   -Aspirin 81 mg po qd
   -Acetaminophen 325 mg 1-2 Tablets PO Q4H prn pain / fever.</t>
        </is>
      </c>
    </row>
    <row r="2155">
      <c r="A2155" t="inlineStr">
        <is>
          <t>532407-other-medications-0-2</t>
        </is>
      </c>
      <c r="B2155" t="inlineStr"/>
      <c r="C2155" t="inlineStr"/>
      <c r="D2155">
        <f>HYPERLINK("http://nlpdeep.cs.uic.edu:8080/proofing/gsii/532407-other-medications-0-2.pdf","gsii/532407-other-medications-0-2.pdf")</f>
        <v/>
      </c>
      <c r="E2155" t="n">
        <v>119960</v>
      </c>
      <c r="F2155" t="n">
        <v>532407</v>
      </c>
      <c r="G2155" t="inlineStr">
        <is>
          <t>Physician</t>
        </is>
      </c>
      <c r="H2155" t="inlineStr">
        <is>
          <t>other-medications</t>
        </is>
      </c>
      <c r="I2155" t="inlineStr">
        <is>
          <t xml:space="preserve">
   -Torsemide 40 mg PO BID (if weight &gt; 160lbs, increase to 80mg in the
   morning and 40mg at night; if weight &lt; 145lbs, decrease torsemide to
   40mg daily)
   -Spironolactone 25 mg Tablet PO DAILY
   -Metoprolol Tartrate 12.5 mg PO BID
   -Simvastatin 40 mg PO qpm
   -Ergocalciferol (Vitamin D2) 5,000 unit po weekly
   -Bisacodyl suppository 10 mg qd prn
   -Senna qd prn
   -Aspirin 81 mg po qd
   -Acetaminophen 325 mg 1-2 Tablets PO Q4H prn pain / fever.</t>
        </is>
      </c>
    </row>
    <row r="2156">
      <c r="A2156" t="inlineStr">
        <is>
          <t>532407-other-medications-0-3</t>
        </is>
      </c>
      <c r="B2156" t="inlineStr"/>
      <c r="C2156" t="inlineStr"/>
      <c r="D2156">
        <f>HYPERLINK("http://nlpdeep.cs.uic.edu:8080/proofing/t5/532407-other-medications-0-3.pdf","t5/532407-other-medications-0-3.pdf")</f>
        <v/>
      </c>
      <c r="E2156" t="n">
        <v>119960</v>
      </c>
      <c r="F2156" t="n">
        <v>532407</v>
      </c>
      <c r="G2156" t="inlineStr">
        <is>
          <t>Physician</t>
        </is>
      </c>
      <c r="H2156" t="inlineStr">
        <is>
          <t>other-medications</t>
        </is>
      </c>
      <c r="I2156" t="inlineStr">
        <is>
          <t>-Tums [**Hospital1 **]
   -Cadexomer iodine topical gel q3d topical
   -Dextromethorphan-Guaifenesin 30 mg q12hr p</t>
        </is>
      </c>
    </row>
    <row r="2157">
      <c r="A2157" t="inlineStr">
        <is>
          <t>532407-other-medications-0-3</t>
        </is>
      </c>
      <c r="B2157" t="inlineStr"/>
      <c r="C2157" t="inlineStr"/>
      <c r="D2157">
        <f>HYPERLINK("http://nlpdeep.cs.uic.edu:8080/proofing/gsii/532407-other-medications-0-3.pdf","gsii/532407-other-medications-0-3.pdf")</f>
        <v/>
      </c>
      <c r="E2157" t="n">
        <v>119960</v>
      </c>
      <c r="F2157" t="n">
        <v>532407</v>
      </c>
      <c r="G2157" t="inlineStr">
        <is>
          <t>Physician</t>
        </is>
      </c>
      <c r="H2157" t="inlineStr">
        <is>
          <t>other-medications</t>
        </is>
      </c>
      <c r="I2157" t="inlineStr">
        <is>
          <t>-Tums [**Hospital1 **]
   -Cadexomer iodine topical gel q3d topical
   -Dextromethorphan-Guaifenesin 30 mg q12hr p</t>
        </is>
      </c>
    </row>
    <row r="2158">
      <c r="A2158" t="inlineStr">
        <is>
          <t>532407-past-medical-history-0-0</t>
        </is>
      </c>
      <c r="B2158" t="inlineStr"/>
      <c r="C2158" t="inlineStr"/>
      <c r="D2158">
        <f>HYPERLINK("http://nlpdeep.cs.uic.edu:8080/proofing/t5/532407-past-medical-history-0-0.pdf","t5/532407-past-medical-history-0-0.pdf")</f>
        <v/>
      </c>
      <c r="E2158" t="n">
        <v>119960</v>
      </c>
      <c r="F2158" t="n">
        <v>532407</v>
      </c>
      <c r="G2158" t="inlineStr">
        <is>
          <t>Physician</t>
        </is>
      </c>
      <c r="H2158" t="inlineStr">
        <is>
          <t>past-medical-history</t>
        </is>
      </c>
      <c r="I2158" t="inlineStr">
        <is>
          <t>-CHF with preserved LVEF (65% 1/10), thought to have L HF leading to R
   HF without primary pulm HTN
   -Chronic Afib, not on warfarin given recent UGIB ([**2-8**])
   -Pulmonary artery HTN (30mmHg + RA [**11-6**])
   -Mild MR, mod TR, mild AI, mild AS (peak 25 mmHg [**11-6**])
   -Mild ascending aortic dilatation (3.7 cm)
   -Left ventricular hypertrophy
   -Prostate enlargement (followed by Dr.</t>
        </is>
      </c>
    </row>
    <row r="2159">
      <c r="A2159" t="inlineStr">
        <is>
          <t>532407-past-medical-history-0-0</t>
        </is>
      </c>
      <c r="B2159" t="inlineStr"/>
      <c r="C2159" t="inlineStr"/>
      <c r="D2159">
        <f>HYPERLINK("http://nlpdeep.cs.uic.edu:8080/proofing/gsii/532407-past-medical-history-0-0.pdf","gsii/532407-past-medical-history-0-0.pdf")</f>
        <v/>
      </c>
      <c r="E2159" t="n">
        <v>119960</v>
      </c>
      <c r="F2159" t="n">
        <v>532407</v>
      </c>
      <c r="G2159" t="inlineStr">
        <is>
          <t>Physician</t>
        </is>
      </c>
      <c r="H2159" t="inlineStr">
        <is>
          <t>past-medical-history</t>
        </is>
      </c>
      <c r="I2159" t="inlineStr">
        <is>
          <t>-CHF with preserved LVEF (65% 1/10), thought to have L HF leading to R
   HF without primary pulm HTN
   -Chronic Afib, not on warfarin given recent UGIB ([**2-8**])
   -Pulmonary artery HTN (30mmHg + RA [**11-6**])
   -Mild MR, mod TR, mild AI, mild AS (peak 25 mmHg [**11-6**])
   -Mild ascending aortic dilatation (3.7 cm)
   -Left ventricular hypertrophy
   -Prostate enlargement (followed by Dr.</t>
        </is>
      </c>
    </row>
    <row r="2160">
      <c r="A2160" t="inlineStr">
        <is>
          <t>532407-past-medical-history-0-1</t>
        </is>
      </c>
      <c r="B2160" t="inlineStr"/>
      <c r="C2160" t="inlineStr"/>
      <c r="D2160">
        <f>HYPERLINK("http://nlpdeep.cs.uic.edu:8080/proofing/t5/532407-past-medical-history-0-1.pdf","t5/532407-past-medical-history-0-1.pdf")</f>
        <v/>
      </c>
      <c r="E2160" t="n">
        <v>119960</v>
      </c>
      <c r="F2160" t="n">
        <v>532407</v>
      </c>
      <c r="G2160" t="inlineStr">
        <is>
          <t>Physician</t>
        </is>
      </c>
      <c r="H2160" t="inlineStr">
        <is>
          <t>past-medical-history</t>
        </is>
      </c>
      <c r="I2160" t="inlineStr">
        <is>
          <t>[**Last Name (STitle) **] [**Last Name (STitle) **])
   -Hypertension
   -Hypercholesterolemia
   -Severe essential tremor, since [**2076**] (WWII)
   -Venous stasis, followed by Dr.</t>
        </is>
      </c>
    </row>
    <row r="2161">
      <c r="A2161" t="inlineStr">
        <is>
          <t>532407-past-medical-history-0-1</t>
        </is>
      </c>
      <c r="B2161" t="inlineStr"/>
      <c r="C2161" t="inlineStr"/>
      <c r="D2161">
        <f>HYPERLINK("http://nlpdeep.cs.uic.edu:8080/proofing/gsii/532407-past-medical-history-0-1.pdf","gsii/532407-past-medical-history-0-1.pdf")</f>
        <v/>
      </c>
      <c r="E2161" t="n">
        <v>119960</v>
      </c>
      <c r="F2161" t="n">
        <v>532407</v>
      </c>
      <c r="G2161" t="inlineStr">
        <is>
          <t>Physician</t>
        </is>
      </c>
      <c r="H2161" t="inlineStr">
        <is>
          <t>past-medical-history</t>
        </is>
      </c>
      <c r="I2161" t="inlineStr">
        <is>
          <t>[**Last Name (STitle) **] [**Last Name (STitle) **])
   -Hypertension
   -Hypercholesterolemia
   -Severe essential tremor, since [**2076**] (WWII)
   -Venous stasis, followed by Dr.</t>
        </is>
      </c>
    </row>
    <row r="2162">
      <c r="A2162" t="inlineStr">
        <is>
          <t>532407-past-medical-history-0-2</t>
        </is>
      </c>
      <c r="B2162" t="inlineStr"/>
      <c r="C2162" t="inlineStr"/>
      <c r="D2162">
        <f>HYPERLINK("http://nlpdeep.cs.uic.edu:8080/proofing/t5/532407-past-medical-history-0-2.pdf","t5/532407-past-medical-history-0-2.pdf")</f>
        <v/>
      </c>
      <c r="E2162" t="n">
        <v>119960</v>
      </c>
      <c r="F2162" t="n">
        <v>532407</v>
      </c>
      <c r="G2162" t="inlineStr">
        <is>
          <t>Physician</t>
        </is>
      </c>
      <c r="H2162" t="inlineStr">
        <is>
          <t>past-medical-history</t>
        </is>
      </c>
      <c r="I2162" t="inlineStr">
        <is>
          <t>[**Last Name (STitle) 14061**]
   [**Name (STitle) 14062**] hernia repair
   -Anemia, multifactorial (chronic illness, CKD, recent GIB)
   -Hemorrhoid repair
   -History of MRSA cellulitis ([**2-7**])
   -Chronic Renal Failure [**1-31**] poor forward flow from CHF: Stage IV with
   eGFR of 24 ml/min (MDRD).</t>
        </is>
      </c>
    </row>
    <row r="2163">
      <c r="A2163" t="inlineStr">
        <is>
          <t>532407-past-medical-history-0-2</t>
        </is>
      </c>
      <c r="B2163" t="inlineStr"/>
      <c r="C2163" t="inlineStr"/>
      <c r="D2163">
        <f>HYPERLINK("http://nlpdeep.cs.uic.edu:8080/proofing/gsii/532407-past-medical-history-0-2.pdf","gsii/532407-past-medical-history-0-2.pdf")</f>
        <v/>
      </c>
      <c r="E2163" t="n">
        <v>119960</v>
      </c>
      <c r="F2163" t="n">
        <v>532407</v>
      </c>
      <c r="G2163" t="inlineStr">
        <is>
          <t>Physician</t>
        </is>
      </c>
      <c r="H2163" t="inlineStr">
        <is>
          <t>past-medical-history</t>
        </is>
      </c>
      <c r="I2163" t="inlineStr">
        <is>
          <t>[**Last Name (STitle) 14061**]
   [**Name (STitle) 14062**] hernia repair
   -Anemia, multifactorial (chronic illness, CKD, recent GIB)
   -Hemorrhoid repair
   -History of MRSA cellulitis ([**2-7**])
   -Chronic Renal Failure [**1-31**] poor forward flow from CHF: Stage IV with
   eGFR of 24 ml/min (MDRD).</t>
        </is>
      </c>
    </row>
    <row r="2164">
      <c r="A2164" t="inlineStr">
        <is>
          <t>532407-past-medical-history-0-3</t>
        </is>
      </c>
      <c r="B2164" t="inlineStr"/>
      <c r="C2164" t="inlineStr"/>
      <c r="D2164">
        <f>HYPERLINK("http://nlpdeep.cs.uic.edu:8080/proofing/t5/532407-past-medical-history-0-3.pdf","t5/532407-past-medical-history-0-3.pdf")</f>
        <v/>
      </c>
      <c r="E2164" t="n">
        <v>119960</v>
      </c>
      <c r="F2164" t="n">
        <v>532407</v>
      </c>
      <c r="G2164" t="inlineStr">
        <is>
          <t>Physician</t>
        </is>
      </c>
      <c r="H2164" t="inlineStr">
        <is>
          <t>past-medical-history</t>
        </is>
      </c>
      <c r="I2164" t="inlineStr">
        <is>
          <t>Near dialysis.</t>
        </is>
      </c>
    </row>
    <row r="2165">
      <c r="A2165" t="inlineStr">
        <is>
          <t>532407-past-medical-history-0-3</t>
        </is>
      </c>
      <c r="B2165" t="inlineStr"/>
      <c r="C2165" t="inlineStr"/>
      <c r="D2165">
        <f>HYPERLINK("http://nlpdeep.cs.uic.edu:8080/proofing/gsii/532407-past-medical-history-0-3.pdf","gsii/532407-past-medical-history-0-3.pdf")</f>
        <v/>
      </c>
      <c r="E2165" t="n">
        <v>119960</v>
      </c>
      <c r="F2165" t="n">
        <v>532407</v>
      </c>
      <c r="G2165" t="inlineStr">
        <is>
          <t>Physician</t>
        </is>
      </c>
      <c r="H2165" t="inlineStr">
        <is>
          <t>past-medical-history</t>
        </is>
      </c>
      <c r="I2165" t="inlineStr">
        <is>
          <t>Near dialysis.</t>
        </is>
      </c>
    </row>
    <row r="2166">
      <c r="A2166" t="inlineStr">
        <is>
          <t>532407-past-medical-history-0-4</t>
        </is>
      </c>
      <c r="B2166" t="inlineStr"/>
      <c r="C2166" t="inlineStr"/>
      <c r="D2166">
        <f>HYPERLINK("http://nlpdeep.cs.uic.edu:8080/proofing/t5/532407-past-medical-history-0-4.pdf","t5/532407-past-medical-history-0-4.pdf")</f>
        <v/>
      </c>
      <c r="E2166" t="n">
        <v>119960</v>
      </c>
      <c r="F2166" t="n">
        <v>532407</v>
      </c>
      <c r="G2166" t="inlineStr">
        <is>
          <t>Physician</t>
        </is>
      </c>
      <c r="H2166" t="inlineStr">
        <is>
          <t>past-medical-history</t>
        </is>
      </c>
      <c r="I2166" t="inlineStr">
        <is>
          <t xml:space="preserve">
   -Left foot abscess s/p I&amp;D
   -C.</t>
        </is>
      </c>
    </row>
    <row r="2167">
      <c r="A2167" t="inlineStr">
        <is>
          <t>532407-past-medical-history-0-4</t>
        </is>
      </c>
      <c r="B2167" t="inlineStr"/>
      <c r="C2167" t="inlineStr"/>
      <c r="D2167">
        <f>HYPERLINK("http://nlpdeep.cs.uic.edu:8080/proofing/gsii/532407-past-medical-history-0-4.pdf","gsii/532407-past-medical-history-0-4.pdf")</f>
        <v/>
      </c>
      <c r="E2167" t="n">
        <v>119960</v>
      </c>
      <c r="F2167" t="n">
        <v>532407</v>
      </c>
      <c r="G2167" t="inlineStr">
        <is>
          <t>Physician</t>
        </is>
      </c>
      <c r="H2167" t="inlineStr">
        <is>
          <t>past-medical-history</t>
        </is>
      </c>
      <c r="I2167" t="inlineStr">
        <is>
          <t xml:space="preserve">
   -Left foot abscess s/p I&amp;D
   -C.</t>
        </is>
      </c>
    </row>
    <row r="2168">
      <c r="A2168" t="inlineStr">
        <is>
          <t>532407-past-medical-history-0-5</t>
        </is>
      </c>
      <c r="B2168" t="inlineStr"/>
      <c r="C2168" t="inlineStr"/>
      <c r="D2168">
        <f>HYPERLINK("http://nlpdeep.cs.uic.edu:8080/proofing/t5/532407-past-medical-history-0-5.pdf","t5/532407-past-medical-history-0-5.pdf")</f>
        <v/>
      </c>
      <c r="E2168" t="n">
        <v>119960</v>
      </c>
      <c r="F2168" t="n">
        <v>532407</v>
      </c>
      <c r="G2168" t="inlineStr">
        <is>
          <t>Physician</t>
        </is>
      </c>
      <c r="H2168" t="inlineStr">
        <is>
          <t>past-medical-history</t>
        </is>
      </c>
      <c r="I2168" t="inlineStr"/>
    </row>
    <row r="2169">
      <c r="A2169" t="inlineStr">
        <is>
          <t>532407-past-medical-history-0-5</t>
        </is>
      </c>
      <c r="B2169" t="inlineStr"/>
      <c r="C2169" t="inlineStr"/>
      <c r="D2169">
        <f>HYPERLINK("http://nlpdeep.cs.uic.edu:8080/proofing/gsii/532407-past-medical-history-0-5.pdf","gsii/532407-past-medical-history-0-5.pdf")</f>
        <v/>
      </c>
      <c r="E2169" t="n">
        <v>119960</v>
      </c>
      <c r="F2169" t="n">
        <v>532407</v>
      </c>
      <c r="G2169" t="inlineStr">
        <is>
          <t>Physician</t>
        </is>
      </c>
      <c r="H2169" t="inlineStr">
        <is>
          <t>past-medical-history</t>
        </is>
      </c>
      <c r="I2169" t="inlineStr"/>
    </row>
    <row r="2170">
      <c r="A2170" t="inlineStr">
        <is>
          <t>532407-past-medical-history-1-0</t>
        </is>
      </c>
      <c r="B2170" t="inlineStr"/>
      <c r="C2170" t="inlineStr"/>
      <c r="D2170">
        <f>HYPERLINK("http://nlpdeep.cs.uic.edu:8080/proofing/t5/532407-past-medical-history-1-0.pdf","t5/532407-past-medical-history-1-0.pdf")</f>
        <v/>
      </c>
      <c r="E2170" t="n">
        <v>119960</v>
      </c>
      <c r="F2170" t="n">
        <v>532407</v>
      </c>
      <c r="G2170" t="inlineStr">
        <is>
          <t>Physician</t>
        </is>
      </c>
      <c r="H2170" t="inlineStr">
        <is>
          <t>past-medical-history</t>
        </is>
      </c>
      <c r="I2170" t="inlineStr"/>
    </row>
    <row r="2171">
      <c r="A2171" t="inlineStr">
        <is>
          <t>532407-past-medical-history-1-0</t>
        </is>
      </c>
      <c r="B2171" t="inlineStr"/>
      <c r="C2171" t="inlineStr"/>
      <c r="D2171">
        <f>HYPERLINK("http://nlpdeep.cs.uic.edu:8080/proofing/gsii/532407-past-medical-history-1-0.pdf","gsii/532407-past-medical-history-1-0.pdf")</f>
        <v/>
      </c>
      <c r="E2171" t="n">
        <v>119960</v>
      </c>
      <c r="F2171" t="n">
        <v>532407</v>
      </c>
      <c r="G2171" t="inlineStr">
        <is>
          <t>Physician</t>
        </is>
      </c>
      <c r="H2171" t="inlineStr">
        <is>
          <t>past-medical-history</t>
        </is>
      </c>
      <c r="I2171" t="inlineStr"/>
    </row>
    <row r="2172">
      <c r="A2172" t="inlineStr">
        <is>
          <t>532407-past-medical-history-2-0</t>
        </is>
      </c>
      <c r="B2172" t="inlineStr"/>
      <c r="C2172" t="inlineStr"/>
      <c r="D2172">
        <f>HYPERLINK("http://nlpdeep.cs.uic.edu:8080/proofing/t5/532407-past-medical-history-2-0.pdf","t5/532407-past-medical-history-2-0.pdf")</f>
        <v/>
      </c>
      <c r="E2172" t="n">
        <v>119960</v>
      </c>
      <c r="F2172" t="n">
        <v>532407</v>
      </c>
      <c r="G2172" t="inlineStr">
        <is>
          <t>Physician</t>
        </is>
      </c>
      <c r="H2172" t="inlineStr">
        <is>
          <t>past-medical-history</t>
        </is>
      </c>
      <c r="I2172" t="inlineStr">
        <is>
          <t xml:space="preserve">
   [**2141-1-31**] to [**2141-2-15**]
   -- also for CHF exacerbation, given lasix ggt and metolazone
   -- supratherapeutic INR on admission, complicated by epistaxis and
   melena (GI followed but endoscopy was deferred)
   -- C diff colitis treated with ?</t>
        </is>
      </c>
    </row>
    <row r="2173">
      <c r="A2173" t="inlineStr">
        <is>
          <t>532407-past-medical-history-2-0</t>
        </is>
      </c>
      <c r="B2173" t="inlineStr"/>
      <c r="C2173" t="inlineStr"/>
      <c r="D2173">
        <f>HYPERLINK("http://nlpdeep.cs.uic.edu:8080/proofing/gsii/532407-past-medical-history-2-0.pdf","gsii/532407-past-medical-history-2-0.pdf")</f>
        <v/>
      </c>
      <c r="E2173" t="n">
        <v>119960</v>
      </c>
      <c r="F2173" t="n">
        <v>532407</v>
      </c>
      <c r="G2173" t="inlineStr">
        <is>
          <t>Physician</t>
        </is>
      </c>
      <c r="H2173" t="inlineStr">
        <is>
          <t>past-medical-history</t>
        </is>
      </c>
      <c r="I2173" t="inlineStr">
        <is>
          <t xml:space="preserve">
   [**2141-1-31**] to [**2141-2-15**]
   -- also for CHF exacerbation, given lasix ggt and metolazone
   -- supratherapeutic INR on admission, complicated by epistaxis and
   melena (GI followed but endoscopy was deferred)
   -- C diff colitis treated with ?</t>
        </is>
      </c>
    </row>
    <row r="2174">
      <c r="A2174" t="inlineStr">
        <is>
          <t>532407-past-medical-history-2-1</t>
        </is>
      </c>
      <c r="B2174" t="inlineStr"/>
      <c r="C2174" t="inlineStr"/>
      <c r="D2174">
        <f>HYPERLINK("http://nlpdeep.cs.uic.edu:8080/proofing/t5/532407-past-medical-history-2-1.pdf","t5/532407-past-medical-history-2-1.pdf")</f>
        <v/>
      </c>
      <c r="E2174" t="n">
        <v>119960</v>
      </c>
      <c r="F2174" t="n">
        <v>532407</v>
      </c>
      <c r="G2174" t="inlineStr">
        <is>
          <t>Physician</t>
        </is>
      </c>
      <c r="H2174" t="inlineStr">
        <is>
          <t>past-medical-history</t>
        </is>
      </c>
      <c r="I2174" t="inlineStr"/>
    </row>
    <row r="2175">
      <c r="A2175" t="inlineStr">
        <is>
          <t>532407-past-medical-history-2-1</t>
        </is>
      </c>
      <c r="B2175" t="inlineStr"/>
      <c r="C2175" t="inlineStr"/>
      <c r="D2175">
        <f>HYPERLINK("http://nlpdeep.cs.uic.edu:8080/proofing/gsii/532407-past-medical-history-2-1.pdf","gsii/532407-past-medical-history-2-1.pdf")</f>
        <v/>
      </c>
      <c r="E2175" t="n">
        <v>119960</v>
      </c>
      <c r="F2175" t="n">
        <v>532407</v>
      </c>
      <c r="G2175" t="inlineStr">
        <is>
          <t>Physician</t>
        </is>
      </c>
      <c r="H2175" t="inlineStr">
        <is>
          <t>past-medical-history</t>
        </is>
      </c>
      <c r="I2175" t="inlineStr"/>
    </row>
    <row r="2176">
      <c r="A2176" t="inlineStr">
        <is>
          <t>532407-past-medical-history-3-0</t>
        </is>
      </c>
      <c r="B2176" t="inlineStr"/>
      <c r="C2176" t="inlineStr"/>
      <c r="D2176">
        <f>HYPERLINK("http://nlpdeep.cs.uic.edu:8080/proofing/t5/532407-past-medical-history-3-0.pdf","t5/532407-past-medical-history-3-0.pdf")</f>
        <v/>
      </c>
      <c r="E2176" t="n">
        <v>119960</v>
      </c>
      <c r="F2176" t="n">
        <v>532407</v>
      </c>
      <c r="G2176" t="inlineStr">
        <is>
          <t>Physician</t>
        </is>
      </c>
      <c r="H2176" t="inlineStr">
        <is>
          <t>past-medical-history</t>
        </is>
      </c>
      <c r="I2176" t="inlineStr"/>
    </row>
    <row r="2177">
      <c r="A2177" t="inlineStr">
        <is>
          <t>532407-past-medical-history-3-0</t>
        </is>
      </c>
      <c r="B2177" t="inlineStr"/>
      <c r="C2177" t="inlineStr"/>
      <c r="D2177">
        <f>HYPERLINK("http://nlpdeep.cs.uic.edu:8080/proofing/gsii/532407-past-medical-history-3-0.pdf","gsii/532407-past-medical-history-3-0.pdf")</f>
        <v/>
      </c>
      <c r="E2177" t="n">
        <v>119960</v>
      </c>
      <c r="F2177" t="n">
        <v>532407</v>
      </c>
      <c r="G2177" t="inlineStr">
        <is>
          <t>Physician</t>
        </is>
      </c>
      <c r="H2177" t="inlineStr">
        <is>
          <t>past-medical-history</t>
        </is>
      </c>
      <c r="I2177" t="inlineStr"/>
    </row>
    <row r="2178">
      <c r="A2178" t="inlineStr">
        <is>
          <t>532407-past-medical-history-4-0</t>
        </is>
      </c>
      <c r="B2178" t="inlineStr"/>
      <c r="C2178" t="inlineStr"/>
      <c r="D2178">
        <f>HYPERLINK("http://nlpdeep.cs.uic.edu:8080/proofing/t5/532407-past-medical-history-4-0.pdf","t5/532407-past-medical-history-4-0.pdf")</f>
        <v/>
      </c>
      <c r="E2178" t="n">
        <v>119960</v>
      </c>
      <c r="F2178" t="n">
        <v>532407</v>
      </c>
      <c r="G2178" t="inlineStr">
        <is>
          <t>Physician</t>
        </is>
      </c>
      <c r="H2178" t="inlineStr">
        <is>
          <t>past-medical-history</t>
        </is>
      </c>
      <c r="I2178" t="inlineStr">
        <is>
          <t xml:space="preserve">
   [**2141-3-17**] to [**2141-3-31**]
   -- Sent in by rehab for sleepiness, low Hct, weight gain, cough.</t>
        </is>
      </c>
    </row>
    <row r="2179">
      <c r="A2179" t="inlineStr">
        <is>
          <t>532407-past-medical-history-4-0</t>
        </is>
      </c>
      <c r="B2179" t="inlineStr"/>
      <c r="C2179" t="inlineStr"/>
      <c r="D2179">
        <f>HYPERLINK("http://nlpdeep.cs.uic.edu:8080/proofing/gsii/532407-past-medical-history-4-0.pdf","gsii/532407-past-medical-history-4-0.pdf")</f>
        <v/>
      </c>
      <c r="E2179" t="n">
        <v>119960</v>
      </c>
      <c r="F2179" t="n">
        <v>532407</v>
      </c>
      <c r="G2179" t="inlineStr">
        <is>
          <t>Physician</t>
        </is>
      </c>
      <c r="H2179" t="inlineStr">
        <is>
          <t>past-medical-history</t>
        </is>
      </c>
      <c r="I2179" t="inlineStr">
        <is>
          <t xml:space="preserve">
   [**2141-3-17**] to [**2141-3-31**]
   -- Sent in by rehab for sleepiness, low Hct, weight gain, cough.</t>
        </is>
      </c>
    </row>
    <row r="2180">
      <c r="A2180" t="inlineStr">
        <is>
          <t>532407-past-medical-history-4-1</t>
        </is>
      </c>
      <c r="B2180" t="inlineStr"/>
      <c r="C2180" t="inlineStr"/>
      <c r="D2180">
        <f>HYPERLINK("http://nlpdeep.cs.uic.edu:8080/proofing/t5/532407-past-medical-history-4-1.pdf","t5/532407-past-medical-history-4-1.pdf")</f>
        <v/>
      </c>
      <c r="E2180" t="n">
        <v>119960</v>
      </c>
      <c r="F2180" t="n">
        <v>532407</v>
      </c>
      <c r="G2180" t="inlineStr">
        <is>
          <t>Physician</t>
        </is>
      </c>
      <c r="H2180" t="inlineStr">
        <is>
          <t>past-medical-history</t>
        </is>
      </c>
      <c r="I2180" t="inlineStr">
        <is>
          <t xml:space="preserve">
   -- C.</t>
        </is>
      </c>
    </row>
    <row r="2181">
      <c r="A2181" t="inlineStr">
        <is>
          <t>532407-past-medical-history-4-1</t>
        </is>
      </c>
      <c r="B2181" t="inlineStr"/>
      <c r="C2181" t="inlineStr"/>
      <c r="D2181">
        <f>HYPERLINK("http://nlpdeep.cs.uic.edu:8080/proofing/gsii/532407-past-medical-history-4-1.pdf","gsii/532407-past-medical-history-4-1.pdf")</f>
        <v/>
      </c>
      <c r="E2181" t="n">
        <v>119960</v>
      </c>
      <c r="F2181" t="n">
        <v>532407</v>
      </c>
      <c r="G2181" t="inlineStr">
        <is>
          <t>Physician</t>
        </is>
      </c>
      <c r="H2181" t="inlineStr">
        <is>
          <t>past-medical-history</t>
        </is>
      </c>
      <c r="I2181" t="inlineStr">
        <is>
          <t xml:space="preserve">
   -- C.</t>
        </is>
      </c>
    </row>
    <row r="2182">
      <c r="A2182" t="inlineStr">
        <is>
          <t>532407-past-medical-history-4-2</t>
        </is>
      </c>
      <c r="B2182" t="inlineStr"/>
      <c r="C2182" t="inlineStr"/>
      <c r="D2182">
        <f>HYPERLINK("http://nlpdeep.cs.uic.edu:8080/proofing/t5/532407-past-medical-history-4-2.pdf","t5/532407-past-medical-history-4-2.pdf")</f>
        <v/>
      </c>
      <c r="E2182" t="n">
        <v>119960</v>
      </c>
      <c r="F2182" t="n">
        <v>532407</v>
      </c>
      <c r="G2182" t="inlineStr">
        <is>
          <t>Physician</t>
        </is>
      </c>
      <c r="H2182" t="inlineStr">
        <is>
          <t>past-medical-history</t>
        </is>
      </c>
      <c r="I2182" t="inlineStr">
        <is>
          <t>Diff colitis
   -- GIB (Guaiac positive,</t>
        </is>
      </c>
    </row>
    <row r="2183">
      <c r="A2183" t="inlineStr">
        <is>
          <t>532407-past-medical-history-4-2</t>
        </is>
      </c>
      <c r="B2183" t="inlineStr"/>
      <c r="C2183" t="inlineStr"/>
      <c r="D2183">
        <f>HYPERLINK("http://nlpdeep.cs.uic.edu:8080/proofing/gsii/532407-past-medical-history-4-2.pdf","gsii/532407-past-medical-history-4-2.pdf")</f>
        <v/>
      </c>
      <c r="E2183" t="n">
        <v>119960</v>
      </c>
      <c r="F2183" t="n">
        <v>532407</v>
      </c>
      <c r="G2183" t="inlineStr">
        <is>
          <t>Physician</t>
        </is>
      </c>
      <c r="H2183" t="inlineStr">
        <is>
          <t>past-medical-history</t>
        </is>
      </c>
      <c r="I2183" t="inlineStr">
        <is>
          <t>Diff colitis
   -- GIB (Guaiac positive,</t>
        </is>
      </c>
    </row>
    <row r="2184">
      <c r="A2184" t="inlineStr">
        <is>
          <t>532407-past-medical-history-4-3</t>
        </is>
      </c>
      <c r="B2184" t="inlineStr"/>
      <c r="C2184" t="inlineStr"/>
      <c r="D2184">
        <f>HYPERLINK("http://nlpdeep.cs.uic.edu:8080/proofing/t5/532407-past-medical-history-4-3.pdf","t5/532407-past-medical-history-4-3.pdf")</f>
        <v/>
      </c>
      <c r="E2184" t="n">
        <v>119960</v>
      </c>
      <c r="F2184" t="n">
        <v>532407</v>
      </c>
      <c r="G2184" t="inlineStr">
        <is>
          <t>Physician</t>
        </is>
      </c>
      <c r="H2184" t="inlineStr">
        <is>
          <t>past-medical-history</t>
        </is>
      </c>
      <c r="I2184" t="inlineStr">
        <is>
          <t>had been on coumadin until [**Month (only) 2299**] when had
   presumed UGIB requiring 1U pRBC); transfused for Hct 23.5 (but near
   baseline of 24)
   -- Hypotension to the 70s systolic (baseline 90-100s)
   -- CHF
   -- UTI
   -- Acute on chronic kidney disease
   -- Pancytopenia: found to be HIT antibody positive but serotonin assay
   negative so not likely HIT; nonetheless heparin products were avoided.</t>
        </is>
      </c>
    </row>
    <row r="2185">
      <c r="A2185" t="inlineStr">
        <is>
          <t>532407-past-medical-history-4-3</t>
        </is>
      </c>
      <c r="B2185" t="inlineStr"/>
      <c r="C2185" t="inlineStr"/>
      <c r="D2185">
        <f>HYPERLINK("http://nlpdeep.cs.uic.edu:8080/proofing/gsii/532407-past-medical-history-4-3.pdf","gsii/532407-past-medical-history-4-3.pdf")</f>
        <v/>
      </c>
      <c r="E2185" t="n">
        <v>119960</v>
      </c>
      <c r="F2185" t="n">
        <v>532407</v>
      </c>
      <c r="G2185" t="inlineStr">
        <is>
          <t>Physician</t>
        </is>
      </c>
      <c r="H2185" t="inlineStr">
        <is>
          <t>past-medical-history</t>
        </is>
      </c>
      <c r="I2185" t="inlineStr">
        <is>
          <t>had been on coumadin until [**Month (only) 2299**] when had
   presumed UGIB requiring 1U pRBC); transfused for Hct 23.5 (but near
   baseline of 24)
   -- Hypotension to the 70s systolic (baseline 90-100s)
   -- CHF
   -- UTI
   -- Acute on chronic kidney disease
   -- Pancytopenia: found to be HIT antibody positive but serotonin assay
   negative so not likely HIT; nonetheless heparin products were avoided.</t>
        </is>
      </c>
    </row>
    <row r="2186">
      <c r="A2186" t="inlineStr">
        <is>
          <t>532407-past-medical-history-4-4</t>
        </is>
      </c>
      <c r="B2186" t="inlineStr"/>
      <c r="C2186" t="inlineStr"/>
      <c r="D2186">
        <f>HYPERLINK("http://nlpdeep.cs.uic.edu:8080/proofing/t5/532407-past-medical-history-4-4.pdf","t5/532407-past-medical-history-4-4.pdf")</f>
        <v/>
      </c>
      <c r="E2186" t="n">
        <v>119960</v>
      </c>
      <c r="F2186" t="n">
        <v>532407</v>
      </c>
      <c r="G2186" t="inlineStr">
        <is>
          <t>Physician</t>
        </is>
      </c>
      <c r="H2186" t="inlineStr">
        <is>
          <t>past-medical-history</t>
        </is>
      </c>
      <c r="I2186" t="inlineStr">
        <is>
          <t xml:space="preserve">
   Pancytopenia improved over hospital course; thought to be infection
   related.</t>
        </is>
      </c>
    </row>
    <row r="2187">
      <c r="A2187" t="inlineStr">
        <is>
          <t>532407-past-medical-history-4-4</t>
        </is>
      </c>
      <c r="B2187" t="inlineStr"/>
      <c r="C2187" t="inlineStr"/>
      <c r="D2187">
        <f>HYPERLINK("http://nlpdeep.cs.uic.edu:8080/proofing/gsii/532407-past-medical-history-4-4.pdf","gsii/532407-past-medical-history-4-4.pdf")</f>
        <v/>
      </c>
      <c r="E2187" t="n">
        <v>119960</v>
      </c>
      <c r="F2187" t="n">
        <v>532407</v>
      </c>
      <c r="G2187" t="inlineStr">
        <is>
          <t>Physician</t>
        </is>
      </c>
      <c r="H2187" t="inlineStr">
        <is>
          <t>past-medical-history</t>
        </is>
      </c>
      <c r="I2187" t="inlineStr">
        <is>
          <t xml:space="preserve">
   Pancytopenia improved over hospital course; thought to be infection
   related.</t>
        </is>
      </c>
    </row>
    <row r="2188">
      <c r="A2188" t="inlineStr">
        <is>
          <t>532407-past-medical-history-4-5</t>
        </is>
      </c>
      <c r="B2188" t="inlineStr"/>
      <c r="C2188" t="inlineStr"/>
      <c r="D2188">
        <f>HYPERLINK("http://nlpdeep.cs.uic.edu:8080/proofing/t5/532407-past-medical-history-4-5.pdf","t5/532407-past-medical-history-4-5.pdf")</f>
        <v/>
      </c>
      <c r="E2188" t="n">
        <v>119960</v>
      </c>
      <c r="F2188" t="n">
        <v>532407</v>
      </c>
      <c r="G2188" t="inlineStr">
        <is>
          <t>Physician</t>
        </is>
      </c>
      <c r="H2188" t="inlineStr">
        <is>
          <t>past-medical-history</t>
        </is>
      </c>
      <c r="I2188" t="inlineStr">
        <is>
          <t xml:space="preserve">
   -- Increased AP and GGT with elevated lipase and an abnormality on
   ultrasound suggestive of a pancreatic mass.</t>
        </is>
      </c>
    </row>
    <row r="2189">
      <c r="A2189" t="inlineStr">
        <is>
          <t>532407-past-medical-history-4-5</t>
        </is>
      </c>
      <c r="B2189" t="inlineStr"/>
      <c r="C2189" t="inlineStr"/>
      <c r="D2189">
        <f>HYPERLINK("http://nlpdeep.cs.uic.edu:8080/proofing/gsii/532407-past-medical-history-4-5.pdf","gsii/532407-past-medical-history-4-5.pdf")</f>
        <v/>
      </c>
      <c r="E2189" t="n">
        <v>119960</v>
      </c>
      <c r="F2189" t="n">
        <v>532407</v>
      </c>
      <c r="G2189" t="inlineStr">
        <is>
          <t>Physician</t>
        </is>
      </c>
      <c r="H2189" t="inlineStr">
        <is>
          <t>past-medical-history</t>
        </is>
      </c>
      <c r="I2189" t="inlineStr">
        <is>
          <t xml:space="preserve">
   -- Increased AP and GGT with elevated lipase and an abnormality on
   ultrasound suggestive of a pancreatic mass.</t>
        </is>
      </c>
    </row>
    <row r="2190">
      <c r="A2190" t="inlineStr">
        <is>
          <t>532407-past-medical-history-4-6</t>
        </is>
      </c>
      <c r="B2190" t="inlineStr"/>
      <c r="C2190" t="inlineStr"/>
      <c r="D2190">
        <f>HYPERLINK("http://nlpdeep.cs.uic.edu:8080/proofing/t5/532407-past-medical-history-4-6.pdf","t5/532407-past-medical-history-4-6.pdf")</f>
        <v/>
      </c>
      <c r="E2190" t="n">
        <v>119960</v>
      </c>
      <c r="F2190" t="n">
        <v>532407</v>
      </c>
      <c r="G2190" t="inlineStr">
        <is>
          <t>Physician</t>
        </is>
      </c>
      <c r="H2190" t="inlineStr">
        <is>
          <t>past-medical-history</t>
        </is>
      </c>
      <c r="I2190" t="inlineStr">
        <is>
          <t>GI was consulted and
   recommended an outpatient MRCP.</t>
        </is>
      </c>
    </row>
    <row r="2191">
      <c r="A2191" t="inlineStr">
        <is>
          <t>532407-past-medical-history-4-6</t>
        </is>
      </c>
      <c r="B2191" t="inlineStr"/>
      <c r="C2191" t="inlineStr"/>
      <c r="D2191">
        <f>HYPERLINK("http://nlpdeep.cs.uic.edu:8080/proofing/gsii/532407-past-medical-history-4-6.pdf","gsii/532407-past-medical-history-4-6.pdf")</f>
        <v/>
      </c>
      <c r="E2191" t="n">
        <v>119960</v>
      </c>
      <c r="F2191" t="n">
        <v>532407</v>
      </c>
      <c r="G2191" t="inlineStr">
        <is>
          <t>Physician</t>
        </is>
      </c>
      <c r="H2191" t="inlineStr">
        <is>
          <t>past-medical-history</t>
        </is>
      </c>
      <c r="I2191" t="inlineStr">
        <is>
          <t>GI was consulted and
   recommended an outpatient MRCP.</t>
        </is>
      </c>
    </row>
    <row r="2192">
      <c r="A2192" t="inlineStr">
        <is>
          <t>532407-family-history-0-0</t>
        </is>
      </c>
      <c r="B2192" t="inlineStr"/>
      <c r="C2192" t="inlineStr"/>
      <c r="D2192">
        <f>HYPERLINK("http://nlpdeep.cs.uic.edu:8080/proofing/t5/532407-family-history-0-0.pdf","t5/532407-family-history-0-0.pdf")</f>
        <v/>
      </c>
      <c r="E2192" t="n">
        <v>119960</v>
      </c>
      <c r="F2192" t="n">
        <v>532407</v>
      </c>
      <c r="G2192" t="inlineStr">
        <is>
          <t>Physician</t>
        </is>
      </c>
      <c r="H2192" t="inlineStr">
        <is>
          <t>family-history</t>
        </is>
      </c>
      <c r="I2192" t="inlineStr">
        <is>
          <t xml:space="preserve">
   Parents are both deceased.</t>
        </is>
      </c>
    </row>
    <row r="2193">
      <c r="A2193" t="inlineStr">
        <is>
          <t>532407-family-history-0-0</t>
        </is>
      </c>
      <c r="B2193" t="inlineStr"/>
      <c r="C2193" t="inlineStr"/>
      <c r="D2193">
        <f>HYPERLINK("http://nlpdeep.cs.uic.edu:8080/proofing/gsii/532407-family-history-0-0.pdf","gsii/532407-family-history-0-0.pdf")</f>
        <v/>
      </c>
      <c r="E2193" t="n">
        <v>119960</v>
      </c>
      <c r="F2193" t="n">
        <v>532407</v>
      </c>
      <c r="G2193" t="inlineStr">
        <is>
          <t>Physician</t>
        </is>
      </c>
      <c r="H2193" t="inlineStr">
        <is>
          <t>family-history</t>
        </is>
      </c>
      <c r="I2193" t="inlineStr">
        <is>
          <t xml:space="preserve">
   Parents are both deceased.</t>
        </is>
      </c>
    </row>
    <row r="2194">
      <c r="A2194" t="inlineStr">
        <is>
          <t>532407-family-history-0-1</t>
        </is>
      </c>
      <c r="B2194" t="inlineStr"/>
      <c r="C2194" t="inlineStr"/>
      <c r="D2194">
        <f>HYPERLINK("http://nlpdeep.cs.uic.edu:8080/proofing/t5/532407-family-history-0-1.pdf","t5/532407-family-history-0-1.pdf")</f>
        <v/>
      </c>
      <c r="E2194" t="n">
        <v>119960</v>
      </c>
      <c r="F2194" t="n">
        <v>532407</v>
      </c>
      <c r="G2194" t="inlineStr">
        <is>
          <t>Physician</t>
        </is>
      </c>
      <c r="H2194" t="inlineStr">
        <is>
          <t>family-history</t>
        </is>
      </c>
      <c r="I2194" t="inlineStr">
        <is>
          <t>Father (73 years; "heart" disease); Mother
   (48 years; stomach cancer).</t>
        </is>
      </c>
    </row>
    <row r="2195">
      <c r="A2195" t="inlineStr">
        <is>
          <t>532407-family-history-0-1</t>
        </is>
      </c>
      <c r="B2195" t="inlineStr"/>
      <c r="C2195" t="inlineStr"/>
      <c r="D2195">
        <f>HYPERLINK("http://nlpdeep.cs.uic.edu:8080/proofing/gsii/532407-family-history-0-1.pdf","gsii/532407-family-history-0-1.pdf")</f>
        <v/>
      </c>
      <c r="E2195" t="n">
        <v>119960</v>
      </c>
      <c r="F2195" t="n">
        <v>532407</v>
      </c>
      <c r="G2195" t="inlineStr">
        <is>
          <t>Physician</t>
        </is>
      </c>
      <c r="H2195" t="inlineStr">
        <is>
          <t>family-history</t>
        </is>
      </c>
      <c r="I2195" t="inlineStr">
        <is>
          <t>Father (73 years; "heart" disease); Mother
   (48 years; stomach cancer).</t>
        </is>
      </c>
    </row>
    <row r="2196">
      <c r="A2196" t="inlineStr">
        <is>
          <t>532407-family-history-0-2</t>
        </is>
      </c>
      <c r="B2196" t="inlineStr"/>
      <c r="C2196" t="inlineStr"/>
      <c r="D2196">
        <f>HYPERLINK("http://nlpdeep.cs.uic.edu:8080/proofing/t5/532407-family-history-0-2.pdf","t5/532407-family-history-0-2.pdf")</f>
        <v/>
      </c>
      <c r="E2196" t="n">
        <v>119960</v>
      </c>
      <c r="F2196" t="n">
        <v>532407</v>
      </c>
      <c r="G2196" t="inlineStr">
        <is>
          <t>Physician</t>
        </is>
      </c>
      <c r="H2196" t="inlineStr">
        <is>
          <t>family-history</t>
        </is>
      </c>
      <c r="I2196" t="inlineStr">
        <is>
          <t>He has 2 siblings (80- breast cancer,
   brother with ? abdominal cancer).</t>
        </is>
      </c>
    </row>
    <row r="2197">
      <c r="A2197" t="inlineStr">
        <is>
          <t>532407-family-history-0-2</t>
        </is>
      </c>
      <c r="B2197" t="inlineStr"/>
      <c r="C2197" t="inlineStr"/>
      <c r="D2197">
        <f>HYPERLINK("http://nlpdeep.cs.uic.edu:8080/proofing/gsii/532407-family-history-0-2.pdf","gsii/532407-family-history-0-2.pdf")</f>
        <v/>
      </c>
      <c r="E2197" t="n">
        <v>119960</v>
      </c>
      <c r="F2197" t="n">
        <v>532407</v>
      </c>
      <c r="G2197" t="inlineStr">
        <is>
          <t>Physician</t>
        </is>
      </c>
      <c r="H2197" t="inlineStr">
        <is>
          <t>family-history</t>
        </is>
      </c>
      <c r="I2197" t="inlineStr">
        <is>
          <t>He has 2 siblings (80- breast cancer,
   brother with ? abdominal cancer).</t>
        </is>
      </c>
    </row>
    <row r="2198">
      <c r="A2198" t="inlineStr">
        <is>
          <t>532407-family-history-0-3</t>
        </is>
      </c>
      <c r="B2198" t="inlineStr"/>
      <c r="C2198" t="inlineStr"/>
      <c r="D2198">
        <f>HYPERLINK("http://nlpdeep.cs.uic.edu:8080/proofing/t5/532407-family-history-0-3.pdf","t5/532407-family-history-0-3.pdf")</f>
        <v/>
      </c>
      <c r="E2198" t="n">
        <v>119960</v>
      </c>
      <c r="F2198" t="n">
        <v>532407</v>
      </c>
      <c r="G2198" t="inlineStr">
        <is>
          <t>Physician</t>
        </is>
      </c>
      <c r="H2198" t="inlineStr">
        <is>
          <t>family-history</t>
        </is>
      </c>
      <c r="I2198" t="inlineStr">
        <is>
          <t>He has 3 children (55, 53, 49 years;
   all well).</t>
        </is>
      </c>
    </row>
    <row r="2199">
      <c r="A2199" t="inlineStr">
        <is>
          <t>532407-family-history-0-3</t>
        </is>
      </c>
      <c r="B2199" t="inlineStr"/>
      <c r="C2199" t="inlineStr"/>
      <c r="D2199">
        <f>HYPERLINK("http://nlpdeep.cs.uic.edu:8080/proofing/gsii/532407-family-history-0-3.pdf","gsii/532407-family-history-0-3.pdf")</f>
        <v/>
      </c>
      <c r="E2199" t="n">
        <v>119960</v>
      </c>
      <c r="F2199" t="n">
        <v>532407</v>
      </c>
      <c r="G2199" t="inlineStr">
        <is>
          <t>Physician</t>
        </is>
      </c>
      <c r="H2199" t="inlineStr">
        <is>
          <t>family-history</t>
        </is>
      </c>
      <c r="I2199" t="inlineStr">
        <is>
          <t>He has 3 children (55, 53, 49 years;
   all well).</t>
        </is>
      </c>
    </row>
    <row r="2200">
      <c r="A2200" t="inlineStr">
        <is>
          <t>532407-family-history-0-4</t>
        </is>
      </c>
      <c r="B2200" t="inlineStr"/>
      <c r="C2200" t="inlineStr"/>
      <c r="D2200">
        <f>HYPERLINK("http://nlpdeep.cs.uic.edu:8080/proofing/t5/532407-family-history-0-4.pdf","t5/532407-family-history-0-4.pdf")</f>
        <v/>
      </c>
      <c r="E2200" t="n">
        <v>119960</v>
      </c>
      <c r="F2200" t="n">
        <v>532407</v>
      </c>
      <c r="G2200" t="inlineStr">
        <is>
          <t>Physician</t>
        </is>
      </c>
      <c r="H2200" t="inlineStr">
        <is>
          <t>family-history</t>
        </is>
      </c>
      <c r="I2200" t="inlineStr">
        <is>
          <t>A son [**Doctor Last Name 20**] has atrial fibrillation.</t>
        </is>
      </c>
    </row>
    <row r="2201">
      <c r="A2201" t="inlineStr">
        <is>
          <t>532407-family-history-0-4</t>
        </is>
      </c>
      <c r="B2201" t="inlineStr"/>
      <c r="C2201" t="inlineStr"/>
      <c r="D2201">
        <f>HYPERLINK("http://nlpdeep.cs.uic.edu:8080/proofing/gsii/532407-family-history-0-4.pdf","gsii/532407-family-history-0-4.pdf")</f>
        <v/>
      </c>
      <c r="E2201" t="n">
        <v>119960</v>
      </c>
      <c r="F2201" t="n">
        <v>532407</v>
      </c>
      <c r="G2201" t="inlineStr">
        <is>
          <t>Physician</t>
        </is>
      </c>
      <c r="H2201" t="inlineStr">
        <is>
          <t>family-history</t>
        </is>
      </c>
      <c r="I2201" t="inlineStr">
        <is>
          <t>A son [**Doctor Last Name 20**] has atrial fibrillation.</t>
        </is>
      </c>
    </row>
    <row r="2202">
      <c r="A2202" t="inlineStr">
        <is>
          <t>532407-social-history-0-0</t>
        </is>
      </c>
      <c r="B2202" t="inlineStr"/>
      <c r="C2202" t="inlineStr"/>
      <c r="D2202">
        <f>HYPERLINK("http://nlpdeep.cs.uic.edu:8080/proofing/t5/532407-social-history-0-0.pdf","t5/532407-social-history-0-0.pdf")</f>
        <v/>
      </c>
      <c r="E2202" t="n">
        <v>119960</v>
      </c>
      <c r="F2202" t="n">
        <v>532407</v>
      </c>
      <c r="G2202" t="inlineStr">
        <is>
          <t>Physician</t>
        </is>
      </c>
      <c r="H2202" t="inlineStr">
        <is>
          <t>social-history</t>
        </is>
      </c>
      <c r="I2202" t="inlineStr">
        <is>
          <t xml:space="preserve">
   Occupation:
   Drugs:
   Tobacco:
   Alcohol:
   Other: Usually lives with wife, married for &gt;50yrs, currently at [**Hospital 328**]
   Rehab.</t>
        </is>
      </c>
    </row>
    <row r="2203">
      <c r="A2203" t="inlineStr">
        <is>
          <t>532407-social-history-0-0</t>
        </is>
      </c>
      <c r="B2203" t="inlineStr"/>
      <c r="C2203" t="inlineStr"/>
      <c r="D2203">
        <f>HYPERLINK("http://nlpdeep.cs.uic.edu:8080/proofing/gsii/532407-social-history-0-0.pdf","gsii/532407-social-history-0-0.pdf")</f>
        <v/>
      </c>
      <c r="E2203" t="n">
        <v>119960</v>
      </c>
      <c r="F2203" t="n">
        <v>532407</v>
      </c>
      <c r="G2203" t="inlineStr">
        <is>
          <t>Physician</t>
        </is>
      </c>
      <c r="H2203" t="inlineStr">
        <is>
          <t>social-history</t>
        </is>
      </c>
      <c r="I2203" t="inlineStr">
        <is>
          <t xml:space="preserve">
   Occupation:
   Drugs:
   Tobacco:
   Alcohol:
   Other: Usually lives with wife, married for &gt;50yrs, currently at [**Hospital 328**]
   Rehab.</t>
        </is>
      </c>
    </row>
    <row r="2204">
      <c r="A2204" t="inlineStr">
        <is>
          <t>532407-social-history-0-1</t>
        </is>
      </c>
      <c r="B2204" t="inlineStr"/>
      <c r="C2204" t="inlineStr"/>
      <c r="D2204">
        <f>HYPERLINK("http://nlpdeep.cs.uic.edu:8080/proofing/t5/532407-social-history-0-1.pdf","t5/532407-social-history-0-1.pdf")</f>
        <v/>
      </c>
      <c r="E2204" t="n">
        <v>119960</v>
      </c>
      <c r="F2204" t="n">
        <v>532407</v>
      </c>
      <c r="G2204" t="inlineStr">
        <is>
          <t>Physician</t>
        </is>
      </c>
      <c r="H2204" t="inlineStr">
        <is>
          <t>social-history</t>
        </is>
      </c>
      <c r="I2204" t="inlineStr">
        <is>
          <t>3 children.</t>
        </is>
      </c>
    </row>
    <row r="2205">
      <c r="A2205" t="inlineStr">
        <is>
          <t>532407-social-history-0-1</t>
        </is>
      </c>
      <c r="B2205" t="inlineStr"/>
      <c r="C2205" t="inlineStr"/>
      <c r="D2205">
        <f>HYPERLINK("http://nlpdeep.cs.uic.edu:8080/proofing/gsii/532407-social-history-0-1.pdf","gsii/532407-social-history-0-1.pdf")</f>
        <v/>
      </c>
      <c r="E2205" t="n">
        <v>119960</v>
      </c>
      <c r="F2205" t="n">
        <v>532407</v>
      </c>
      <c r="G2205" t="inlineStr">
        <is>
          <t>Physician</t>
        </is>
      </c>
      <c r="H2205" t="inlineStr">
        <is>
          <t>social-history</t>
        </is>
      </c>
      <c r="I2205" t="inlineStr">
        <is>
          <t>3 children.</t>
        </is>
      </c>
    </row>
    <row r="2206">
      <c r="A2206" t="inlineStr">
        <is>
          <t>532407-social-history-0-2</t>
        </is>
      </c>
      <c r="B2206" t="inlineStr"/>
      <c r="C2206" t="inlineStr"/>
      <c r="D2206">
        <f>HYPERLINK("http://nlpdeep.cs.uic.edu:8080/proofing/t5/532407-social-history-0-2.pdf","t5/532407-social-history-0-2.pdf")</f>
        <v/>
      </c>
      <c r="E2206" t="n">
        <v>119960</v>
      </c>
      <c r="F2206" t="n">
        <v>532407</v>
      </c>
      <c r="G2206" t="inlineStr">
        <is>
          <t>Physician</t>
        </is>
      </c>
      <c r="H2206" t="inlineStr">
        <is>
          <t>social-history</t>
        </is>
      </c>
      <c r="I2206" t="inlineStr">
        <is>
          <t>No tobacco, EtOH, IVDU.</t>
        </is>
      </c>
    </row>
    <row r="2207">
      <c r="A2207" t="inlineStr">
        <is>
          <t>532407-social-history-0-2</t>
        </is>
      </c>
      <c r="B2207" t="inlineStr"/>
      <c r="C2207" t="inlineStr"/>
      <c r="D2207">
        <f>HYPERLINK("http://nlpdeep.cs.uic.edu:8080/proofing/gsii/532407-social-history-0-2.pdf","gsii/532407-social-history-0-2.pdf")</f>
        <v/>
      </c>
      <c r="E2207" t="n">
        <v>119960</v>
      </c>
      <c r="F2207" t="n">
        <v>532407</v>
      </c>
      <c r="G2207" t="inlineStr">
        <is>
          <t>Physician</t>
        </is>
      </c>
      <c r="H2207" t="inlineStr">
        <is>
          <t>social-history</t>
        </is>
      </c>
      <c r="I2207" t="inlineStr">
        <is>
          <t>No tobacco, EtOH, IVDU.</t>
        </is>
      </c>
    </row>
    <row r="2208">
      <c r="A2208" t="inlineStr">
        <is>
          <t>532407-social-history-0-3</t>
        </is>
      </c>
      <c r="B2208" t="inlineStr"/>
      <c r="C2208" t="inlineStr"/>
      <c r="D2208">
        <f>HYPERLINK("http://nlpdeep.cs.uic.edu:8080/proofing/t5/532407-social-history-0-3.pdf","t5/532407-social-history-0-3.pdf")</f>
        <v/>
      </c>
      <c r="E2208" t="n">
        <v>119960</v>
      </c>
      <c r="F2208" t="n">
        <v>532407</v>
      </c>
      <c r="G2208" t="inlineStr">
        <is>
          <t>Physician</t>
        </is>
      </c>
      <c r="H2208" t="inlineStr">
        <is>
          <t>social-history</t>
        </is>
      </c>
      <c r="I2208" t="inlineStr">
        <is>
          <t>Retired, formerly worked
   manufacturing and distributing batteries.</t>
        </is>
      </c>
    </row>
    <row r="2209">
      <c r="A2209" t="inlineStr">
        <is>
          <t>532407-social-history-0-3</t>
        </is>
      </c>
      <c r="B2209" t="inlineStr"/>
      <c r="C2209" t="inlineStr"/>
      <c r="D2209">
        <f>HYPERLINK("http://nlpdeep.cs.uic.edu:8080/proofing/gsii/532407-social-history-0-3.pdf","gsii/532407-social-history-0-3.pdf")</f>
        <v/>
      </c>
      <c r="E2209" t="n">
        <v>119960</v>
      </c>
      <c r="F2209" t="n">
        <v>532407</v>
      </c>
      <c r="G2209" t="inlineStr">
        <is>
          <t>Physician</t>
        </is>
      </c>
      <c r="H2209" t="inlineStr">
        <is>
          <t>social-history</t>
        </is>
      </c>
      <c r="I2209" t="inlineStr">
        <is>
          <t>Retired, formerly worked
   manufacturing and distributing batteries.</t>
        </is>
      </c>
    </row>
    <row r="2210">
      <c r="A2210" t="inlineStr">
        <is>
          <t>532407-social-history-0-4</t>
        </is>
      </c>
      <c r="B2210" t="inlineStr"/>
      <c r="C2210" t="inlineStr"/>
      <c r="D2210">
        <f>HYPERLINK("http://nlpdeep.cs.uic.edu:8080/proofing/t5/532407-social-history-0-4.pdf","t5/532407-social-history-0-4.pdf")</f>
        <v/>
      </c>
      <c r="E2210" t="n">
        <v>119960</v>
      </c>
      <c r="F2210" t="n">
        <v>532407</v>
      </c>
      <c r="G2210" t="inlineStr">
        <is>
          <t>Physician</t>
        </is>
      </c>
      <c r="H2210" t="inlineStr">
        <is>
          <t>social-history</t>
        </is>
      </c>
      <c r="I2210" t="inlineStr">
        <is>
          <t>He smoked cigars for [**2-1**]
   years and quit &gt;45 years ago.</t>
        </is>
      </c>
    </row>
    <row r="2211">
      <c r="A2211" t="inlineStr">
        <is>
          <t>532407-social-history-0-4</t>
        </is>
      </c>
      <c r="B2211" t="inlineStr"/>
      <c r="C2211" t="inlineStr"/>
      <c r="D2211">
        <f>HYPERLINK("http://nlpdeep.cs.uic.edu:8080/proofing/gsii/532407-social-history-0-4.pdf","gsii/532407-social-history-0-4.pdf")</f>
        <v/>
      </c>
      <c r="E2211" t="n">
        <v>119960</v>
      </c>
      <c r="F2211" t="n">
        <v>532407</v>
      </c>
      <c r="G2211" t="inlineStr">
        <is>
          <t>Physician</t>
        </is>
      </c>
      <c r="H2211" t="inlineStr">
        <is>
          <t>social-history</t>
        </is>
      </c>
      <c r="I2211" t="inlineStr">
        <is>
          <t>He smoked cigars for [**2-1**]
   years and quit &gt;45 years ago.</t>
        </is>
      </c>
    </row>
    <row r="2212">
      <c r="A2212" t="inlineStr">
        <is>
          <t>532407-social-history-0-5</t>
        </is>
      </c>
      <c r="B2212" t="inlineStr"/>
      <c r="C2212" t="inlineStr"/>
      <c r="D2212">
        <f>HYPERLINK("http://nlpdeep.cs.uic.edu:8080/proofing/t5/532407-social-history-0-5.pdf","t5/532407-social-history-0-5.pdf")</f>
        <v/>
      </c>
      <c r="E2212" t="n">
        <v>119960</v>
      </c>
      <c r="F2212" t="n">
        <v>532407</v>
      </c>
      <c r="G2212" t="inlineStr">
        <is>
          <t>Physician</t>
        </is>
      </c>
      <c r="H2212" t="inlineStr">
        <is>
          <t>social-history</t>
        </is>
      </c>
      <c r="I2212" t="inlineStr">
        <is>
          <t>He has not smoked cigarettes.</t>
        </is>
      </c>
    </row>
    <row r="2213">
      <c r="A2213" t="inlineStr">
        <is>
          <t>532407-social-history-0-5</t>
        </is>
      </c>
      <c r="B2213" t="inlineStr"/>
      <c r="C2213" t="inlineStr"/>
      <c r="D2213">
        <f>HYPERLINK("http://nlpdeep.cs.uic.edu:8080/proofing/gsii/532407-social-history-0-5.pdf","gsii/532407-social-history-0-5.pdf")</f>
        <v/>
      </c>
      <c r="E2213" t="n">
        <v>119960</v>
      </c>
      <c r="F2213" t="n">
        <v>532407</v>
      </c>
      <c r="G2213" t="inlineStr">
        <is>
          <t>Physician</t>
        </is>
      </c>
      <c r="H2213" t="inlineStr">
        <is>
          <t>social-history</t>
        </is>
      </c>
      <c r="I2213" t="inlineStr">
        <is>
          <t>He has not smoked cigarettes.</t>
        </is>
      </c>
    </row>
    <row r="2214">
      <c r="A2214" t="inlineStr">
        <is>
          <t>532407-social-history-0-6</t>
        </is>
      </c>
      <c r="B2214" t="inlineStr"/>
      <c r="C2214" t="inlineStr"/>
      <c r="D2214">
        <f>HYPERLINK("http://nlpdeep.cs.uic.edu:8080/proofing/t5/532407-social-history-0-6.pdf","t5/532407-social-history-0-6.pdf")</f>
        <v/>
      </c>
      <c r="E2214" t="n">
        <v>119960</v>
      </c>
      <c r="F2214" t="n">
        <v>532407</v>
      </c>
      <c r="G2214" t="inlineStr">
        <is>
          <t>Physician</t>
        </is>
      </c>
      <c r="H2214" t="inlineStr">
        <is>
          <t>social-history</t>
        </is>
      </c>
      <c r="I2214" t="inlineStr">
        <is>
          <t>He does not
   drink alcohol on a regular basis.</t>
        </is>
      </c>
    </row>
    <row r="2215">
      <c r="A2215" t="inlineStr">
        <is>
          <t>532407-social-history-0-6</t>
        </is>
      </c>
      <c r="B2215" t="inlineStr"/>
      <c r="C2215" t="inlineStr"/>
      <c r="D2215">
        <f>HYPERLINK("http://nlpdeep.cs.uic.edu:8080/proofing/gsii/532407-social-history-0-6.pdf","gsii/532407-social-history-0-6.pdf")</f>
        <v/>
      </c>
      <c r="E2215" t="n">
        <v>119960</v>
      </c>
      <c r="F2215" t="n">
        <v>532407</v>
      </c>
      <c r="G2215" t="inlineStr">
        <is>
          <t>Physician</t>
        </is>
      </c>
      <c r="H2215" t="inlineStr">
        <is>
          <t>social-history</t>
        </is>
      </c>
      <c r="I2215" t="inlineStr">
        <is>
          <t>He does not
   drink alcohol on a regular basis.</t>
        </is>
      </c>
    </row>
    <row r="2216">
      <c r="A2216" t="inlineStr">
        <is>
          <t>532407-social-history-0-7</t>
        </is>
      </c>
      <c r="B2216" t="inlineStr"/>
      <c r="C2216" t="inlineStr"/>
      <c r="D2216">
        <f>HYPERLINK("http://nlpdeep.cs.uic.edu:8080/proofing/t5/532407-social-history-0-7.pdf","t5/532407-social-history-0-7.pdf")</f>
        <v/>
      </c>
      <c r="E2216" t="n">
        <v>119960</v>
      </c>
      <c r="F2216" t="n">
        <v>532407</v>
      </c>
      <c r="G2216" t="inlineStr">
        <is>
          <t>Physician</t>
        </is>
      </c>
      <c r="H2216" t="inlineStr">
        <is>
          <t>social-history</t>
        </is>
      </c>
      <c r="I2216" t="inlineStr">
        <is>
          <t>Denies IV, illicit, or herbal drug
   use.</t>
        </is>
      </c>
    </row>
    <row r="2217">
      <c r="A2217" t="inlineStr">
        <is>
          <t>532407-social-history-0-7</t>
        </is>
      </c>
      <c r="B2217" t="inlineStr"/>
      <c r="C2217" t="inlineStr"/>
      <c r="D2217">
        <f>HYPERLINK("http://nlpdeep.cs.uic.edu:8080/proofing/gsii/532407-social-history-0-7.pdf","gsii/532407-social-history-0-7.pdf")</f>
        <v/>
      </c>
      <c r="E2217" t="n">
        <v>119960</v>
      </c>
      <c r="F2217" t="n">
        <v>532407</v>
      </c>
      <c r="G2217" t="inlineStr">
        <is>
          <t>Physician</t>
        </is>
      </c>
      <c r="H2217" t="inlineStr">
        <is>
          <t>social-history</t>
        </is>
      </c>
      <c r="I2217" t="inlineStr">
        <is>
          <t>Denies IV, illicit, or herbal drug
   use.</t>
        </is>
      </c>
    </row>
    <row r="2218">
      <c r="A2218" t="inlineStr">
        <is>
          <t>532407-flowsheet-data-vitals-0-0</t>
        </is>
      </c>
      <c r="B2218" t="inlineStr"/>
      <c r="C2218" t="inlineStr"/>
      <c r="D2218">
        <f>HYPERLINK("http://nlpdeep.cs.uic.edu:8080/proofing/t5/532407-flowsheet-data-vitals-0-0.pdf","t5/532407-flowsheet-data-vitals-0-0.pdf")</f>
        <v/>
      </c>
      <c r="E2218" t="n">
        <v>119960</v>
      </c>
      <c r="F2218" t="n">
        <v>532407</v>
      </c>
      <c r="G2218" t="inlineStr">
        <is>
          <t>Physician</t>
        </is>
      </c>
      <c r="H2218" t="inlineStr">
        <is>
          <t>flowsheet-data-vitals</t>
        </is>
      </c>
      <c r="I2218" t="inlineStr">
        <is>
          <t>Vital Signs
   Hemodynamic monitoring
   Fluid Balance
                                                                  24 hours
                                                               Since [**42**] AM
   Tmax: 32.9
C (91.2
   Tcurrent: 32.9
C (91.2
   HR: 65 (65 - 71) bpm
   BP: 96/63(70) {96/63(70) - 151/105(169)} mmHg
   RR: 13 (13 - 32) insp/min
   SpO2: 98%
   Heart rhythm: AF (Atrial Fibrillation)
             Total In:
             26 mL
   PO:
             TF:
   IVF:
   26 mL
   Blood products:
   Total out:
                                                                      0 mL
                                                                    400 mL
   Urine:
   NG:
   Stool:
   Drains:
   Balance:
                                                                      0 mL
                                                                   -375 mL
   Respiratory
   O2 Delivery Device: Nasal cannula
   SpO2: 98%</t>
        </is>
      </c>
    </row>
    <row r="2219">
      <c r="A2219" t="inlineStr">
        <is>
          <t>532407-flowsheet-data-vitals-0-0</t>
        </is>
      </c>
      <c r="B2219" t="inlineStr"/>
      <c r="C2219" t="inlineStr"/>
      <c r="D2219">
        <f>HYPERLINK("http://nlpdeep.cs.uic.edu:8080/proofing/gsii/532407-flowsheet-data-vitals-0-0.pdf","gsii/532407-flowsheet-data-vitals-0-0.pdf")</f>
        <v/>
      </c>
      <c r="E2219" t="n">
        <v>119960</v>
      </c>
      <c r="F2219" t="n">
        <v>532407</v>
      </c>
      <c r="G2219" t="inlineStr">
        <is>
          <t>Physician</t>
        </is>
      </c>
      <c r="H2219" t="inlineStr">
        <is>
          <t>flowsheet-data-vitals</t>
        </is>
      </c>
      <c r="I2219" t="inlineStr">
        <is>
          <t>Vital Signs
   Hemodynamic monitoring
   Fluid Balance
                                                                  24 hours
                                                               Since [**42**] AM
   Tmax: 32.9
C (91.2
   Tcurrent: 32.9
C (91.2
   HR: 65 (65 - 71) bpm
   BP: 96/63(70) {96/63(70) - 151/105(169)} mmHg
   RR: 13 (13 - 32) insp/min
   SpO2: 98%
   Heart rhythm: AF (Atrial Fibrillation)
             Total In:
             26 mL
   PO:
             TF:
   IVF:
   26 mL
   Blood products:
   Total out:
                                                                      0 mL
                                                                    400 mL
   Urine:
   NG:
   Stool:
   Drains:
   Balance:
                                                                      0 mL
                                                                   -375 mL
   Respiratory
   O2 Delivery Device: Nasal cannula
   SpO2: 98%</t>
        </is>
      </c>
    </row>
    <row r="2220">
      <c r="A2220" t="inlineStr">
        <is>
          <t>532407-physical-examination-0-0</t>
        </is>
      </c>
      <c r="B2220" t="inlineStr"/>
      <c r="C2220" t="inlineStr"/>
      <c r="D2220">
        <f>HYPERLINK("http://nlpdeep.cs.uic.edu:8080/proofing/t5/532407-physical-examination-0-0.pdf","t5/532407-physical-examination-0-0.pdf")</f>
        <v/>
      </c>
      <c r="E2220" t="n">
        <v>119960</v>
      </c>
      <c r="F2220" t="n">
        <v>532407</v>
      </c>
      <c r="G2220" t="inlineStr">
        <is>
          <t>Physician</t>
        </is>
      </c>
      <c r="H2220" t="inlineStr">
        <is>
          <t>physical-examination</t>
        </is>
      </c>
      <c r="I2220" t="inlineStr">
        <is>
          <t>General: Alert, oriented, breathing heavily and appears in pain
   HEENT: Sclera anicteric, MMM
   Neck: supple, JVP 11 cm
   Lungs: Clear to auscultation bilaterally anteriorly but difficult to
   assess with much transmitted upper airway sounds, no wheezes, rales,
   ronchi
   CV: Irregularly irregular rhythm, normal rate, distant heart sounds, no
   murmurs, rubs, gallops
   Abdomen:  soft, non-tender, non-distended, bowel sounds present, no
   rebound tenderness or guarding
   GU: foley
   Ext: cool, 2+ DP pulses bilaterally, no clubbing.</t>
        </is>
      </c>
    </row>
    <row r="2221">
      <c r="A2221" t="inlineStr">
        <is>
          <t>532407-physical-examination-0-0</t>
        </is>
      </c>
      <c r="B2221" t="inlineStr"/>
      <c r="C2221" t="inlineStr"/>
      <c r="D2221">
        <f>HYPERLINK("http://nlpdeep.cs.uic.edu:8080/proofing/gsii/532407-physical-examination-0-0.pdf","gsii/532407-physical-examination-0-0.pdf")</f>
        <v/>
      </c>
      <c r="E2221" t="n">
        <v>119960</v>
      </c>
      <c r="F2221" t="n">
        <v>532407</v>
      </c>
      <c r="G2221" t="inlineStr">
        <is>
          <t>Physician</t>
        </is>
      </c>
      <c r="H2221" t="inlineStr">
        <is>
          <t>physical-examination</t>
        </is>
      </c>
      <c r="I2221" t="inlineStr">
        <is>
          <t>General: Alert, oriented, breathing heavily and appears in pain
   HEENT: Sclera anicteric, MMM
   Neck: supple, JVP 11 cm
   Lungs: Clear to auscultation bilaterally anteriorly but difficult to
   assess with much transmitted upper airway sounds, no wheezes, rales,
   ronchi
   CV: Irregularly irregular rhythm, normal rate, distant heart sounds, no
   murmurs, rubs, gallops
   Abdomen:  soft, non-tender, non-distended, bowel sounds present, no
   rebound tenderness or guarding
   GU: foley
   Ext: cool, 2+ DP pulses bilaterally, no clubbing.</t>
        </is>
      </c>
    </row>
    <row r="2222">
      <c r="A2222" t="inlineStr">
        <is>
          <t>532407-physical-examination-0-1</t>
        </is>
      </c>
      <c r="B2222" t="inlineStr"/>
      <c r="C2222" t="inlineStr"/>
      <c r="D2222">
        <f>HYPERLINK("http://nlpdeep.cs.uic.edu:8080/proofing/t5/532407-physical-examination-0-1.pdf","t5/532407-physical-examination-0-1.pdf")</f>
        <v/>
      </c>
      <c r="E2222" t="n">
        <v>119960</v>
      </c>
      <c r="F2222" t="n">
        <v>532407</v>
      </c>
      <c r="G2222" t="inlineStr">
        <is>
          <t>Physician</t>
        </is>
      </c>
      <c r="H2222" t="inlineStr">
        <is>
          <t>physical-examination</t>
        </is>
      </c>
      <c r="I2222" t="inlineStr">
        <is>
          <t>[**2-1**]+ pitting edema
   bilaterally; lower legs wrapped in ACE bandages.</t>
        </is>
      </c>
    </row>
    <row r="2223">
      <c r="A2223" t="inlineStr">
        <is>
          <t>532407-physical-examination-0-1</t>
        </is>
      </c>
      <c r="B2223" t="inlineStr"/>
      <c r="C2223" t="inlineStr"/>
      <c r="D2223">
        <f>HYPERLINK("http://nlpdeep.cs.uic.edu:8080/proofing/gsii/532407-physical-examination-0-1.pdf","gsii/532407-physical-examination-0-1.pdf")</f>
        <v/>
      </c>
      <c r="E2223" t="n">
        <v>119960</v>
      </c>
      <c r="F2223" t="n">
        <v>532407</v>
      </c>
      <c r="G2223" t="inlineStr">
        <is>
          <t>Physician</t>
        </is>
      </c>
      <c r="H2223" t="inlineStr">
        <is>
          <t>physical-examination</t>
        </is>
      </c>
      <c r="I2223" t="inlineStr">
        <is>
          <t>[**2-1**]+ pitting edema
   bilaterally; lower legs wrapped in ACE bandages.</t>
        </is>
      </c>
    </row>
    <row r="2224">
      <c r="A2224" t="inlineStr">
        <is>
          <t>532407-physical-examination-0-2</t>
        </is>
      </c>
      <c r="B2224" t="inlineStr"/>
      <c r="C2224" t="inlineStr"/>
      <c r="D2224">
        <f>HYPERLINK("http://nlpdeep.cs.uic.edu:8080/proofing/t5/532407-physical-examination-0-2.pdf","t5/532407-physical-examination-0-2.pdf")</f>
        <v/>
      </c>
      <c r="E2224" t="n">
        <v>119960</v>
      </c>
      <c r="F2224" t="n">
        <v>532407</v>
      </c>
      <c r="G2224" t="inlineStr">
        <is>
          <t>Physician</t>
        </is>
      </c>
      <c r="H2224" t="inlineStr">
        <is>
          <t>physical-examination</t>
        </is>
      </c>
      <c r="I2224" t="inlineStr">
        <is>
          <t>Multiple small
   ecchymoses on UE bilaterally.</t>
        </is>
      </c>
    </row>
    <row r="2225">
      <c r="A2225" t="inlineStr">
        <is>
          <t>532407-physical-examination-0-2</t>
        </is>
      </c>
      <c r="B2225" t="inlineStr"/>
      <c r="C2225" t="inlineStr"/>
      <c r="D2225">
        <f>HYPERLINK("http://nlpdeep.cs.uic.edu:8080/proofing/gsii/532407-physical-examination-0-2.pdf","gsii/532407-physical-examination-0-2.pdf")</f>
        <v/>
      </c>
      <c r="E2225" t="n">
        <v>119960</v>
      </c>
      <c r="F2225" t="n">
        <v>532407</v>
      </c>
      <c r="G2225" t="inlineStr">
        <is>
          <t>Physician</t>
        </is>
      </c>
      <c r="H2225" t="inlineStr">
        <is>
          <t>physical-examination</t>
        </is>
      </c>
      <c r="I2225" t="inlineStr">
        <is>
          <t>Multiple small
   ecchymoses on UE bilaterally.</t>
        </is>
      </c>
    </row>
    <row r="2226">
      <c r="A2226" t="inlineStr">
        <is>
          <t>532407-physical-examination-0-3</t>
        </is>
      </c>
      <c r="B2226" t="inlineStr"/>
      <c r="C2226" t="inlineStr"/>
      <c r="D2226">
        <f>HYPERLINK("http://nlpdeep.cs.uic.edu:8080/proofing/t5/532407-physical-examination-0-3.pdf","t5/532407-physical-examination-0-3.pdf")</f>
        <v/>
      </c>
      <c r="E2226" t="n">
        <v>119960</v>
      </c>
      <c r="F2226" t="n">
        <v>532407</v>
      </c>
      <c r="G2226" t="inlineStr">
        <is>
          <t>Physician</t>
        </is>
      </c>
      <c r="H2226" t="inlineStr">
        <is>
          <t>physical-examination</t>
        </is>
      </c>
      <c r="I2226" t="inlineStr">
        <is>
          <t>Left leg externally rotated and
   shortened, with ecchymosis noted on lateral hip area.</t>
        </is>
      </c>
    </row>
    <row r="2227">
      <c r="A2227" t="inlineStr">
        <is>
          <t>532407-physical-examination-0-3</t>
        </is>
      </c>
      <c r="B2227" t="inlineStr"/>
      <c r="C2227" t="inlineStr"/>
      <c r="D2227">
        <f>HYPERLINK("http://nlpdeep.cs.uic.edu:8080/proofing/gsii/532407-physical-examination-0-3.pdf","gsii/532407-physical-examination-0-3.pdf")</f>
        <v/>
      </c>
      <c r="E2227" t="n">
        <v>119960</v>
      </c>
      <c r="F2227" t="n">
        <v>532407</v>
      </c>
      <c r="G2227" t="inlineStr">
        <is>
          <t>Physician</t>
        </is>
      </c>
      <c r="H2227" t="inlineStr">
        <is>
          <t>physical-examination</t>
        </is>
      </c>
      <c r="I2227" t="inlineStr">
        <is>
          <t>Left leg externally rotated and
   shortened, with ecchymosis noted on lateral hip area.</t>
        </is>
      </c>
    </row>
    <row r="2228">
      <c r="A2228" t="inlineStr">
        <is>
          <t>532407-labs-imaging-0-0</t>
        </is>
      </c>
      <c r="B2228" t="inlineStr"/>
      <c r="C2228" t="inlineStr"/>
      <c r="D2228">
        <f>HYPERLINK("http://nlpdeep.cs.uic.edu:8080/proofing/t5/532407-labs-imaging-0-0.pdf","t5/532407-labs-imaging-0-0.pdf")</f>
        <v/>
      </c>
      <c r="E2228" t="n">
        <v>119960</v>
      </c>
      <c r="F2228" t="n">
        <v>532407</v>
      </c>
      <c r="G2228" t="inlineStr">
        <is>
          <t>Physician</t>
        </is>
      </c>
      <c r="H2228" t="inlineStr">
        <is>
          <t>labs-imaging</t>
        </is>
      </c>
      <c r="I2228" t="inlineStr">
        <is>
          <t>128 K/uL
   7.8 g/dL
   101 mEq/L
   5.1 mEq/L
   140 mEq/L
   22.8 %
   8.2 K/uL
        [image002.jpg]
                                  [**2136-12-31**]
                          2:33 A4/8/[**2140**]  08:20 PM
                                  [**2137-1-4**]
                                   10:20 P
                                  [**2137-1-5**]
                                   1:20 P
                                  [**2137-1-6**]
                                   11:50 P
                                  [**2137-1-7**]
                                   1:20 A
                                  [**2137-1-8**]
                                   7:20 P
                                  1//11/006
                                   1:23 P
                                  [**2137-1-31**]
                                   1:20 P
                                  [**2137-1-31**]
                                   11:20 P
                                  [**2137-1-31**]
                                   4:20 P
   WBC
                                     8.2
   Hct
                                    22.8
   Plt
                                     128
   Other labs: Lactic Acid:0.9 mmol/L, Mg++:2.1 mg/dL, PO4:5.0 mg/dL
   Micro: blood cx
 pending
   [**4-6**] CT Ab/pelvis w/o contrast: 1.</t>
        </is>
      </c>
    </row>
    <row r="2229">
      <c r="A2229" t="inlineStr">
        <is>
          <t>532407-labs-imaging-0-0</t>
        </is>
      </c>
      <c r="B2229" t="inlineStr"/>
      <c r="C2229" t="inlineStr"/>
      <c r="D2229">
        <f>HYPERLINK("http://nlpdeep.cs.uic.edu:8080/proofing/gsii/532407-labs-imaging-0-0.pdf","gsii/532407-labs-imaging-0-0.pdf")</f>
        <v/>
      </c>
      <c r="E2229" t="n">
        <v>119960</v>
      </c>
      <c r="F2229" t="n">
        <v>532407</v>
      </c>
      <c r="G2229" t="inlineStr">
        <is>
          <t>Physician</t>
        </is>
      </c>
      <c r="H2229" t="inlineStr">
        <is>
          <t>labs-imaging</t>
        </is>
      </c>
      <c r="I2229" t="inlineStr">
        <is>
          <t>128 K/uL
   7.8 g/dL
   101 mEq/L
   5.1 mEq/L
   140 mEq/L
   22.8 %
   8.2 K/uL
        [image002.jpg]
                                  [**2136-12-31**]
                          2:33 A4/8/[**2140**]  08:20 PM
                                  [**2137-1-4**]
                                   10:20 P
                                  [**2137-1-5**]
                                   1:20 P
                                  [**2137-1-6**]
                                   11:50 P
                                  [**2137-1-7**]
                                   1:20 A
                                  [**2137-1-8**]
                                   7:20 P
                                  1//11/006
                                   1:23 P
                                  [**2137-1-31**]
                                   1:20 P
                                  [**2137-1-31**]
                                   11:20 P
                                  [**2137-1-31**]
                                   4:20 P
   WBC
                                     8.2
   Hct
                                    22.8
   Plt
                                     128
   Other labs: Lactic Acid:0.9 mmol/L, Mg++:2.1 mg/dL, PO4:5.0 mg/dL
   Micro: blood cx
 pending
   [**4-6**] CT Ab/pelvis w/o contrast: 1.</t>
        </is>
      </c>
    </row>
    <row r="2230">
      <c r="A2230" t="inlineStr">
        <is>
          <t>532407-labs-imaging-0-1</t>
        </is>
      </c>
      <c r="B2230" t="inlineStr"/>
      <c r="C2230" t="inlineStr"/>
      <c r="D2230">
        <f>HYPERLINK("http://nlpdeep.cs.uic.edu:8080/proofing/t5/532407-labs-imaging-0-1.pdf","t5/532407-labs-imaging-0-1.pdf")</f>
        <v/>
      </c>
      <c r="E2230" t="n">
        <v>119960</v>
      </c>
      <c r="F2230" t="n">
        <v>532407</v>
      </c>
      <c r="G2230" t="inlineStr">
        <is>
          <t>Physician</t>
        </is>
      </c>
      <c r="H2230" t="inlineStr">
        <is>
          <t>labs-imaging</t>
        </is>
      </c>
      <c r="I2230" t="inlineStr">
        <is>
          <t>Left intertrochanteric hip fracture.</t>
        </is>
      </c>
    </row>
    <row r="2231">
      <c r="A2231" t="inlineStr">
        <is>
          <t>532407-labs-imaging-0-1</t>
        </is>
      </c>
      <c r="B2231" t="inlineStr"/>
      <c r="C2231" t="inlineStr"/>
      <c r="D2231">
        <f>HYPERLINK("http://nlpdeep.cs.uic.edu:8080/proofing/gsii/532407-labs-imaging-0-1.pdf","gsii/532407-labs-imaging-0-1.pdf")</f>
        <v/>
      </c>
      <c r="E2231" t="n">
        <v>119960</v>
      </c>
      <c r="F2231" t="n">
        <v>532407</v>
      </c>
      <c r="G2231" t="inlineStr">
        <is>
          <t>Physician</t>
        </is>
      </c>
      <c r="H2231" t="inlineStr">
        <is>
          <t>labs-imaging</t>
        </is>
      </c>
      <c r="I2231" t="inlineStr">
        <is>
          <t>Left intertrochanteric hip fracture.</t>
        </is>
      </c>
    </row>
    <row r="2232">
      <c r="A2232" t="inlineStr">
        <is>
          <t>532407-labs-imaging-0-2</t>
        </is>
      </c>
      <c r="B2232" t="inlineStr"/>
      <c r="C2232" t="inlineStr"/>
      <c r="D2232">
        <f>HYPERLINK("http://nlpdeep.cs.uic.edu:8080/proofing/t5/532407-labs-imaging-0-2.pdf","t5/532407-labs-imaging-0-2.pdf")</f>
        <v/>
      </c>
      <c r="E2232" t="n">
        <v>119960</v>
      </c>
      <c r="F2232" t="n">
        <v>532407</v>
      </c>
      <c r="G2232" t="inlineStr">
        <is>
          <t>Physician</t>
        </is>
      </c>
      <c r="H2232" t="inlineStr">
        <is>
          <t>labs-imaging</t>
        </is>
      </c>
      <c r="I2232" t="inlineStr">
        <is>
          <t>Large left adrenal mass, which is not characterized on non-contrast
   examination.</t>
        </is>
      </c>
    </row>
    <row r="2233">
      <c r="A2233" t="inlineStr">
        <is>
          <t>532407-labs-imaging-0-2</t>
        </is>
      </c>
      <c r="B2233" t="inlineStr"/>
      <c r="C2233" t="inlineStr"/>
      <c r="D2233">
        <f>HYPERLINK("http://nlpdeep.cs.uic.edu:8080/proofing/gsii/532407-labs-imaging-0-2.pdf","gsii/532407-labs-imaging-0-2.pdf")</f>
        <v/>
      </c>
      <c r="E2233" t="n">
        <v>119960</v>
      </c>
      <c r="F2233" t="n">
        <v>532407</v>
      </c>
      <c r="G2233" t="inlineStr">
        <is>
          <t>Physician</t>
        </is>
      </c>
      <c r="H2233" t="inlineStr">
        <is>
          <t>labs-imaging</t>
        </is>
      </c>
      <c r="I2233" t="inlineStr">
        <is>
          <t>Large left adrenal mass, which is not characterized on non-contrast
   examination.</t>
        </is>
      </c>
    </row>
    <row r="2234">
      <c r="A2234" t="inlineStr">
        <is>
          <t>532407-labs-imaging-0-3</t>
        </is>
      </c>
      <c r="B2234" t="inlineStr"/>
      <c r="C2234" t="inlineStr"/>
      <c r="D2234">
        <f>HYPERLINK("http://nlpdeep.cs.uic.edu:8080/proofing/t5/532407-labs-imaging-0-3.pdf","t5/532407-labs-imaging-0-3.pdf")</f>
        <v/>
      </c>
      <c r="E2234" t="n">
        <v>119960</v>
      </c>
      <c r="F2234" t="n">
        <v>532407</v>
      </c>
      <c r="G2234" t="inlineStr">
        <is>
          <t>Physician</t>
        </is>
      </c>
      <c r="H2234" t="inlineStr">
        <is>
          <t>labs-imaging</t>
        </is>
      </c>
      <c r="I2234" t="inlineStr">
        <is>
          <t>However, the imaging features are not consistent with an
   adrenal hematoma.</t>
        </is>
      </c>
    </row>
    <row r="2235">
      <c r="A2235" t="inlineStr">
        <is>
          <t>532407-labs-imaging-0-3</t>
        </is>
      </c>
      <c r="B2235" t="inlineStr"/>
      <c r="C2235" t="inlineStr"/>
      <c r="D2235">
        <f>HYPERLINK("http://nlpdeep.cs.uic.edu:8080/proofing/gsii/532407-labs-imaging-0-3.pdf","gsii/532407-labs-imaging-0-3.pdf")</f>
        <v/>
      </c>
      <c r="E2235" t="n">
        <v>119960</v>
      </c>
      <c r="F2235" t="n">
        <v>532407</v>
      </c>
      <c r="G2235" t="inlineStr">
        <is>
          <t>Physician</t>
        </is>
      </c>
      <c r="H2235" t="inlineStr">
        <is>
          <t>labs-imaging</t>
        </is>
      </c>
      <c r="I2235" t="inlineStr">
        <is>
          <t>However, the imaging features are not consistent with an
   adrenal hematoma.</t>
        </is>
      </c>
    </row>
    <row r="2236">
      <c r="A2236" t="inlineStr">
        <is>
          <t>532407-labs-imaging-0-4</t>
        </is>
      </c>
      <c r="B2236" t="inlineStr"/>
      <c r="C2236" t="inlineStr"/>
      <c r="D2236">
        <f>HYPERLINK("http://nlpdeep.cs.uic.edu:8080/proofing/t5/532407-labs-imaging-0-4.pdf","t5/532407-labs-imaging-0-4.pdf")</f>
        <v/>
      </c>
      <c r="E2236" t="n">
        <v>119960</v>
      </c>
      <c r="F2236" t="n">
        <v>532407</v>
      </c>
      <c r="G2236" t="inlineStr">
        <is>
          <t>Physician</t>
        </is>
      </c>
      <c r="H2236" t="inlineStr">
        <is>
          <t>labs-imaging</t>
        </is>
      </c>
      <c r="I2236" t="inlineStr">
        <is>
          <t>A nonurgent adrenal MR recommended for further
   characterization.</t>
        </is>
      </c>
    </row>
    <row r="2237">
      <c r="A2237" t="inlineStr">
        <is>
          <t>532407-labs-imaging-0-4</t>
        </is>
      </c>
      <c r="B2237" t="inlineStr"/>
      <c r="C2237" t="inlineStr"/>
      <c r="D2237">
        <f>HYPERLINK("http://nlpdeep.cs.uic.edu:8080/proofing/gsii/532407-labs-imaging-0-4.pdf","gsii/532407-labs-imaging-0-4.pdf")</f>
        <v/>
      </c>
      <c r="E2237" t="n">
        <v>119960</v>
      </c>
      <c r="F2237" t="n">
        <v>532407</v>
      </c>
      <c r="G2237" t="inlineStr">
        <is>
          <t>Physician</t>
        </is>
      </c>
      <c r="H2237" t="inlineStr">
        <is>
          <t>labs-imaging</t>
        </is>
      </c>
      <c r="I2237" t="inlineStr">
        <is>
          <t>A nonurgent adrenal MR recommended for further
   characterization.</t>
        </is>
      </c>
    </row>
    <row r="2238">
      <c r="A2238" t="inlineStr">
        <is>
          <t>532407-labs-imaging-0-5</t>
        </is>
      </c>
      <c r="B2238" t="inlineStr"/>
      <c r="C2238" t="inlineStr"/>
      <c r="D2238">
        <f>HYPERLINK("http://nlpdeep.cs.uic.edu:8080/proofing/t5/532407-labs-imaging-0-5.pdf","t5/532407-labs-imaging-0-5.pdf")</f>
        <v/>
      </c>
      <c r="E2238" t="n">
        <v>119960</v>
      </c>
      <c r="F2238" t="n">
        <v>532407</v>
      </c>
      <c r="G2238" t="inlineStr">
        <is>
          <t>Physician</t>
        </is>
      </c>
      <c r="H2238" t="inlineStr">
        <is>
          <t>labs-imaging</t>
        </is>
      </c>
      <c r="I2238" t="inlineStr">
        <is>
          <t>Cholelithiasis.</t>
        </is>
      </c>
    </row>
    <row r="2239">
      <c r="A2239" t="inlineStr">
        <is>
          <t>532407-labs-imaging-0-5</t>
        </is>
      </c>
      <c r="B2239" t="inlineStr"/>
      <c r="C2239" t="inlineStr"/>
      <c r="D2239">
        <f>HYPERLINK("http://nlpdeep.cs.uic.edu:8080/proofing/gsii/532407-labs-imaging-0-5.pdf","gsii/532407-labs-imaging-0-5.pdf")</f>
        <v/>
      </c>
      <c r="E2239" t="n">
        <v>119960</v>
      </c>
      <c r="F2239" t="n">
        <v>532407</v>
      </c>
      <c r="G2239" t="inlineStr">
        <is>
          <t>Physician</t>
        </is>
      </c>
      <c r="H2239" t="inlineStr">
        <is>
          <t>labs-imaging</t>
        </is>
      </c>
      <c r="I2239" t="inlineStr">
        <is>
          <t>Cholelithiasis.</t>
        </is>
      </c>
    </row>
    <row r="2240">
      <c r="A2240" t="inlineStr">
        <is>
          <t>532407-labs-imaging-0-6</t>
        </is>
      </c>
      <c r="B2240" t="inlineStr"/>
      <c r="C2240" t="inlineStr"/>
      <c r="D2240">
        <f>HYPERLINK("http://nlpdeep.cs.uic.edu:8080/proofing/t5/532407-labs-imaging-0-6.pdf","t5/532407-labs-imaging-0-6.pdf")</f>
        <v/>
      </c>
      <c r="E2240" t="n">
        <v>119960</v>
      </c>
      <c r="F2240" t="n">
        <v>532407</v>
      </c>
      <c r="G2240" t="inlineStr">
        <is>
          <t>Physician</t>
        </is>
      </c>
      <c r="H2240" t="inlineStr">
        <is>
          <t>labs-imaging</t>
        </is>
      </c>
      <c r="I2240" t="inlineStr">
        <is>
          <t>Atherosclerotic calcification
   of the abdominal aorta and its branches.</t>
        </is>
      </c>
    </row>
    <row r="2241">
      <c r="A2241" t="inlineStr">
        <is>
          <t>532407-labs-imaging-0-6</t>
        </is>
      </c>
      <c r="B2241" t="inlineStr"/>
      <c r="C2241" t="inlineStr"/>
      <c r="D2241">
        <f>HYPERLINK("http://nlpdeep.cs.uic.edu:8080/proofing/gsii/532407-labs-imaging-0-6.pdf","gsii/532407-labs-imaging-0-6.pdf")</f>
        <v/>
      </c>
      <c r="E2241" t="n">
        <v>119960</v>
      </c>
      <c r="F2241" t="n">
        <v>532407</v>
      </c>
      <c r="G2241" t="inlineStr">
        <is>
          <t>Physician</t>
        </is>
      </c>
      <c r="H2241" t="inlineStr">
        <is>
          <t>labs-imaging</t>
        </is>
      </c>
      <c r="I2241" t="inlineStr">
        <is>
          <t>Atherosclerotic calcification
   of the abdominal aorta and its branches.</t>
        </is>
      </c>
    </row>
    <row r="2242">
      <c r="A2242" t="inlineStr">
        <is>
          <t>532407-labs-imaging-0-7</t>
        </is>
      </c>
      <c r="B2242" t="inlineStr"/>
      <c r="C2242" t="inlineStr"/>
      <c r="D2242">
        <f>HYPERLINK("http://nlpdeep.cs.uic.edu:8080/proofing/t5/532407-labs-imaging-0-7.pdf","t5/532407-labs-imaging-0-7.pdf")</f>
        <v/>
      </c>
      <c r="E2242" t="n">
        <v>119960</v>
      </c>
      <c r="F2242" t="n">
        <v>532407</v>
      </c>
      <c r="G2242" t="inlineStr">
        <is>
          <t>Physician</t>
        </is>
      </c>
      <c r="H2242" t="inlineStr">
        <is>
          <t>labs-imaging</t>
        </is>
      </c>
      <c r="I2242" t="inlineStr">
        <is>
          <t>No evidence of
   retroperitoneal hematoma.</t>
        </is>
      </c>
    </row>
    <row r="2243">
      <c r="A2243" t="inlineStr">
        <is>
          <t>532407-labs-imaging-0-7</t>
        </is>
      </c>
      <c r="B2243" t="inlineStr"/>
      <c r="C2243" t="inlineStr"/>
      <c r="D2243">
        <f>HYPERLINK("http://nlpdeep.cs.uic.edu:8080/proofing/gsii/532407-labs-imaging-0-7.pdf","gsii/532407-labs-imaging-0-7.pdf")</f>
        <v/>
      </c>
      <c r="E2243" t="n">
        <v>119960</v>
      </c>
      <c r="F2243" t="n">
        <v>532407</v>
      </c>
      <c r="G2243" t="inlineStr">
        <is>
          <t>Physician</t>
        </is>
      </c>
      <c r="H2243" t="inlineStr">
        <is>
          <t>labs-imaging</t>
        </is>
      </c>
      <c r="I2243" t="inlineStr">
        <is>
          <t>No evidence of
   retroperitoneal hematoma.</t>
        </is>
      </c>
    </row>
    <row r="2244">
      <c r="A2244" t="inlineStr">
        <is>
          <t>532407-labs-imaging-0-8</t>
        </is>
      </c>
      <c r="B2244" t="inlineStr"/>
      <c r="C2244" t="inlineStr"/>
      <c r="D2244">
        <f>HYPERLINK("http://nlpdeep.cs.uic.edu:8080/proofing/t5/532407-labs-imaging-0-8.pdf","t5/532407-labs-imaging-0-8.pdf")</f>
        <v/>
      </c>
      <c r="E2244" t="n">
        <v>119960</v>
      </c>
      <c r="F2244" t="n">
        <v>532407</v>
      </c>
      <c r="G2244" t="inlineStr">
        <is>
          <t>Physician</t>
        </is>
      </c>
      <c r="H2244" t="inlineStr">
        <is>
          <t>labs-imaging</t>
        </is>
      </c>
      <c r="I2244" t="inlineStr">
        <is>
          <t>Prostatic enlargement.</t>
        </is>
      </c>
    </row>
    <row r="2245">
      <c r="A2245" t="inlineStr">
        <is>
          <t>532407-labs-imaging-0-8</t>
        </is>
      </c>
      <c r="B2245" t="inlineStr"/>
      <c r="C2245" t="inlineStr"/>
      <c r="D2245">
        <f>HYPERLINK("http://nlpdeep.cs.uic.edu:8080/proofing/gsii/532407-labs-imaging-0-8.pdf","gsii/532407-labs-imaging-0-8.pdf")</f>
        <v/>
      </c>
      <c r="E2245" t="n">
        <v>119960</v>
      </c>
      <c r="F2245" t="n">
        <v>532407</v>
      </c>
      <c r="G2245" t="inlineStr">
        <is>
          <t>Physician</t>
        </is>
      </c>
      <c r="H2245" t="inlineStr">
        <is>
          <t>labs-imaging</t>
        </is>
      </c>
      <c r="I2245" t="inlineStr">
        <is>
          <t>Prostatic enlargement.</t>
        </is>
      </c>
    </row>
    <row r="2246">
      <c r="A2246" t="inlineStr">
        <is>
          <t>532407-labs-imaging-1-0</t>
        </is>
      </c>
      <c r="B2246" t="inlineStr"/>
      <c r="C2246" t="inlineStr"/>
      <c r="D2246">
        <f>HYPERLINK("http://nlpdeep.cs.uic.edu:8080/proofing/t5/532407-labs-imaging-1-0.pdf","t5/532407-labs-imaging-1-0.pdf")</f>
        <v/>
      </c>
      <c r="E2246" t="n">
        <v>119960</v>
      </c>
      <c r="F2246" t="n">
        <v>532407</v>
      </c>
      <c r="G2246" t="inlineStr">
        <is>
          <t>Physician</t>
        </is>
      </c>
      <c r="H2246" t="inlineStr">
        <is>
          <t>labs-imaging</t>
        </is>
      </c>
      <c r="I2246" t="inlineStr"/>
    </row>
    <row r="2247">
      <c r="A2247" t="inlineStr">
        <is>
          <t>532407-labs-imaging-1-0</t>
        </is>
      </c>
      <c r="B2247" t="inlineStr"/>
      <c r="C2247" t="inlineStr"/>
      <c r="D2247">
        <f>HYPERLINK("http://nlpdeep.cs.uic.edu:8080/proofing/gsii/532407-labs-imaging-1-0.pdf","gsii/532407-labs-imaging-1-0.pdf")</f>
        <v/>
      </c>
      <c r="E2247" t="n">
        <v>119960</v>
      </c>
      <c r="F2247" t="n">
        <v>532407</v>
      </c>
      <c r="G2247" t="inlineStr">
        <is>
          <t>Physician</t>
        </is>
      </c>
      <c r="H2247" t="inlineStr">
        <is>
          <t>labs-imaging</t>
        </is>
      </c>
      <c r="I2247" t="inlineStr"/>
    </row>
    <row r="2248">
      <c r="A2248" t="inlineStr">
        <is>
          <t>532407-labs-imaging-2-0</t>
        </is>
      </c>
      <c r="B2248" t="inlineStr"/>
      <c r="C2248" t="inlineStr"/>
      <c r="D2248">
        <f>HYPERLINK("http://nlpdeep.cs.uic.edu:8080/proofing/t5/532407-labs-imaging-2-0.pdf","t5/532407-labs-imaging-2-0.pdf")</f>
        <v/>
      </c>
      <c r="E2248" t="n">
        <v>119960</v>
      </c>
      <c r="F2248" t="n">
        <v>532407</v>
      </c>
      <c r="G2248" t="inlineStr">
        <is>
          <t>Physician</t>
        </is>
      </c>
      <c r="H2248" t="inlineStr">
        <is>
          <t>labs-imaging</t>
        </is>
      </c>
      <c r="I2248" t="inlineStr"/>
    </row>
    <row r="2249">
      <c r="A2249" t="inlineStr">
        <is>
          <t>532407-labs-imaging-2-0</t>
        </is>
      </c>
      <c r="B2249" t="inlineStr"/>
      <c r="C2249" t="inlineStr"/>
      <c r="D2249">
        <f>HYPERLINK("http://nlpdeep.cs.uic.edu:8080/proofing/gsii/532407-labs-imaging-2-0.pdf","gsii/532407-labs-imaging-2-0.pdf")</f>
        <v/>
      </c>
      <c r="E2249" t="n">
        <v>119960</v>
      </c>
      <c r="F2249" t="n">
        <v>532407</v>
      </c>
      <c r="G2249" t="inlineStr">
        <is>
          <t>Physician</t>
        </is>
      </c>
      <c r="H2249" t="inlineStr">
        <is>
          <t>labs-imaging</t>
        </is>
      </c>
      <c r="I2249" t="inlineStr"/>
    </row>
    <row r="2250">
      <c r="A2250" t="inlineStr">
        <is>
          <t>532407-labs-imaging-3-0</t>
        </is>
      </c>
      <c r="B2250" t="inlineStr"/>
      <c r="C2250" t="inlineStr"/>
      <c r="D2250">
        <f>HYPERLINK("http://nlpdeep.cs.uic.edu:8080/proofing/t5/532407-labs-imaging-3-0.pdf","t5/532407-labs-imaging-3-0.pdf")</f>
        <v/>
      </c>
      <c r="E2250" t="n">
        <v>119960</v>
      </c>
      <c r="F2250" t="n">
        <v>532407</v>
      </c>
      <c r="G2250" t="inlineStr">
        <is>
          <t>Physician</t>
        </is>
      </c>
      <c r="H2250" t="inlineStr">
        <is>
          <t>labs-imaging</t>
        </is>
      </c>
      <c r="I2250" t="inlineStr"/>
    </row>
    <row r="2251">
      <c r="A2251" t="inlineStr">
        <is>
          <t>532407-labs-imaging-3-0</t>
        </is>
      </c>
      <c r="B2251" t="inlineStr"/>
      <c r="C2251" t="inlineStr"/>
      <c r="D2251">
        <f>HYPERLINK("http://nlpdeep.cs.uic.edu:8080/proofing/gsii/532407-labs-imaging-3-0.pdf","gsii/532407-labs-imaging-3-0.pdf")</f>
        <v/>
      </c>
      <c r="E2251" t="n">
        <v>119960</v>
      </c>
      <c r="F2251" t="n">
        <v>532407</v>
      </c>
      <c r="G2251" t="inlineStr">
        <is>
          <t>Physician</t>
        </is>
      </c>
      <c r="H2251" t="inlineStr">
        <is>
          <t>labs-imaging</t>
        </is>
      </c>
      <c r="I2251" t="inlineStr"/>
    </row>
    <row r="2252">
      <c r="A2252" t="inlineStr">
        <is>
          <t>532407-labs-imaging-4-0</t>
        </is>
      </c>
      <c r="B2252" t="inlineStr"/>
      <c r="C2252" t="inlineStr"/>
      <c r="D2252">
        <f>HYPERLINK("http://nlpdeep.cs.uic.edu:8080/proofing/t5/532407-labs-imaging-4-0.pdf","t5/532407-labs-imaging-4-0.pdf")</f>
        <v/>
      </c>
      <c r="E2252" t="n">
        <v>119960</v>
      </c>
      <c r="F2252" t="n">
        <v>532407</v>
      </c>
      <c r="G2252" t="inlineStr">
        <is>
          <t>Physician</t>
        </is>
      </c>
      <c r="H2252" t="inlineStr">
        <is>
          <t>labs-imaging</t>
        </is>
      </c>
      <c r="I2252" t="inlineStr">
        <is>
          <t xml:space="preserve">
   [**4-6**] CT C-spine w/o contrast - 1.</t>
        </is>
      </c>
    </row>
    <row r="2253">
      <c r="A2253" t="inlineStr">
        <is>
          <t>532407-labs-imaging-4-0</t>
        </is>
      </c>
      <c r="B2253" t="inlineStr"/>
      <c r="C2253" t="inlineStr"/>
      <c r="D2253">
        <f>HYPERLINK("http://nlpdeep.cs.uic.edu:8080/proofing/gsii/532407-labs-imaging-4-0.pdf","gsii/532407-labs-imaging-4-0.pdf")</f>
        <v/>
      </c>
      <c r="E2253" t="n">
        <v>119960</v>
      </c>
      <c r="F2253" t="n">
        <v>532407</v>
      </c>
      <c r="G2253" t="inlineStr">
        <is>
          <t>Physician</t>
        </is>
      </c>
      <c r="H2253" t="inlineStr">
        <is>
          <t>labs-imaging</t>
        </is>
      </c>
      <c r="I2253" t="inlineStr">
        <is>
          <t xml:space="preserve">
   [**4-6**] CT C-spine w/o contrast - 1.</t>
        </is>
      </c>
    </row>
    <row r="2254">
      <c r="A2254" t="inlineStr">
        <is>
          <t>532407-labs-imaging-4-1</t>
        </is>
      </c>
      <c r="B2254" t="inlineStr"/>
      <c r="C2254" t="inlineStr"/>
      <c r="D2254">
        <f>HYPERLINK("http://nlpdeep.cs.uic.edu:8080/proofing/t5/532407-labs-imaging-4-1.pdf","t5/532407-labs-imaging-4-1.pdf")</f>
        <v/>
      </c>
      <c r="E2254" t="n">
        <v>119960</v>
      </c>
      <c r="F2254" t="n">
        <v>532407</v>
      </c>
      <c r="G2254" t="inlineStr">
        <is>
          <t>Physician</t>
        </is>
      </c>
      <c r="H2254" t="inlineStr">
        <is>
          <t>labs-imaging</t>
        </is>
      </c>
      <c r="I2254" t="inlineStr">
        <is>
          <t>No fracture.</t>
        </is>
      </c>
    </row>
    <row r="2255">
      <c r="A2255" t="inlineStr">
        <is>
          <t>532407-labs-imaging-4-1</t>
        </is>
      </c>
      <c r="B2255" t="inlineStr"/>
      <c r="C2255" t="inlineStr"/>
      <c r="D2255">
        <f>HYPERLINK("http://nlpdeep.cs.uic.edu:8080/proofing/gsii/532407-labs-imaging-4-1.pdf","gsii/532407-labs-imaging-4-1.pdf")</f>
        <v/>
      </c>
      <c r="E2255" t="n">
        <v>119960</v>
      </c>
      <c r="F2255" t="n">
        <v>532407</v>
      </c>
      <c r="G2255" t="inlineStr">
        <is>
          <t>Physician</t>
        </is>
      </c>
      <c r="H2255" t="inlineStr">
        <is>
          <t>labs-imaging</t>
        </is>
      </c>
      <c r="I2255" t="inlineStr">
        <is>
          <t>No fracture.</t>
        </is>
      </c>
    </row>
    <row r="2256">
      <c r="A2256" t="inlineStr">
        <is>
          <t>532407-labs-imaging-4-2</t>
        </is>
      </c>
      <c r="B2256" t="inlineStr"/>
      <c r="C2256" t="inlineStr"/>
      <c r="D2256">
        <f>HYPERLINK("http://nlpdeep.cs.uic.edu:8080/proofing/t5/532407-labs-imaging-4-2.pdf","t5/532407-labs-imaging-4-2.pdf")</f>
        <v/>
      </c>
      <c r="E2256" t="n">
        <v>119960</v>
      </c>
      <c r="F2256" t="n">
        <v>532407</v>
      </c>
      <c r="G2256" t="inlineStr">
        <is>
          <t>Physician</t>
        </is>
      </c>
      <c r="H2256" t="inlineStr">
        <is>
          <t>labs-imaging</t>
        </is>
      </c>
      <c r="I2256" t="inlineStr">
        <is>
          <t>Multilevel
   degenerative change.</t>
        </is>
      </c>
    </row>
    <row r="2257">
      <c r="A2257" t="inlineStr">
        <is>
          <t>532407-labs-imaging-4-2</t>
        </is>
      </c>
      <c r="B2257" t="inlineStr"/>
      <c r="C2257" t="inlineStr"/>
      <c r="D2257">
        <f>HYPERLINK("http://nlpdeep.cs.uic.edu:8080/proofing/gsii/532407-labs-imaging-4-2.pdf","gsii/532407-labs-imaging-4-2.pdf")</f>
        <v/>
      </c>
      <c r="E2257" t="n">
        <v>119960</v>
      </c>
      <c r="F2257" t="n">
        <v>532407</v>
      </c>
      <c r="G2257" t="inlineStr">
        <is>
          <t>Physician</t>
        </is>
      </c>
      <c r="H2257" t="inlineStr">
        <is>
          <t>labs-imaging</t>
        </is>
      </c>
      <c r="I2257" t="inlineStr">
        <is>
          <t>Multilevel
   degenerative change.</t>
        </is>
      </c>
    </row>
    <row r="2258">
      <c r="A2258" t="inlineStr">
        <is>
          <t>532407-labs-imaging-4-3</t>
        </is>
      </c>
      <c r="B2258" t="inlineStr"/>
      <c r="C2258" t="inlineStr"/>
      <c r="D2258">
        <f>HYPERLINK("http://nlpdeep.cs.uic.edu:8080/proofing/t5/532407-labs-imaging-4-3.pdf","t5/532407-labs-imaging-4-3.pdf")</f>
        <v/>
      </c>
      <c r="E2258" t="n">
        <v>119960</v>
      </c>
      <c r="F2258" t="n">
        <v>532407</v>
      </c>
      <c r="G2258" t="inlineStr">
        <is>
          <t>Physician</t>
        </is>
      </c>
      <c r="H2258" t="inlineStr">
        <is>
          <t>labs-imaging</t>
        </is>
      </c>
      <c r="I2258" t="inlineStr">
        <is>
          <t>Grade I anterolisthesis of C7 on T1 and T1 on
   T2, presumably degenerative in nature.</t>
        </is>
      </c>
    </row>
    <row r="2259">
      <c r="A2259" t="inlineStr">
        <is>
          <t>532407-labs-imaging-4-3</t>
        </is>
      </c>
      <c r="B2259" t="inlineStr"/>
      <c r="C2259" t="inlineStr"/>
      <c r="D2259">
        <f>HYPERLINK("http://nlpdeep.cs.uic.edu:8080/proofing/gsii/532407-labs-imaging-4-3.pdf","gsii/532407-labs-imaging-4-3.pdf")</f>
        <v/>
      </c>
      <c r="E2259" t="n">
        <v>119960</v>
      </c>
      <c r="F2259" t="n">
        <v>532407</v>
      </c>
      <c r="G2259" t="inlineStr">
        <is>
          <t>Physician</t>
        </is>
      </c>
      <c r="H2259" t="inlineStr">
        <is>
          <t>labs-imaging</t>
        </is>
      </c>
      <c r="I2259" t="inlineStr">
        <is>
          <t>Grade I anterolisthesis of C7 on T1 and T1 on
   T2, presumably degenerative in nature.</t>
        </is>
      </c>
    </row>
    <row r="2260">
      <c r="A2260" t="inlineStr">
        <is>
          <t>532407-labs-imaging-5-0</t>
        </is>
      </c>
      <c r="B2260" t="inlineStr"/>
      <c r="C2260" t="inlineStr"/>
      <c r="D2260">
        <f>HYPERLINK("http://nlpdeep.cs.uic.edu:8080/proofing/t5/532407-labs-imaging-5-0.pdf","t5/532407-labs-imaging-5-0.pdf")</f>
        <v/>
      </c>
      <c r="E2260" t="n">
        <v>119960</v>
      </c>
      <c r="F2260" t="n">
        <v>532407</v>
      </c>
      <c r="G2260" t="inlineStr">
        <is>
          <t>Physician</t>
        </is>
      </c>
      <c r="H2260" t="inlineStr">
        <is>
          <t>labs-imaging</t>
        </is>
      </c>
      <c r="I2260" t="inlineStr">
        <is>
          <t xml:space="preserve">
   [**4-6**] CT head w/o contrast - There is no hemorrhage, edema, mass effect,
   shift of midline structures, or evidence of major vascular territorial
   infarction.</t>
        </is>
      </c>
    </row>
    <row r="2261">
      <c r="A2261" t="inlineStr">
        <is>
          <t>532407-labs-imaging-5-0</t>
        </is>
      </c>
      <c r="B2261" t="inlineStr"/>
      <c r="C2261" t="inlineStr"/>
      <c r="D2261">
        <f>HYPERLINK("http://nlpdeep.cs.uic.edu:8080/proofing/gsii/532407-labs-imaging-5-0.pdf","gsii/532407-labs-imaging-5-0.pdf")</f>
        <v/>
      </c>
      <c r="E2261" t="n">
        <v>119960</v>
      </c>
      <c r="F2261" t="n">
        <v>532407</v>
      </c>
      <c r="G2261" t="inlineStr">
        <is>
          <t>Physician</t>
        </is>
      </c>
      <c r="H2261" t="inlineStr">
        <is>
          <t>labs-imaging</t>
        </is>
      </c>
      <c r="I2261" t="inlineStr">
        <is>
          <t xml:space="preserve">
   [**4-6**] CT head w/o contrast - There is no hemorrhage, edema, mass effect,
   shift of midline structures, or evidence of major vascular territorial
   infarction.</t>
        </is>
      </c>
    </row>
    <row r="2262">
      <c r="A2262" t="inlineStr">
        <is>
          <t>532407-labs-imaging-5-1</t>
        </is>
      </c>
      <c r="B2262" t="inlineStr"/>
      <c r="C2262" t="inlineStr"/>
      <c r="D2262">
        <f>HYPERLINK("http://nlpdeep.cs.uic.edu:8080/proofing/t5/532407-labs-imaging-5-1.pdf","t5/532407-labs-imaging-5-1.pdf")</f>
        <v/>
      </c>
      <c r="E2262" t="n">
        <v>119960</v>
      </c>
      <c r="F2262" t="n">
        <v>532407</v>
      </c>
      <c r="G2262" t="inlineStr">
        <is>
          <t>Physician</t>
        </is>
      </c>
      <c r="H2262" t="inlineStr">
        <is>
          <t>labs-imaging</t>
        </is>
      </c>
      <c r="I2262" t="inlineStr">
        <is>
          <t>There is no acute fracture.</t>
        </is>
      </c>
    </row>
    <row r="2263">
      <c r="A2263" t="inlineStr">
        <is>
          <t>532407-labs-imaging-5-1</t>
        </is>
      </c>
      <c r="B2263" t="inlineStr"/>
      <c r="C2263" t="inlineStr"/>
      <c r="D2263">
        <f>HYPERLINK("http://nlpdeep.cs.uic.edu:8080/proofing/gsii/532407-labs-imaging-5-1.pdf","gsii/532407-labs-imaging-5-1.pdf")</f>
        <v/>
      </c>
      <c r="E2263" t="n">
        <v>119960</v>
      </c>
      <c r="F2263" t="n">
        <v>532407</v>
      </c>
      <c r="G2263" t="inlineStr">
        <is>
          <t>Physician</t>
        </is>
      </c>
      <c r="H2263" t="inlineStr">
        <is>
          <t>labs-imaging</t>
        </is>
      </c>
      <c r="I2263" t="inlineStr">
        <is>
          <t>There is no acute fracture.</t>
        </is>
      </c>
    </row>
    <row r="2264">
      <c r="A2264" t="inlineStr">
        <is>
          <t>532407-labs-imaging-5-2</t>
        </is>
      </c>
      <c r="B2264" t="inlineStr"/>
      <c r="C2264" t="inlineStr"/>
      <c r="D2264">
        <f>HYPERLINK("http://nlpdeep.cs.uic.edu:8080/proofing/t5/532407-labs-imaging-5-2.pdf","t5/532407-labs-imaging-5-2.pdf")</f>
        <v/>
      </c>
      <c r="E2264" t="n">
        <v>119960</v>
      </c>
      <c r="F2264" t="n">
        <v>532407</v>
      </c>
      <c r="G2264" t="inlineStr">
        <is>
          <t>Physician</t>
        </is>
      </c>
      <c r="H2264" t="inlineStr">
        <is>
          <t>labs-imaging</t>
        </is>
      </c>
      <c r="I2264" t="inlineStr">
        <is>
          <t>There is prominence of
   ventricles and sulci consistent with age-related parenchymal
   involutional change.</t>
        </is>
      </c>
    </row>
    <row r="2265">
      <c r="A2265" t="inlineStr">
        <is>
          <t>532407-labs-imaging-5-2</t>
        </is>
      </c>
      <c r="B2265" t="inlineStr"/>
      <c r="C2265" t="inlineStr"/>
      <c r="D2265">
        <f>HYPERLINK("http://nlpdeep.cs.uic.edu:8080/proofing/gsii/532407-labs-imaging-5-2.pdf","gsii/532407-labs-imaging-5-2.pdf")</f>
        <v/>
      </c>
      <c r="E2265" t="n">
        <v>119960</v>
      </c>
      <c r="F2265" t="n">
        <v>532407</v>
      </c>
      <c r="G2265" t="inlineStr">
        <is>
          <t>Physician</t>
        </is>
      </c>
      <c r="H2265" t="inlineStr">
        <is>
          <t>labs-imaging</t>
        </is>
      </c>
      <c r="I2265" t="inlineStr">
        <is>
          <t>There is prominence of
   ventricles and sulci consistent with age-related parenchymal
   involutional change.</t>
        </is>
      </c>
    </row>
    <row r="2266">
      <c r="A2266" t="inlineStr">
        <is>
          <t>532407-labs-imaging-5-3</t>
        </is>
      </c>
      <c r="B2266" t="inlineStr"/>
      <c r="C2266" t="inlineStr"/>
      <c r="D2266">
        <f>HYPERLINK("http://nlpdeep.cs.uic.edu:8080/proofing/t5/532407-labs-imaging-5-3.pdf","t5/532407-labs-imaging-5-3.pdf")</f>
        <v/>
      </c>
      <c r="E2266" t="n">
        <v>119960</v>
      </c>
      <c r="F2266" t="n">
        <v>532407</v>
      </c>
      <c r="G2266" t="inlineStr">
        <is>
          <t>Physician</t>
        </is>
      </c>
      <c r="H2266" t="inlineStr">
        <is>
          <t>labs-imaging</t>
        </is>
      </c>
      <c r="I2266" t="inlineStr">
        <is>
          <t>There is periventricular hypodensity consistent
   with chronic small vessel ischemic change.</t>
        </is>
      </c>
    </row>
    <row r="2267">
      <c r="A2267" t="inlineStr">
        <is>
          <t>532407-labs-imaging-5-3</t>
        </is>
      </c>
      <c r="B2267" t="inlineStr"/>
      <c r="C2267" t="inlineStr"/>
      <c r="D2267">
        <f>HYPERLINK("http://nlpdeep.cs.uic.edu:8080/proofing/gsii/532407-labs-imaging-5-3.pdf","gsii/532407-labs-imaging-5-3.pdf")</f>
        <v/>
      </c>
      <c r="E2267" t="n">
        <v>119960</v>
      </c>
      <c r="F2267" t="n">
        <v>532407</v>
      </c>
      <c r="G2267" t="inlineStr">
        <is>
          <t>Physician</t>
        </is>
      </c>
      <c r="H2267" t="inlineStr">
        <is>
          <t>labs-imaging</t>
        </is>
      </c>
      <c r="I2267" t="inlineStr">
        <is>
          <t>There is periventricular hypodensity consistent
   with chronic small vessel ischemic change.</t>
        </is>
      </c>
    </row>
    <row r="2268">
      <c r="A2268" t="inlineStr">
        <is>
          <t>532407-labs-imaging-5-4</t>
        </is>
      </c>
      <c r="B2268" t="inlineStr"/>
      <c r="C2268" t="inlineStr"/>
      <c r="D2268">
        <f>HYPERLINK("http://nlpdeep.cs.uic.edu:8080/proofing/t5/532407-labs-imaging-5-4.pdf","t5/532407-labs-imaging-5-4.pdf")</f>
        <v/>
      </c>
      <c r="E2268" t="n">
        <v>119960</v>
      </c>
      <c r="F2268" t="n">
        <v>532407</v>
      </c>
      <c r="G2268" t="inlineStr">
        <is>
          <t>Physician</t>
        </is>
      </c>
      <c r="H2268" t="inlineStr">
        <is>
          <t>labs-imaging</t>
        </is>
      </c>
      <c r="I2268" t="inlineStr">
        <is>
          <t>There is a subcentimeter
   right frontal sinus osteoma (2:16).</t>
        </is>
      </c>
    </row>
    <row r="2269">
      <c r="A2269" t="inlineStr">
        <is>
          <t>532407-labs-imaging-5-4</t>
        </is>
      </c>
      <c r="B2269" t="inlineStr"/>
      <c r="C2269" t="inlineStr"/>
      <c r="D2269">
        <f>HYPERLINK("http://nlpdeep.cs.uic.edu:8080/proofing/gsii/532407-labs-imaging-5-4.pdf","gsii/532407-labs-imaging-5-4.pdf")</f>
        <v/>
      </c>
      <c r="E2269" t="n">
        <v>119960</v>
      </c>
      <c r="F2269" t="n">
        <v>532407</v>
      </c>
      <c r="G2269" t="inlineStr">
        <is>
          <t>Physician</t>
        </is>
      </c>
      <c r="H2269" t="inlineStr">
        <is>
          <t>labs-imaging</t>
        </is>
      </c>
      <c r="I2269" t="inlineStr">
        <is>
          <t>There is a subcentimeter
   right frontal sinus osteoma (2:16).</t>
        </is>
      </c>
    </row>
    <row r="2270">
      <c r="A2270" t="inlineStr">
        <is>
          <t>532407-labs-imaging-6-0</t>
        </is>
      </c>
      <c r="B2270" t="inlineStr"/>
      <c r="C2270" t="inlineStr"/>
      <c r="D2270">
        <f>HYPERLINK("http://nlpdeep.cs.uic.edu:8080/proofing/t5/532407-labs-imaging-6-0.pdf","t5/532407-labs-imaging-6-0.pdf")</f>
        <v/>
      </c>
      <c r="E2270" t="n">
        <v>119960</v>
      </c>
      <c r="F2270" t="n">
        <v>532407</v>
      </c>
      <c r="G2270" t="inlineStr">
        <is>
          <t>Physician</t>
        </is>
      </c>
      <c r="H2270" t="inlineStr">
        <is>
          <t>labs-imaging</t>
        </is>
      </c>
      <c r="I2270" t="inlineStr">
        <is>
          <t xml:space="preserve">
   EKG: HR 60, QRS 134, QTc 494.</t>
        </is>
      </c>
    </row>
    <row r="2271">
      <c r="A2271" t="inlineStr">
        <is>
          <t>532407-labs-imaging-6-0</t>
        </is>
      </c>
      <c r="B2271" t="inlineStr"/>
      <c r="C2271" t="inlineStr"/>
      <c r="D2271">
        <f>HYPERLINK("http://nlpdeep.cs.uic.edu:8080/proofing/gsii/532407-labs-imaging-6-0.pdf","gsii/532407-labs-imaging-6-0.pdf")</f>
        <v/>
      </c>
      <c r="E2271" t="n">
        <v>119960</v>
      </c>
      <c r="F2271" t="n">
        <v>532407</v>
      </c>
      <c r="G2271" t="inlineStr">
        <is>
          <t>Physician</t>
        </is>
      </c>
      <c r="H2271" t="inlineStr">
        <is>
          <t>labs-imaging</t>
        </is>
      </c>
      <c r="I2271" t="inlineStr">
        <is>
          <t xml:space="preserve">
   EKG: HR 60, QRS 134, QTc 494.</t>
        </is>
      </c>
    </row>
    <row r="2272">
      <c r="A2272" t="inlineStr">
        <is>
          <t>532407-labs-imaging-6-1</t>
        </is>
      </c>
      <c r="B2272" t="inlineStr"/>
      <c r="C2272" t="inlineStr"/>
      <c r="D2272">
        <f>HYPERLINK("http://nlpdeep.cs.uic.edu:8080/proofing/t5/532407-labs-imaging-6-1.pdf","t5/532407-labs-imaging-6-1.pdf")</f>
        <v/>
      </c>
      <c r="E2272" t="n">
        <v>119960</v>
      </c>
      <c r="F2272" t="n">
        <v>532407</v>
      </c>
      <c r="G2272" t="inlineStr">
        <is>
          <t>Physician</t>
        </is>
      </c>
      <c r="H2272" t="inlineStr">
        <is>
          <t>labs-imaging</t>
        </is>
      </c>
      <c r="I2272" t="inlineStr">
        <is>
          <t>Atrial fibrillation.</t>
        </is>
      </c>
    </row>
    <row r="2273">
      <c r="A2273" t="inlineStr">
        <is>
          <t>532407-labs-imaging-6-1</t>
        </is>
      </c>
      <c r="B2273" t="inlineStr"/>
      <c r="C2273" t="inlineStr"/>
      <c r="D2273">
        <f>HYPERLINK("http://nlpdeep.cs.uic.edu:8080/proofing/gsii/532407-labs-imaging-6-1.pdf","gsii/532407-labs-imaging-6-1.pdf")</f>
        <v/>
      </c>
      <c r="E2273" t="n">
        <v>119960</v>
      </c>
      <c r="F2273" t="n">
        <v>532407</v>
      </c>
      <c r="G2273" t="inlineStr">
        <is>
          <t>Physician</t>
        </is>
      </c>
      <c r="H2273" t="inlineStr">
        <is>
          <t>labs-imaging</t>
        </is>
      </c>
      <c r="I2273" t="inlineStr">
        <is>
          <t>Atrial fibrillation.</t>
        </is>
      </c>
    </row>
    <row r="2274">
      <c r="A2274" t="inlineStr">
        <is>
          <t>532407-labs-imaging-6-2</t>
        </is>
      </c>
      <c r="B2274" t="inlineStr"/>
      <c r="C2274" t="inlineStr"/>
      <c r="D2274">
        <f>HYPERLINK("http://nlpdeep.cs.uic.edu:8080/proofing/t5/532407-labs-imaging-6-2.pdf","t5/532407-labs-imaging-6-2.pdf")</f>
        <v/>
      </c>
      <c r="E2274" t="n">
        <v>119960</v>
      </c>
      <c r="F2274" t="n">
        <v>532407</v>
      </c>
      <c r="G2274" t="inlineStr">
        <is>
          <t>Physician</t>
        </is>
      </c>
      <c r="H2274" t="inlineStr">
        <is>
          <t>labs-imaging</t>
        </is>
      </c>
      <c r="I2274" t="inlineStr">
        <is>
          <t>RBBB.</t>
        </is>
      </c>
    </row>
    <row r="2275">
      <c r="A2275" t="inlineStr">
        <is>
          <t>532407-labs-imaging-6-2</t>
        </is>
      </c>
      <c r="B2275" t="inlineStr"/>
      <c r="C2275" t="inlineStr"/>
      <c r="D2275">
        <f>HYPERLINK("http://nlpdeep.cs.uic.edu:8080/proofing/gsii/532407-labs-imaging-6-2.pdf","gsii/532407-labs-imaging-6-2.pdf")</f>
        <v/>
      </c>
      <c r="E2275" t="n">
        <v>119960</v>
      </c>
      <c r="F2275" t="n">
        <v>532407</v>
      </c>
      <c r="G2275" t="inlineStr">
        <is>
          <t>Physician</t>
        </is>
      </c>
      <c r="H2275" t="inlineStr">
        <is>
          <t>labs-imaging</t>
        </is>
      </c>
      <c r="I2275" t="inlineStr">
        <is>
          <t>RBBB.</t>
        </is>
      </c>
    </row>
    <row r="2276">
      <c r="A2276" t="inlineStr">
        <is>
          <t>532407-labs-imaging-6-3</t>
        </is>
      </c>
      <c r="B2276" t="inlineStr"/>
      <c r="C2276" t="inlineStr"/>
      <c r="D2276">
        <f>HYPERLINK("http://nlpdeep.cs.uic.edu:8080/proofing/t5/532407-labs-imaging-6-3.pdf","t5/532407-labs-imaging-6-3.pdf")</f>
        <v/>
      </c>
      <c r="E2276" t="n">
        <v>119960</v>
      </c>
      <c r="F2276" t="n">
        <v>532407</v>
      </c>
      <c r="G2276" t="inlineStr">
        <is>
          <t>Physician</t>
        </is>
      </c>
      <c r="H2276" t="inlineStr">
        <is>
          <t>labs-imaging</t>
        </is>
      </c>
      <c r="I2276" t="inlineStr">
        <is>
          <t>ST depression
   in V3 (unchanged from previous comparison, [**2141-3-17**])</t>
        </is>
      </c>
    </row>
    <row r="2277">
      <c r="A2277" t="inlineStr">
        <is>
          <t>532407-labs-imaging-6-3</t>
        </is>
      </c>
      <c r="B2277" t="inlineStr"/>
      <c r="C2277" t="inlineStr"/>
      <c r="D2277">
        <f>HYPERLINK("http://nlpdeep.cs.uic.edu:8080/proofing/gsii/532407-labs-imaging-6-3.pdf","gsii/532407-labs-imaging-6-3.pdf")</f>
        <v/>
      </c>
      <c r="E2277" t="n">
        <v>119960</v>
      </c>
      <c r="F2277" t="n">
        <v>532407</v>
      </c>
      <c r="G2277" t="inlineStr">
        <is>
          <t>Physician</t>
        </is>
      </c>
      <c r="H2277" t="inlineStr">
        <is>
          <t>labs-imaging</t>
        </is>
      </c>
      <c r="I2277" t="inlineStr">
        <is>
          <t>ST depression
   in V3 (unchanged from previous comparison, [**2141-3-17**])</t>
        </is>
      </c>
    </row>
    <row r="2278">
      <c r="A2278" t="inlineStr">
        <is>
          <t>532407-assessment-and-plan-0-0</t>
        </is>
      </c>
      <c r="B2278" t="inlineStr"/>
      <c r="C2278" t="inlineStr"/>
      <c r="D2278">
        <f>HYPERLINK("http://nlpdeep.cs.uic.edu:8080/proofing/t5/532407-assessment-and-plan-0-0.pdf","t5/532407-assessment-and-plan-0-0.pdf")</f>
        <v/>
      </c>
      <c r="E2278" t="n">
        <v>119960</v>
      </c>
      <c r="F2278" t="n">
        <v>532407</v>
      </c>
      <c r="G2278" t="inlineStr">
        <is>
          <t>Physician</t>
        </is>
      </c>
      <c r="H2278" t="inlineStr">
        <is>
          <t>assessment-and-plan</t>
        </is>
      </c>
      <c r="I2278" t="inlineStr">
        <is>
          <t>ICU Care
   Nutrition:
   Glycemic Control:
   Lines:
   18 Gauge - [**2141-4-6**] 08:30 PM
   Prophylaxis:
   DVT:
   Stress ulcer:
   VAP:
   Comments:
   Communication:  Comments:
   Code status:
   Disposition: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78"/>
  <sheetViews>
    <sheetView workbookViewId="0">
      <selection activeCell="A1" sqref="A1"/>
    </sheetView>
  </sheetViews>
  <sheetFormatPr baseColWidth="8" defaultRowHeight="15"/>
  <sheetData>
    <row r="1">
      <c r="A1" s="1" t="inlineStr">
        <is>
          <t>id</t>
        </is>
      </c>
      <c r="B1" s="1" t="inlineStr">
        <is>
          <t>how_correct</t>
        </is>
      </c>
      <c r="C1" s="1" t="inlineStr">
        <is>
          <t>issues</t>
        </is>
      </c>
      <c r="D1" s="1" t="inlineStr">
        <is>
          <t>file</t>
        </is>
      </c>
      <c r="E1" s="1" t="inlineStr">
        <is>
          <t>hadm_id</t>
        </is>
      </c>
      <c r="F1" s="1" t="inlineStr">
        <is>
          <t>note_id</t>
        </is>
      </c>
      <c r="G1" s="1" t="inlineStr">
        <is>
          <t>category</t>
        </is>
      </c>
      <c r="H1" s="1" t="inlineStr">
        <is>
          <t>section</t>
        </is>
      </c>
      <c r="I1" s="1" t="inlineStr">
        <is>
          <t>sent</t>
        </is>
      </c>
    </row>
    <row r="2">
      <c r="A2" t="inlineStr">
        <is>
          <t>532407-assessment-and-plan-0-0</t>
        </is>
      </c>
      <c r="B2" t="inlineStr"/>
      <c r="C2" t="inlineStr"/>
      <c r="D2">
        <f>HYPERLINK("http://nlpdeep.cs.uic.edu:8080/proofing/gsii/532407-assessment-and-plan-0-0.pdf","gsii/532407-assessment-and-plan-0-0.pdf")</f>
        <v/>
      </c>
      <c r="E2" t="n">
        <v>119960</v>
      </c>
      <c r="F2" t="n">
        <v>532407</v>
      </c>
      <c r="G2" t="inlineStr">
        <is>
          <t>Physician</t>
        </is>
      </c>
      <c r="H2" t="inlineStr">
        <is>
          <t>assessment-and-plan</t>
        </is>
      </c>
      <c r="I2" t="inlineStr">
        <is>
          <t>ICU Care
   Nutrition:
   Glycemic Control:
   Lines:
   18 Gauge - [**2141-4-6**] 08:30 PM
   Prophylaxis:
   DVT:
   Stress ulcer:
   VAP:
   Comments:
   Communication:  Comments:
   Code status:
   Disposition:</t>
        </is>
      </c>
    </row>
    <row r="3">
      <c r="A3" t="inlineStr">
        <is>
          <t>532407-communication-0-0</t>
        </is>
      </c>
      <c r="B3" t="inlineStr"/>
      <c r="C3" t="inlineStr"/>
      <c r="D3">
        <f>HYPERLINK("http://nlpdeep.cs.uic.edu:8080/proofing/t5/532407-communication-0-0.pdf","t5/532407-communication-0-0.pdf")</f>
        <v/>
      </c>
      <c r="E3" t="n">
        <v>119960</v>
      </c>
      <c r="F3" t="n">
        <v>532407</v>
      </c>
      <c r="G3" t="inlineStr">
        <is>
          <t>Physician</t>
        </is>
      </c>
      <c r="H3" t="inlineStr">
        <is>
          <t>communication</t>
        </is>
      </c>
      <c r="I3" t="inlineStr">
        <is>
          <t>Patient, wife [**Name (NI) **] [**Name (NI) 14481**] [</t>
        </is>
      </c>
    </row>
    <row r="4">
      <c r="A4" t="inlineStr">
        <is>
          <t>532407-communication-0-0</t>
        </is>
      </c>
      <c r="B4" t="inlineStr"/>
      <c r="C4" t="inlineStr"/>
      <c r="D4">
        <f>HYPERLINK("http://nlpdeep.cs.uic.edu:8080/proofing/gsii/532407-communication-0-0.pdf","gsii/532407-communication-0-0.pdf")</f>
        <v/>
      </c>
      <c r="E4" t="n">
        <v>119960</v>
      </c>
      <c r="F4" t="n">
        <v>532407</v>
      </c>
      <c r="G4" t="inlineStr">
        <is>
          <t>Physician</t>
        </is>
      </c>
      <c r="H4" t="inlineStr">
        <is>
          <t>communication</t>
        </is>
      </c>
      <c r="I4" t="inlineStr">
        <is>
          <t>Patient, wife [**Name (NI) **] [**Name (NI) 14481**] [</t>
        </is>
      </c>
    </row>
    <row r="5">
      <c r="A5" t="inlineStr">
        <is>
          <t>532407-code-status-0-0</t>
        </is>
      </c>
      <c r="B5" t="inlineStr"/>
      <c r="C5" t="inlineStr"/>
      <c r="D5">
        <f>HYPERLINK("http://nlpdeep.cs.uic.edu:8080/proofing/t5/532407-code-status-0-0.pdf","t5/532407-code-status-0-0.pdf")</f>
        <v/>
      </c>
      <c r="E5" t="n">
        <v>119960</v>
      </c>
      <c r="F5" t="n">
        <v>532407</v>
      </c>
      <c r="G5" t="inlineStr">
        <is>
          <t>Physician</t>
        </is>
      </c>
      <c r="H5" t="inlineStr">
        <is>
          <t>code-status</t>
        </is>
      </c>
      <c r="I5" t="inlineStr">
        <is>
          <t>Full code for acute situations and OR but does not wish to be
   chronically vented (discussed with patient and wife)</t>
        </is>
      </c>
    </row>
    <row r="6">
      <c r="A6" t="inlineStr">
        <is>
          <t>532407-code-status-0-0</t>
        </is>
      </c>
      <c r="B6" t="inlineStr"/>
      <c r="C6" t="inlineStr"/>
      <c r="D6">
        <f>HYPERLINK("http://nlpdeep.cs.uic.edu:8080/proofing/gsii/532407-code-status-0-0.pdf","gsii/532407-code-status-0-0.pdf")</f>
        <v/>
      </c>
      <c r="E6" t="n">
        <v>119960</v>
      </c>
      <c r="F6" t="n">
        <v>532407</v>
      </c>
      <c r="G6" t="inlineStr">
        <is>
          <t>Physician</t>
        </is>
      </c>
      <c r="H6" t="inlineStr">
        <is>
          <t>code-status</t>
        </is>
      </c>
      <c r="I6" t="inlineStr">
        <is>
          <t>Full code for acute situations and OR but does not wish to be
   chronically vented (discussed with patient and wife)</t>
        </is>
      </c>
    </row>
    <row r="7">
      <c r="A7" t="inlineStr">
        <is>
          <t>532407-disposition-0-0</t>
        </is>
      </c>
      <c r="B7" t="inlineStr"/>
      <c r="C7" t="inlineStr"/>
      <c r="D7">
        <f>HYPERLINK("http://nlpdeep.cs.uic.edu:8080/proofing/t5/532407-disposition-0-0.pdf","t5/532407-disposition-0-0.pdf")</f>
        <v/>
      </c>
      <c r="E7" t="n">
        <v>119960</v>
      </c>
      <c r="F7" t="n">
        <v>532407</v>
      </c>
      <c r="G7" t="inlineStr">
        <is>
          <t>Physician</t>
        </is>
      </c>
      <c r="H7" t="inlineStr">
        <is>
          <t>disposition</t>
        </is>
      </c>
      <c r="I7" t="inlineStr">
        <is>
          <t>ICU pending clinical i</t>
        </is>
      </c>
    </row>
    <row r="8">
      <c r="A8" t="inlineStr">
        <is>
          <t>532407-disposition-0-0</t>
        </is>
      </c>
      <c r="B8" t="inlineStr"/>
      <c r="C8" t="inlineStr"/>
      <c r="D8">
        <f>HYPERLINK("http://nlpdeep.cs.uic.edu:8080/proofing/gsii/532407-disposition-0-0.pdf","gsii/532407-disposition-0-0.pdf")</f>
        <v/>
      </c>
      <c r="E8" t="n">
        <v>119960</v>
      </c>
      <c r="F8" t="n">
        <v>532407</v>
      </c>
      <c r="G8" t="inlineStr">
        <is>
          <t>Physician</t>
        </is>
      </c>
      <c r="H8" t="inlineStr">
        <is>
          <t>disposition</t>
        </is>
      </c>
      <c r="I8" t="inlineStr">
        <is>
          <t>ICU pending clinical i</t>
        </is>
      </c>
    </row>
    <row r="9">
      <c r="A9" t="inlineStr">
        <is>
          <t>9313-history-of-present-illness-0-0</t>
        </is>
      </c>
      <c r="B9" t="inlineStr"/>
      <c r="C9" t="inlineStr"/>
      <c r="D9">
        <f>HYPERLINK("http://nlpdeep.cs.uic.edu:8080/proofing/t5/9313-history-of-present-illness-0-0.pdf","t5/9313-history-of-present-illness-0-0.pdf")</f>
        <v/>
      </c>
      <c r="E9" t="n">
        <v>118659</v>
      </c>
      <c r="F9" t="n">
        <v>9313</v>
      </c>
      <c r="G9" t="inlineStr">
        <is>
          <t>Discharge summary</t>
        </is>
      </c>
      <c r="H9" t="inlineStr">
        <is>
          <t>history-of-present-illness</t>
        </is>
      </c>
      <c r="I9" t="inlineStr">
        <is>
          <t>The patient is a 61-year-old
woman who was transferred to [**Hospital1 **] [**First Name8 (NamePattern2) 767**]
[**Last Name (Titles) **] for cardiac catheterization.</t>
        </is>
      </c>
    </row>
    <row r="10">
      <c r="A10" t="inlineStr">
        <is>
          <t>9313-history-of-present-illness-0-0</t>
        </is>
      </c>
      <c r="B10" t="inlineStr"/>
      <c r="C10" t="inlineStr"/>
      <c r="D10">
        <f>HYPERLINK("http://nlpdeep.cs.uic.edu:8080/proofing/gsii/9313-history-of-present-illness-0-0.pdf","gsii/9313-history-of-present-illness-0-0.pdf")</f>
        <v/>
      </c>
      <c r="E10" t="n">
        <v>118659</v>
      </c>
      <c r="F10" t="n">
        <v>9313</v>
      </c>
      <c r="G10" t="inlineStr">
        <is>
          <t>Discharge summary</t>
        </is>
      </c>
      <c r="H10" t="inlineStr">
        <is>
          <t>history-of-present-illness</t>
        </is>
      </c>
      <c r="I10" t="inlineStr">
        <is>
          <t>The patient is a 61-year-old
woman who was transferred to [**Hospital1 **] [**First Name8 (NamePattern2) 767**]
[**Last Name (Titles) **] for cardiac catheterization.</t>
        </is>
      </c>
    </row>
    <row r="11">
      <c r="A11" t="inlineStr">
        <is>
          <t>9313-history-of-present-illness-0-1</t>
        </is>
      </c>
      <c r="B11" t="inlineStr"/>
      <c r="C11" t="inlineStr"/>
      <c r="D11">
        <f>HYPERLINK("http://nlpdeep.cs.uic.edu:8080/proofing/t5/9313-history-of-present-illness-0-1.pdf","t5/9313-history-of-present-illness-0-1.pdf")</f>
        <v/>
      </c>
      <c r="E11" t="n">
        <v>118659</v>
      </c>
      <c r="F11" t="n">
        <v>9313</v>
      </c>
      <c r="G11" t="inlineStr">
        <is>
          <t>Discharge summary</t>
        </is>
      </c>
      <c r="H11" t="inlineStr">
        <is>
          <t>history-of-present-illness</t>
        </is>
      </c>
      <c r="I11" t="inlineStr">
        <is>
          <t xml:space="preserve"> She was admitted to
[**Hospital **] Hospital on [**12-8**] with substernal chest pain
which was relieved with Nitroglycerin.</t>
        </is>
      </c>
    </row>
    <row r="12">
      <c r="A12" t="inlineStr">
        <is>
          <t>9313-history-of-present-illness-0-1</t>
        </is>
      </c>
      <c r="B12" t="inlineStr"/>
      <c r="C12" t="inlineStr"/>
      <c r="D12">
        <f>HYPERLINK("http://nlpdeep.cs.uic.edu:8080/proofing/gsii/9313-history-of-present-illness-0-1.pdf","gsii/9313-history-of-present-illness-0-1.pdf")</f>
        <v/>
      </c>
      <c r="E12" t="n">
        <v>118659</v>
      </c>
      <c r="F12" t="n">
        <v>9313</v>
      </c>
      <c r="G12" t="inlineStr">
        <is>
          <t>Discharge summary</t>
        </is>
      </c>
      <c r="H12" t="inlineStr">
        <is>
          <t>history-of-present-illness</t>
        </is>
      </c>
      <c r="I12" t="inlineStr">
        <is>
          <t xml:space="preserve"> She was admitted to
[**Hospital **] Hospital on [**12-8**] with substernal chest pain
which was relieved with Nitroglycerin.</t>
        </is>
      </c>
    </row>
    <row r="13">
      <c r="A13" t="inlineStr">
        <is>
          <t>9313-history-of-present-illness-0-2</t>
        </is>
      </c>
      <c r="B13" t="inlineStr"/>
      <c r="C13" t="inlineStr"/>
      <c r="D13">
        <f>HYPERLINK("http://nlpdeep.cs.uic.edu:8080/proofing/t5/9313-history-of-present-illness-0-2.pdf","t5/9313-history-of-present-illness-0-2.pdf")</f>
        <v/>
      </c>
      <c r="E13" t="n">
        <v>118659</v>
      </c>
      <c r="F13" t="n">
        <v>9313</v>
      </c>
      <c r="G13" t="inlineStr">
        <is>
          <t>Discharge summary</t>
        </is>
      </c>
      <c r="H13" t="inlineStr">
        <is>
          <t>history-of-present-illness</t>
        </is>
      </c>
      <c r="I13" t="inlineStr">
        <is>
          <t xml:space="preserve"> Her work-up was
negative for myocardial infarction; however, she had a
positive stress test showing mild inferior and posterior
hypokinesis and was transferred to [**Hospital1 **] for
further care.</t>
        </is>
      </c>
    </row>
    <row r="14">
      <c r="A14" t="inlineStr">
        <is>
          <t>9313-history-of-present-illness-0-2</t>
        </is>
      </c>
      <c r="B14" t="inlineStr"/>
      <c r="C14" t="inlineStr"/>
      <c r="D14">
        <f>HYPERLINK("http://nlpdeep.cs.uic.edu:8080/proofing/gsii/9313-history-of-present-illness-0-2.pdf","gsii/9313-history-of-present-illness-0-2.pdf")</f>
        <v/>
      </c>
      <c r="E14" t="n">
        <v>118659</v>
      </c>
      <c r="F14" t="n">
        <v>9313</v>
      </c>
      <c r="G14" t="inlineStr">
        <is>
          <t>Discharge summary</t>
        </is>
      </c>
      <c r="H14" t="inlineStr">
        <is>
          <t>history-of-present-illness</t>
        </is>
      </c>
      <c r="I14" t="inlineStr">
        <is>
          <t xml:space="preserve"> Her work-up was
negative for myocardial infarction; however, she had a
positive stress test showing mild inferior and posterior
hypokinesis and was transferred to [**Hospital1 **] for
further care.</t>
        </is>
      </c>
    </row>
    <row r="15">
      <c r="A15" t="inlineStr">
        <is>
          <t>9313-past-medical-history-0-0</t>
        </is>
      </c>
      <c r="B15" t="inlineStr"/>
      <c r="C15" t="inlineStr"/>
      <c r="D15">
        <f>HYPERLINK("http://nlpdeep.cs.uic.edu:8080/proofing/t5/9313-past-medical-history-0-0.pdf","t5/9313-past-medical-history-0-0.pdf")</f>
        <v/>
      </c>
      <c r="E15" t="n">
        <v>118659</v>
      </c>
      <c r="F15" t="n">
        <v>9313</v>
      </c>
      <c r="G15" t="inlineStr">
        <is>
          <t>Discharge summary</t>
        </is>
      </c>
      <c r="H15" t="inlineStr">
        <is>
          <t>past-medical-history</t>
        </is>
      </c>
      <c r="I15" t="inlineStr">
        <is>
          <t>Peripheral vascular disease with
multiple bypass grafts to lower extremities, right renal
artery bypass, hypertension, question of seizure disorder,
question of tobacco use in the past.</t>
        </is>
      </c>
    </row>
    <row r="16">
      <c r="A16" t="inlineStr">
        <is>
          <t>9313-past-medical-history-0-0</t>
        </is>
      </c>
      <c r="B16" t="inlineStr"/>
      <c r="C16" t="inlineStr"/>
      <c r="D16">
        <f>HYPERLINK("http://nlpdeep.cs.uic.edu:8080/proofing/gsii/9313-past-medical-history-0-0.pdf","gsii/9313-past-medical-history-0-0.pdf")</f>
        <v/>
      </c>
      <c r="E16" t="n">
        <v>118659</v>
      </c>
      <c r="F16" t="n">
        <v>9313</v>
      </c>
      <c r="G16" t="inlineStr">
        <is>
          <t>Discharge summary</t>
        </is>
      </c>
      <c r="H16" t="inlineStr">
        <is>
          <t>past-medical-history</t>
        </is>
      </c>
      <c r="I16" t="inlineStr">
        <is>
          <t>Peripheral vascular disease with
multiple bypass grafts to lower extremities, right renal
artery bypass, hypertension, question of seizure disorder,
question of tobacco use in the past.</t>
        </is>
      </c>
    </row>
    <row r="17">
      <c r="A17" t="inlineStr">
        <is>
          <t>9313-allergies-0-0</t>
        </is>
      </c>
      <c r="B17" t="inlineStr"/>
      <c r="C17" t="inlineStr"/>
      <c r="D17">
        <f>HYPERLINK("http://nlpdeep.cs.uic.edu:8080/proofing/t5/9313-allergies-0-0.pdf","t5/9313-allergies-0-0.pdf")</f>
        <v/>
      </c>
      <c r="E17" t="n">
        <v>118659</v>
      </c>
      <c r="F17" t="n">
        <v>9313</v>
      </c>
      <c r="G17" t="inlineStr">
        <is>
          <t>Discharge summary</t>
        </is>
      </c>
      <c r="H17" t="inlineStr">
        <is>
          <t>allergies</t>
        </is>
      </c>
      <c r="I17" t="inlineStr">
        <is>
          <t>SULFAS.</t>
        </is>
      </c>
    </row>
    <row r="18">
      <c r="A18" t="inlineStr">
        <is>
          <t>9313-allergies-0-0</t>
        </is>
      </c>
      <c r="B18" t="inlineStr"/>
      <c r="C18" t="inlineStr"/>
      <c r="D18">
        <f>HYPERLINK("http://nlpdeep.cs.uic.edu:8080/proofing/gsii/9313-allergies-0-0.pdf","gsii/9313-allergies-0-0.pdf")</f>
        <v/>
      </c>
      <c r="E18" t="n">
        <v>118659</v>
      </c>
      <c r="F18" t="n">
        <v>9313</v>
      </c>
      <c r="G18" t="inlineStr">
        <is>
          <t>Discharge summary</t>
        </is>
      </c>
      <c r="H18" t="inlineStr">
        <is>
          <t>allergies</t>
        </is>
      </c>
      <c r="I18" t="inlineStr">
        <is>
          <t>SULFAS.</t>
        </is>
      </c>
    </row>
    <row r="19">
      <c r="A19" t="inlineStr">
        <is>
          <t>9313-physical-examination-0-0</t>
        </is>
      </c>
      <c r="B19" t="inlineStr"/>
      <c r="C19" t="inlineStr"/>
      <c r="D19">
        <f>HYPERLINK("http://nlpdeep.cs.uic.edu:8080/proofing/t5/9313-physical-examination-0-0.pdf","t5/9313-physical-examination-0-0.pdf")</f>
        <v/>
      </c>
      <c r="E19" t="n">
        <v>118659</v>
      </c>
      <c r="F19" t="n">
        <v>9313</v>
      </c>
      <c r="G19" t="inlineStr">
        <is>
          <t>Discharge summary</t>
        </is>
      </c>
      <c r="H19" t="inlineStr">
        <is>
          <t>physical-examination</t>
        </is>
      </c>
      <c r="I19" t="inlineStr">
        <is>
          <t>Vital signs:  The patient was
afebrile, pulse 78, pressure 180/80.</t>
        </is>
      </c>
    </row>
    <row r="20">
      <c r="A20" t="inlineStr">
        <is>
          <t>9313-physical-examination-0-0</t>
        </is>
      </c>
      <c r="B20" t="inlineStr"/>
      <c r="C20" t="inlineStr"/>
      <c r="D20">
        <f>HYPERLINK("http://nlpdeep.cs.uic.edu:8080/proofing/gsii/9313-physical-examination-0-0.pdf","gsii/9313-physical-examination-0-0.pdf")</f>
        <v/>
      </c>
      <c r="E20" t="n">
        <v>118659</v>
      </c>
      <c r="F20" t="n">
        <v>9313</v>
      </c>
      <c r="G20" t="inlineStr">
        <is>
          <t>Discharge summary</t>
        </is>
      </c>
      <c r="H20" t="inlineStr">
        <is>
          <t>physical-examination</t>
        </is>
      </c>
      <c r="I20" t="inlineStr">
        <is>
          <t>Vital signs:  The patient was
afebrile, pulse 78, pressure 180/80.</t>
        </is>
      </c>
    </row>
    <row r="21">
      <c r="A21" t="inlineStr">
        <is>
          <t>9313-physical-examination-0-1</t>
        </is>
      </c>
      <c r="B21" t="inlineStr"/>
      <c r="C21" t="inlineStr"/>
      <c r="D21">
        <f>HYPERLINK("http://nlpdeep.cs.uic.edu:8080/proofing/t5/9313-physical-examination-0-1.pdf","t5/9313-physical-examination-0-1.pdf")</f>
        <v/>
      </c>
      <c r="E21" t="n">
        <v>118659</v>
      </c>
      <c r="F21" t="n">
        <v>9313</v>
      </c>
      <c r="G21" t="inlineStr">
        <is>
          <t>Discharge summary</t>
        </is>
      </c>
      <c r="H21" t="inlineStr">
        <is>
          <t>physical-examination</t>
        </is>
      </c>
      <c r="I21" t="inlineStr">
        <is>
          <t xml:space="preserve"> Heart:  Regular, rate
and rhythm.</t>
        </is>
      </c>
    </row>
    <row r="22">
      <c r="A22" t="inlineStr">
        <is>
          <t>9313-physical-examination-0-1</t>
        </is>
      </c>
      <c r="B22" t="inlineStr"/>
      <c r="C22" t="inlineStr"/>
      <c r="D22">
        <f>HYPERLINK("http://nlpdeep.cs.uic.edu:8080/proofing/gsii/9313-physical-examination-0-1.pdf","gsii/9313-physical-examination-0-1.pdf")</f>
        <v/>
      </c>
      <c r="E22" t="n">
        <v>118659</v>
      </c>
      <c r="F22" t="n">
        <v>9313</v>
      </c>
      <c r="G22" t="inlineStr">
        <is>
          <t>Discharge summary</t>
        </is>
      </c>
      <c r="H22" t="inlineStr">
        <is>
          <t>physical-examination</t>
        </is>
      </c>
      <c r="I22" t="inlineStr">
        <is>
          <t xml:space="preserve"> Heart:  Regular, rate
and rhythm.</t>
        </is>
      </c>
    </row>
    <row r="23">
      <c r="A23" t="inlineStr">
        <is>
          <t>9313-physical-examination-0-2</t>
        </is>
      </c>
      <c r="B23" t="inlineStr"/>
      <c r="C23" t="inlineStr"/>
      <c r="D23">
        <f>HYPERLINK("http://nlpdeep.cs.uic.edu:8080/proofing/t5/9313-physical-examination-0-2.pdf","t5/9313-physical-examination-0-2.pdf")</f>
        <v/>
      </c>
      <c r="E23" t="n">
        <v>118659</v>
      </c>
      <c r="F23" t="n">
        <v>9313</v>
      </c>
      <c r="G23" t="inlineStr">
        <is>
          <t>Discharge summary</t>
        </is>
      </c>
      <c r="H23" t="inlineStr">
        <is>
          <t>physical-examination</t>
        </is>
      </c>
      <c r="I23" t="inlineStr">
        <is>
          <t xml:space="preserve"> S1 and S2.</t>
        </is>
      </c>
    </row>
    <row r="24">
      <c r="A24" t="inlineStr">
        <is>
          <t>9313-physical-examination-0-2</t>
        </is>
      </c>
      <c r="B24" t="inlineStr"/>
      <c r="C24" t="inlineStr"/>
      <c r="D24">
        <f>HYPERLINK("http://nlpdeep.cs.uic.edu:8080/proofing/gsii/9313-physical-examination-0-2.pdf","gsii/9313-physical-examination-0-2.pdf")</f>
        <v/>
      </c>
      <c r="E24" t="n">
        <v>118659</v>
      </c>
      <c r="F24" t="n">
        <v>9313</v>
      </c>
      <c r="G24" t="inlineStr">
        <is>
          <t>Discharge summary</t>
        </is>
      </c>
      <c r="H24" t="inlineStr">
        <is>
          <t>physical-examination</t>
        </is>
      </c>
      <c r="I24" t="inlineStr">
        <is>
          <t xml:space="preserve"> S1 and S2.</t>
        </is>
      </c>
    </row>
    <row r="25">
      <c r="A25" t="inlineStr">
        <is>
          <t>9313-physical-examination-0-3</t>
        </is>
      </c>
      <c r="B25" t="inlineStr"/>
      <c r="C25" t="inlineStr"/>
      <c r="D25">
        <f>HYPERLINK("http://nlpdeep.cs.uic.edu:8080/proofing/t5/9313-physical-examination-0-3.pdf","t5/9313-physical-examination-0-3.pdf")</f>
        <v/>
      </c>
      <c r="E25" t="n">
        <v>118659</v>
      </c>
      <c r="F25" t="n">
        <v>9313</v>
      </c>
      <c r="G25" t="inlineStr">
        <is>
          <t>Discharge summary</t>
        </is>
      </c>
      <c r="H25" t="inlineStr">
        <is>
          <t>physical-examination</t>
        </is>
      </c>
      <c r="I25" t="inlineStr">
        <is>
          <t xml:space="preserve"> Lungs:  Positive rhonchi
bilaterally.</t>
        </is>
      </c>
    </row>
    <row r="26">
      <c r="A26" t="inlineStr">
        <is>
          <t>9313-physical-examination-0-3</t>
        </is>
      </c>
      <c r="B26" t="inlineStr"/>
      <c r="C26" t="inlineStr"/>
      <c r="D26">
        <f>HYPERLINK("http://nlpdeep.cs.uic.edu:8080/proofing/gsii/9313-physical-examination-0-3.pdf","gsii/9313-physical-examination-0-3.pdf")</f>
        <v/>
      </c>
      <c r="E26" t="n">
        <v>118659</v>
      </c>
      <c r="F26" t="n">
        <v>9313</v>
      </c>
      <c r="G26" t="inlineStr">
        <is>
          <t>Discharge summary</t>
        </is>
      </c>
      <c r="H26" t="inlineStr">
        <is>
          <t>physical-examination</t>
        </is>
      </c>
      <c r="I26" t="inlineStr">
        <is>
          <t xml:space="preserve"> Lungs:  Positive rhonchi
bilaterally.</t>
        </is>
      </c>
    </row>
    <row r="27">
      <c r="A27" t="inlineStr">
        <is>
          <t>9313-physical-examination-0-4</t>
        </is>
      </c>
      <c r="B27" t="inlineStr"/>
      <c r="C27" t="inlineStr"/>
      <c r="D27">
        <f>HYPERLINK("http://nlpdeep.cs.uic.edu:8080/proofing/t5/9313-physical-examination-0-4.pdf","t5/9313-physical-examination-0-4.pdf")</f>
        <v/>
      </c>
      <c r="E27" t="n">
        <v>118659</v>
      </c>
      <c r="F27" t="n">
        <v>9313</v>
      </c>
      <c r="G27" t="inlineStr">
        <is>
          <t>Discharge summary</t>
        </is>
      </c>
      <c r="H27" t="inlineStr">
        <is>
          <t>physical-examination</t>
        </is>
      </c>
      <c r="I27" t="inlineStr">
        <is>
          <t xml:space="preserve"> Extremities:  There were 2+ pedal pulses
bilaterally.</t>
        </is>
      </c>
    </row>
    <row r="28">
      <c r="A28" t="inlineStr">
        <is>
          <t>9313-physical-examination-0-4</t>
        </is>
      </c>
      <c r="B28" t="inlineStr"/>
      <c r="C28" t="inlineStr"/>
      <c r="D28">
        <f>HYPERLINK("http://nlpdeep.cs.uic.edu:8080/proofing/gsii/9313-physical-examination-0-4.pdf","gsii/9313-physical-examination-0-4.pdf")</f>
        <v/>
      </c>
      <c r="E28" t="n">
        <v>118659</v>
      </c>
      <c r="F28" t="n">
        <v>9313</v>
      </c>
      <c r="G28" t="inlineStr">
        <is>
          <t>Discharge summary</t>
        </is>
      </c>
      <c r="H28" t="inlineStr">
        <is>
          <t>physical-examination</t>
        </is>
      </c>
      <c r="I28" t="inlineStr">
        <is>
          <t xml:space="preserve"> Extremities:  There were 2+ pedal pulses
bilaterally.</t>
        </is>
      </c>
    </row>
    <row r="29">
      <c r="A29" t="inlineStr">
        <is>
          <t>9313-labs-imaging-0-0</t>
        </is>
      </c>
      <c r="B29" t="inlineStr"/>
      <c r="C29" t="inlineStr"/>
      <c r="D29">
        <f>HYPERLINK("http://nlpdeep.cs.uic.edu:8080/proofing/t5/9313-labs-imaging-0-0.pdf","t5/9313-labs-imaging-0-0.pdf")</f>
        <v/>
      </c>
      <c r="E29" t="n">
        <v>118659</v>
      </c>
      <c r="F29" t="n">
        <v>9313</v>
      </c>
      <c r="G29" t="inlineStr">
        <is>
          <t>Discharge summary</t>
        </is>
      </c>
      <c r="H29" t="inlineStr">
        <is>
          <t>labs-imaging</t>
        </is>
      </c>
      <c r="I29" t="inlineStr">
        <is>
          <t>White count 8.4, hematocrit 31, platelet
count 222,000; sodium 139, potassium 3.6, chloride 104,
bicarb 22, BUN 20, creatinine 0.8; dilantin level 6.8.</t>
        </is>
      </c>
    </row>
    <row r="30">
      <c r="A30" t="inlineStr">
        <is>
          <t>9313-labs-imaging-0-0</t>
        </is>
      </c>
      <c r="B30" t="inlineStr"/>
      <c r="C30" t="inlineStr"/>
      <c r="D30">
        <f>HYPERLINK("http://nlpdeep.cs.uic.edu:8080/proofing/gsii/9313-labs-imaging-0-0.pdf","gsii/9313-labs-imaging-0-0.pdf")</f>
        <v/>
      </c>
      <c r="E30" t="n">
        <v>118659</v>
      </c>
      <c r="F30" t="n">
        <v>9313</v>
      </c>
      <c r="G30" t="inlineStr">
        <is>
          <t>Discharge summary</t>
        </is>
      </c>
      <c r="H30" t="inlineStr">
        <is>
          <t>labs-imaging</t>
        </is>
      </c>
      <c r="I30" t="inlineStr">
        <is>
          <t>White count 8.4, hematocrit 31, platelet
count 222,000; sodium 139, potassium 3.6, chloride 104,
bicarb 22, BUN 20, creatinine 0.8; dilantin level 6.8.</t>
        </is>
      </c>
    </row>
    <row r="31">
      <c r="A31" t="inlineStr">
        <is>
          <t>9313-labs-imaging-1-0</t>
        </is>
      </c>
      <c r="B31" t="inlineStr"/>
      <c r="C31" t="inlineStr"/>
      <c r="D31">
        <f>HYPERLINK("http://nlpdeep.cs.uic.edu:8080/proofing/t5/9313-labs-imaging-1-0.pdf","t5/9313-labs-imaging-1-0.pdf")</f>
        <v/>
      </c>
      <c r="E31" t="n">
        <v>118659</v>
      </c>
      <c r="F31" t="n">
        <v>9313</v>
      </c>
      <c r="G31" t="inlineStr">
        <is>
          <t>Discharge summary</t>
        </is>
      </c>
      <c r="H31" t="inlineStr">
        <is>
          <t>labs-imaging</t>
        </is>
      </c>
      <c r="I31" t="inlineStr">
        <is>
          <t xml:space="preserve">
CARDIAC CATHETERIZATION:  1.</t>
        </is>
      </c>
    </row>
    <row r="32">
      <c r="A32" t="inlineStr">
        <is>
          <t>9313-labs-imaging-1-0</t>
        </is>
      </c>
      <c r="B32" t="inlineStr"/>
      <c r="C32" t="inlineStr"/>
      <c r="D32">
        <f>HYPERLINK("http://nlpdeep.cs.uic.edu:8080/proofing/gsii/9313-labs-imaging-1-0.pdf","gsii/9313-labs-imaging-1-0.pdf")</f>
        <v/>
      </c>
      <c r="E32" t="n">
        <v>118659</v>
      </c>
      <c r="F32" t="n">
        <v>9313</v>
      </c>
      <c r="G32" t="inlineStr">
        <is>
          <t>Discharge summary</t>
        </is>
      </c>
      <c r="H32" t="inlineStr">
        <is>
          <t>labs-imaging</t>
        </is>
      </c>
      <c r="I32" t="inlineStr">
        <is>
          <t xml:space="preserve">
CARDIAC CATHETERIZATION:  1.</t>
        </is>
      </c>
    </row>
    <row r="33">
      <c r="A33" t="inlineStr">
        <is>
          <t>9313-labs-imaging-1-1</t>
        </is>
      </c>
      <c r="B33" t="inlineStr"/>
      <c r="C33" t="inlineStr"/>
      <c r="D33">
        <f>HYPERLINK("http://nlpdeep.cs.uic.edu:8080/proofing/t5/9313-labs-imaging-1-1.pdf","t5/9313-labs-imaging-1-1.pdf")</f>
        <v/>
      </c>
      <c r="E33" t="n">
        <v>118659</v>
      </c>
      <c r="F33" t="n">
        <v>9313</v>
      </c>
      <c r="G33" t="inlineStr">
        <is>
          <t>Discharge summary</t>
        </is>
      </c>
      <c r="H33" t="inlineStr">
        <is>
          <t>labs-imaging</t>
        </is>
      </c>
      <c r="I33" t="inlineStr">
        <is>
          <t xml:space="preserve"> Resting hemodynamics showed
severely elevated left-sided filling pressures with LVEDP of
40 mmHg.</t>
        </is>
      </c>
    </row>
    <row r="34">
      <c r="A34" t="inlineStr">
        <is>
          <t>9313-labs-imaging-1-1</t>
        </is>
      </c>
      <c r="B34" t="inlineStr"/>
      <c r="C34" t="inlineStr"/>
      <c r="D34">
        <f>HYPERLINK("http://nlpdeep.cs.uic.edu:8080/proofing/gsii/9313-labs-imaging-1-1.pdf","gsii/9313-labs-imaging-1-1.pdf")</f>
        <v/>
      </c>
      <c r="E34" t="n">
        <v>118659</v>
      </c>
      <c r="F34" t="n">
        <v>9313</v>
      </c>
      <c r="G34" t="inlineStr">
        <is>
          <t>Discharge summary</t>
        </is>
      </c>
      <c r="H34" t="inlineStr">
        <is>
          <t>labs-imaging</t>
        </is>
      </c>
      <c r="I34" t="inlineStr">
        <is>
          <t xml:space="preserve"> Resting hemodynamics showed
severely elevated left-sided filling pressures with LVEDP of
40 mmHg.</t>
        </is>
      </c>
    </row>
    <row r="35">
      <c r="A35" t="inlineStr">
        <is>
          <t>9313-labs-imaging-1-2</t>
        </is>
      </c>
      <c r="B35" t="inlineStr"/>
      <c r="C35" t="inlineStr"/>
      <c r="D35">
        <f>HYPERLINK("http://nlpdeep.cs.uic.edu:8080/proofing/t5/9313-labs-imaging-1-2.pdf","t5/9313-labs-imaging-1-2.pdf")</f>
        <v/>
      </c>
      <c r="E35" t="n">
        <v>118659</v>
      </c>
      <c r="F35" t="n">
        <v>9313</v>
      </c>
      <c r="G35" t="inlineStr">
        <is>
          <t>Discharge summary</t>
        </is>
      </c>
      <c r="H35" t="inlineStr">
        <is>
          <t>labs-imaging</t>
        </is>
      </c>
      <c r="I35" t="inlineStr">
        <is>
          <t xml:space="preserve"> There was tachycardia and systemic hypertension
that responds to beta-blocker and nitrate therapy.</t>
        </is>
      </c>
    </row>
    <row r="36">
      <c r="A36" t="inlineStr">
        <is>
          <t>9313-labs-imaging-1-2</t>
        </is>
      </c>
      <c r="B36" t="inlineStr"/>
      <c r="C36" t="inlineStr"/>
      <c r="D36">
        <f>HYPERLINK("http://nlpdeep.cs.uic.edu:8080/proofing/gsii/9313-labs-imaging-1-2.pdf","gsii/9313-labs-imaging-1-2.pdf")</f>
        <v/>
      </c>
      <c r="E36" t="n">
        <v>118659</v>
      </c>
      <c r="F36" t="n">
        <v>9313</v>
      </c>
      <c r="G36" t="inlineStr">
        <is>
          <t>Discharge summary</t>
        </is>
      </c>
      <c r="H36" t="inlineStr">
        <is>
          <t>labs-imaging</t>
        </is>
      </c>
      <c r="I36" t="inlineStr">
        <is>
          <t xml:space="preserve"> There was tachycardia and systemic hypertension
that responds to beta-blocker and nitrate therapy.</t>
        </is>
      </c>
    </row>
    <row r="37">
      <c r="A37" t="inlineStr">
        <is>
          <t>9313-labs-imaging-1-3</t>
        </is>
      </c>
      <c r="B37" t="inlineStr"/>
      <c r="C37" t="inlineStr"/>
      <c r="D37">
        <f>HYPERLINK("http://nlpdeep.cs.uic.edu:8080/proofing/t5/9313-labs-imaging-1-3.pdf","t5/9313-labs-imaging-1-3.pdf")</f>
        <v/>
      </c>
      <c r="E37" t="n">
        <v>118659</v>
      </c>
      <c r="F37" t="n">
        <v>9313</v>
      </c>
      <c r="G37" t="inlineStr">
        <is>
          <t>Discharge summary</t>
        </is>
      </c>
      <c r="H37" t="inlineStr">
        <is>
          <t>labs-imaging</t>
        </is>
      </c>
      <c r="I37" t="inlineStr">
        <is>
          <t xml:space="preserve"> Left
ventriculography showed reduced systolic function with an
ejection fraction of 40%.</t>
        </is>
      </c>
    </row>
    <row r="38">
      <c r="A38" t="inlineStr">
        <is>
          <t>9313-labs-imaging-1-3</t>
        </is>
      </c>
      <c r="B38" t="inlineStr"/>
      <c r="C38" t="inlineStr"/>
      <c r="D38">
        <f>HYPERLINK("http://nlpdeep.cs.uic.edu:8080/proofing/gsii/9313-labs-imaging-1-3.pdf","gsii/9313-labs-imaging-1-3.pdf")</f>
        <v/>
      </c>
      <c r="E38" t="n">
        <v>118659</v>
      </c>
      <c r="F38" t="n">
        <v>9313</v>
      </c>
      <c r="G38" t="inlineStr">
        <is>
          <t>Discharge summary</t>
        </is>
      </c>
      <c r="H38" t="inlineStr">
        <is>
          <t>labs-imaging</t>
        </is>
      </c>
      <c r="I38" t="inlineStr">
        <is>
          <t xml:space="preserve"> Left
ventriculography showed reduced systolic function with an
ejection fraction of 40%.</t>
        </is>
      </c>
    </row>
    <row r="39">
      <c r="A39" t="inlineStr">
        <is>
          <t>9313-labs-imaging-1-4</t>
        </is>
      </c>
      <c r="B39" t="inlineStr"/>
      <c r="C39" t="inlineStr"/>
      <c r="D39">
        <f>HYPERLINK("http://nlpdeep.cs.uic.edu:8080/proofing/t5/9313-labs-imaging-1-4.pdf","t5/9313-labs-imaging-1-4.pdf")</f>
        <v/>
      </c>
      <c r="E39" t="n">
        <v>118659</v>
      </c>
      <c r="F39" t="n">
        <v>9313</v>
      </c>
      <c r="G39" t="inlineStr">
        <is>
          <t>Discharge summary</t>
        </is>
      </c>
      <c r="H39" t="inlineStr">
        <is>
          <t>labs-imaging</t>
        </is>
      </c>
      <c r="I39" t="inlineStr">
        <is>
          <t xml:space="preserve"> There was anterolateral apical and
inferoapical hypokinesis.</t>
        </is>
      </c>
    </row>
    <row r="40">
      <c r="A40" t="inlineStr">
        <is>
          <t>9313-labs-imaging-1-4</t>
        </is>
      </c>
      <c r="B40" t="inlineStr"/>
      <c r="C40" t="inlineStr"/>
      <c r="D40">
        <f>HYPERLINK("http://nlpdeep.cs.uic.edu:8080/proofing/gsii/9313-labs-imaging-1-4.pdf","gsii/9313-labs-imaging-1-4.pdf")</f>
        <v/>
      </c>
      <c r="E40" t="n">
        <v>118659</v>
      </c>
      <c r="F40" t="n">
        <v>9313</v>
      </c>
      <c r="G40" t="inlineStr">
        <is>
          <t>Discharge summary</t>
        </is>
      </c>
      <c r="H40" t="inlineStr">
        <is>
          <t>labs-imaging</t>
        </is>
      </c>
      <c r="I40" t="inlineStr">
        <is>
          <t xml:space="preserve"> There was anterolateral apical and
inferoapical hypokinesis.</t>
        </is>
      </c>
    </row>
    <row r="41">
      <c r="A41" t="inlineStr">
        <is>
          <t>9313-labs-imaging-1-5</t>
        </is>
      </c>
      <c r="B41" t="inlineStr"/>
      <c r="C41" t="inlineStr"/>
      <c r="D41">
        <f>HYPERLINK("http://nlpdeep.cs.uic.edu:8080/proofing/t5/9313-labs-imaging-1-5.pdf","t5/9313-labs-imaging-1-5.pdf")</f>
        <v/>
      </c>
      <c r="E41" t="n">
        <v>118659</v>
      </c>
      <c r="F41" t="n">
        <v>9313</v>
      </c>
      <c r="G41" t="inlineStr">
        <is>
          <t>Discharge summary</t>
        </is>
      </c>
      <c r="H41" t="inlineStr">
        <is>
          <t>labs-imaging</t>
        </is>
      </c>
      <c r="I41" t="inlineStr">
        <is>
          <t xml:space="preserve"> There was no mitral regurgitation.</t>
        </is>
      </c>
    </row>
    <row r="42">
      <c r="A42" t="inlineStr">
        <is>
          <t>9313-labs-imaging-1-5</t>
        </is>
      </c>
      <c r="B42" t="inlineStr"/>
      <c r="C42" t="inlineStr"/>
      <c r="D42">
        <f>HYPERLINK("http://nlpdeep.cs.uic.edu:8080/proofing/gsii/9313-labs-imaging-1-5.pdf","gsii/9313-labs-imaging-1-5.pdf")</f>
        <v/>
      </c>
      <c r="E42" t="n">
        <v>118659</v>
      </c>
      <c r="F42" t="n">
        <v>9313</v>
      </c>
      <c r="G42" t="inlineStr">
        <is>
          <t>Discharge summary</t>
        </is>
      </c>
      <c r="H42" t="inlineStr">
        <is>
          <t>labs-imaging</t>
        </is>
      </c>
      <c r="I42" t="inlineStr">
        <is>
          <t xml:space="preserve"> There was no mitral regurgitation.</t>
        </is>
      </c>
    </row>
    <row r="43">
      <c r="A43" t="inlineStr">
        <is>
          <t>9313-labs-imaging-1-6</t>
        </is>
      </c>
      <c r="B43" t="inlineStr"/>
      <c r="C43" t="inlineStr"/>
      <c r="D43">
        <f>HYPERLINK("http://nlpdeep.cs.uic.edu:8080/proofing/t5/9313-labs-imaging-1-6.pdf","t5/9313-labs-imaging-1-6.pdf")</f>
        <v/>
      </c>
      <c r="E43" t="n">
        <v>118659</v>
      </c>
      <c r="F43" t="n">
        <v>9313</v>
      </c>
      <c r="G43" t="inlineStr">
        <is>
          <t>Discharge summary</t>
        </is>
      </c>
      <c r="H43" t="inlineStr">
        <is>
          <t>labs-imaging</t>
        </is>
      </c>
      <c r="I43" t="inlineStr">
        <is>
          <t xml:space="preserve"> Coronary arteriography showed a right dominant system
with three-vessel disease.</t>
        </is>
      </c>
    </row>
    <row r="44">
      <c r="A44" t="inlineStr">
        <is>
          <t>9313-labs-imaging-1-6</t>
        </is>
      </c>
      <c r="B44" t="inlineStr"/>
      <c r="C44" t="inlineStr"/>
      <c r="D44">
        <f>HYPERLINK("http://nlpdeep.cs.uic.edu:8080/proofing/gsii/9313-labs-imaging-1-6.pdf","gsii/9313-labs-imaging-1-6.pdf")</f>
        <v/>
      </c>
      <c r="E44" t="n">
        <v>118659</v>
      </c>
      <c r="F44" t="n">
        <v>9313</v>
      </c>
      <c r="G44" t="inlineStr">
        <is>
          <t>Discharge summary</t>
        </is>
      </c>
      <c r="H44" t="inlineStr">
        <is>
          <t>labs-imaging</t>
        </is>
      </c>
      <c r="I44" t="inlineStr">
        <is>
          <t xml:space="preserve"> Coronary arteriography showed a right dominant system
with three-vessel disease.</t>
        </is>
      </c>
    </row>
    <row r="45">
      <c r="A45" t="inlineStr">
        <is>
          <t>9313-labs-imaging-1-7</t>
        </is>
      </c>
      <c r="B45" t="inlineStr"/>
      <c r="C45" t="inlineStr"/>
      <c r="D45">
        <f>HYPERLINK("http://nlpdeep.cs.uic.edu:8080/proofing/t5/9313-labs-imaging-1-7.pdf","t5/9313-labs-imaging-1-7.pdf")</f>
        <v/>
      </c>
      <c r="E45" t="n">
        <v>118659</v>
      </c>
      <c r="F45" t="n">
        <v>9313</v>
      </c>
      <c r="G45" t="inlineStr">
        <is>
          <t>Discharge summary</t>
        </is>
      </c>
      <c r="H45" t="inlineStr">
        <is>
          <t>labs-imaging</t>
        </is>
      </c>
      <c r="I45" t="inlineStr">
        <is>
          <t xml:space="preserve"> Left main was very short.</t>
        </is>
      </c>
    </row>
    <row r="46">
      <c r="A46" t="inlineStr">
        <is>
          <t>9313-labs-imaging-1-7</t>
        </is>
      </c>
      <c r="B46" t="inlineStr"/>
      <c r="C46" t="inlineStr"/>
      <c r="D46">
        <f>HYPERLINK("http://nlpdeep.cs.uic.edu:8080/proofing/gsii/9313-labs-imaging-1-7.pdf","gsii/9313-labs-imaging-1-7.pdf")</f>
        <v/>
      </c>
      <c r="E46" t="n">
        <v>118659</v>
      </c>
      <c r="F46" t="n">
        <v>9313</v>
      </c>
      <c r="G46" t="inlineStr">
        <is>
          <t>Discharge summary</t>
        </is>
      </c>
      <c r="H46" t="inlineStr">
        <is>
          <t>labs-imaging</t>
        </is>
      </c>
      <c r="I46" t="inlineStr">
        <is>
          <t xml:space="preserve"> Left main was very short.</t>
        </is>
      </c>
    </row>
    <row r="47">
      <c r="A47" t="inlineStr">
        <is>
          <t>9313-labs-imaging-1-8</t>
        </is>
      </c>
      <c r="B47" t="inlineStr"/>
      <c r="C47" t="inlineStr"/>
      <c r="D47">
        <f>HYPERLINK("http://nlpdeep.cs.uic.edu:8080/proofing/t5/9313-labs-imaging-1-8.pdf","t5/9313-labs-imaging-1-8.pdf")</f>
        <v/>
      </c>
      <c r="E47" t="n">
        <v>118659</v>
      </c>
      <c r="F47" t="n">
        <v>9313</v>
      </c>
      <c r="G47" t="inlineStr">
        <is>
          <t>Discharge summary</t>
        </is>
      </c>
      <c r="H47" t="inlineStr">
        <is>
          <t>labs-imaging</t>
        </is>
      </c>
      <c r="I47" t="inlineStr">
        <is>
          <t xml:space="preserve"> Left
anterior descending and circumflex were calcified.</t>
        </is>
      </c>
    </row>
    <row r="48">
      <c r="A48" t="inlineStr">
        <is>
          <t>9313-labs-imaging-1-8</t>
        </is>
      </c>
      <c r="B48" t="inlineStr"/>
      <c r="C48" t="inlineStr"/>
      <c r="D48">
        <f>HYPERLINK("http://nlpdeep.cs.uic.edu:8080/proofing/gsii/9313-labs-imaging-1-8.pdf","gsii/9313-labs-imaging-1-8.pdf")</f>
        <v/>
      </c>
      <c r="E48" t="n">
        <v>118659</v>
      </c>
      <c r="F48" t="n">
        <v>9313</v>
      </c>
      <c r="G48" t="inlineStr">
        <is>
          <t>Discharge summary</t>
        </is>
      </c>
      <c r="H48" t="inlineStr">
        <is>
          <t>labs-imaging</t>
        </is>
      </c>
      <c r="I48" t="inlineStr">
        <is>
          <t xml:space="preserve"> Left
anterior descending and circumflex were calcified.</t>
        </is>
      </c>
    </row>
    <row r="49">
      <c r="A49" t="inlineStr">
        <is>
          <t>9313-labs-imaging-1-9</t>
        </is>
      </c>
      <c r="B49" t="inlineStr"/>
      <c r="C49" t="inlineStr"/>
      <c r="D49">
        <f>HYPERLINK("http://nlpdeep.cs.uic.edu:8080/proofing/t5/9313-labs-imaging-1-9.pdf","t5/9313-labs-imaging-1-9.pdf")</f>
        <v/>
      </c>
      <c r="E49" t="n">
        <v>118659</v>
      </c>
      <c r="F49" t="n">
        <v>9313</v>
      </c>
      <c r="G49" t="inlineStr">
        <is>
          <t>Discharge summary</t>
        </is>
      </c>
      <c r="H49" t="inlineStr">
        <is>
          <t>labs-imaging</t>
        </is>
      </c>
      <c r="I49" t="inlineStr">
        <is>
          <t xml:space="preserve"> There was
a long 80% mid left anterior descending stenosis involving
the origin of the second septal branch.</t>
        </is>
      </c>
    </row>
    <row r="50">
      <c r="A50" t="inlineStr">
        <is>
          <t>9313-labs-imaging-1-9</t>
        </is>
      </c>
      <c r="B50" t="inlineStr"/>
      <c r="C50" t="inlineStr"/>
      <c r="D50">
        <f>HYPERLINK("http://nlpdeep.cs.uic.edu:8080/proofing/gsii/9313-labs-imaging-1-9.pdf","gsii/9313-labs-imaging-1-9.pdf")</f>
        <v/>
      </c>
      <c r="E50" t="n">
        <v>118659</v>
      </c>
      <c r="F50" t="n">
        <v>9313</v>
      </c>
      <c r="G50" t="inlineStr">
        <is>
          <t>Discharge summary</t>
        </is>
      </c>
      <c r="H50" t="inlineStr">
        <is>
          <t>labs-imaging</t>
        </is>
      </c>
      <c r="I50" t="inlineStr">
        <is>
          <t xml:space="preserve"> There was
a long 80% mid left anterior descending stenosis involving
the origin of the second septal branch.</t>
        </is>
      </c>
    </row>
    <row r="51">
      <c r="A51" t="inlineStr">
        <is>
          <t>9313-labs-imaging-1-10</t>
        </is>
      </c>
      <c r="B51" t="inlineStr"/>
      <c r="C51" t="inlineStr"/>
      <c r="D51">
        <f>HYPERLINK("http://nlpdeep.cs.uic.edu:8080/proofing/t5/9313-labs-imaging-1-10.pdf","t5/9313-labs-imaging-1-10.pdf")</f>
        <v/>
      </c>
      <c r="E51" t="n">
        <v>118659</v>
      </c>
      <c r="F51" t="n">
        <v>9313</v>
      </c>
      <c r="G51" t="inlineStr">
        <is>
          <t>Discharge summary</t>
        </is>
      </c>
      <c r="H51" t="inlineStr">
        <is>
          <t>labs-imaging</t>
        </is>
      </c>
      <c r="I51" t="inlineStr">
        <is>
          <t xml:space="preserve"> There was a focal
60% stenosis in the distal vessel.</t>
        </is>
      </c>
    </row>
    <row r="52">
      <c r="A52" t="inlineStr">
        <is>
          <t>9313-labs-imaging-1-10</t>
        </is>
      </c>
      <c r="B52" t="inlineStr"/>
      <c r="C52" t="inlineStr"/>
      <c r="D52">
        <f>HYPERLINK("http://nlpdeep.cs.uic.edu:8080/proofing/gsii/9313-labs-imaging-1-10.pdf","gsii/9313-labs-imaging-1-10.pdf")</f>
        <v/>
      </c>
      <c r="E52" t="n">
        <v>118659</v>
      </c>
      <c r="F52" t="n">
        <v>9313</v>
      </c>
      <c r="G52" t="inlineStr">
        <is>
          <t>Discharge summary</t>
        </is>
      </c>
      <c r="H52" t="inlineStr">
        <is>
          <t>labs-imaging</t>
        </is>
      </c>
      <c r="I52" t="inlineStr">
        <is>
          <t xml:space="preserve"> There was a focal
60% stenosis in the distal vessel.</t>
        </is>
      </c>
    </row>
    <row r="53">
      <c r="A53" t="inlineStr">
        <is>
          <t>9313-labs-imaging-1-11</t>
        </is>
      </c>
      <c r="B53" t="inlineStr"/>
      <c r="C53" t="inlineStr"/>
      <c r="D53">
        <f>HYPERLINK("http://nlpdeep.cs.uic.edu:8080/proofing/t5/9313-labs-imaging-1-11.pdf","t5/9313-labs-imaging-1-11.pdf")</f>
        <v/>
      </c>
      <c r="E53" t="n">
        <v>118659</v>
      </c>
      <c r="F53" t="n">
        <v>9313</v>
      </c>
      <c r="G53" t="inlineStr">
        <is>
          <t>Discharge summary</t>
        </is>
      </c>
      <c r="H53" t="inlineStr">
        <is>
          <t>labs-imaging</t>
        </is>
      </c>
      <c r="I53" t="inlineStr">
        <is>
          <t xml:space="preserve"> The ..............</t>
        </is>
      </c>
    </row>
    <row r="54">
      <c r="A54" t="inlineStr">
        <is>
          <t>9313-labs-imaging-1-11</t>
        </is>
      </c>
      <c r="B54" t="inlineStr"/>
      <c r="C54" t="inlineStr"/>
      <c r="D54">
        <f>HYPERLINK("http://nlpdeep.cs.uic.edu:8080/proofing/gsii/9313-labs-imaging-1-11.pdf","gsii/9313-labs-imaging-1-11.pdf")</f>
        <v/>
      </c>
      <c r="E54" t="n">
        <v>118659</v>
      </c>
      <c r="F54" t="n">
        <v>9313</v>
      </c>
      <c r="G54" t="inlineStr">
        <is>
          <t>Discharge summary</t>
        </is>
      </c>
      <c r="H54" t="inlineStr">
        <is>
          <t>labs-imaging</t>
        </is>
      </c>
      <c r="I54" t="inlineStr">
        <is>
          <t xml:space="preserve"> The ..............</t>
        </is>
      </c>
    </row>
    <row r="55">
      <c r="A55" t="inlineStr">
        <is>
          <t>9313-labs-imaging-1-12</t>
        </is>
      </c>
      <c r="B55" t="inlineStr"/>
      <c r="C55" t="inlineStr"/>
      <c r="D55">
        <f>HYPERLINK("http://nlpdeep.cs.uic.edu:8080/proofing/t5/9313-labs-imaging-1-12.pdf","t5/9313-labs-imaging-1-12.pdf")</f>
        <v/>
      </c>
      <c r="E55" t="n">
        <v>118659</v>
      </c>
      <c r="F55" t="n">
        <v>9313</v>
      </c>
      <c r="G55" t="inlineStr">
        <is>
          <t>Discharge summary</t>
        </is>
      </c>
      <c r="H55" t="inlineStr">
        <is>
          <t>labs-imaging</t>
        </is>
      </c>
      <c r="I55" t="inlineStr">
        <is>
          <t xml:space="preserve">
circumflex was normal.</t>
        </is>
      </c>
    </row>
    <row r="56">
      <c r="A56" t="inlineStr">
        <is>
          <t>9313-labs-imaging-1-12</t>
        </is>
      </c>
      <c r="B56" t="inlineStr"/>
      <c r="C56" t="inlineStr"/>
      <c r="D56">
        <f>HYPERLINK("http://nlpdeep.cs.uic.edu:8080/proofing/gsii/9313-labs-imaging-1-12.pdf","gsii/9313-labs-imaging-1-12.pdf")</f>
        <v/>
      </c>
      <c r="E56" t="n">
        <v>118659</v>
      </c>
      <c r="F56" t="n">
        <v>9313</v>
      </c>
      <c r="G56" t="inlineStr">
        <is>
          <t>Discharge summary</t>
        </is>
      </c>
      <c r="H56" t="inlineStr">
        <is>
          <t>labs-imaging</t>
        </is>
      </c>
      <c r="I56" t="inlineStr">
        <is>
          <t xml:space="preserve">
circumflex was normal.</t>
        </is>
      </c>
    </row>
    <row r="57">
      <c r="A57" t="inlineStr">
        <is>
          <t>9313-labs-imaging-1-13</t>
        </is>
      </c>
      <c r="B57" t="inlineStr"/>
      <c r="C57" t="inlineStr"/>
      <c r="D57">
        <f>HYPERLINK("http://nlpdeep.cs.uic.edu:8080/proofing/t5/9313-labs-imaging-1-13.pdf","t5/9313-labs-imaging-1-13.pdf")</f>
        <v/>
      </c>
      <c r="E57" t="n">
        <v>118659</v>
      </c>
      <c r="F57" t="n">
        <v>9313</v>
      </c>
      <c r="G57" t="inlineStr">
        <is>
          <t>Discharge summary</t>
        </is>
      </c>
      <c r="H57" t="inlineStr">
        <is>
          <t>labs-imaging</t>
        </is>
      </c>
      <c r="I57" t="inlineStr">
        <is>
          <t xml:space="preserve"> There was a large branching first
marginal.</t>
        </is>
      </c>
    </row>
    <row r="58">
      <c r="A58" t="inlineStr">
        <is>
          <t>9313-labs-imaging-1-13</t>
        </is>
      </c>
      <c r="B58" t="inlineStr"/>
      <c r="C58" t="inlineStr"/>
      <c r="D58">
        <f>HYPERLINK("http://nlpdeep.cs.uic.edu:8080/proofing/gsii/9313-labs-imaging-1-13.pdf","gsii/9313-labs-imaging-1-13.pdf")</f>
        <v/>
      </c>
      <c r="E58" t="n">
        <v>118659</v>
      </c>
      <c r="F58" t="n">
        <v>9313</v>
      </c>
      <c r="G58" t="inlineStr">
        <is>
          <t>Discharge summary</t>
        </is>
      </c>
      <c r="H58" t="inlineStr">
        <is>
          <t>labs-imaging</t>
        </is>
      </c>
      <c r="I58" t="inlineStr">
        <is>
          <t xml:space="preserve"> There was a large branching first
marginal.</t>
        </is>
      </c>
    </row>
    <row r="59">
      <c r="A59" t="inlineStr">
        <is>
          <t>9313-labs-imaging-1-14</t>
        </is>
      </c>
      <c r="B59" t="inlineStr"/>
      <c r="C59" t="inlineStr"/>
      <c r="D59">
        <f>HYPERLINK("http://nlpdeep.cs.uic.edu:8080/proofing/t5/9313-labs-imaging-1-14.pdf","t5/9313-labs-imaging-1-14.pdf")</f>
        <v/>
      </c>
      <c r="E59" t="n">
        <v>118659</v>
      </c>
      <c r="F59" t="n">
        <v>9313</v>
      </c>
      <c r="G59" t="inlineStr">
        <is>
          <t>Discharge summary</t>
        </is>
      </c>
      <c r="H59" t="inlineStr">
        <is>
          <t>labs-imaging</t>
        </is>
      </c>
      <c r="I59" t="inlineStr">
        <is>
          <t xml:space="preserve"> The lower pole had 90% stenosis with a preserved
distal vessel.</t>
        </is>
      </c>
    </row>
    <row r="60">
      <c r="A60" t="inlineStr">
        <is>
          <t>9313-labs-imaging-1-14</t>
        </is>
      </c>
      <c r="B60" t="inlineStr"/>
      <c r="C60" t="inlineStr"/>
      <c r="D60">
        <f>HYPERLINK("http://nlpdeep.cs.uic.edu:8080/proofing/gsii/9313-labs-imaging-1-14.pdf","gsii/9313-labs-imaging-1-14.pdf")</f>
        <v/>
      </c>
      <c r="E60" t="n">
        <v>118659</v>
      </c>
      <c r="F60" t="n">
        <v>9313</v>
      </c>
      <c r="G60" t="inlineStr">
        <is>
          <t>Discharge summary</t>
        </is>
      </c>
      <c r="H60" t="inlineStr">
        <is>
          <t>labs-imaging</t>
        </is>
      </c>
      <c r="I60" t="inlineStr">
        <is>
          <t xml:space="preserve"> The lower pole had 90% stenosis with a preserved
distal vessel.</t>
        </is>
      </c>
    </row>
    <row r="61">
      <c r="A61" t="inlineStr">
        <is>
          <t>9313-labs-imaging-1-15</t>
        </is>
      </c>
      <c r="B61" t="inlineStr"/>
      <c r="C61" t="inlineStr"/>
      <c r="D61">
        <f>HYPERLINK("http://nlpdeep.cs.uic.edu:8080/proofing/t5/9313-labs-imaging-1-15.pdf","t5/9313-labs-imaging-1-15.pdf")</f>
        <v/>
      </c>
      <c r="E61" t="n">
        <v>118659</v>
      </c>
      <c r="F61" t="n">
        <v>9313</v>
      </c>
      <c r="G61" t="inlineStr">
        <is>
          <t>Discharge summary</t>
        </is>
      </c>
      <c r="H61" t="inlineStr">
        <is>
          <t>labs-imaging</t>
        </is>
      </c>
      <c r="I61" t="inlineStr">
        <is>
          <t xml:space="preserve"> The right coronary artery was totally
occluded proximally.</t>
        </is>
      </c>
    </row>
    <row r="62">
      <c r="A62" t="inlineStr">
        <is>
          <t>9313-labs-imaging-1-15</t>
        </is>
      </c>
      <c r="B62" t="inlineStr"/>
      <c r="C62" t="inlineStr"/>
      <c r="D62">
        <f>HYPERLINK("http://nlpdeep.cs.uic.edu:8080/proofing/gsii/9313-labs-imaging-1-15.pdf","gsii/9313-labs-imaging-1-15.pdf")</f>
        <v/>
      </c>
      <c r="E62" t="n">
        <v>118659</v>
      </c>
      <c r="F62" t="n">
        <v>9313</v>
      </c>
      <c r="G62" t="inlineStr">
        <is>
          <t>Discharge summary</t>
        </is>
      </c>
      <c r="H62" t="inlineStr">
        <is>
          <t>labs-imaging</t>
        </is>
      </c>
      <c r="I62" t="inlineStr">
        <is>
          <t xml:space="preserve"> The right coronary artery was totally
occluded proximally.</t>
        </is>
      </c>
    </row>
    <row r="63">
      <c r="A63" t="inlineStr">
        <is>
          <t>9313-labs-imaging-1-16</t>
        </is>
      </c>
      <c r="B63" t="inlineStr"/>
      <c r="C63" t="inlineStr"/>
      <c r="D63">
        <f>HYPERLINK("http://nlpdeep.cs.uic.edu:8080/proofing/t5/9313-labs-imaging-1-16.pdf","t5/9313-labs-imaging-1-16.pdf")</f>
        <v/>
      </c>
      <c r="E63" t="n">
        <v>118659</v>
      </c>
      <c r="F63" t="n">
        <v>9313</v>
      </c>
      <c r="G63" t="inlineStr">
        <is>
          <t>Discharge summary</t>
        </is>
      </c>
      <c r="H63" t="inlineStr">
        <is>
          <t>labs-imaging</t>
        </is>
      </c>
      <c r="I63" t="inlineStr">
        <is>
          <t xml:space="preserve"> The distal vessel was filled via
left-sided collaterals.</t>
        </is>
      </c>
    </row>
    <row r="64">
      <c r="A64" t="inlineStr">
        <is>
          <t>9313-labs-imaging-1-16</t>
        </is>
      </c>
      <c r="B64" t="inlineStr"/>
      <c r="C64" t="inlineStr"/>
      <c r="D64">
        <f>HYPERLINK("http://nlpdeep.cs.uic.edu:8080/proofing/gsii/9313-labs-imaging-1-16.pdf","gsii/9313-labs-imaging-1-16.pdf")</f>
        <v/>
      </c>
      <c r="E64" t="n">
        <v>118659</v>
      </c>
      <c r="F64" t="n">
        <v>9313</v>
      </c>
      <c r="G64" t="inlineStr">
        <is>
          <t>Discharge summary</t>
        </is>
      </c>
      <c r="H64" t="inlineStr">
        <is>
          <t>labs-imaging</t>
        </is>
      </c>
      <c r="I64" t="inlineStr">
        <is>
          <t xml:space="preserve"> The distal vessel was filled via
left-sided collaterals.</t>
        </is>
      </c>
    </row>
    <row r="65">
      <c r="A65" t="inlineStr">
        <is>
          <t>9313-hospital-course-0-0</t>
        </is>
      </c>
      <c r="B65" t="inlineStr"/>
      <c r="C65" t="inlineStr"/>
      <c r="D65">
        <f>HYPERLINK("http://nlpdeep.cs.uic.edu:8080/proofing/t5/9313-hospital-course-0-0.pdf","t5/9313-hospital-course-0-0.pdf")</f>
        <v/>
      </c>
      <c r="E65" t="n">
        <v>118659</v>
      </c>
      <c r="F65" t="n">
        <v>9313</v>
      </c>
      <c r="G65" t="inlineStr">
        <is>
          <t>Discharge summary</t>
        </is>
      </c>
      <c r="H65" t="inlineStr">
        <is>
          <t>hospital-course</t>
        </is>
      </c>
      <c r="I65" t="inlineStr">
        <is>
          <t>The patient was transferred from [**Location (un) **] to
[**Hospital1 **] for cardiac catheterization after a
positive stress test.</t>
        </is>
      </c>
    </row>
    <row r="66">
      <c r="A66" t="inlineStr">
        <is>
          <t>9313-hospital-course-0-0</t>
        </is>
      </c>
      <c r="B66" t="inlineStr"/>
      <c r="C66" t="inlineStr"/>
      <c r="D66">
        <f>HYPERLINK("http://nlpdeep.cs.uic.edu:8080/proofing/gsii/9313-hospital-course-0-0.pdf","gsii/9313-hospital-course-0-0.pdf")</f>
        <v/>
      </c>
      <c r="E66" t="n">
        <v>118659</v>
      </c>
      <c r="F66" t="n">
        <v>9313</v>
      </c>
      <c r="G66" t="inlineStr">
        <is>
          <t>Discharge summary</t>
        </is>
      </c>
      <c r="H66" t="inlineStr">
        <is>
          <t>hospital-course</t>
        </is>
      </c>
      <c r="I66" t="inlineStr">
        <is>
          <t>The patient was transferred from [**Location (un) **] to
[**Hospital1 **] for cardiac catheterization after a
positive stress test.</t>
        </is>
      </c>
    </row>
    <row r="67">
      <c r="A67" t="inlineStr">
        <is>
          <t>9313-hospital-course-0-1</t>
        </is>
      </c>
      <c r="B67" t="inlineStr"/>
      <c r="C67" t="inlineStr"/>
      <c r="D67">
        <f>HYPERLINK("http://nlpdeep.cs.uic.edu:8080/proofing/t5/9313-hospital-course-0-1.pdf","t5/9313-hospital-course-0-1.pdf")</f>
        <v/>
      </c>
      <c r="E67" t="n">
        <v>118659</v>
      </c>
      <c r="F67" t="n">
        <v>9313</v>
      </c>
      <c r="G67" t="inlineStr">
        <is>
          <t>Discharge summary</t>
        </is>
      </c>
      <c r="H67" t="inlineStr">
        <is>
          <t>hospital-course</t>
        </is>
      </c>
      <c r="I67" t="inlineStr">
        <is>
          <t xml:space="preserve"> Cardiac catheterization report is as
summarized above.</t>
        </is>
      </c>
    </row>
    <row r="68">
      <c r="A68" t="inlineStr">
        <is>
          <t>9313-hospital-course-0-1</t>
        </is>
      </c>
      <c r="B68" t="inlineStr"/>
      <c r="C68" t="inlineStr"/>
      <c r="D68">
        <f>HYPERLINK("http://nlpdeep.cs.uic.edu:8080/proofing/gsii/9313-hospital-course-0-1.pdf","gsii/9313-hospital-course-0-1.pdf")</f>
        <v/>
      </c>
      <c r="E68" t="n">
        <v>118659</v>
      </c>
      <c r="F68" t="n">
        <v>9313</v>
      </c>
      <c r="G68" t="inlineStr">
        <is>
          <t>Discharge summary</t>
        </is>
      </c>
      <c r="H68" t="inlineStr">
        <is>
          <t>hospital-course</t>
        </is>
      </c>
      <c r="I68" t="inlineStr">
        <is>
          <t xml:space="preserve"> Cardiac catheterization report is as
summarized above.</t>
        </is>
      </c>
    </row>
    <row r="69">
      <c r="A69" t="inlineStr">
        <is>
          <t>9313-hospital-course-0-2</t>
        </is>
      </c>
      <c r="B69" t="inlineStr"/>
      <c r="C69" t="inlineStr"/>
      <c r="D69">
        <f>HYPERLINK("http://nlpdeep.cs.uic.edu:8080/proofing/t5/9313-hospital-course-0-2.pdf","t5/9313-hospital-course-0-2.pdf")</f>
        <v/>
      </c>
      <c r="E69" t="n">
        <v>118659</v>
      </c>
      <c r="F69" t="n">
        <v>9313</v>
      </c>
      <c r="G69" t="inlineStr">
        <is>
          <t>Discharge summary</t>
        </is>
      </c>
      <c r="H69" t="inlineStr">
        <is>
          <t>hospital-course</t>
        </is>
      </c>
      <c r="I69" t="inlineStr">
        <is>
          <t xml:space="preserve"> In brief, the patient has three-vessel
coronary artery disease with moderate systolic ventricular
dysfunction and severe diastolic ventricular dysfunction.</t>
        </is>
      </c>
    </row>
    <row r="70">
      <c r="A70" t="inlineStr">
        <is>
          <t>9313-hospital-course-0-2</t>
        </is>
      </c>
      <c r="B70" t="inlineStr"/>
      <c r="C70" t="inlineStr"/>
      <c r="D70">
        <f>HYPERLINK("http://nlpdeep.cs.uic.edu:8080/proofing/gsii/9313-hospital-course-0-2.pdf","gsii/9313-hospital-course-0-2.pdf")</f>
        <v/>
      </c>
      <c r="E70" t="n">
        <v>118659</v>
      </c>
      <c r="F70" t="n">
        <v>9313</v>
      </c>
      <c r="G70" t="inlineStr">
        <is>
          <t>Discharge summary</t>
        </is>
      </c>
      <c r="H70" t="inlineStr">
        <is>
          <t>hospital-course</t>
        </is>
      </c>
      <c r="I70" t="inlineStr">
        <is>
          <t xml:space="preserve"> In brief, the patient has three-vessel
coronary artery disease with moderate systolic ventricular
dysfunction and severe diastolic ventricular dysfunction.</t>
        </is>
      </c>
    </row>
    <row r="71">
      <c r="A71" t="inlineStr">
        <is>
          <t>9313-hospital-course-0-3</t>
        </is>
      </c>
      <c r="B71" t="inlineStr"/>
      <c r="C71" t="inlineStr"/>
      <c r="D71">
        <f>HYPERLINK("http://nlpdeep.cs.uic.edu:8080/proofing/t5/9313-hospital-course-0-3.pdf","t5/9313-hospital-course-0-3.pdf")</f>
        <v/>
      </c>
      <c r="E71" t="n">
        <v>118659</v>
      </c>
      <c r="F71" t="n">
        <v>9313</v>
      </c>
      <c r="G71" t="inlineStr">
        <is>
          <t>Discharge summary</t>
        </is>
      </c>
      <c r="H71" t="inlineStr">
        <is>
          <t>hospital-course</t>
        </is>
      </c>
      <c r="I71" t="inlineStr">
        <is>
          <t xml:space="preserve">
Given these results, a coronary artery bypass was suggested
to her as the best treatment modality.</t>
        </is>
      </c>
    </row>
    <row r="72">
      <c r="A72" t="inlineStr">
        <is>
          <t>9313-hospital-course-0-3</t>
        </is>
      </c>
      <c r="B72" t="inlineStr"/>
      <c r="C72" t="inlineStr"/>
      <c r="D72">
        <f>HYPERLINK("http://nlpdeep.cs.uic.edu:8080/proofing/gsii/9313-hospital-course-0-3.pdf","gsii/9313-hospital-course-0-3.pdf")</f>
        <v/>
      </c>
      <c r="E72" t="n">
        <v>118659</v>
      </c>
      <c r="F72" t="n">
        <v>9313</v>
      </c>
      <c r="G72" t="inlineStr">
        <is>
          <t>Discharge summary</t>
        </is>
      </c>
      <c r="H72" t="inlineStr">
        <is>
          <t>hospital-course</t>
        </is>
      </c>
      <c r="I72" t="inlineStr">
        <is>
          <t xml:space="preserve">
Given these results, a coronary artery bypass was suggested
to her as the best treatment modality.</t>
        </is>
      </c>
    </row>
    <row r="73">
      <c r="A73" t="inlineStr">
        <is>
          <t>9313-hospital-course-0-4</t>
        </is>
      </c>
      <c r="B73" t="inlineStr"/>
      <c r="C73" t="inlineStr"/>
      <c r="D73">
        <f>HYPERLINK("http://nlpdeep.cs.uic.edu:8080/proofing/t5/9313-hospital-course-0-4.pdf","t5/9313-hospital-course-0-4.pdf")</f>
        <v/>
      </c>
      <c r="E73" t="n">
        <v>118659</v>
      </c>
      <c r="F73" t="n">
        <v>9313</v>
      </c>
      <c r="G73" t="inlineStr">
        <is>
          <t>Discharge summary</t>
        </is>
      </c>
      <c r="H73" t="inlineStr">
        <is>
          <t>hospital-course</t>
        </is>
      </c>
      <c r="I73" t="inlineStr">
        <is>
          <t xml:space="preserve"> After the risks and
benefits of the procedure were explained, the patient agreed
to coronary artery bypass.</t>
        </is>
      </c>
    </row>
    <row r="74">
      <c r="A74" t="inlineStr">
        <is>
          <t>9313-hospital-course-0-4</t>
        </is>
      </c>
      <c r="B74" t="inlineStr"/>
      <c r="C74" t="inlineStr"/>
      <c r="D74">
        <f>HYPERLINK("http://nlpdeep.cs.uic.edu:8080/proofing/gsii/9313-hospital-course-0-4.pdf","gsii/9313-hospital-course-0-4.pdf")</f>
        <v/>
      </c>
      <c r="E74" t="n">
        <v>118659</v>
      </c>
      <c r="F74" t="n">
        <v>9313</v>
      </c>
      <c r="G74" t="inlineStr">
        <is>
          <t>Discharge summary</t>
        </is>
      </c>
      <c r="H74" t="inlineStr">
        <is>
          <t>hospital-course</t>
        </is>
      </c>
      <c r="I74" t="inlineStr">
        <is>
          <t xml:space="preserve"> After the risks and
benefits of the procedure were explained, the patient agreed
to coronary artery bypass.</t>
        </is>
      </c>
    </row>
    <row r="75">
      <c r="A75" t="inlineStr">
        <is>
          <t>9313-hospital-course-1-0</t>
        </is>
      </c>
      <c r="B75" t="inlineStr"/>
      <c r="C75" t="inlineStr"/>
      <c r="D75">
        <f>HYPERLINK("http://nlpdeep.cs.uic.edu:8080/proofing/t5/9313-hospital-course-1-0.pdf","t5/9313-hospital-course-1-0.pdf")</f>
        <v/>
      </c>
      <c r="E75" t="n">
        <v>118659</v>
      </c>
      <c r="F75" t="n">
        <v>9313</v>
      </c>
      <c r="G75" t="inlineStr">
        <is>
          <t>Discharge summary</t>
        </is>
      </c>
      <c r="H75" t="inlineStr">
        <is>
          <t>hospital-course</t>
        </is>
      </c>
      <c r="I75" t="inlineStr"/>
    </row>
    <row r="76">
      <c r="A76" t="inlineStr">
        <is>
          <t>9313-hospital-course-1-0</t>
        </is>
      </c>
      <c r="B76" t="inlineStr"/>
      <c r="C76" t="inlineStr"/>
      <c r="D76">
        <f>HYPERLINK("http://nlpdeep.cs.uic.edu:8080/proofing/gsii/9313-hospital-course-1-0.pdf","gsii/9313-hospital-course-1-0.pdf")</f>
        <v/>
      </c>
      <c r="E76" t="n">
        <v>118659</v>
      </c>
      <c r="F76" t="n">
        <v>9313</v>
      </c>
      <c r="G76" t="inlineStr">
        <is>
          <t>Discharge summary</t>
        </is>
      </c>
      <c r="H76" t="inlineStr">
        <is>
          <t>hospital-course</t>
        </is>
      </c>
      <c r="I76" t="inlineStr"/>
    </row>
    <row r="77">
      <c r="A77" t="inlineStr">
        <is>
          <t>9313-hospital-course-2-0</t>
        </is>
      </c>
      <c r="B77" t="inlineStr"/>
      <c r="C77" t="inlineStr"/>
      <c r="D77">
        <f>HYPERLINK("http://nlpdeep.cs.uic.edu:8080/proofing/t5/9313-hospital-course-2-0.pdf","t5/9313-hospital-course-2-0.pdf")</f>
        <v/>
      </c>
      <c r="E77" t="n">
        <v>118659</v>
      </c>
      <c r="F77" t="n">
        <v>9313</v>
      </c>
      <c r="G77" t="inlineStr">
        <is>
          <t>Discharge summary</t>
        </is>
      </c>
      <c r="H77" t="inlineStr">
        <is>
          <t>hospital-course</t>
        </is>
      </c>
      <c r="I77" t="inlineStr"/>
    </row>
    <row r="78">
      <c r="A78" t="inlineStr">
        <is>
          <t>9313-hospital-course-2-0</t>
        </is>
      </c>
      <c r="B78" t="inlineStr"/>
      <c r="C78" t="inlineStr"/>
      <c r="D78">
        <f>HYPERLINK("http://nlpdeep.cs.uic.edu:8080/proofing/gsii/9313-hospital-course-2-0.pdf","gsii/9313-hospital-course-2-0.pdf")</f>
        <v/>
      </c>
      <c r="E78" t="n">
        <v>118659</v>
      </c>
      <c r="F78" t="n">
        <v>9313</v>
      </c>
      <c r="G78" t="inlineStr">
        <is>
          <t>Discharge summary</t>
        </is>
      </c>
      <c r="H78" t="inlineStr">
        <is>
          <t>hospital-course</t>
        </is>
      </c>
      <c r="I78" t="inlineStr"/>
    </row>
    <row r="79">
      <c r="A79" t="inlineStr">
        <is>
          <t>9313-hospital-course-2-1</t>
        </is>
      </c>
      <c r="B79" t="inlineStr"/>
      <c r="C79" t="inlineStr"/>
      <c r="D79">
        <f>HYPERLINK("http://nlpdeep.cs.uic.edu:8080/proofing/t5/9313-hospital-course-2-1.pdf","t5/9313-hospital-course-2-1.pdf")</f>
        <v/>
      </c>
      <c r="E79" t="n">
        <v>118659</v>
      </c>
      <c r="F79" t="n">
        <v>9313</v>
      </c>
      <c r="G79" t="inlineStr">
        <is>
          <t>Discharge summary</t>
        </is>
      </c>
      <c r="H79" t="inlineStr">
        <is>
          <t>hospital-course</t>
        </is>
      </c>
      <c r="I79" t="inlineStr">
        <is>
          <t xml:space="preserve"> LIMA to left anterior descending.</t>
        </is>
      </c>
    </row>
    <row r="80">
      <c r="A80" t="inlineStr">
        <is>
          <t>9313-hospital-course-2-1</t>
        </is>
      </c>
      <c r="B80" t="inlineStr"/>
      <c r="C80" t="inlineStr"/>
      <c r="D80">
        <f>HYPERLINK("http://nlpdeep.cs.uic.edu:8080/proofing/gsii/9313-hospital-course-2-1.pdf","gsii/9313-hospital-course-2-1.pdf")</f>
        <v/>
      </c>
      <c r="E80" t="n">
        <v>118659</v>
      </c>
      <c r="F80" t="n">
        <v>9313</v>
      </c>
      <c r="G80" t="inlineStr">
        <is>
          <t>Discharge summary</t>
        </is>
      </c>
      <c r="H80" t="inlineStr">
        <is>
          <t>hospital-course</t>
        </is>
      </c>
      <c r="I80" t="inlineStr">
        <is>
          <t xml:space="preserve"> LIMA to left anterior descending.</t>
        </is>
      </c>
    </row>
    <row r="81">
      <c r="A81" t="inlineStr">
        <is>
          <t>9313-hospital-course-2-2</t>
        </is>
      </c>
      <c r="B81" t="inlineStr"/>
      <c r="C81" t="inlineStr"/>
      <c r="D81">
        <f>HYPERLINK("http://nlpdeep.cs.uic.edu:8080/proofing/t5/9313-hospital-course-2-2.pdf","t5/9313-hospital-course-2-2.pdf")</f>
        <v/>
      </c>
      <c r="E81" t="n">
        <v>118659</v>
      </c>
      <c r="F81" t="n">
        <v>9313</v>
      </c>
      <c r="G81" t="inlineStr">
        <is>
          <t>Discharge summary</t>
        </is>
      </c>
      <c r="H81" t="inlineStr">
        <is>
          <t>hospital-course</t>
        </is>
      </c>
      <c r="I81" t="inlineStr">
        <is>
          <t xml:space="preserve"> Saphenous vein graft to DRCA.</t>
        </is>
      </c>
    </row>
    <row r="82">
      <c r="A82" t="inlineStr">
        <is>
          <t>9313-hospital-course-2-2</t>
        </is>
      </c>
      <c r="B82" t="inlineStr"/>
      <c r="C82" t="inlineStr"/>
      <c r="D82">
        <f>HYPERLINK("http://nlpdeep.cs.uic.edu:8080/proofing/gsii/9313-hospital-course-2-2.pdf","gsii/9313-hospital-course-2-2.pdf")</f>
        <v/>
      </c>
      <c r="E82" t="n">
        <v>118659</v>
      </c>
      <c r="F82" t="n">
        <v>9313</v>
      </c>
      <c r="G82" t="inlineStr">
        <is>
          <t>Discharge summary</t>
        </is>
      </c>
      <c r="H82" t="inlineStr">
        <is>
          <t>hospital-course</t>
        </is>
      </c>
      <c r="I82" t="inlineStr">
        <is>
          <t xml:space="preserve"> Saphenous vein graft to DRCA.</t>
        </is>
      </c>
    </row>
    <row r="83">
      <c r="A83" t="inlineStr">
        <is>
          <t>9313-hospital-course-2-3</t>
        </is>
      </c>
      <c r="B83" t="inlineStr"/>
      <c r="C83" t="inlineStr"/>
      <c r="D83">
        <f>HYPERLINK("http://nlpdeep.cs.uic.edu:8080/proofing/t5/9313-hospital-course-2-3.pdf","t5/9313-hospital-course-2-3.pdf")</f>
        <v/>
      </c>
      <c r="E83" t="n">
        <v>118659</v>
      </c>
      <c r="F83" t="n">
        <v>9313</v>
      </c>
      <c r="G83" t="inlineStr">
        <is>
          <t>Discharge summary</t>
        </is>
      </c>
      <c r="H83" t="inlineStr">
        <is>
          <t>hospital-course</t>
        </is>
      </c>
      <c r="I83" t="inlineStr">
        <is>
          <t xml:space="preserve"> Saphenous vein graft to OM2.</t>
        </is>
      </c>
    </row>
    <row r="84">
      <c r="A84" t="inlineStr">
        <is>
          <t>9313-hospital-course-2-3</t>
        </is>
      </c>
      <c r="B84" t="inlineStr"/>
      <c r="C84" t="inlineStr"/>
      <c r="D84">
        <f>HYPERLINK("http://nlpdeep.cs.uic.edu:8080/proofing/gsii/9313-hospital-course-2-3.pdf","gsii/9313-hospital-course-2-3.pdf")</f>
        <v/>
      </c>
      <c r="E84" t="n">
        <v>118659</v>
      </c>
      <c r="F84" t="n">
        <v>9313</v>
      </c>
      <c r="G84" t="inlineStr">
        <is>
          <t>Discharge summary</t>
        </is>
      </c>
      <c r="H84" t="inlineStr">
        <is>
          <t>hospital-course</t>
        </is>
      </c>
      <c r="I84" t="inlineStr">
        <is>
          <t xml:space="preserve"> Saphenous vein graft to OM2.</t>
        </is>
      </c>
    </row>
    <row r="85">
      <c r="A85" t="inlineStr">
        <is>
          <t>9313-hospital-course-3-0</t>
        </is>
      </c>
      <c r="B85" t="inlineStr"/>
      <c r="C85" t="inlineStr"/>
      <c r="D85">
        <f>HYPERLINK("http://nlpdeep.cs.uic.edu:8080/proofing/t5/9313-hospital-course-3-0.pdf","t5/9313-hospital-course-3-0.pdf")</f>
        <v/>
      </c>
      <c r="E85" t="n">
        <v>118659</v>
      </c>
      <c r="F85" t="n">
        <v>9313</v>
      </c>
      <c r="G85" t="inlineStr">
        <is>
          <t>Discharge summary</t>
        </is>
      </c>
      <c r="H85" t="inlineStr">
        <is>
          <t>hospital-course</t>
        </is>
      </c>
      <c r="I85" t="inlineStr">
        <is>
          <t xml:space="preserve">
After her operation, the patient was transferred to the
Cardiothoracic Intensive Care Unit for her postoperative
care.</t>
        </is>
      </c>
    </row>
    <row r="86">
      <c r="A86" t="inlineStr">
        <is>
          <t>9313-hospital-course-3-0</t>
        </is>
      </c>
      <c r="B86" t="inlineStr"/>
      <c r="C86" t="inlineStr"/>
      <c r="D86">
        <f>HYPERLINK("http://nlpdeep.cs.uic.edu:8080/proofing/gsii/9313-hospital-course-3-0.pdf","gsii/9313-hospital-course-3-0.pdf")</f>
        <v/>
      </c>
      <c r="E86" t="n">
        <v>118659</v>
      </c>
      <c r="F86" t="n">
        <v>9313</v>
      </c>
      <c r="G86" t="inlineStr">
        <is>
          <t>Discharge summary</t>
        </is>
      </c>
      <c r="H86" t="inlineStr">
        <is>
          <t>hospital-course</t>
        </is>
      </c>
      <c r="I86" t="inlineStr">
        <is>
          <t xml:space="preserve">
After her operation, the patient was transferred to the
Cardiothoracic Intensive Care Unit for her postoperative
care.</t>
        </is>
      </c>
    </row>
    <row r="87">
      <c r="A87" t="inlineStr">
        <is>
          <t>9313-hospital-course-3-1</t>
        </is>
      </c>
      <c r="B87" t="inlineStr"/>
      <c r="C87" t="inlineStr"/>
      <c r="D87">
        <f>HYPERLINK("http://nlpdeep.cs.uic.edu:8080/proofing/t5/9313-hospital-course-3-1.pdf","t5/9313-hospital-course-3-1.pdf")</f>
        <v/>
      </c>
      <c r="E87" t="n">
        <v>118659</v>
      </c>
      <c r="F87" t="n">
        <v>9313</v>
      </c>
      <c r="G87" t="inlineStr">
        <is>
          <t>Discharge summary</t>
        </is>
      </c>
      <c r="H87" t="inlineStr">
        <is>
          <t>hospital-course</t>
        </is>
      </c>
      <c r="I87" t="inlineStr">
        <is>
          <t xml:space="preserve"> Her postoperative course in the Intensive Care Unit
was unremarkable, and she was transferred to the floor on
postoperative day #1.</t>
        </is>
      </c>
    </row>
    <row r="88">
      <c r="A88" t="inlineStr">
        <is>
          <t>9313-hospital-course-3-1</t>
        </is>
      </c>
      <c r="B88" t="inlineStr"/>
      <c r="C88" t="inlineStr"/>
      <c r="D88">
        <f>HYPERLINK("http://nlpdeep.cs.uic.edu:8080/proofing/gsii/9313-hospital-course-3-1.pdf","gsii/9313-hospital-course-3-1.pdf")</f>
        <v/>
      </c>
      <c r="E88" t="n">
        <v>118659</v>
      </c>
      <c r="F88" t="n">
        <v>9313</v>
      </c>
      <c r="G88" t="inlineStr">
        <is>
          <t>Discharge summary</t>
        </is>
      </c>
      <c r="H88" t="inlineStr">
        <is>
          <t>hospital-course</t>
        </is>
      </c>
      <c r="I88" t="inlineStr">
        <is>
          <t xml:space="preserve"> Her postoperative course in the Intensive Care Unit
was unremarkable, and she was transferred to the floor on
postoperative day #1.</t>
        </is>
      </c>
    </row>
    <row r="89">
      <c r="A89" t="inlineStr">
        <is>
          <t>9313-hospital-course-4-0</t>
        </is>
      </c>
      <c r="B89" t="inlineStr"/>
      <c r="C89" t="inlineStr"/>
      <c r="D89">
        <f>HYPERLINK("http://nlpdeep.cs.uic.edu:8080/proofing/t5/9313-hospital-course-4-0.pdf","t5/9313-hospital-course-4-0.pdf")</f>
        <v/>
      </c>
      <c r="E89" t="n">
        <v>118659</v>
      </c>
      <c r="F89" t="n">
        <v>9313</v>
      </c>
      <c r="G89" t="inlineStr">
        <is>
          <t>Discharge summary</t>
        </is>
      </c>
      <c r="H89" t="inlineStr">
        <is>
          <t>hospital-course</t>
        </is>
      </c>
      <c r="I89" t="inlineStr">
        <is>
          <t xml:space="preserve">
Her course after the operation was significant for
left-sided, especially left leg, perceived weakness which in
the beginning prevented the patient from doing physical
therapy.</t>
        </is>
      </c>
    </row>
    <row r="90">
      <c r="A90" t="inlineStr">
        <is>
          <t>9313-hospital-course-4-0</t>
        </is>
      </c>
      <c r="B90" t="inlineStr"/>
      <c r="C90" t="inlineStr"/>
      <c r="D90">
        <f>HYPERLINK("http://nlpdeep.cs.uic.edu:8080/proofing/gsii/9313-hospital-course-4-0.pdf","gsii/9313-hospital-course-4-0.pdf")</f>
        <v/>
      </c>
      <c r="E90" t="n">
        <v>118659</v>
      </c>
      <c r="F90" t="n">
        <v>9313</v>
      </c>
      <c r="G90" t="inlineStr">
        <is>
          <t>Discharge summary</t>
        </is>
      </c>
      <c r="H90" t="inlineStr">
        <is>
          <t>hospital-course</t>
        </is>
      </c>
      <c r="I90" t="inlineStr">
        <is>
          <t xml:space="preserve">
Her course after the operation was significant for
left-sided, especially left leg, perceived weakness which in
the beginning prevented the patient from doing physical
therapy.</t>
        </is>
      </c>
    </row>
    <row r="91">
      <c r="A91" t="inlineStr">
        <is>
          <t>9313-hospital-course-4-1</t>
        </is>
      </c>
      <c r="B91" t="inlineStr"/>
      <c r="C91" t="inlineStr"/>
      <c r="D91">
        <f>HYPERLINK("http://nlpdeep.cs.uic.edu:8080/proofing/t5/9313-hospital-course-4-1.pdf","t5/9313-hospital-course-4-1.pdf")</f>
        <v/>
      </c>
      <c r="E91" t="n">
        <v>118659</v>
      </c>
      <c r="F91" t="n">
        <v>9313</v>
      </c>
      <c r="G91" t="inlineStr">
        <is>
          <t>Discharge summary</t>
        </is>
      </c>
      <c r="H91" t="inlineStr">
        <is>
          <t>hospital-course</t>
        </is>
      </c>
      <c r="I91" t="inlineStr">
        <is>
          <t xml:space="preserve"> On exam, she had 4+ strength in her lower
extremities bilaterally.</t>
        </is>
      </c>
    </row>
    <row r="92">
      <c r="A92" t="inlineStr">
        <is>
          <t>9313-hospital-course-4-1</t>
        </is>
      </c>
      <c r="B92" t="inlineStr"/>
      <c r="C92" t="inlineStr"/>
      <c r="D92">
        <f>HYPERLINK("http://nlpdeep.cs.uic.edu:8080/proofing/gsii/9313-hospital-course-4-1.pdf","gsii/9313-hospital-course-4-1.pdf")</f>
        <v/>
      </c>
      <c r="E92" t="n">
        <v>118659</v>
      </c>
      <c r="F92" t="n">
        <v>9313</v>
      </c>
      <c r="G92" t="inlineStr">
        <is>
          <t>Discharge summary</t>
        </is>
      </c>
      <c r="H92" t="inlineStr">
        <is>
          <t>hospital-course</t>
        </is>
      </c>
      <c r="I92" t="inlineStr">
        <is>
          <t xml:space="preserve"> On exam, she had 4+ strength in her lower
extremities bilaterally.</t>
        </is>
      </c>
    </row>
    <row r="93">
      <c r="A93" t="inlineStr">
        <is>
          <t>9313-hospital-course-4-2</t>
        </is>
      </c>
      <c r="B93" t="inlineStr"/>
      <c r="C93" t="inlineStr"/>
      <c r="D93">
        <f>HYPERLINK("http://nlpdeep.cs.uic.edu:8080/proofing/t5/9313-hospital-course-4-2.pdf","t5/9313-hospital-course-4-2.pdf")</f>
        <v/>
      </c>
      <c r="E93" t="n">
        <v>118659</v>
      </c>
      <c r="F93" t="n">
        <v>9313</v>
      </c>
      <c r="G93" t="inlineStr">
        <is>
          <t>Discharge summary</t>
        </is>
      </c>
      <c r="H93" t="inlineStr">
        <is>
          <t>hospital-course</t>
        </is>
      </c>
      <c r="I93" t="inlineStr">
        <is>
          <t xml:space="preserve"> There was a subtle weakness on the
left side; however, motor and sensory function was completely
intact.</t>
        </is>
      </c>
    </row>
    <row r="94">
      <c r="A94" t="inlineStr">
        <is>
          <t>9313-hospital-course-4-2</t>
        </is>
      </c>
      <c r="B94" t="inlineStr"/>
      <c r="C94" t="inlineStr"/>
      <c r="D94">
        <f>HYPERLINK("http://nlpdeep.cs.uic.edu:8080/proofing/gsii/9313-hospital-course-4-2.pdf","gsii/9313-hospital-course-4-2.pdf")</f>
        <v/>
      </c>
      <c r="E94" t="n">
        <v>118659</v>
      </c>
      <c r="F94" t="n">
        <v>9313</v>
      </c>
      <c r="G94" t="inlineStr">
        <is>
          <t>Discharge summary</t>
        </is>
      </c>
      <c r="H94" t="inlineStr">
        <is>
          <t>hospital-course</t>
        </is>
      </c>
      <c r="I94" t="inlineStr">
        <is>
          <t xml:space="preserve"> There was a subtle weakness on the
left side; however, motor and sensory function was completely
intact.</t>
        </is>
      </c>
    </row>
    <row r="95">
      <c r="A95" t="inlineStr">
        <is>
          <t>9313-hospital-course-4-3</t>
        </is>
      </c>
      <c r="B95" t="inlineStr"/>
      <c r="C95" t="inlineStr"/>
      <c r="D95">
        <f>HYPERLINK("http://nlpdeep.cs.uic.edu:8080/proofing/t5/9313-hospital-course-4-3.pdf","t5/9313-hospital-course-4-3.pdf")</f>
        <v/>
      </c>
      <c r="E95" t="n">
        <v>118659</v>
      </c>
      <c r="F95" t="n">
        <v>9313</v>
      </c>
      <c r="G95" t="inlineStr">
        <is>
          <t>Discharge summary</t>
        </is>
      </c>
      <c r="H95" t="inlineStr">
        <is>
          <t>hospital-course</t>
        </is>
      </c>
      <c r="I95" t="inlineStr">
        <is>
          <t xml:space="preserve"> Over the proceeding days, she actually had improved
her function and was able to ambulate and requires further
physical therapy to regain full strength.</t>
        </is>
      </c>
    </row>
    <row r="96">
      <c r="A96" t="inlineStr">
        <is>
          <t>9313-hospital-course-4-3</t>
        </is>
      </c>
      <c r="B96" t="inlineStr"/>
      <c r="C96" t="inlineStr"/>
      <c r="D96">
        <f>HYPERLINK("http://nlpdeep.cs.uic.edu:8080/proofing/gsii/9313-hospital-course-4-3.pdf","gsii/9313-hospital-course-4-3.pdf")</f>
        <v/>
      </c>
      <c r="E96" t="n">
        <v>118659</v>
      </c>
      <c r="F96" t="n">
        <v>9313</v>
      </c>
      <c r="G96" t="inlineStr">
        <is>
          <t>Discharge summary</t>
        </is>
      </c>
      <c r="H96" t="inlineStr">
        <is>
          <t>hospital-course</t>
        </is>
      </c>
      <c r="I96" t="inlineStr">
        <is>
          <t xml:space="preserve"> Over the proceeding days, she actually had improved
her function and was able to ambulate and requires further
physical therapy to regain full strength.</t>
        </is>
      </c>
    </row>
    <row r="97">
      <c r="A97" t="inlineStr">
        <is>
          <t>9313-hospital-course-5-0</t>
        </is>
      </c>
      <c r="B97" t="inlineStr"/>
      <c r="C97" t="inlineStr"/>
      <c r="D97">
        <f>HYPERLINK("http://nlpdeep.cs.uic.edu:8080/proofing/t5/9313-hospital-course-5-0.pdf","t5/9313-hospital-course-5-0.pdf")</f>
        <v/>
      </c>
      <c r="E97" t="n">
        <v>118659</v>
      </c>
      <c r="F97" t="n">
        <v>9313</v>
      </c>
      <c r="G97" t="inlineStr">
        <is>
          <t>Discharge summary</t>
        </is>
      </c>
      <c r="H97" t="inlineStr">
        <is>
          <t>hospital-course</t>
        </is>
      </c>
      <c r="I97" t="inlineStr">
        <is>
          <t xml:space="preserve">
She is being transferred to rehabilitation for further
physical therapy.</t>
        </is>
      </c>
    </row>
    <row r="98">
      <c r="A98" t="inlineStr">
        <is>
          <t>9313-hospital-course-5-0</t>
        </is>
      </c>
      <c r="B98" t="inlineStr"/>
      <c r="C98" t="inlineStr"/>
      <c r="D98">
        <f>HYPERLINK("http://nlpdeep.cs.uic.edu:8080/proofing/gsii/9313-hospital-course-5-0.pdf","gsii/9313-hospital-course-5-0.pdf")</f>
        <v/>
      </c>
      <c r="E98" t="n">
        <v>118659</v>
      </c>
      <c r="F98" t="n">
        <v>9313</v>
      </c>
      <c r="G98" t="inlineStr">
        <is>
          <t>Discharge summary</t>
        </is>
      </c>
      <c r="H98" t="inlineStr">
        <is>
          <t>hospital-course</t>
        </is>
      </c>
      <c r="I98" t="inlineStr">
        <is>
          <t xml:space="preserve">
She is being transferred to rehabilitation for further
physical therapy.</t>
        </is>
      </c>
    </row>
    <row r="99">
      <c r="A99" t="inlineStr">
        <is>
          <t>9313-discharge-instructions-0-0</t>
        </is>
      </c>
      <c r="B99" t="inlineStr"/>
      <c r="C99" t="inlineStr"/>
      <c r="D99">
        <f>HYPERLINK("http://nlpdeep.cs.uic.edu:8080/proofing/t5/9313-discharge-instructions-0-0.pdf","t5/9313-discharge-instructions-0-0.pdf")</f>
        <v/>
      </c>
      <c r="E99" t="n">
        <v>118659</v>
      </c>
      <c r="F99" t="n">
        <v>9313</v>
      </c>
      <c r="G99" t="inlineStr">
        <is>
          <t>Discharge summary</t>
        </is>
      </c>
      <c r="H99" t="inlineStr">
        <is>
          <t>discharge-instructions</t>
        </is>
      </c>
      <c r="I99" t="inlineStr">
        <is>
          <t>Dr.</t>
        </is>
      </c>
    </row>
    <row r="100">
      <c r="A100" t="inlineStr">
        <is>
          <t>9313-discharge-instructions-0-0</t>
        </is>
      </c>
      <c r="B100" t="inlineStr"/>
      <c r="C100" t="inlineStr"/>
      <c r="D100">
        <f>HYPERLINK("http://nlpdeep.cs.uic.edu:8080/proofing/gsii/9313-discharge-instructions-0-0.pdf","gsii/9313-discharge-instructions-0-0.pdf")</f>
        <v/>
      </c>
      <c r="E100" t="n">
        <v>118659</v>
      </c>
      <c r="F100" t="n">
        <v>9313</v>
      </c>
      <c r="G100" t="inlineStr">
        <is>
          <t>Discharge summary</t>
        </is>
      </c>
      <c r="H100" t="inlineStr">
        <is>
          <t>discharge-instructions</t>
        </is>
      </c>
      <c r="I100" t="inlineStr">
        <is>
          <t>Dr.</t>
        </is>
      </c>
    </row>
    <row r="101">
      <c r="A101" t="inlineStr">
        <is>
          <t>9313-discharge-instructions-0-1</t>
        </is>
      </c>
      <c r="B101" t="inlineStr"/>
      <c r="C101" t="inlineStr"/>
      <c r="D101">
        <f>HYPERLINK("http://nlpdeep.cs.uic.edu:8080/proofing/t5/9313-discharge-instructions-0-1.pdf","t5/9313-discharge-instructions-0-1.pdf")</f>
        <v/>
      </c>
      <c r="E101" t="n">
        <v>118659</v>
      </c>
      <c r="F101" t="n">
        <v>9313</v>
      </c>
      <c r="G101" t="inlineStr">
        <is>
          <t>Discharge summary</t>
        </is>
      </c>
      <c r="H101" t="inlineStr">
        <is>
          <t>discharge-instructions</t>
        </is>
      </c>
      <c r="I101" t="inlineStr">
        <is>
          <t>[**Last Name (STitle) 1290**] within one month.</t>
        </is>
      </c>
    </row>
    <row r="102">
      <c r="A102" t="inlineStr">
        <is>
          <t>9313-discharge-instructions-0-1</t>
        </is>
      </c>
      <c r="B102" t="inlineStr"/>
      <c r="C102" t="inlineStr"/>
      <c r="D102">
        <f>HYPERLINK("http://nlpdeep.cs.uic.edu:8080/proofing/gsii/9313-discharge-instructions-0-1.pdf","gsii/9313-discharge-instructions-0-1.pdf")</f>
        <v/>
      </c>
      <c r="E102" t="n">
        <v>118659</v>
      </c>
      <c r="F102" t="n">
        <v>9313</v>
      </c>
      <c r="G102" t="inlineStr">
        <is>
          <t>Discharge summary</t>
        </is>
      </c>
      <c r="H102" t="inlineStr">
        <is>
          <t>discharge-instructions</t>
        </is>
      </c>
      <c r="I102" t="inlineStr">
        <is>
          <t>[**Last Name (STitle) 1290**] within one month.</t>
        </is>
      </c>
    </row>
    <row r="103">
      <c r="A103" t="inlineStr">
        <is>
          <t>9313-discharge-instructions-0-2</t>
        </is>
      </c>
      <c r="B103" t="inlineStr"/>
      <c r="C103" t="inlineStr"/>
      <c r="D103">
        <f>HYPERLINK("http://nlpdeep.cs.uic.edu:8080/proofing/t5/9313-discharge-instructions-0-2.pdf","t5/9313-discharge-instructions-0-2.pdf")</f>
        <v/>
      </c>
      <c r="E103" t="n">
        <v>118659</v>
      </c>
      <c r="F103" t="n">
        <v>9313</v>
      </c>
      <c r="G103" t="inlineStr">
        <is>
          <t>Discharge summary</t>
        </is>
      </c>
      <c r="H103" t="inlineStr">
        <is>
          <t>discharge-instructions</t>
        </is>
      </c>
      <c r="I103" t="inlineStr">
        <is>
          <t xml:space="preserve"> Primary care
physician within two weeks.</t>
        </is>
      </c>
    </row>
    <row r="104">
      <c r="A104" t="inlineStr">
        <is>
          <t>9313-discharge-instructions-0-2</t>
        </is>
      </c>
      <c r="B104" t="inlineStr"/>
      <c r="C104" t="inlineStr"/>
      <c r="D104">
        <f>HYPERLINK("http://nlpdeep.cs.uic.edu:8080/proofing/gsii/9313-discharge-instructions-0-2.pdf","gsii/9313-discharge-instructions-0-2.pdf")</f>
        <v/>
      </c>
      <c r="E104" t="n">
        <v>118659</v>
      </c>
      <c r="F104" t="n">
        <v>9313</v>
      </c>
      <c r="G104" t="inlineStr">
        <is>
          <t>Discharge summary</t>
        </is>
      </c>
      <c r="H104" t="inlineStr">
        <is>
          <t>discharge-instructions</t>
        </is>
      </c>
      <c r="I104" t="inlineStr">
        <is>
          <t xml:space="preserve"> Primary care
physician within two weeks.</t>
        </is>
      </c>
    </row>
    <row r="105">
      <c r="A105" t="inlineStr">
        <is>
          <t>9313-discharge-condition-0-0</t>
        </is>
      </c>
      <c r="B105" t="inlineStr"/>
      <c r="C105" t="inlineStr"/>
      <c r="D105">
        <f>HYPERLINK("http://nlpdeep.cs.uic.edu:8080/proofing/t5/9313-discharge-condition-0-0.pdf","t5/9313-discharge-condition-0-0.pdf")</f>
        <v/>
      </c>
      <c r="E105" t="n">
        <v>118659</v>
      </c>
      <c r="F105" t="n">
        <v>9313</v>
      </c>
      <c r="G105" t="inlineStr">
        <is>
          <t>Discharge summary</t>
        </is>
      </c>
      <c r="H105" t="inlineStr">
        <is>
          <t>discharge-condition</t>
        </is>
      </c>
      <c r="I105" t="inlineStr">
        <is>
          <t>Good.</t>
        </is>
      </c>
    </row>
    <row r="106">
      <c r="A106" t="inlineStr">
        <is>
          <t>9313-discharge-condition-0-0</t>
        </is>
      </c>
      <c r="B106" t="inlineStr"/>
      <c r="C106" t="inlineStr"/>
      <c r="D106">
        <f>HYPERLINK("http://nlpdeep.cs.uic.edu:8080/proofing/gsii/9313-discharge-condition-0-0.pdf","gsii/9313-discharge-condition-0-0.pdf")</f>
        <v/>
      </c>
      <c r="E106" t="n">
        <v>118659</v>
      </c>
      <c r="F106" t="n">
        <v>9313</v>
      </c>
      <c r="G106" t="inlineStr">
        <is>
          <t>Discharge summary</t>
        </is>
      </c>
      <c r="H106" t="inlineStr">
        <is>
          <t>discharge-condition</t>
        </is>
      </c>
      <c r="I106" t="inlineStr">
        <is>
          <t>Good.</t>
        </is>
      </c>
    </row>
    <row r="107">
      <c r="A107" t="inlineStr">
        <is>
          <t>9313-discharge-medications-0-0</t>
        </is>
      </c>
      <c r="B107" t="inlineStr"/>
      <c r="C107" t="inlineStr"/>
      <c r="D107">
        <f>HYPERLINK("http://nlpdeep.cs.uic.edu:8080/proofing/t5/9313-discharge-medications-0-0.pdf","t5/9313-discharge-medications-0-0.pdf")</f>
        <v/>
      </c>
      <c r="E107" t="n">
        <v>118659</v>
      </c>
      <c r="F107" t="n">
        <v>9313</v>
      </c>
      <c r="G107" t="inlineStr">
        <is>
          <t>Discharge summary</t>
        </is>
      </c>
      <c r="H107" t="inlineStr">
        <is>
          <t>discharge-medications</t>
        </is>
      </c>
      <c r="I107" t="inlineStr">
        <is>
          <t>Lopressor 25 mg p.o.</t>
        </is>
      </c>
    </row>
    <row r="108">
      <c r="A108" t="inlineStr">
        <is>
          <t>9313-discharge-medications-0-0</t>
        </is>
      </c>
      <c r="B108" t="inlineStr"/>
      <c r="C108" t="inlineStr"/>
      <c r="D108">
        <f>HYPERLINK("http://nlpdeep.cs.uic.edu:8080/proofing/gsii/9313-discharge-medications-0-0.pdf","gsii/9313-discharge-medications-0-0.pdf")</f>
        <v/>
      </c>
      <c r="E108" t="n">
        <v>118659</v>
      </c>
      <c r="F108" t="n">
        <v>9313</v>
      </c>
      <c r="G108" t="inlineStr">
        <is>
          <t>Discharge summary</t>
        </is>
      </c>
      <c r="H108" t="inlineStr">
        <is>
          <t>discharge-medications</t>
        </is>
      </c>
      <c r="I108" t="inlineStr">
        <is>
          <t>Lopressor 25 mg p.o.</t>
        </is>
      </c>
    </row>
    <row r="109">
      <c r="A109" t="inlineStr">
        <is>
          <t>9313-discharge-medications-0-1</t>
        </is>
      </c>
      <c r="B109" t="inlineStr"/>
      <c r="C109" t="inlineStr"/>
      <c r="D109">
        <f>HYPERLINK("http://nlpdeep.cs.uic.edu:8080/proofing/t5/9313-discharge-medications-0-1.pdf","t5/9313-discharge-medications-0-1.pdf")</f>
        <v/>
      </c>
      <c r="E109" t="n">
        <v>118659</v>
      </c>
      <c r="F109" t="n">
        <v>9313</v>
      </c>
      <c r="G109" t="inlineStr">
        <is>
          <t>Discharge summary</t>
        </is>
      </c>
      <c r="H109" t="inlineStr">
        <is>
          <t>discharge-medications</t>
        </is>
      </c>
      <c r="I109" t="inlineStr">
        <is>
          <t>b.i.d.,
Captopril 25 mg p.o.</t>
        </is>
      </c>
    </row>
    <row r="110">
      <c r="A110" t="inlineStr">
        <is>
          <t>9313-discharge-medications-0-1</t>
        </is>
      </c>
      <c r="B110" t="inlineStr"/>
      <c r="C110" t="inlineStr"/>
      <c r="D110">
        <f>HYPERLINK("http://nlpdeep.cs.uic.edu:8080/proofing/gsii/9313-discharge-medications-0-1.pdf","gsii/9313-discharge-medications-0-1.pdf")</f>
        <v/>
      </c>
      <c r="E110" t="n">
        <v>118659</v>
      </c>
      <c r="F110" t="n">
        <v>9313</v>
      </c>
      <c r="G110" t="inlineStr">
        <is>
          <t>Discharge summary</t>
        </is>
      </c>
      <c r="H110" t="inlineStr">
        <is>
          <t>discharge-medications</t>
        </is>
      </c>
      <c r="I110" t="inlineStr">
        <is>
          <t>b.i.d.,
Captopril 25 mg p.o.</t>
        </is>
      </c>
    </row>
    <row r="111">
      <c r="A111" t="inlineStr">
        <is>
          <t>9313-discharge-medications-0-2</t>
        </is>
      </c>
      <c r="B111" t="inlineStr"/>
      <c r="C111" t="inlineStr"/>
      <c r="D111">
        <f>HYPERLINK("http://nlpdeep.cs.uic.edu:8080/proofing/t5/9313-discharge-medications-0-2.pdf","t5/9313-discharge-medications-0-2.pdf")</f>
        <v/>
      </c>
      <c r="E111" t="n">
        <v>118659</v>
      </c>
      <c r="F111" t="n">
        <v>9313</v>
      </c>
      <c r="G111" t="inlineStr">
        <is>
          <t>Discharge summary</t>
        </is>
      </c>
      <c r="H111" t="inlineStr">
        <is>
          <t>discharge-medications</t>
        </is>
      </c>
      <c r="I111" t="inlineStr">
        <is>
          <t>t.i.d., Dilantin 100 mg p.o.</t>
        </is>
      </c>
    </row>
    <row r="112">
      <c r="A112" t="inlineStr">
        <is>
          <t>9313-discharge-medications-0-2</t>
        </is>
      </c>
      <c r="B112" t="inlineStr"/>
      <c r="C112" t="inlineStr"/>
      <c r="D112">
        <f>HYPERLINK("http://nlpdeep.cs.uic.edu:8080/proofing/gsii/9313-discharge-medications-0-2.pdf","gsii/9313-discharge-medications-0-2.pdf")</f>
        <v/>
      </c>
      <c r="E112" t="n">
        <v>118659</v>
      </c>
      <c r="F112" t="n">
        <v>9313</v>
      </c>
      <c r="G112" t="inlineStr">
        <is>
          <t>Discharge summary</t>
        </is>
      </c>
      <c r="H112" t="inlineStr">
        <is>
          <t>discharge-medications</t>
        </is>
      </c>
      <c r="I112" t="inlineStr">
        <is>
          <t>t.i.d., Dilantin 100 mg p.o.</t>
        </is>
      </c>
    </row>
    <row r="113">
      <c r="A113" t="inlineStr">
        <is>
          <t>9313-discharge-medications-0-3</t>
        </is>
      </c>
      <c r="B113" t="inlineStr"/>
      <c r="C113" t="inlineStr"/>
      <c r="D113">
        <f>HYPERLINK("http://nlpdeep.cs.uic.edu:8080/proofing/t5/9313-discharge-medications-0-3.pdf","t5/9313-discharge-medications-0-3.pdf")</f>
        <v/>
      </c>
      <c r="E113" t="n">
        <v>118659</v>
      </c>
      <c r="F113" t="n">
        <v>9313</v>
      </c>
      <c r="G113" t="inlineStr">
        <is>
          <t>Discharge summary</t>
        </is>
      </c>
      <c r="H113" t="inlineStr">
        <is>
          <t>discharge-medications</t>
        </is>
      </c>
      <c r="I113" t="inlineStr">
        <is>
          <t>b.i.d.,
Zantac 150 mg p.o.</t>
        </is>
      </c>
    </row>
    <row r="114">
      <c r="A114" t="inlineStr">
        <is>
          <t>9313-discharge-medications-0-3</t>
        </is>
      </c>
      <c r="B114" t="inlineStr"/>
      <c r="C114" t="inlineStr"/>
      <c r="D114">
        <f>HYPERLINK("http://nlpdeep.cs.uic.edu:8080/proofing/gsii/9313-discharge-medications-0-3.pdf","gsii/9313-discharge-medications-0-3.pdf")</f>
        <v/>
      </c>
      <c r="E114" t="n">
        <v>118659</v>
      </c>
      <c r="F114" t="n">
        <v>9313</v>
      </c>
      <c r="G114" t="inlineStr">
        <is>
          <t>Discharge summary</t>
        </is>
      </c>
      <c r="H114" t="inlineStr">
        <is>
          <t>discharge-medications</t>
        </is>
      </c>
      <c r="I114" t="inlineStr">
        <is>
          <t>b.i.d.,
Zantac 150 mg p.o.</t>
        </is>
      </c>
    </row>
    <row r="115">
      <c r="A115" t="inlineStr">
        <is>
          <t>9313-discharge-medications-0-4</t>
        </is>
      </c>
      <c r="B115" t="inlineStr"/>
      <c r="C115" t="inlineStr"/>
      <c r="D115">
        <f>HYPERLINK("http://nlpdeep.cs.uic.edu:8080/proofing/t5/9313-discharge-medications-0-4.pdf","t5/9313-discharge-medications-0-4.pdf")</f>
        <v/>
      </c>
      <c r="E115" t="n">
        <v>118659</v>
      </c>
      <c r="F115" t="n">
        <v>9313</v>
      </c>
      <c r="G115" t="inlineStr">
        <is>
          <t>Discharge summary</t>
        </is>
      </c>
      <c r="H115" t="inlineStr">
        <is>
          <t>discharge-medications</t>
        </is>
      </c>
      <c r="I115" t="inlineStr">
        <is>
          <t>b.i.d., Aspirin 81 mg p.o.</t>
        </is>
      </c>
    </row>
    <row r="116">
      <c r="A116" t="inlineStr">
        <is>
          <t>9313-discharge-medications-0-4</t>
        </is>
      </c>
      <c r="B116" t="inlineStr"/>
      <c r="C116" t="inlineStr"/>
      <c r="D116">
        <f>HYPERLINK("http://nlpdeep.cs.uic.edu:8080/proofing/gsii/9313-discharge-medications-0-4.pdf","gsii/9313-discharge-medications-0-4.pdf")</f>
        <v/>
      </c>
      <c r="E116" t="n">
        <v>118659</v>
      </c>
      <c r="F116" t="n">
        <v>9313</v>
      </c>
      <c r="G116" t="inlineStr">
        <is>
          <t>Discharge summary</t>
        </is>
      </c>
      <c r="H116" t="inlineStr">
        <is>
          <t>discharge-medications</t>
        </is>
      </c>
      <c r="I116" t="inlineStr">
        <is>
          <t>b.i.d., Aspirin 81 mg p.o.</t>
        </is>
      </c>
    </row>
    <row r="117">
      <c r="A117" t="inlineStr">
        <is>
          <t>9313-discharge-medications-0-5</t>
        </is>
      </c>
      <c r="B117" t="inlineStr"/>
      <c r="C117" t="inlineStr"/>
      <c r="D117">
        <f>HYPERLINK("http://nlpdeep.cs.uic.edu:8080/proofing/t5/9313-discharge-medications-0-5.pdf","t5/9313-discharge-medications-0-5.pdf")</f>
        <v/>
      </c>
      <c r="E117" t="n">
        <v>118659</v>
      </c>
      <c r="F117" t="n">
        <v>9313</v>
      </c>
      <c r="G117" t="inlineStr">
        <is>
          <t>Discharge summary</t>
        </is>
      </c>
      <c r="H117" t="inlineStr">
        <is>
          <t>discharge-medications</t>
        </is>
      </c>
      <c r="I117" t="inlineStr">
        <is>
          <t>q.d., Lasix 20
mg p.o.</t>
        </is>
      </c>
    </row>
    <row r="118">
      <c r="A118" t="inlineStr">
        <is>
          <t>9313-discharge-medications-0-5</t>
        </is>
      </c>
      <c r="B118" t="inlineStr"/>
      <c r="C118" t="inlineStr"/>
      <c r="D118">
        <f>HYPERLINK("http://nlpdeep.cs.uic.edu:8080/proofing/gsii/9313-discharge-medications-0-5.pdf","gsii/9313-discharge-medications-0-5.pdf")</f>
        <v/>
      </c>
      <c r="E118" t="n">
        <v>118659</v>
      </c>
      <c r="F118" t="n">
        <v>9313</v>
      </c>
      <c r="G118" t="inlineStr">
        <is>
          <t>Discharge summary</t>
        </is>
      </c>
      <c r="H118" t="inlineStr">
        <is>
          <t>discharge-medications</t>
        </is>
      </c>
      <c r="I118" t="inlineStr">
        <is>
          <t>q.d., Lasix 20
mg p.o.</t>
        </is>
      </c>
    </row>
    <row r="119">
      <c r="A119" t="inlineStr">
        <is>
          <t>9313-discharge-medications-0-6</t>
        </is>
      </c>
      <c r="B119" t="inlineStr"/>
      <c r="C119" t="inlineStr"/>
      <c r="D119">
        <f>HYPERLINK("http://nlpdeep.cs.uic.edu:8080/proofing/t5/9313-discharge-medications-0-6.pdf","t5/9313-discharge-medications-0-6.pdf")</f>
        <v/>
      </c>
      <c r="E119" t="n">
        <v>118659</v>
      </c>
      <c r="F119" t="n">
        <v>9313</v>
      </c>
      <c r="G119" t="inlineStr">
        <is>
          <t>Discharge summary</t>
        </is>
      </c>
      <c r="H119" t="inlineStr">
        <is>
          <t>discharge-medications</t>
        </is>
      </c>
      <c r="I119" t="inlineStr">
        <is>
          <t>q.d.</t>
        </is>
      </c>
    </row>
    <row r="120">
      <c r="A120" t="inlineStr">
        <is>
          <t>9313-discharge-medications-0-6</t>
        </is>
      </c>
      <c r="B120" t="inlineStr"/>
      <c r="C120" t="inlineStr"/>
      <c r="D120">
        <f>HYPERLINK("http://nlpdeep.cs.uic.edu:8080/proofing/gsii/9313-discharge-medications-0-6.pdf","gsii/9313-discharge-medications-0-6.pdf")</f>
        <v/>
      </c>
      <c r="E120" t="n">
        <v>118659</v>
      </c>
      <c r="F120" t="n">
        <v>9313</v>
      </c>
      <c r="G120" t="inlineStr">
        <is>
          <t>Discharge summary</t>
        </is>
      </c>
      <c r="H120" t="inlineStr">
        <is>
          <t>discharge-medications</t>
        </is>
      </c>
      <c r="I120" t="inlineStr">
        <is>
          <t>q.d.</t>
        </is>
      </c>
    </row>
    <row r="121">
      <c r="A121" t="inlineStr">
        <is>
          <t>9313-discharge-medications-0-7</t>
        </is>
      </c>
      <c r="B121" t="inlineStr"/>
      <c r="C121" t="inlineStr"/>
      <c r="D121">
        <f>HYPERLINK("http://nlpdeep.cs.uic.edu:8080/proofing/t5/9313-discharge-medications-0-7.pdf","t5/9313-discharge-medications-0-7.pdf")</f>
        <v/>
      </c>
      <c r="E121" t="n">
        <v>118659</v>
      </c>
      <c r="F121" t="n">
        <v>9313</v>
      </c>
      <c r="G121" t="inlineStr">
        <is>
          <t>Discharge summary</t>
        </is>
      </c>
      <c r="H121" t="inlineStr">
        <is>
          <t>discharge-medications</t>
        </is>
      </c>
      <c r="I121" t="inlineStr">
        <is>
          <t>x 7 days, Potassium Chloride 20 mEq p.o.</t>
        </is>
      </c>
    </row>
    <row r="122">
      <c r="A122" t="inlineStr">
        <is>
          <t>9313-discharge-medications-0-7</t>
        </is>
      </c>
      <c r="B122" t="inlineStr"/>
      <c r="C122" t="inlineStr"/>
      <c r="D122">
        <f>HYPERLINK("http://nlpdeep.cs.uic.edu:8080/proofing/gsii/9313-discharge-medications-0-7.pdf","gsii/9313-discharge-medications-0-7.pdf")</f>
        <v/>
      </c>
      <c r="E122" t="n">
        <v>118659</v>
      </c>
      <c r="F122" t="n">
        <v>9313</v>
      </c>
      <c r="G122" t="inlineStr">
        <is>
          <t>Discharge summary</t>
        </is>
      </c>
      <c r="H122" t="inlineStr">
        <is>
          <t>discharge-medications</t>
        </is>
      </c>
      <c r="I122" t="inlineStr">
        <is>
          <t>x 7 days, Potassium Chloride 20 mEq p.o.</t>
        </is>
      </c>
    </row>
    <row r="123">
      <c r="A123" t="inlineStr">
        <is>
          <t>9313-discharge-medications-0-8</t>
        </is>
      </c>
      <c r="B123" t="inlineStr"/>
      <c r="C123" t="inlineStr"/>
      <c r="D123">
        <f>HYPERLINK("http://nlpdeep.cs.uic.edu:8080/proofing/t5/9313-discharge-medications-0-8.pdf","t5/9313-discharge-medications-0-8.pdf")</f>
        <v/>
      </c>
      <c r="E123" t="n">
        <v>118659</v>
      </c>
      <c r="F123" t="n">
        <v>9313</v>
      </c>
      <c r="G123" t="inlineStr">
        <is>
          <t>Discharge summary</t>
        </is>
      </c>
      <c r="H123" t="inlineStr">
        <is>
          <t>discharge-medications</t>
        </is>
      </c>
      <c r="I123" t="inlineStr">
        <is>
          <t>q.d.</t>
        </is>
      </c>
    </row>
    <row r="124">
      <c r="A124" t="inlineStr">
        <is>
          <t>9313-discharge-medications-0-8</t>
        </is>
      </c>
      <c r="B124" t="inlineStr"/>
      <c r="C124" t="inlineStr"/>
      <c r="D124">
        <f>HYPERLINK("http://nlpdeep.cs.uic.edu:8080/proofing/gsii/9313-discharge-medications-0-8.pdf","gsii/9313-discharge-medications-0-8.pdf")</f>
        <v/>
      </c>
      <c r="E124" t="n">
        <v>118659</v>
      </c>
      <c r="F124" t="n">
        <v>9313</v>
      </c>
      <c r="G124" t="inlineStr">
        <is>
          <t>Discharge summary</t>
        </is>
      </c>
      <c r="H124" t="inlineStr">
        <is>
          <t>discharge-medications</t>
        </is>
      </c>
      <c r="I124" t="inlineStr">
        <is>
          <t>q.d.</t>
        </is>
      </c>
    </row>
    <row r="125">
      <c r="A125" t="inlineStr">
        <is>
          <t>9313-discharge-medications-0-9</t>
        </is>
      </c>
      <c r="B125" t="inlineStr"/>
      <c r="C125" t="inlineStr"/>
      <c r="D125">
        <f>HYPERLINK("http://nlpdeep.cs.uic.edu:8080/proofing/t5/9313-discharge-medications-0-9.pdf","t5/9313-discharge-medications-0-9.pdf")</f>
        <v/>
      </c>
      <c r="E125" t="n">
        <v>118659</v>
      </c>
      <c r="F125" t="n">
        <v>9313</v>
      </c>
      <c r="G125" t="inlineStr">
        <is>
          <t>Discharge summary</t>
        </is>
      </c>
      <c r="H125" t="inlineStr">
        <is>
          <t>discharge-medications</t>
        </is>
      </c>
      <c r="I125" t="inlineStr">
        <is>
          <t>x
7 days, Colace 100 mg p.o.</t>
        </is>
      </c>
    </row>
    <row r="126">
      <c r="A126" t="inlineStr">
        <is>
          <t>9313-discharge-medications-0-9</t>
        </is>
      </c>
      <c r="B126" t="inlineStr"/>
      <c r="C126" t="inlineStr"/>
      <c r="D126">
        <f>HYPERLINK("http://nlpdeep.cs.uic.edu:8080/proofing/gsii/9313-discharge-medications-0-9.pdf","gsii/9313-discharge-medications-0-9.pdf")</f>
        <v/>
      </c>
      <c r="E126" t="n">
        <v>118659</v>
      </c>
      <c r="F126" t="n">
        <v>9313</v>
      </c>
      <c r="G126" t="inlineStr">
        <is>
          <t>Discharge summary</t>
        </is>
      </c>
      <c r="H126" t="inlineStr">
        <is>
          <t>discharge-medications</t>
        </is>
      </c>
      <c r="I126" t="inlineStr">
        <is>
          <t>x
7 days, Colace 100 mg p.o.</t>
        </is>
      </c>
    </row>
    <row r="127">
      <c r="A127" t="inlineStr">
        <is>
          <t>9313-discharge-medications-0-10</t>
        </is>
      </c>
      <c r="B127" t="inlineStr"/>
      <c r="C127" t="inlineStr"/>
      <c r="D127">
        <f>HYPERLINK("http://nlpdeep.cs.uic.edu:8080/proofing/t5/9313-discharge-medications-0-10.pdf","t5/9313-discharge-medications-0-10.pdf")</f>
        <v/>
      </c>
      <c r="E127" t="n">
        <v>118659</v>
      </c>
      <c r="F127" t="n">
        <v>9313</v>
      </c>
      <c r="G127" t="inlineStr">
        <is>
          <t>Discharge summary</t>
        </is>
      </c>
      <c r="H127" t="inlineStr">
        <is>
          <t>discharge-medications</t>
        </is>
      </c>
      <c r="I127" t="inlineStr">
        <is>
          <t>b.i.d., Dilaudid 2 mg p.o.</t>
        </is>
      </c>
    </row>
    <row r="128">
      <c r="A128" t="inlineStr">
        <is>
          <t>9313-discharge-medications-0-10</t>
        </is>
      </c>
      <c r="B128" t="inlineStr"/>
      <c r="C128" t="inlineStr"/>
      <c r="D128">
        <f>HYPERLINK("http://nlpdeep.cs.uic.edu:8080/proofing/gsii/9313-discharge-medications-0-10.pdf","gsii/9313-discharge-medications-0-10.pdf")</f>
        <v/>
      </c>
      <c r="E128" t="n">
        <v>118659</v>
      </c>
      <c r="F128" t="n">
        <v>9313</v>
      </c>
      <c r="G128" t="inlineStr">
        <is>
          <t>Discharge summary</t>
        </is>
      </c>
      <c r="H128" t="inlineStr">
        <is>
          <t>discharge-medications</t>
        </is>
      </c>
      <c r="I128" t="inlineStr">
        <is>
          <t>b.i.d., Dilaudid 2 mg p.o.</t>
        </is>
      </c>
    </row>
    <row r="129">
      <c r="A129" t="inlineStr">
        <is>
          <t>9313-discharge-medications-0-11</t>
        </is>
      </c>
      <c r="B129" t="inlineStr"/>
      <c r="C129" t="inlineStr"/>
      <c r="D129">
        <f>HYPERLINK("http://nlpdeep.cs.uic.edu:8080/proofing/t5/9313-discharge-medications-0-11.pdf","t5/9313-discharge-medications-0-11.pdf")</f>
        <v/>
      </c>
      <c r="E129" t="n">
        <v>118659</v>
      </c>
      <c r="F129" t="n">
        <v>9313</v>
      </c>
      <c r="G129" t="inlineStr">
        <is>
          <t>Discharge summary</t>
        </is>
      </c>
      <c r="H129" t="inlineStr">
        <is>
          <t>discharge-medications</t>
        </is>
      </c>
      <c r="I129" t="inlineStr">
        <is>
          <t>every 6
hours p.r.n., Ibuprofen 600 mg every 6 hours p.r.n.</t>
        </is>
      </c>
    </row>
    <row r="130">
      <c r="A130" t="inlineStr">
        <is>
          <t>9313-discharge-medications-0-11</t>
        </is>
      </c>
      <c r="B130" t="inlineStr"/>
      <c r="C130" t="inlineStr"/>
      <c r="D130">
        <f>HYPERLINK("http://nlpdeep.cs.uic.edu:8080/proofing/gsii/9313-discharge-medications-0-11.pdf","gsii/9313-discharge-medications-0-11.pdf")</f>
        <v/>
      </c>
      <c r="E130" t="n">
        <v>118659</v>
      </c>
      <c r="F130" t="n">
        <v>9313</v>
      </c>
      <c r="G130" t="inlineStr">
        <is>
          <t>Discharge summary</t>
        </is>
      </c>
      <c r="H130" t="inlineStr">
        <is>
          <t>discharge-medications</t>
        </is>
      </c>
      <c r="I130" t="inlineStr">
        <is>
          <t>every 6
hours p.r.n., Ibuprofen 600 mg every 6 hours p.r.n.</t>
        </is>
      </c>
    </row>
    <row r="131">
      <c r="A131" t="inlineStr">
        <is>
          <t>9313-discharge-diagnosis-0-0</t>
        </is>
      </c>
      <c r="B131" t="inlineStr"/>
      <c r="C131" t="inlineStr"/>
      <c r="D131">
        <f>HYPERLINK("http://nlpdeep.cs.uic.edu:8080/proofing/t5/9313-discharge-diagnosis-0-0.pdf","t5/9313-discharge-diagnosis-0-0.pdf")</f>
        <v/>
      </c>
      <c r="E131" t="n">
        <v>118659</v>
      </c>
      <c r="F131" t="n">
        <v>9313</v>
      </c>
      <c r="G131" t="inlineStr">
        <is>
          <t>Discharge summary</t>
        </is>
      </c>
      <c r="H131" t="inlineStr">
        <is>
          <t>discharge-diagnosis</t>
        </is>
      </c>
      <c r="I131" t="inlineStr">
        <is>
          <t xml:space="preserve"> CORONARY ARTERY BYPASS GRAFT.</t>
        </is>
      </c>
    </row>
    <row r="132">
      <c r="A132" t="inlineStr">
        <is>
          <t>9313-discharge-diagnosis-0-0</t>
        </is>
      </c>
      <c r="B132" t="inlineStr"/>
      <c r="C132" t="inlineStr"/>
      <c r="D132">
        <f>HYPERLINK("http://nlpdeep.cs.uic.edu:8080/proofing/gsii/9313-discharge-diagnosis-0-0.pdf","gsii/9313-discharge-diagnosis-0-0.pdf")</f>
        <v/>
      </c>
      <c r="E132" t="n">
        <v>118659</v>
      </c>
      <c r="F132" t="n">
        <v>9313</v>
      </c>
      <c r="G132" t="inlineStr">
        <is>
          <t>Discharge summary</t>
        </is>
      </c>
      <c r="H132" t="inlineStr">
        <is>
          <t>discharge-diagnosis</t>
        </is>
      </c>
      <c r="I132" t="inlineStr">
        <is>
          <t xml:space="preserve"> CORONARY ARTERY BYPASS GRAFT.</t>
        </is>
      </c>
    </row>
    <row r="133">
      <c r="A133" t="inlineStr">
        <is>
          <t>9313-addendum-0-0</t>
        </is>
      </c>
      <c r="B133" t="inlineStr"/>
      <c r="C133" t="inlineStr"/>
      <c r="D133">
        <f>HYPERLINK("http://nlpdeep.cs.uic.edu:8080/proofing/t5/9313-addendum-0-0.pdf","t5/9313-addendum-0-0.pdf")</f>
        <v/>
      </c>
      <c r="E133" t="n">
        <v>118659</v>
      </c>
      <c r="F133" t="n">
        <v>9313</v>
      </c>
      <c r="G133" t="inlineStr">
        <is>
          <t>Discharge summary</t>
        </is>
      </c>
      <c r="H133" t="inlineStr">
        <is>
          <t>addendum</t>
        </is>
      </c>
      <c r="I133" t="inlineStr">
        <is>
          <t>The patient preoperatively was on
Zestril and Hytrin.</t>
        </is>
      </c>
    </row>
    <row r="134">
      <c r="A134" t="inlineStr">
        <is>
          <t>9313-addendum-0-0</t>
        </is>
      </c>
      <c r="B134" t="inlineStr"/>
      <c r="C134" t="inlineStr"/>
      <c r="D134">
        <f>HYPERLINK("http://nlpdeep.cs.uic.edu:8080/proofing/gsii/9313-addendum-0-0.pdf","gsii/9313-addendum-0-0.pdf")</f>
        <v/>
      </c>
      <c r="E134" t="n">
        <v>118659</v>
      </c>
      <c r="F134" t="n">
        <v>9313</v>
      </c>
      <c r="G134" t="inlineStr">
        <is>
          <t>Discharge summary</t>
        </is>
      </c>
      <c r="H134" t="inlineStr">
        <is>
          <t>addendum</t>
        </is>
      </c>
      <c r="I134" t="inlineStr">
        <is>
          <t>The patient preoperatively was on
Zestril and Hytrin.</t>
        </is>
      </c>
    </row>
    <row r="135">
      <c r="A135" t="inlineStr">
        <is>
          <t>9313-addendum-0-1</t>
        </is>
      </c>
      <c r="B135" t="inlineStr"/>
      <c r="C135" t="inlineStr"/>
      <c r="D135">
        <f>HYPERLINK("http://nlpdeep.cs.uic.edu:8080/proofing/t5/9313-addendum-0-1.pdf","t5/9313-addendum-0-1.pdf")</f>
        <v/>
      </c>
      <c r="E135" t="n">
        <v>118659</v>
      </c>
      <c r="F135" t="n">
        <v>9313</v>
      </c>
      <c r="G135" t="inlineStr">
        <is>
          <t>Discharge summary</t>
        </is>
      </c>
      <c r="H135" t="inlineStr">
        <is>
          <t>addendum</t>
        </is>
      </c>
      <c r="I135" t="inlineStr">
        <is>
          <t xml:space="preserve"> She has not been restarted on Hytrin and
has been put on Captopril instead of Zestril.</t>
        </is>
      </c>
    </row>
    <row r="136">
      <c r="A136" t="inlineStr">
        <is>
          <t>9313-addendum-0-1</t>
        </is>
      </c>
      <c r="B136" t="inlineStr"/>
      <c r="C136" t="inlineStr"/>
      <c r="D136">
        <f>HYPERLINK("http://nlpdeep.cs.uic.edu:8080/proofing/gsii/9313-addendum-0-1.pdf","gsii/9313-addendum-0-1.pdf")</f>
        <v/>
      </c>
      <c r="E136" t="n">
        <v>118659</v>
      </c>
      <c r="F136" t="n">
        <v>9313</v>
      </c>
      <c r="G136" t="inlineStr">
        <is>
          <t>Discharge summary</t>
        </is>
      </c>
      <c r="H136" t="inlineStr">
        <is>
          <t>addendum</t>
        </is>
      </c>
      <c r="I136" t="inlineStr">
        <is>
          <t xml:space="preserve"> She has not been restarted on Hytrin and
has been put on Captopril instead of Zestril.</t>
        </is>
      </c>
    </row>
    <row r="137">
      <c r="A137" t="inlineStr">
        <is>
          <t>9313-addendum-0-2</t>
        </is>
      </c>
      <c r="B137" t="inlineStr"/>
      <c r="C137" t="inlineStr"/>
      <c r="D137">
        <f>HYPERLINK("http://nlpdeep.cs.uic.edu:8080/proofing/t5/9313-addendum-0-2.pdf","t5/9313-addendum-0-2.pdf")</f>
        <v/>
      </c>
      <c r="E137" t="n">
        <v>118659</v>
      </c>
      <c r="F137" t="n">
        <v>9313</v>
      </c>
      <c r="G137" t="inlineStr">
        <is>
          <t>Discharge summary</t>
        </is>
      </c>
      <c r="H137" t="inlineStr">
        <is>
          <t>addendum</t>
        </is>
      </c>
      <c r="I137" t="inlineStr">
        <is>
          <t xml:space="preserve"> These changes
could further be evaluated by primary care physician and
changed as needed.</t>
        </is>
      </c>
    </row>
    <row r="138">
      <c r="A138" t="inlineStr">
        <is>
          <t>9313-addendum-0-2</t>
        </is>
      </c>
      <c r="B138" t="inlineStr"/>
      <c r="C138" t="inlineStr"/>
      <c r="D138">
        <f>HYPERLINK("http://nlpdeep.cs.uic.edu:8080/proofing/gsii/9313-addendum-0-2.pdf","gsii/9313-addendum-0-2.pdf")</f>
        <v/>
      </c>
      <c r="E138" t="n">
        <v>118659</v>
      </c>
      <c r="F138" t="n">
        <v>9313</v>
      </c>
      <c r="G138" t="inlineStr">
        <is>
          <t>Discharge summary</t>
        </is>
      </c>
      <c r="H138" t="inlineStr">
        <is>
          <t>addendum</t>
        </is>
      </c>
      <c r="I138" t="inlineStr">
        <is>
          <t xml:space="preserve"> These changes
could further be evaluated by primary care physician and
changed as needed.</t>
        </is>
      </c>
    </row>
    <row r="139">
      <c r="A139" t="inlineStr">
        <is>
          <t>738495-reason-0-0</t>
        </is>
      </c>
      <c r="B139" t="inlineStr"/>
      <c r="C139" t="inlineStr"/>
      <c r="D139">
        <f>HYPERLINK("http://nlpdeep.cs.uic.edu:8080/proofing/t5/738495-reason-0-0.pdf","t5/738495-reason-0-0.pdf")</f>
        <v/>
      </c>
      <c r="E139" t="n">
        <v>118659</v>
      </c>
      <c r="F139" t="n">
        <v>738495</v>
      </c>
      <c r="G139" t="inlineStr">
        <is>
          <t>Radiology</t>
        </is>
      </c>
      <c r="H139" t="inlineStr">
        <is>
          <t>reason</t>
        </is>
      </c>
      <c r="I139" t="inlineStr">
        <is>
          <t>r/o c</t>
        </is>
      </c>
    </row>
    <row r="140">
      <c r="A140" t="inlineStr">
        <is>
          <t>738495-reason-0-0</t>
        </is>
      </c>
      <c r="B140" t="inlineStr"/>
      <c r="C140" t="inlineStr"/>
      <c r="D140">
        <f>HYPERLINK("http://nlpdeep.cs.uic.edu:8080/proofing/gsii/738495-reason-0-0.pdf","gsii/738495-reason-0-0.pdf")</f>
        <v/>
      </c>
      <c r="E140" t="n">
        <v>118659</v>
      </c>
      <c r="F140" t="n">
        <v>738495</v>
      </c>
      <c r="G140" t="inlineStr">
        <is>
          <t>Radiology</t>
        </is>
      </c>
      <c r="H140" t="inlineStr">
        <is>
          <t>reason</t>
        </is>
      </c>
      <c r="I140" t="inlineStr">
        <is>
          <t>r/o c</t>
        </is>
      </c>
    </row>
    <row r="141">
      <c r="A141" t="inlineStr">
        <is>
          <t>738495-medical-condition-0-0</t>
        </is>
      </c>
      <c r="B141" t="inlineStr"/>
      <c r="C141" t="inlineStr"/>
      <c r="D141">
        <f>HYPERLINK("http://nlpdeep.cs.uic.edu:8080/proofing/t5/738495-medical-condition-0-0.pdf","t5/738495-medical-condition-0-0.pdf")</f>
        <v/>
      </c>
      <c r="E141" t="n">
        <v>118659</v>
      </c>
      <c r="F141" t="n">
        <v>738495</v>
      </c>
      <c r="G141" t="inlineStr">
        <is>
          <t>Radiology</t>
        </is>
      </c>
      <c r="H141" t="inlineStr">
        <is>
          <t>medical-condition</t>
        </is>
      </c>
      <c r="I141" t="inlineStr">
        <is>
          <t>61 year old woman with  CAD, carotid  bruit,bad PVD.</t>
        </is>
      </c>
    </row>
    <row r="142">
      <c r="A142" t="inlineStr">
        <is>
          <t>738495-medical-condition-0-0</t>
        </is>
      </c>
      <c r="B142" t="inlineStr"/>
      <c r="C142" t="inlineStr"/>
      <c r="D142">
        <f>HYPERLINK("http://nlpdeep.cs.uic.edu:8080/proofing/gsii/738495-medical-condition-0-0.pdf","gsii/738495-medical-condition-0-0.pdf")</f>
        <v/>
      </c>
      <c r="E142" t="n">
        <v>118659</v>
      </c>
      <c r="F142" t="n">
        <v>738495</v>
      </c>
      <c r="G142" t="inlineStr">
        <is>
          <t>Radiology</t>
        </is>
      </c>
      <c r="H142" t="inlineStr">
        <is>
          <t>medical-condition</t>
        </is>
      </c>
      <c r="I142" t="inlineStr">
        <is>
          <t>61 year old woman with  CAD, carotid  bruit,bad PVD.</t>
        </is>
      </c>
    </row>
    <row r="143">
      <c r="A143" t="inlineStr">
        <is>
          <t>738495-medical-condition-0-1</t>
        </is>
      </c>
      <c r="B143" t="inlineStr"/>
      <c r="C143" t="inlineStr"/>
      <c r="D143">
        <f>HYPERLINK("http://nlpdeep.cs.uic.edu:8080/proofing/t5/738495-medical-condition-0-1.pdf","t5/738495-medical-condition-0-1.pdf")</f>
        <v/>
      </c>
      <c r="E143" t="n">
        <v>118659</v>
      </c>
      <c r="F143" t="n">
        <v>738495</v>
      </c>
      <c r="G143" t="inlineStr">
        <is>
          <t>Radiology</t>
        </is>
      </c>
      <c r="H143" t="inlineStr">
        <is>
          <t>medical-condition</t>
        </is>
      </c>
      <c r="I143" t="inlineStr">
        <is>
          <t>for CABG [</t>
        </is>
      </c>
    </row>
    <row r="144">
      <c r="A144" t="inlineStr">
        <is>
          <t>738495-medical-condition-0-1</t>
        </is>
      </c>
      <c r="B144" t="inlineStr"/>
      <c r="C144" t="inlineStr"/>
      <c r="D144">
        <f>HYPERLINK("http://nlpdeep.cs.uic.edu:8080/proofing/gsii/738495-medical-condition-0-1.pdf","gsii/738495-medical-condition-0-1.pdf")</f>
        <v/>
      </c>
      <c r="E144" t="n">
        <v>118659</v>
      </c>
      <c r="F144" t="n">
        <v>738495</v>
      </c>
      <c r="G144" t="inlineStr">
        <is>
          <t>Radiology</t>
        </is>
      </c>
      <c r="H144" t="inlineStr">
        <is>
          <t>medical-condition</t>
        </is>
      </c>
      <c r="I144" t="inlineStr">
        <is>
          <t>for CABG [</t>
        </is>
      </c>
    </row>
    <row r="145">
      <c r="A145" t="inlineStr">
        <is>
          <t>738495-indication-0-0</t>
        </is>
      </c>
      <c r="B145" t="inlineStr"/>
      <c r="C145" t="inlineStr"/>
      <c r="D145">
        <f>HYPERLINK("http://nlpdeep.cs.uic.edu:8080/proofing/t5/738495-indication-0-0.pdf","t5/738495-indication-0-0.pdf")</f>
        <v/>
      </c>
      <c r="E145" t="n">
        <v>118659</v>
      </c>
      <c r="F145" t="n">
        <v>738495</v>
      </c>
      <c r="G145" t="inlineStr">
        <is>
          <t>Radiology</t>
        </is>
      </c>
      <c r="H145" t="inlineStr">
        <is>
          <t>indication</t>
        </is>
      </c>
      <c r="I145" t="inlineStr">
        <is>
          <t>61 year old female with PVD, status post multiple bypass
 surgeries, presents with a carotid bruit for pre-op evaluation prior to CABG.</t>
        </is>
      </c>
    </row>
    <row r="146">
      <c r="A146" t="inlineStr">
        <is>
          <t>738495-indication-0-0</t>
        </is>
      </c>
      <c r="B146" t="inlineStr"/>
      <c r="C146" t="inlineStr"/>
      <c r="D146">
        <f>HYPERLINK("http://nlpdeep.cs.uic.edu:8080/proofing/gsii/738495-indication-0-0.pdf","gsii/738495-indication-0-0.pdf")</f>
        <v/>
      </c>
      <c r="E146" t="n">
        <v>118659</v>
      </c>
      <c r="F146" t="n">
        <v>738495</v>
      </c>
      <c r="G146" t="inlineStr">
        <is>
          <t>Radiology</t>
        </is>
      </c>
      <c r="H146" t="inlineStr">
        <is>
          <t>indication</t>
        </is>
      </c>
      <c r="I146" t="inlineStr">
        <is>
          <t>61 year old female with PVD, status post multiple bypass
 surgeries, presents with a carotid bruit for pre-op evaluation prior to CABG.</t>
        </is>
      </c>
    </row>
    <row r="147">
      <c r="A147" t="inlineStr">
        <is>
          <t>738495-comparison-0-0</t>
        </is>
      </c>
      <c r="B147" t="inlineStr"/>
      <c r="C147" t="inlineStr"/>
      <c r="D147">
        <f>HYPERLINK("http://nlpdeep.cs.uic.edu:8080/proofing/t5/738495-comparison-0-0.pdf","t5/738495-comparison-0-0.pdf")</f>
        <v/>
      </c>
      <c r="E147" t="n">
        <v>118659</v>
      </c>
      <c r="F147" t="n">
        <v>738495</v>
      </c>
      <c r="G147" t="inlineStr">
        <is>
          <t>Radiology</t>
        </is>
      </c>
      <c r="H147" t="inlineStr">
        <is>
          <t>comparison</t>
        </is>
      </c>
      <c r="I147" t="inlineStr">
        <is>
          <t>None.</t>
        </is>
      </c>
    </row>
    <row r="148">
      <c r="A148" t="inlineStr">
        <is>
          <t>738495-comparison-0-0</t>
        </is>
      </c>
      <c r="B148" t="inlineStr"/>
      <c r="C148" t="inlineStr"/>
      <c r="D148">
        <f>HYPERLINK("http://nlpdeep.cs.uic.edu:8080/proofing/gsii/738495-comparison-0-0.pdf","gsii/738495-comparison-0-0.pdf")</f>
        <v/>
      </c>
      <c r="E148" t="n">
        <v>118659</v>
      </c>
      <c r="F148" t="n">
        <v>738495</v>
      </c>
      <c r="G148" t="inlineStr">
        <is>
          <t>Radiology</t>
        </is>
      </c>
      <c r="H148" t="inlineStr">
        <is>
          <t>comparison</t>
        </is>
      </c>
      <c r="I148" t="inlineStr">
        <is>
          <t>None.</t>
        </is>
      </c>
    </row>
    <row r="149">
      <c r="A149" t="inlineStr">
        <is>
          <t>738495-technique-0-0</t>
        </is>
      </c>
      <c r="B149" t="inlineStr"/>
      <c r="C149" t="inlineStr"/>
      <c r="D149">
        <f>HYPERLINK("http://nlpdeep.cs.uic.edu:8080/proofing/t5/738495-technique-0-0.pdf","t5/738495-technique-0-0.pdf")</f>
        <v/>
      </c>
      <c r="E149" t="n">
        <v>118659</v>
      </c>
      <c r="F149" t="n">
        <v>738495</v>
      </c>
      <c r="G149" t="inlineStr">
        <is>
          <t>Radiology</t>
        </is>
      </c>
      <c r="H149" t="inlineStr">
        <is>
          <t>technique</t>
        </is>
      </c>
      <c r="I149" t="inlineStr">
        <is>
          <t>Bilateral carotid duplex ultrasound.</t>
        </is>
      </c>
    </row>
    <row r="150">
      <c r="A150" t="inlineStr">
        <is>
          <t>738495-technique-0-0</t>
        </is>
      </c>
      <c r="B150" t="inlineStr"/>
      <c r="C150" t="inlineStr"/>
      <c r="D150">
        <f>HYPERLINK("http://nlpdeep.cs.uic.edu:8080/proofing/gsii/738495-technique-0-0.pdf","gsii/738495-technique-0-0.pdf")</f>
        <v/>
      </c>
      <c r="E150" t="n">
        <v>118659</v>
      </c>
      <c r="F150" t="n">
        <v>738495</v>
      </c>
      <c r="G150" t="inlineStr">
        <is>
          <t>Radiology</t>
        </is>
      </c>
      <c r="H150" t="inlineStr">
        <is>
          <t>technique</t>
        </is>
      </c>
      <c r="I150" t="inlineStr">
        <is>
          <t>Bilateral carotid duplex ultrasound.</t>
        </is>
      </c>
    </row>
    <row r="151">
      <c r="A151" t="inlineStr">
        <is>
          <t>738495-findings-0-0</t>
        </is>
      </c>
      <c r="B151" t="inlineStr"/>
      <c r="C151" t="inlineStr"/>
      <c r="D151">
        <f>HYPERLINK("http://nlpdeep.cs.uic.edu:8080/proofing/t5/738495-findings-0-0.pdf","t5/738495-findings-0-0.pdf")</f>
        <v/>
      </c>
      <c r="E151" t="n">
        <v>118659</v>
      </c>
      <c r="F151" t="n">
        <v>738495</v>
      </c>
      <c r="G151" t="inlineStr">
        <is>
          <t>Radiology</t>
        </is>
      </c>
      <c r="H151" t="inlineStr">
        <is>
          <t>findings</t>
        </is>
      </c>
      <c r="I151" t="inlineStr">
        <is>
          <t>Examination of the right system reveals significant areas of plaque
 at the carotid bifurcation, and smaller atheromas of the internal and external
 carotid arteries.</t>
        </is>
      </c>
    </row>
    <row r="152">
      <c r="A152" t="inlineStr">
        <is>
          <t>738495-findings-0-0</t>
        </is>
      </c>
      <c r="B152" t="inlineStr"/>
      <c r="C152" t="inlineStr"/>
      <c r="D152">
        <f>HYPERLINK("http://nlpdeep.cs.uic.edu:8080/proofing/gsii/738495-findings-0-0.pdf","gsii/738495-findings-0-0.pdf")</f>
        <v/>
      </c>
      <c r="E152" t="n">
        <v>118659</v>
      </c>
      <c r="F152" t="n">
        <v>738495</v>
      </c>
      <c r="G152" t="inlineStr">
        <is>
          <t>Radiology</t>
        </is>
      </c>
      <c r="H152" t="inlineStr">
        <is>
          <t>findings</t>
        </is>
      </c>
      <c r="I152" t="inlineStr">
        <is>
          <t>Examination of the right system reveals significant areas of plaque
 at the carotid bifurcation, and smaller atheromas of the internal and external
 carotid arteries.</t>
        </is>
      </c>
    </row>
    <row r="153">
      <c r="A153" t="inlineStr">
        <is>
          <t>738495-findings-0-1</t>
        </is>
      </c>
      <c r="B153" t="inlineStr"/>
      <c r="C153" t="inlineStr"/>
      <c r="D153">
        <f>HYPERLINK("http://nlpdeep.cs.uic.edu:8080/proofing/t5/738495-findings-0-1.pdf","t5/738495-findings-0-1.pdf")</f>
        <v/>
      </c>
      <c r="E153" t="n">
        <v>118659</v>
      </c>
      <c r="F153" t="n">
        <v>738495</v>
      </c>
      <c r="G153" t="inlineStr">
        <is>
          <t>Radiology</t>
        </is>
      </c>
      <c r="H153" t="inlineStr">
        <is>
          <t>findings</t>
        </is>
      </c>
      <c r="I153" t="inlineStr">
        <is>
          <t xml:space="preserve"> The maximum peak systolic velocity in the right internal
 carotid artery measures 131 cm/sec, consistent with stenosis between 40-59%.</t>
        </is>
      </c>
    </row>
    <row r="154">
      <c r="A154" t="inlineStr">
        <is>
          <t>738495-findings-0-1</t>
        </is>
      </c>
      <c r="B154" t="inlineStr"/>
      <c r="C154" t="inlineStr"/>
      <c r="D154">
        <f>HYPERLINK("http://nlpdeep.cs.uic.edu:8080/proofing/gsii/738495-findings-0-1.pdf","gsii/738495-findings-0-1.pdf")</f>
        <v/>
      </c>
      <c r="E154" t="n">
        <v>118659</v>
      </c>
      <c r="F154" t="n">
        <v>738495</v>
      </c>
      <c r="G154" t="inlineStr">
        <is>
          <t>Radiology</t>
        </is>
      </c>
      <c r="H154" t="inlineStr">
        <is>
          <t>findings</t>
        </is>
      </c>
      <c r="I154" t="inlineStr">
        <is>
          <t xml:space="preserve"> The maximum peak systolic velocity in the right internal
 carotid artery measures 131 cm/sec, consistent with stenosis between 40-59%.</t>
        </is>
      </c>
    </row>
    <row r="155">
      <c r="A155" t="inlineStr">
        <is>
          <t>738495-findings-0-2</t>
        </is>
      </c>
      <c r="B155" t="inlineStr"/>
      <c r="C155" t="inlineStr"/>
      <c r="D155">
        <f>HYPERLINK("http://nlpdeep.cs.uic.edu:8080/proofing/t5/738495-findings-0-2.pdf","t5/738495-findings-0-2.pdf")</f>
        <v/>
      </c>
      <c r="E155" t="n">
        <v>118659</v>
      </c>
      <c r="F155" t="n">
        <v>738495</v>
      </c>
      <c r="G155" t="inlineStr">
        <is>
          <t>Radiology</t>
        </is>
      </c>
      <c r="H155" t="inlineStr">
        <is>
          <t>findings</t>
        </is>
      </c>
      <c r="I155" t="inlineStr">
        <is>
          <t xml:space="preserve">
 High peak systolic velocities in the right external carotid artery are
 indicative of stenotic disease, as well.</t>
        </is>
      </c>
    </row>
    <row r="156">
      <c r="A156" t="inlineStr">
        <is>
          <t>738495-findings-0-2</t>
        </is>
      </c>
      <c r="B156" t="inlineStr"/>
      <c r="C156" t="inlineStr"/>
      <c r="D156">
        <f>HYPERLINK("http://nlpdeep.cs.uic.edu:8080/proofing/gsii/738495-findings-0-2.pdf","gsii/738495-findings-0-2.pdf")</f>
        <v/>
      </c>
      <c r="E156" t="n">
        <v>118659</v>
      </c>
      <c r="F156" t="n">
        <v>738495</v>
      </c>
      <c r="G156" t="inlineStr">
        <is>
          <t>Radiology</t>
        </is>
      </c>
      <c r="H156" t="inlineStr">
        <is>
          <t>findings</t>
        </is>
      </c>
      <c r="I156" t="inlineStr">
        <is>
          <t xml:space="preserve">
 High peak systolic velocities in the right external carotid artery are
 indicative of stenotic disease, as well.</t>
        </is>
      </c>
    </row>
    <row r="157">
      <c r="A157" t="inlineStr">
        <is>
          <t>738495-findings-0-3</t>
        </is>
      </c>
      <c r="B157" t="inlineStr"/>
      <c r="C157" t="inlineStr"/>
      <c r="D157">
        <f>HYPERLINK("http://nlpdeep.cs.uic.edu:8080/proofing/t5/738495-findings-0-3.pdf","t5/738495-findings-0-3.pdf")</f>
        <v/>
      </c>
      <c r="E157" t="n">
        <v>118659</v>
      </c>
      <c r="F157" t="n">
        <v>738495</v>
      </c>
      <c r="G157" t="inlineStr">
        <is>
          <t>Radiology</t>
        </is>
      </c>
      <c r="H157" t="inlineStr">
        <is>
          <t>findings</t>
        </is>
      </c>
      <c r="I157" t="inlineStr">
        <is>
          <t xml:space="preserve"> There are normal velocities in the
 right common carotid.</t>
        </is>
      </c>
    </row>
    <row r="158">
      <c r="A158" t="inlineStr">
        <is>
          <t>738495-findings-0-3</t>
        </is>
      </c>
      <c r="B158" t="inlineStr"/>
      <c r="C158" t="inlineStr"/>
      <c r="D158">
        <f>HYPERLINK("http://nlpdeep.cs.uic.edu:8080/proofing/gsii/738495-findings-0-3.pdf","gsii/738495-findings-0-3.pdf")</f>
        <v/>
      </c>
      <c r="E158" t="n">
        <v>118659</v>
      </c>
      <c r="F158" t="n">
        <v>738495</v>
      </c>
      <c r="G158" t="inlineStr">
        <is>
          <t>Radiology</t>
        </is>
      </c>
      <c r="H158" t="inlineStr">
        <is>
          <t>findings</t>
        </is>
      </c>
      <c r="I158" t="inlineStr">
        <is>
          <t xml:space="preserve"> There are normal velocities in the
 right common carotid.</t>
        </is>
      </c>
    </row>
    <row r="159">
      <c r="A159" t="inlineStr">
        <is>
          <t>738495-findings-1-0</t>
        </is>
      </c>
      <c r="B159" t="inlineStr"/>
      <c r="C159" t="inlineStr"/>
      <c r="D159">
        <f>HYPERLINK("http://nlpdeep.cs.uic.edu:8080/proofing/t5/738495-findings-1-0.pdf","t5/738495-findings-1-0.pdf")</f>
        <v/>
      </c>
      <c r="E159" t="n">
        <v>118659</v>
      </c>
      <c r="F159" t="n">
        <v>738495</v>
      </c>
      <c r="G159" t="inlineStr">
        <is>
          <t>Radiology</t>
        </is>
      </c>
      <c r="H159" t="inlineStr">
        <is>
          <t>findings</t>
        </is>
      </c>
      <c r="I159" t="inlineStr">
        <is>
          <t xml:space="preserve">
 Examination of the left system reveals significant areas of plaque at the
 carotid bifurcation and in the internal carotid artery.</t>
        </is>
      </c>
    </row>
    <row r="160">
      <c r="A160" t="inlineStr">
        <is>
          <t>738495-findings-1-0</t>
        </is>
      </c>
      <c r="B160" t="inlineStr"/>
      <c r="C160" t="inlineStr"/>
      <c r="D160">
        <f>HYPERLINK("http://nlpdeep.cs.uic.edu:8080/proofing/gsii/738495-findings-1-0.pdf","gsii/738495-findings-1-0.pdf")</f>
        <v/>
      </c>
      <c r="E160" t="n">
        <v>118659</v>
      </c>
      <c r="F160" t="n">
        <v>738495</v>
      </c>
      <c r="G160" t="inlineStr">
        <is>
          <t>Radiology</t>
        </is>
      </c>
      <c r="H160" t="inlineStr">
        <is>
          <t>findings</t>
        </is>
      </c>
      <c r="I160" t="inlineStr">
        <is>
          <t xml:space="preserve">
 Examination of the left system reveals significant areas of plaque at the
 carotid bifurcation and in the internal carotid artery.</t>
        </is>
      </c>
    </row>
    <row r="161">
      <c r="A161" t="inlineStr">
        <is>
          <t>738495-findings-1-1</t>
        </is>
      </c>
      <c r="B161" t="inlineStr"/>
      <c r="C161" t="inlineStr"/>
      <c r="D161">
        <f>HYPERLINK("http://nlpdeep.cs.uic.edu:8080/proofing/t5/738495-findings-1-1.pdf","t5/738495-findings-1-1.pdf")</f>
        <v/>
      </c>
      <c r="E161" t="n">
        <v>118659</v>
      </c>
      <c r="F161" t="n">
        <v>738495</v>
      </c>
      <c r="G161" t="inlineStr">
        <is>
          <t>Radiology</t>
        </is>
      </c>
      <c r="H161" t="inlineStr">
        <is>
          <t>findings</t>
        </is>
      </c>
      <c r="I161" t="inlineStr">
        <is>
          <t xml:space="preserve"> The largest peak
 systolic velocity in the left internal carotid artery measures 330 cm/sec,
 consistent with very severe stenosis of between 80 and 99%.</t>
        </is>
      </c>
    </row>
    <row r="162">
      <c r="A162" t="inlineStr">
        <is>
          <t>738495-findings-1-1</t>
        </is>
      </c>
      <c r="B162" t="inlineStr"/>
      <c r="C162" t="inlineStr"/>
      <c r="D162">
        <f>HYPERLINK("http://nlpdeep.cs.uic.edu:8080/proofing/gsii/738495-findings-1-1.pdf","gsii/738495-findings-1-1.pdf")</f>
        <v/>
      </c>
      <c r="E162" t="n">
        <v>118659</v>
      </c>
      <c r="F162" t="n">
        <v>738495</v>
      </c>
      <c r="G162" t="inlineStr">
        <is>
          <t>Radiology</t>
        </is>
      </c>
      <c r="H162" t="inlineStr">
        <is>
          <t>findings</t>
        </is>
      </c>
      <c r="I162" t="inlineStr">
        <is>
          <t xml:space="preserve"> The largest peak
 systolic velocity in the left internal carotid artery measures 330 cm/sec,
 consistent with very severe stenosis of between 80 and 99%.</t>
        </is>
      </c>
    </row>
    <row r="163">
      <c r="A163" t="inlineStr">
        <is>
          <t>738495-findings-1-2</t>
        </is>
      </c>
      <c r="B163" t="inlineStr"/>
      <c r="C163" t="inlineStr"/>
      <c r="D163">
        <f>HYPERLINK("http://nlpdeep.cs.uic.edu:8080/proofing/t5/738495-findings-1-2.pdf","t5/738495-findings-1-2.pdf")</f>
        <v/>
      </c>
      <c r="E163" t="n">
        <v>118659</v>
      </c>
      <c r="F163" t="n">
        <v>738495</v>
      </c>
      <c r="G163" t="inlineStr">
        <is>
          <t>Radiology</t>
        </is>
      </c>
      <c r="H163" t="inlineStr">
        <is>
          <t>findings</t>
        </is>
      </c>
      <c r="I163" t="inlineStr">
        <is>
          <t xml:space="preserve"> Elevated peak
 systolic velocities in the left external carotid artery also indicate stenotic
 disease.</t>
        </is>
      </c>
    </row>
    <row r="164">
      <c r="A164" t="inlineStr">
        <is>
          <t>738495-findings-1-2</t>
        </is>
      </c>
      <c r="B164" t="inlineStr"/>
      <c r="C164" t="inlineStr"/>
      <c r="D164">
        <f>HYPERLINK("http://nlpdeep.cs.uic.edu:8080/proofing/gsii/738495-findings-1-2.pdf","gsii/738495-findings-1-2.pdf")</f>
        <v/>
      </c>
      <c r="E164" t="n">
        <v>118659</v>
      </c>
      <c r="F164" t="n">
        <v>738495</v>
      </c>
      <c r="G164" t="inlineStr">
        <is>
          <t>Radiology</t>
        </is>
      </c>
      <c r="H164" t="inlineStr">
        <is>
          <t>findings</t>
        </is>
      </c>
      <c r="I164" t="inlineStr">
        <is>
          <t xml:space="preserve"> Elevated peak
 systolic velocities in the left external carotid artery also indicate stenotic
 disease.</t>
        </is>
      </c>
    </row>
    <row r="165">
      <c r="A165" t="inlineStr">
        <is>
          <t>738495-findings-1-3</t>
        </is>
      </c>
      <c r="B165" t="inlineStr"/>
      <c r="C165" t="inlineStr"/>
      <c r="D165">
        <f>HYPERLINK("http://nlpdeep.cs.uic.edu:8080/proofing/t5/738495-findings-1-3.pdf","t5/738495-findings-1-3.pdf")</f>
        <v/>
      </c>
      <c r="E165" t="n">
        <v>118659</v>
      </c>
      <c r="F165" t="n">
        <v>738495</v>
      </c>
      <c r="G165" t="inlineStr">
        <is>
          <t>Radiology</t>
        </is>
      </c>
      <c r="H165" t="inlineStr">
        <is>
          <t>findings</t>
        </is>
      </c>
      <c r="I165" t="inlineStr">
        <is>
          <t xml:space="preserve"> There are normal velocities in the left common carotid.</t>
        </is>
      </c>
    </row>
    <row r="166">
      <c r="A166" t="inlineStr">
        <is>
          <t>738495-findings-1-3</t>
        </is>
      </c>
      <c r="B166" t="inlineStr"/>
      <c r="C166" t="inlineStr"/>
      <c r="D166">
        <f>HYPERLINK("http://nlpdeep.cs.uic.edu:8080/proofing/gsii/738495-findings-1-3.pdf","gsii/738495-findings-1-3.pdf")</f>
        <v/>
      </c>
      <c r="E166" t="n">
        <v>118659</v>
      </c>
      <c r="F166" t="n">
        <v>738495</v>
      </c>
      <c r="G166" t="inlineStr">
        <is>
          <t>Radiology</t>
        </is>
      </c>
      <c r="H166" t="inlineStr">
        <is>
          <t>findings</t>
        </is>
      </c>
      <c r="I166" t="inlineStr">
        <is>
          <t xml:space="preserve"> There are normal velocities in the left common carotid.</t>
        </is>
      </c>
    </row>
    <row r="167">
      <c r="A167" t="inlineStr">
        <is>
          <t>738495-findings-2-0</t>
        </is>
      </c>
      <c r="B167" t="inlineStr"/>
      <c r="C167" t="inlineStr"/>
      <c r="D167">
        <f>HYPERLINK("http://nlpdeep.cs.uic.edu:8080/proofing/t5/738495-findings-2-0.pdf","t5/738495-findings-2-0.pdf")</f>
        <v/>
      </c>
      <c r="E167" t="n">
        <v>118659</v>
      </c>
      <c r="F167" t="n">
        <v>738495</v>
      </c>
      <c r="G167" t="inlineStr">
        <is>
          <t>Radiology</t>
        </is>
      </c>
      <c r="H167" t="inlineStr">
        <is>
          <t>findings</t>
        </is>
      </c>
      <c r="I167" t="inlineStr">
        <is>
          <t xml:space="preserve">
 Flow in the bilateral vertebral arteries is antegrade.</t>
        </is>
      </c>
    </row>
    <row r="168">
      <c r="A168" t="inlineStr">
        <is>
          <t>738495-findings-2-0</t>
        </is>
      </c>
      <c r="B168" t="inlineStr"/>
      <c r="C168" t="inlineStr"/>
      <c r="D168">
        <f>HYPERLINK("http://nlpdeep.cs.uic.edu:8080/proofing/gsii/738495-findings-2-0.pdf","gsii/738495-findings-2-0.pdf")</f>
        <v/>
      </c>
      <c r="E168" t="n">
        <v>118659</v>
      </c>
      <c r="F168" t="n">
        <v>738495</v>
      </c>
      <c r="G168" t="inlineStr">
        <is>
          <t>Radiology</t>
        </is>
      </c>
      <c r="H168" t="inlineStr">
        <is>
          <t>findings</t>
        </is>
      </c>
      <c r="I168" t="inlineStr">
        <is>
          <t xml:space="preserve">
 Flow in the bilateral vertebral arteries is antegrade.</t>
        </is>
      </c>
    </row>
    <row r="169">
      <c r="A169" t="inlineStr">
        <is>
          <t>738495-impression-0-0</t>
        </is>
      </c>
      <c r="B169" t="inlineStr"/>
      <c r="C169" t="inlineStr"/>
      <c r="D169">
        <f>HYPERLINK("http://nlpdeep.cs.uic.edu:8080/proofing/t5/738495-impression-0-0.pdf","t5/738495-impression-0-0.pdf")</f>
        <v/>
      </c>
      <c r="E169" t="n">
        <v>118659</v>
      </c>
      <c r="F169" t="n">
        <v>738495</v>
      </c>
      <c r="G169" t="inlineStr">
        <is>
          <t>Radiology</t>
        </is>
      </c>
      <c r="H169" t="inlineStr">
        <is>
          <t>impression</t>
        </is>
      </c>
      <c r="I169" t="inlineStr">
        <is>
          <t>Very severe stenosis of the left internal carotid artery.</t>
        </is>
      </c>
    </row>
    <row r="170">
      <c r="A170" t="inlineStr">
        <is>
          <t>738495-impression-0-0</t>
        </is>
      </c>
      <c r="B170" t="inlineStr"/>
      <c r="C170" t="inlineStr"/>
      <c r="D170">
        <f>HYPERLINK("http://nlpdeep.cs.uic.edu:8080/proofing/gsii/738495-impression-0-0.pdf","gsii/738495-impression-0-0.pdf")</f>
        <v/>
      </c>
      <c r="E170" t="n">
        <v>118659</v>
      </c>
      <c r="F170" t="n">
        <v>738495</v>
      </c>
      <c r="G170" t="inlineStr">
        <is>
          <t>Radiology</t>
        </is>
      </c>
      <c r="H170" t="inlineStr">
        <is>
          <t>impression</t>
        </is>
      </c>
      <c r="I170" t="inlineStr">
        <is>
          <t>Very severe stenosis of the left internal carotid artery.</t>
        </is>
      </c>
    </row>
    <row r="171">
      <c r="A171" t="inlineStr">
        <is>
          <t>738495-impression-1-0</t>
        </is>
      </c>
      <c r="B171" t="inlineStr"/>
      <c r="C171" t="inlineStr"/>
      <c r="D171">
        <f>HYPERLINK("http://nlpdeep.cs.uic.edu:8080/proofing/t5/738495-impression-1-0.pdf","t5/738495-impression-1-0.pdf")</f>
        <v/>
      </c>
      <c r="E171" t="n">
        <v>118659</v>
      </c>
      <c r="F171" t="n">
        <v>738495</v>
      </c>
      <c r="G171" t="inlineStr">
        <is>
          <t>Radiology</t>
        </is>
      </c>
      <c r="H171" t="inlineStr">
        <is>
          <t>impression</t>
        </is>
      </c>
      <c r="I171" t="inlineStr">
        <is>
          <t>Moderate stenosis of the right internal carotid artery.</t>
        </is>
      </c>
    </row>
    <row r="172">
      <c r="A172" t="inlineStr">
        <is>
          <t>738495-impression-1-0</t>
        </is>
      </c>
      <c r="B172" t="inlineStr"/>
      <c r="C172" t="inlineStr"/>
      <c r="D172">
        <f>HYPERLINK("http://nlpdeep.cs.uic.edu:8080/proofing/gsii/738495-impression-1-0.pdf","gsii/738495-impression-1-0.pdf")</f>
        <v/>
      </c>
      <c r="E172" t="n">
        <v>118659</v>
      </c>
      <c r="F172" t="n">
        <v>738495</v>
      </c>
      <c r="G172" t="inlineStr">
        <is>
          <t>Radiology</t>
        </is>
      </c>
      <c r="H172" t="inlineStr">
        <is>
          <t>impression</t>
        </is>
      </c>
      <c r="I172" t="inlineStr">
        <is>
          <t>Moderate stenosis of the right internal carotid artery.</t>
        </is>
      </c>
    </row>
    <row r="173">
      <c r="A173" t="inlineStr">
        <is>
          <t>738495-impression-2-0</t>
        </is>
      </c>
      <c r="B173" t="inlineStr"/>
      <c r="C173" t="inlineStr"/>
      <c r="D173">
        <f>HYPERLINK("http://nlpdeep.cs.uic.edu:8080/proofing/t5/738495-impression-2-0.pdf","t5/738495-impression-2-0.pdf")</f>
        <v/>
      </c>
      <c r="E173" t="n">
        <v>118659</v>
      </c>
      <c r="F173" t="n">
        <v>738495</v>
      </c>
      <c r="G173" t="inlineStr">
        <is>
          <t>Radiology</t>
        </is>
      </c>
      <c r="H173" t="inlineStr">
        <is>
          <t>impression</t>
        </is>
      </c>
      <c r="I173" t="inlineStr">
        <is>
          <t>Significant stenosis involving the bilateral external carotid arteries.</t>
        </is>
      </c>
    </row>
    <row r="174">
      <c r="A174" t="inlineStr">
        <is>
          <t>738495-impression-2-0</t>
        </is>
      </c>
      <c r="B174" t="inlineStr"/>
      <c r="C174" t="inlineStr"/>
      <c r="D174">
        <f>HYPERLINK("http://nlpdeep.cs.uic.edu:8080/proofing/gsii/738495-impression-2-0.pdf","gsii/738495-impression-2-0.pdf")</f>
        <v/>
      </c>
      <c r="E174" t="n">
        <v>118659</v>
      </c>
      <c r="F174" t="n">
        <v>738495</v>
      </c>
      <c r="G174" t="inlineStr">
        <is>
          <t>Radiology</t>
        </is>
      </c>
      <c r="H174" t="inlineStr">
        <is>
          <t>impression</t>
        </is>
      </c>
      <c r="I174" t="inlineStr">
        <is>
          <t>Significant stenosis involving the bilateral external carotid arteries.</t>
        </is>
      </c>
    </row>
    <row r="175">
      <c r="A175" t="inlineStr">
        <is>
          <t>738493-reason-0-0</t>
        </is>
      </c>
      <c r="B175" t="inlineStr"/>
      <c r="C175" t="inlineStr"/>
      <c r="D175">
        <f>HYPERLINK("http://nlpdeep.cs.uic.edu:8080/proofing/t5/738493-reason-0-0.pdf","t5/738493-reason-0-0.pdf")</f>
        <v/>
      </c>
      <c r="E175" t="n">
        <v>118659</v>
      </c>
      <c r="F175" t="n">
        <v>738493</v>
      </c>
      <c r="G175" t="inlineStr">
        <is>
          <t>Radiology</t>
        </is>
      </c>
      <c r="H175" t="inlineStr">
        <is>
          <t>reason</t>
        </is>
      </c>
      <c r="I175" t="inlineStr">
        <is>
          <t>r/ochf,i</t>
        </is>
      </c>
    </row>
    <row r="176">
      <c r="A176" t="inlineStr">
        <is>
          <t>738493-reason-0-0</t>
        </is>
      </c>
      <c r="B176" t="inlineStr"/>
      <c r="C176" t="inlineStr"/>
      <c r="D176">
        <f>HYPERLINK("http://nlpdeep.cs.uic.edu:8080/proofing/gsii/738493-reason-0-0.pdf","gsii/738493-reason-0-0.pdf")</f>
        <v/>
      </c>
      <c r="E176" t="n">
        <v>118659</v>
      </c>
      <c r="F176" t="n">
        <v>738493</v>
      </c>
      <c r="G176" t="inlineStr">
        <is>
          <t>Radiology</t>
        </is>
      </c>
      <c r="H176" t="inlineStr">
        <is>
          <t>reason</t>
        </is>
      </c>
      <c r="I176" t="inlineStr">
        <is>
          <t>r/ochf,i</t>
        </is>
      </c>
    </row>
    <row r="177">
      <c r="A177" t="inlineStr">
        <is>
          <t>738493-medical-condition-0-0</t>
        </is>
      </c>
      <c r="B177" t="inlineStr"/>
      <c r="C177" t="inlineStr"/>
      <c r="D177">
        <f>HYPERLINK("http://nlpdeep.cs.uic.edu:8080/proofing/t5/738493-medical-condition-0-0.pdf","t5/738493-medical-condition-0-0.pdf")</f>
        <v/>
      </c>
      <c r="E177" t="n">
        <v>118659</v>
      </c>
      <c r="F177" t="n">
        <v>738493</v>
      </c>
      <c r="G177" t="inlineStr">
        <is>
          <t>Radiology</t>
        </is>
      </c>
      <c r="H177" t="inlineStr">
        <is>
          <t>medical-condition</t>
        </is>
      </c>
      <c r="I177" t="inlineStr">
        <is>
          <t>61 year old woman with cad,pvd for c</t>
        </is>
      </c>
    </row>
    <row r="178">
      <c r="A178" t="inlineStr">
        <is>
          <t>738493-medical-condition-0-0</t>
        </is>
      </c>
      <c r="B178" t="inlineStr"/>
      <c r="C178" t="inlineStr"/>
      <c r="D178">
        <f>HYPERLINK("http://nlpdeep.cs.uic.edu:8080/proofing/gsii/738493-medical-condition-0-0.pdf","gsii/738493-medical-condition-0-0.pdf")</f>
        <v/>
      </c>
      <c r="E178" t="n">
        <v>118659</v>
      </c>
      <c r="F178" t="n">
        <v>738493</v>
      </c>
      <c r="G178" t="inlineStr">
        <is>
          <t>Radiology</t>
        </is>
      </c>
      <c r="H178" t="inlineStr">
        <is>
          <t>medical-condition</t>
        </is>
      </c>
      <c r="I178" t="inlineStr">
        <is>
          <t>61 year old woman with cad,pvd for c</t>
        </is>
      </c>
    </row>
    <row r="179">
      <c r="A179" t="inlineStr">
        <is>
          <t>738493-indication-0-0</t>
        </is>
      </c>
      <c r="B179" t="inlineStr"/>
      <c r="C179" t="inlineStr"/>
      <c r="D179">
        <f>HYPERLINK("http://nlpdeep.cs.uic.edu:8080/proofing/t5/738493-indication-0-0.pdf","t5/738493-indication-0-0.pdf")</f>
        <v/>
      </c>
      <c r="E179" t="n">
        <v>118659</v>
      </c>
      <c r="F179" t="n">
        <v>738493</v>
      </c>
      <c r="G179" t="inlineStr">
        <is>
          <t>Radiology</t>
        </is>
      </c>
      <c r="H179" t="inlineStr">
        <is>
          <t>indication</t>
        </is>
      </c>
      <c r="I179" t="inlineStr">
        <is>
          <t>61 y/o woman with CAD and PVD, requiring preoperative evaluation.</t>
        </is>
      </c>
    </row>
    <row r="180">
      <c r="A180" t="inlineStr">
        <is>
          <t>738493-indication-0-0</t>
        </is>
      </c>
      <c r="B180" t="inlineStr"/>
      <c r="C180" t="inlineStr"/>
      <c r="D180">
        <f>HYPERLINK("http://nlpdeep.cs.uic.edu:8080/proofing/gsii/738493-indication-0-0.pdf","gsii/738493-indication-0-0.pdf")</f>
        <v/>
      </c>
      <c r="E180" t="n">
        <v>118659</v>
      </c>
      <c r="F180" t="n">
        <v>738493</v>
      </c>
      <c r="G180" t="inlineStr">
        <is>
          <t>Radiology</t>
        </is>
      </c>
      <c r="H180" t="inlineStr">
        <is>
          <t>indication</t>
        </is>
      </c>
      <c r="I180" t="inlineStr">
        <is>
          <t>61 y/o woman with CAD and PVD, requiring preoperative evaluation.</t>
        </is>
      </c>
    </row>
    <row r="181">
      <c r="A181" t="inlineStr">
        <is>
          <t>738493-comparison-0-0</t>
        </is>
      </c>
      <c r="B181" t="inlineStr"/>
      <c r="C181" t="inlineStr"/>
      <c r="D181">
        <f>HYPERLINK("http://nlpdeep.cs.uic.edu:8080/proofing/t5/738493-comparison-0-0.pdf","t5/738493-comparison-0-0.pdf")</f>
        <v/>
      </c>
      <c r="E181" t="n">
        <v>118659</v>
      </c>
      <c r="F181" t="n">
        <v>738493</v>
      </c>
      <c r="G181" t="inlineStr">
        <is>
          <t>Radiology</t>
        </is>
      </c>
      <c r="H181" t="inlineStr">
        <is>
          <t>comparison</t>
        </is>
      </c>
      <c r="I181" t="inlineStr">
        <is>
          <t>PA and lateral chest radiographs dated [**2184-4-7**].</t>
        </is>
      </c>
    </row>
    <row r="182">
      <c r="A182" t="inlineStr">
        <is>
          <t>738493-comparison-0-0</t>
        </is>
      </c>
      <c r="B182" t="inlineStr"/>
      <c r="C182" t="inlineStr"/>
      <c r="D182">
        <f>HYPERLINK("http://nlpdeep.cs.uic.edu:8080/proofing/gsii/738493-comparison-0-0.pdf","gsii/738493-comparison-0-0.pdf")</f>
        <v/>
      </c>
      <c r="E182" t="n">
        <v>118659</v>
      </c>
      <c r="F182" t="n">
        <v>738493</v>
      </c>
      <c r="G182" t="inlineStr">
        <is>
          <t>Radiology</t>
        </is>
      </c>
      <c r="H182" t="inlineStr">
        <is>
          <t>comparison</t>
        </is>
      </c>
      <c r="I182" t="inlineStr">
        <is>
          <t>PA and lateral chest radiographs dated [**2184-4-7**].</t>
        </is>
      </c>
    </row>
    <row r="183">
      <c r="A183" t="inlineStr">
        <is>
          <t>738493-findings-0-0</t>
        </is>
      </c>
      <c r="B183" t="inlineStr"/>
      <c r="C183" t="inlineStr"/>
      <c r="D183">
        <f>HYPERLINK("http://nlpdeep.cs.uic.edu:8080/proofing/t5/738493-findings-0-0.pdf","t5/738493-findings-0-0.pdf")</f>
        <v/>
      </c>
      <c r="E183" t="n">
        <v>118659</v>
      </c>
      <c r="F183" t="n">
        <v>738493</v>
      </c>
      <c r="G183" t="inlineStr">
        <is>
          <t>Radiology</t>
        </is>
      </c>
      <c r="H183" t="inlineStr">
        <is>
          <t>findings</t>
        </is>
      </c>
      <c r="I183" t="inlineStr">
        <is>
          <t>There is fairly marked left ventricular enlargement.</t>
        </is>
      </c>
    </row>
    <row r="184">
      <c r="A184" t="inlineStr">
        <is>
          <t>738493-findings-0-0</t>
        </is>
      </c>
      <c r="B184" t="inlineStr"/>
      <c r="C184" t="inlineStr"/>
      <c r="D184">
        <f>HYPERLINK("http://nlpdeep.cs.uic.edu:8080/proofing/gsii/738493-findings-0-0.pdf","gsii/738493-findings-0-0.pdf")</f>
        <v/>
      </c>
      <c r="E184" t="n">
        <v>118659</v>
      </c>
      <c r="F184" t="n">
        <v>738493</v>
      </c>
      <c r="G184" t="inlineStr">
        <is>
          <t>Radiology</t>
        </is>
      </c>
      <c r="H184" t="inlineStr">
        <is>
          <t>findings</t>
        </is>
      </c>
      <c r="I184" t="inlineStr">
        <is>
          <t>There is fairly marked left ventricular enlargement.</t>
        </is>
      </c>
    </row>
    <row r="185">
      <c r="A185" t="inlineStr">
        <is>
          <t>738493-findings-0-1</t>
        </is>
      </c>
      <c r="B185" t="inlineStr"/>
      <c r="C185" t="inlineStr"/>
      <c r="D185">
        <f>HYPERLINK("http://nlpdeep.cs.uic.edu:8080/proofing/t5/738493-findings-0-1.pdf","t5/738493-findings-0-1.pdf")</f>
        <v/>
      </c>
      <c r="E185" t="n">
        <v>118659</v>
      </c>
      <c r="F185" t="n">
        <v>738493</v>
      </c>
      <c r="G185" t="inlineStr">
        <is>
          <t>Radiology</t>
        </is>
      </c>
      <c r="H185" t="inlineStr">
        <is>
          <t>findings</t>
        </is>
      </c>
      <c r="I185" t="inlineStr">
        <is>
          <t xml:space="preserve"> There is
 minimal, if any, upper zone vascular redistribution.</t>
        </is>
      </c>
    </row>
    <row r="186">
      <c r="A186" t="inlineStr">
        <is>
          <t>738493-findings-0-1</t>
        </is>
      </c>
      <c r="B186" t="inlineStr"/>
      <c r="C186" t="inlineStr"/>
      <c r="D186">
        <f>HYPERLINK("http://nlpdeep.cs.uic.edu:8080/proofing/gsii/738493-findings-0-1.pdf","gsii/738493-findings-0-1.pdf")</f>
        <v/>
      </c>
      <c r="E186" t="n">
        <v>118659</v>
      </c>
      <c r="F186" t="n">
        <v>738493</v>
      </c>
      <c r="G186" t="inlineStr">
        <is>
          <t>Radiology</t>
        </is>
      </c>
      <c r="H186" t="inlineStr">
        <is>
          <t>findings</t>
        </is>
      </c>
      <c r="I186" t="inlineStr">
        <is>
          <t xml:space="preserve"> There is
 minimal, if any, upper zone vascular redistribution.</t>
        </is>
      </c>
    </row>
    <row r="187">
      <c r="A187" t="inlineStr">
        <is>
          <t>738493-findings-0-2</t>
        </is>
      </c>
      <c r="B187" t="inlineStr"/>
      <c r="C187" t="inlineStr"/>
      <c r="D187">
        <f>HYPERLINK("http://nlpdeep.cs.uic.edu:8080/proofing/t5/738493-findings-0-2.pdf","t5/738493-findings-0-2.pdf")</f>
        <v/>
      </c>
      <c r="E187" t="n">
        <v>118659</v>
      </c>
      <c r="F187" t="n">
        <v>738493</v>
      </c>
      <c r="G187" t="inlineStr">
        <is>
          <t>Radiology</t>
        </is>
      </c>
      <c r="H187" t="inlineStr">
        <is>
          <t>findings</t>
        </is>
      </c>
      <c r="I187" t="inlineStr">
        <is>
          <t xml:space="preserve"> The lungs are clear.</t>
        </is>
      </c>
    </row>
    <row r="188">
      <c r="A188" t="inlineStr">
        <is>
          <t>738493-findings-0-2</t>
        </is>
      </c>
      <c r="B188" t="inlineStr"/>
      <c r="C188" t="inlineStr"/>
      <c r="D188">
        <f>HYPERLINK("http://nlpdeep.cs.uic.edu:8080/proofing/gsii/738493-findings-0-2.pdf","gsii/738493-findings-0-2.pdf")</f>
        <v/>
      </c>
      <c r="E188" t="n">
        <v>118659</v>
      </c>
      <c r="F188" t="n">
        <v>738493</v>
      </c>
      <c r="G188" t="inlineStr">
        <is>
          <t>Radiology</t>
        </is>
      </c>
      <c r="H188" t="inlineStr">
        <is>
          <t>findings</t>
        </is>
      </c>
      <c r="I188" t="inlineStr">
        <is>
          <t xml:space="preserve"> The lungs are clear.</t>
        </is>
      </c>
    </row>
    <row r="189">
      <c r="A189" t="inlineStr">
        <is>
          <t>738493-findings-0-3</t>
        </is>
      </c>
      <c r="B189" t="inlineStr"/>
      <c r="C189" t="inlineStr"/>
      <c r="D189">
        <f>HYPERLINK("http://nlpdeep.cs.uic.edu:8080/proofing/t5/738493-findings-0-3.pdf","t5/738493-findings-0-3.pdf")</f>
        <v/>
      </c>
      <c r="E189" t="n">
        <v>118659</v>
      </c>
      <c r="F189" t="n">
        <v>738493</v>
      </c>
      <c r="G189" t="inlineStr">
        <is>
          <t>Radiology</t>
        </is>
      </c>
      <c r="H189" t="inlineStr">
        <is>
          <t>findings</t>
        </is>
      </c>
      <c r="I189" t="inlineStr">
        <is>
          <t>The
 mediastinal and hilar contours are within normal limits.</t>
        </is>
      </c>
    </row>
    <row r="190">
      <c r="A190" t="inlineStr">
        <is>
          <t>738493-findings-0-3</t>
        </is>
      </c>
      <c r="B190" t="inlineStr"/>
      <c r="C190" t="inlineStr"/>
      <c r="D190">
        <f>HYPERLINK("http://nlpdeep.cs.uic.edu:8080/proofing/gsii/738493-findings-0-3.pdf","gsii/738493-findings-0-3.pdf")</f>
        <v/>
      </c>
      <c r="E190" t="n">
        <v>118659</v>
      </c>
      <c r="F190" t="n">
        <v>738493</v>
      </c>
      <c r="G190" t="inlineStr">
        <is>
          <t>Radiology</t>
        </is>
      </c>
      <c r="H190" t="inlineStr">
        <is>
          <t>findings</t>
        </is>
      </c>
      <c r="I190" t="inlineStr">
        <is>
          <t>The
 mediastinal and hilar contours are within normal limits.</t>
        </is>
      </c>
    </row>
    <row r="191">
      <c r="A191" t="inlineStr">
        <is>
          <t>738493-findings-0-4</t>
        </is>
      </c>
      <c r="B191" t="inlineStr"/>
      <c r="C191" t="inlineStr"/>
      <c r="D191">
        <f>HYPERLINK("http://nlpdeep.cs.uic.edu:8080/proofing/t5/738493-findings-0-4.pdf","t5/738493-findings-0-4.pdf")</f>
        <v/>
      </c>
      <c r="E191" t="n">
        <v>118659</v>
      </c>
      <c r="F191" t="n">
        <v>738493</v>
      </c>
      <c r="G191" t="inlineStr">
        <is>
          <t>Radiology</t>
        </is>
      </c>
      <c r="H191" t="inlineStr">
        <is>
          <t>findings</t>
        </is>
      </c>
      <c r="I191" t="inlineStr">
        <is>
          <t xml:space="preserve"> The soft tissue and
 osseous structures are unremarkable.</t>
        </is>
      </c>
    </row>
    <row r="192">
      <c r="A192" t="inlineStr">
        <is>
          <t>738493-findings-0-4</t>
        </is>
      </c>
      <c r="B192" t="inlineStr"/>
      <c r="C192" t="inlineStr"/>
      <c r="D192">
        <f>HYPERLINK("http://nlpdeep.cs.uic.edu:8080/proofing/gsii/738493-findings-0-4.pdf","gsii/738493-findings-0-4.pdf")</f>
        <v/>
      </c>
      <c r="E192" t="n">
        <v>118659</v>
      </c>
      <c r="F192" t="n">
        <v>738493</v>
      </c>
      <c r="G192" t="inlineStr">
        <is>
          <t>Radiology</t>
        </is>
      </c>
      <c r="H192" t="inlineStr">
        <is>
          <t>findings</t>
        </is>
      </c>
      <c r="I192" t="inlineStr">
        <is>
          <t xml:space="preserve"> The soft tissue and
 osseous structures are unremarkable.</t>
        </is>
      </c>
    </row>
    <row r="193">
      <c r="A193" t="inlineStr">
        <is>
          <t>738493-findings-0-5</t>
        </is>
      </c>
      <c r="B193" t="inlineStr"/>
      <c r="C193" t="inlineStr"/>
      <c r="D193">
        <f>HYPERLINK("http://nlpdeep.cs.uic.edu:8080/proofing/t5/738493-findings-0-5.pdf","t5/738493-findings-0-5.pdf")</f>
        <v/>
      </c>
      <c r="E193" t="n">
        <v>118659</v>
      </c>
      <c r="F193" t="n">
        <v>738493</v>
      </c>
      <c r="G193" t="inlineStr">
        <is>
          <t>Radiology</t>
        </is>
      </c>
      <c r="H193" t="inlineStr">
        <is>
          <t>findings</t>
        </is>
      </c>
      <c r="I193" t="inlineStr">
        <is>
          <t>There is a small amount of left lung base
 atelectasis.</t>
        </is>
      </c>
    </row>
    <row r="194">
      <c r="A194" t="inlineStr">
        <is>
          <t>738493-findings-0-5</t>
        </is>
      </c>
      <c r="B194" t="inlineStr"/>
      <c r="C194" t="inlineStr"/>
      <c r="D194">
        <f>HYPERLINK("http://nlpdeep.cs.uic.edu:8080/proofing/gsii/738493-findings-0-5.pdf","gsii/738493-findings-0-5.pdf")</f>
        <v/>
      </c>
      <c r="E194" t="n">
        <v>118659</v>
      </c>
      <c r="F194" t="n">
        <v>738493</v>
      </c>
      <c r="G194" t="inlineStr">
        <is>
          <t>Radiology</t>
        </is>
      </c>
      <c r="H194" t="inlineStr">
        <is>
          <t>findings</t>
        </is>
      </c>
      <c r="I194" t="inlineStr">
        <is>
          <t>There is a small amount of left lung base
 atelectasis.</t>
        </is>
      </c>
    </row>
    <row r="195">
      <c r="A195" t="inlineStr">
        <is>
          <t>738493-impression-0-0</t>
        </is>
      </c>
      <c r="B195" t="inlineStr"/>
      <c r="C195" t="inlineStr"/>
      <c r="D195">
        <f>HYPERLINK("http://nlpdeep.cs.uic.edu:8080/proofing/t5/738493-impression-0-0.pdf","t5/738493-impression-0-0.pdf")</f>
        <v/>
      </c>
      <c r="E195" t="n">
        <v>118659</v>
      </c>
      <c r="F195" t="n">
        <v>738493</v>
      </c>
      <c r="G195" t="inlineStr">
        <is>
          <t>Radiology</t>
        </is>
      </c>
      <c r="H195" t="inlineStr">
        <is>
          <t>impression</t>
        </is>
      </c>
      <c r="I195" t="inlineStr">
        <is>
          <t>Possible slight left ventricular decompensation with some minimal
 patchy left lower lobe atelectasis.</t>
        </is>
      </c>
    </row>
    <row r="196">
      <c r="A196" t="inlineStr">
        <is>
          <t>738493-impression-0-0</t>
        </is>
      </c>
      <c r="B196" t="inlineStr"/>
      <c r="C196" t="inlineStr"/>
      <c r="D196">
        <f>HYPERLINK("http://nlpdeep.cs.uic.edu:8080/proofing/gsii/738493-impression-0-0.pdf","gsii/738493-impression-0-0.pdf")</f>
        <v/>
      </c>
      <c r="E196" t="n">
        <v>118659</v>
      </c>
      <c r="F196" t="n">
        <v>738493</v>
      </c>
      <c r="G196" t="inlineStr">
        <is>
          <t>Radiology</t>
        </is>
      </c>
      <c r="H196" t="inlineStr">
        <is>
          <t>impression</t>
        </is>
      </c>
      <c r="I196" t="inlineStr">
        <is>
          <t>Possible slight left ventricular decompensation with some minimal
 patchy left lower lobe atelectasis.</t>
        </is>
      </c>
    </row>
    <row r="197">
      <c r="A197" t="inlineStr">
        <is>
          <t>738493-image-type-0-0</t>
        </is>
      </c>
      <c r="B197" t="inlineStr"/>
      <c r="C197" t="inlineStr"/>
      <c r="D197">
        <f>HYPERLINK("http://nlpdeep.cs.uic.edu:8080/proofing/t5/738493-image-type-0-0.pdf","t5/738493-image-type-0-0.pdf")</f>
        <v/>
      </c>
      <c r="E197" t="n">
        <v>118659</v>
      </c>
      <c r="F197" t="n">
        <v>738493</v>
      </c>
      <c r="G197" t="inlineStr">
        <is>
          <t>Radiology</t>
        </is>
      </c>
      <c r="H197" t="inlineStr">
        <is>
          <t>image-type</t>
        </is>
      </c>
      <c r="I197" t="inlineStr">
        <is>
          <t>[**2184-12-15**]:</t>
        </is>
      </c>
    </row>
    <row r="198">
      <c r="A198" t="inlineStr">
        <is>
          <t>738493-image-type-0-0</t>
        </is>
      </c>
      <c r="B198" t="inlineStr"/>
      <c r="C198" t="inlineStr"/>
      <c r="D198">
        <f>HYPERLINK("http://nlpdeep.cs.uic.edu:8080/proofing/gsii/738493-image-type-0-0.pdf","gsii/738493-image-type-0-0.pdf")</f>
        <v/>
      </c>
      <c r="E198" t="n">
        <v>118659</v>
      </c>
      <c r="F198" t="n">
        <v>738493</v>
      </c>
      <c r="G198" t="inlineStr">
        <is>
          <t>Radiology</t>
        </is>
      </c>
      <c r="H198" t="inlineStr">
        <is>
          <t>image-type</t>
        </is>
      </c>
      <c r="I198" t="inlineStr">
        <is>
          <t>[**2184-12-15**]:</t>
        </is>
      </c>
    </row>
    <row r="199">
      <c r="A199" t="inlineStr">
        <is>
          <t>99217-patient-test-information-0-0</t>
        </is>
      </c>
      <c r="B199" t="inlineStr"/>
      <c r="C199" t="inlineStr"/>
      <c r="D199">
        <f>HYPERLINK("http://nlpdeep.cs.uic.edu:8080/proofing/t5/99217-patient-test-information-0-0.pdf","t5/99217-patient-test-information-0-0.pdf")</f>
        <v/>
      </c>
      <c r="E199" t="n">
        <v>118760</v>
      </c>
      <c r="F199" t="n">
        <v>99217</v>
      </c>
      <c r="G199" t="inlineStr">
        <is>
          <t>Echo</t>
        </is>
      </c>
      <c r="H199" t="inlineStr">
        <is>
          <t>patient-test-information</t>
        </is>
      </c>
      <c r="I199" t="inlineStr">
        <is>
          <t>Indication: Coronary artery disease.</t>
        </is>
      </c>
    </row>
    <row r="200">
      <c r="A200" t="inlineStr">
        <is>
          <t>99217-patient-test-information-0-0</t>
        </is>
      </c>
      <c r="B200" t="inlineStr"/>
      <c r="C200" t="inlineStr"/>
      <c r="D200">
        <f>HYPERLINK("http://nlpdeep.cs.uic.edu:8080/proofing/gsii/99217-patient-test-information-0-0.pdf","gsii/99217-patient-test-information-0-0.pdf")</f>
        <v/>
      </c>
      <c r="E200" t="n">
        <v>118760</v>
      </c>
      <c r="F200" t="n">
        <v>99217</v>
      </c>
      <c r="G200" t="inlineStr">
        <is>
          <t>Echo</t>
        </is>
      </c>
      <c r="H200" t="inlineStr">
        <is>
          <t>patient-test-information</t>
        </is>
      </c>
      <c r="I200" t="inlineStr">
        <is>
          <t>Indication: Coronary artery disease.</t>
        </is>
      </c>
    </row>
    <row r="201">
      <c r="A201" t="inlineStr">
        <is>
          <t>99217-patient-test-information-0-1</t>
        </is>
      </c>
      <c r="B201" t="inlineStr"/>
      <c r="C201" t="inlineStr"/>
      <c r="D201">
        <f>HYPERLINK("http://nlpdeep.cs.uic.edu:8080/proofing/t5/99217-patient-test-information-0-1.pdf","t5/99217-patient-test-information-0-1.pdf")</f>
        <v/>
      </c>
      <c r="E201" t="n">
        <v>118760</v>
      </c>
      <c r="F201" t="n">
        <v>99217</v>
      </c>
      <c r="G201" t="inlineStr">
        <is>
          <t>Echo</t>
        </is>
      </c>
      <c r="H201" t="inlineStr">
        <is>
          <t>patient-test-information</t>
        </is>
      </c>
      <c r="I201" t="inlineStr">
        <is>
          <t>H/O cardiac surgery.</t>
        </is>
      </c>
    </row>
    <row r="202">
      <c r="A202" t="inlineStr">
        <is>
          <t>99217-patient-test-information-0-1</t>
        </is>
      </c>
      <c r="B202" t="inlineStr"/>
      <c r="C202" t="inlineStr"/>
      <c r="D202">
        <f>HYPERLINK("http://nlpdeep.cs.uic.edu:8080/proofing/gsii/99217-patient-test-information-0-1.pdf","gsii/99217-patient-test-information-0-1.pdf")</f>
        <v/>
      </c>
      <c r="E202" t="n">
        <v>118760</v>
      </c>
      <c r="F202" t="n">
        <v>99217</v>
      </c>
      <c r="G202" t="inlineStr">
        <is>
          <t>Echo</t>
        </is>
      </c>
      <c r="H202" t="inlineStr">
        <is>
          <t>patient-test-information</t>
        </is>
      </c>
      <c r="I202" t="inlineStr">
        <is>
          <t>H/O cardiac surgery.</t>
        </is>
      </c>
    </row>
    <row r="203">
      <c r="A203" t="inlineStr">
        <is>
          <t>99217-patient-test-information-0-2</t>
        </is>
      </c>
      <c r="B203" t="inlineStr"/>
      <c r="C203" t="inlineStr"/>
      <c r="D203">
        <f>HYPERLINK("http://nlpdeep.cs.uic.edu:8080/proofing/t5/99217-patient-test-information-0-2.pdf","t5/99217-patient-test-information-0-2.pdf")</f>
        <v/>
      </c>
      <c r="E203" t="n">
        <v>118760</v>
      </c>
      <c r="F203" t="n">
        <v>99217</v>
      </c>
      <c r="G203" t="inlineStr">
        <is>
          <t>Echo</t>
        </is>
      </c>
      <c r="H203" t="inlineStr">
        <is>
          <t>patient-test-information</t>
        </is>
      </c>
      <c r="I203" t="inlineStr">
        <is>
          <t>Left ventricular function.</t>
        </is>
      </c>
    </row>
    <row r="204">
      <c r="A204" t="inlineStr">
        <is>
          <t>99217-patient-test-information-0-2</t>
        </is>
      </c>
      <c r="B204" t="inlineStr"/>
      <c r="C204" t="inlineStr"/>
      <c r="D204">
        <f>HYPERLINK("http://nlpdeep.cs.uic.edu:8080/proofing/gsii/99217-patient-test-information-0-2.pdf","gsii/99217-patient-test-information-0-2.pdf")</f>
        <v/>
      </c>
      <c r="E204" t="n">
        <v>118760</v>
      </c>
      <c r="F204" t="n">
        <v>99217</v>
      </c>
      <c r="G204" t="inlineStr">
        <is>
          <t>Echo</t>
        </is>
      </c>
      <c r="H204" t="inlineStr">
        <is>
          <t>patient-test-information</t>
        </is>
      </c>
      <c r="I204" t="inlineStr">
        <is>
          <t>Left ventricular function.</t>
        </is>
      </c>
    </row>
    <row r="205">
      <c r="A205" t="inlineStr">
        <is>
          <t>99217-patient-test-information-0-3</t>
        </is>
      </c>
      <c r="B205" t="inlineStr"/>
      <c r="C205" t="inlineStr"/>
      <c r="D205">
        <f>HYPERLINK("http://nlpdeep.cs.uic.edu:8080/proofing/t5/99217-patient-test-information-0-3.pdf","t5/99217-patient-test-information-0-3.pdf")</f>
        <v/>
      </c>
      <c r="E205" t="n">
        <v>118760</v>
      </c>
      <c r="F205" t="n">
        <v>99217</v>
      </c>
      <c r="G205" t="inlineStr">
        <is>
          <t>Echo</t>
        </is>
      </c>
      <c r="H205" t="inlineStr">
        <is>
          <t>patient-test-information</t>
        </is>
      </c>
      <c r="I205" t="inlineStr">
        <is>
          <t>Height: (in) 68
Weight (lb): 140
BSA (m2): 1.76 m2
BP (mm Hg): 141/53
HR (bpm): 72
Status: Inpatient
Date/Time: [**2132-9-23**] at 10:53
Test: Portable TTE (Complete)
Doppler: Full Doppler and color Doppler
Contrast: None
Technical Quality: S</t>
        </is>
      </c>
    </row>
    <row r="206">
      <c r="A206" t="inlineStr">
        <is>
          <t>99217-patient-test-information-0-3</t>
        </is>
      </c>
      <c r="B206" t="inlineStr"/>
      <c r="C206" t="inlineStr"/>
      <c r="D206">
        <f>HYPERLINK("http://nlpdeep.cs.uic.edu:8080/proofing/gsii/99217-patient-test-information-0-3.pdf","gsii/99217-patient-test-information-0-3.pdf")</f>
        <v/>
      </c>
      <c r="E206" t="n">
        <v>118760</v>
      </c>
      <c r="F206" t="n">
        <v>99217</v>
      </c>
      <c r="G206" t="inlineStr">
        <is>
          <t>Echo</t>
        </is>
      </c>
      <c r="H206" t="inlineStr">
        <is>
          <t>patient-test-information</t>
        </is>
      </c>
      <c r="I206" t="inlineStr">
        <is>
          <t>Height: (in) 68
Weight (lb): 140
BSA (m2): 1.76 m2
BP (mm Hg): 141/53
HR (bpm): 72
Status: Inpatient
Date/Time: [**2132-9-23**] at 10:53
Test: Portable TTE (Complete)
Doppler: Full Doppler and color Doppler
Contrast: None
Technical Quality: S</t>
        </is>
      </c>
    </row>
    <row r="207">
      <c r="A207" t="inlineStr">
        <is>
          <t>99217-findings-0-0</t>
        </is>
      </c>
      <c r="B207" t="inlineStr"/>
      <c r="C207" t="inlineStr"/>
      <c r="D207">
        <f>HYPERLINK("http://nlpdeep.cs.uic.edu:8080/proofing/t5/99217-findings-0-0.pdf","t5/99217-findings-0-0.pdf")</f>
        <v/>
      </c>
      <c r="E207" t="n">
        <v>118760</v>
      </c>
      <c r="F207" t="n">
        <v>99217</v>
      </c>
      <c r="G207" t="inlineStr">
        <is>
          <t>Echo</t>
        </is>
      </c>
      <c r="H207" t="inlineStr">
        <is>
          <t>findings</t>
        </is>
      </c>
      <c r="I207" t="inlineStr">
        <is>
          <t>LEFT ATRIUM: Mild LA enlargement.</t>
        </is>
      </c>
    </row>
    <row r="208">
      <c r="A208" t="inlineStr">
        <is>
          <t>99217-findings-0-0</t>
        </is>
      </c>
      <c r="B208" t="inlineStr"/>
      <c r="C208" t="inlineStr"/>
      <c r="D208">
        <f>HYPERLINK("http://nlpdeep.cs.uic.edu:8080/proofing/gsii/99217-findings-0-0.pdf","gsii/99217-findings-0-0.pdf")</f>
        <v/>
      </c>
      <c r="E208" t="n">
        <v>118760</v>
      </c>
      <c r="F208" t="n">
        <v>99217</v>
      </c>
      <c r="G208" t="inlineStr">
        <is>
          <t>Echo</t>
        </is>
      </c>
      <c r="H208" t="inlineStr">
        <is>
          <t>findings</t>
        </is>
      </c>
      <c r="I208" t="inlineStr">
        <is>
          <t>LEFT ATRIUM: Mild LA enlargement.</t>
        </is>
      </c>
    </row>
    <row r="209">
      <c r="A209" t="inlineStr">
        <is>
          <t>99217-findings-1-0</t>
        </is>
      </c>
      <c r="B209" t="inlineStr"/>
      <c r="C209" t="inlineStr"/>
      <c r="D209">
        <f>HYPERLINK("http://nlpdeep.cs.uic.edu:8080/proofing/t5/99217-findings-1-0.pdf","t5/99217-findings-1-0.pdf")</f>
        <v/>
      </c>
      <c r="E209" t="n">
        <v>118760</v>
      </c>
      <c r="F209" t="n">
        <v>99217</v>
      </c>
      <c r="G209" t="inlineStr">
        <is>
          <t>Echo</t>
        </is>
      </c>
      <c r="H209" t="inlineStr">
        <is>
          <t>findings</t>
        </is>
      </c>
      <c r="I209" t="inlineStr">
        <is>
          <t xml:space="preserve">
RIGHT ATRIUM/INTERATRIAL SEPTUM: Mildly dilated RA.</t>
        </is>
      </c>
    </row>
    <row r="210">
      <c r="A210" t="inlineStr">
        <is>
          <t>99217-findings-1-0</t>
        </is>
      </c>
      <c r="B210" t="inlineStr"/>
      <c r="C210" t="inlineStr"/>
      <c r="D210">
        <f>HYPERLINK("http://nlpdeep.cs.uic.edu:8080/proofing/gsii/99217-findings-1-0.pdf","gsii/99217-findings-1-0.pdf")</f>
        <v/>
      </c>
      <c r="E210" t="n">
        <v>118760</v>
      </c>
      <c r="F210" t="n">
        <v>99217</v>
      </c>
      <c r="G210" t="inlineStr">
        <is>
          <t>Echo</t>
        </is>
      </c>
      <c r="H210" t="inlineStr">
        <is>
          <t>findings</t>
        </is>
      </c>
      <c r="I210" t="inlineStr">
        <is>
          <t xml:space="preserve">
RIGHT ATRIUM/INTERATRIAL SEPTUM: Mildly dilated RA.</t>
        </is>
      </c>
    </row>
    <row r="211">
      <c r="A211" t="inlineStr">
        <is>
          <t>99217-findings-2-0</t>
        </is>
      </c>
      <c r="B211" t="inlineStr"/>
      <c r="C211" t="inlineStr"/>
      <c r="D211">
        <f>HYPERLINK("http://nlpdeep.cs.uic.edu:8080/proofing/t5/99217-findings-2-0.pdf","t5/99217-findings-2-0.pdf")</f>
        <v/>
      </c>
      <c r="E211" t="n">
        <v>118760</v>
      </c>
      <c r="F211" t="n">
        <v>99217</v>
      </c>
      <c r="G211" t="inlineStr">
        <is>
          <t>Echo</t>
        </is>
      </c>
      <c r="H211" t="inlineStr">
        <is>
          <t>findings</t>
        </is>
      </c>
      <c r="I211" t="inlineStr">
        <is>
          <t xml:space="preserve">
LEFT VENTRICLE: Normal LV wall thickness.</t>
        </is>
      </c>
    </row>
    <row r="212">
      <c r="A212" t="inlineStr">
        <is>
          <t>99217-findings-2-0</t>
        </is>
      </c>
      <c r="B212" t="inlineStr"/>
      <c r="C212" t="inlineStr"/>
      <c r="D212">
        <f>HYPERLINK("http://nlpdeep.cs.uic.edu:8080/proofing/gsii/99217-findings-2-0.pdf","gsii/99217-findings-2-0.pdf")</f>
        <v/>
      </c>
      <c r="E212" t="n">
        <v>118760</v>
      </c>
      <c r="F212" t="n">
        <v>99217</v>
      </c>
      <c r="G212" t="inlineStr">
        <is>
          <t>Echo</t>
        </is>
      </c>
      <c r="H212" t="inlineStr">
        <is>
          <t>findings</t>
        </is>
      </c>
      <c r="I212" t="inlineStr">
        <is>
          <t xml:space="preserve">
LEFT VENTRICLE: Normal LV wall thickness.</t>
        </is>
      </c>
    </row>
    <row r="213">
      <c r="A213" t="inlineStr">
        <is>
          <t>99217-findings-2-1</t>
        </is>
      </c>
      <c r="B213" t="inlineStr"/>
      <c r="C213" t="inlineStr"/>
      <c r="D213">
        <f>HYPERLINK("http://nlpdeep.cs.uic.edu:8080/proofing/t5/99217-findings-2-1.pdf","t5/99217-findings-2-1.pdf")</f>
        <v/>
      </c>
      <c r="E213" t="n">
        <v>118760</v>
      </c>
      <c r="F213" t="n">
        <v>99217</v>
      </c>
      <c r="G213" t="inlineStr">
        <is>
          <t>Echo</t>
        </is>
      </c>
      <c r="H213" t="inlineStr">
        <is>
          <t>findings</t>
        </is>
      </c>
      <c r="I213" t="inlineStr">
        <is>
          <t>Normal LV cavity size.</t>
        </is>
      </c>
    </row>
    <row r="214">
      <c r="A214" t="inlineStr">
        <is>
          <t>99217-findings-2-1</t>
        </is>
      </c>
      <c r="B214" t="inlineStr"/>
      <c r="C214" t="inlineStr"/>
      <c r="D214">
        <f>HYPERLINK("http://nlpdeep.cs.uic.edu:8080/proofing/gsii/99217-findings-2-1.pdf","gsii/99217-findings-2-1.pdf")</f>
        <v/>
      </c>
      <c r="E214" t="n">
        <v>118760</v>
      </c>
      <c r="F214" t="n">
        <v>99217</v>
      </c>
      <c r="G214" t="inlineStr">
        <is>
          <t>Echo</t>
        </is>
      </c>
      <c r="H214" t="inlineStr">
        <is>
          <t>findings</t>
        </is>
      </c>
      <c r="I214" t="inlineStr">
        <is>
          <t>Normal LV cavity size.</t>
        </is>
      </c>
    </row>
    <row r="215">
      <c r="A215" t="inlineStr">
        <is>
          <t>99217-findings-2-2</t>
        </is>
      </c>
      <c r="B215" t="inlineStr"/>
      <c r="C215" t="inlineStr"/>
      <c r="D215">
        <f>HYPERLINK("http://nlpdeep.cs.uic.edu:8080/proofing/t5/99217-findings-2-2.pdf","t5/99217-findings-2-2.pdf")</f>
        <v/>
      </c>
      <c r="E215" t="n">
        <v>118760</v>
      </c>
      <c r="F215" t="n">
        <v>99217</v>
      </c>
      <c r="G215" t="inlineStr">
        <is>
          <t>Echo</t>
        </is>
      </c>
      <c r="H215" t="inlineStr">
        <is>
          <t>findings</t>
        </is>
      </c>
      <c r="I215" t="inlineStr">
        <is>
          <t>Mildly
depressed LVEF.</t>
        </is>
      </c>
    </row>
    <row r="216">
      <c r="A216" t="inlineStr">
        <is>
          <t>99217-findings-2-2</t>
        </is>
      </c>
      <c r="B216" t="inlineStr"/>
      <c r="C216" t="inlineStr"/>
      <c r="D216">
        <f>HYPERLINK("http://nlpdeep.cs.uic.edu:8080/proofing/gsii/99217-findings-2-2.pdf","gsii/99217-findings-2-2.pdf")</f>
        <v/>
      </c>
      <c r="E216" t="n">
        <v>118760</v>
      </c>
      <c r="F216" t="n">
        <v>99217</v>
      </c>
      <c r="G216" t="inlineStr">
        <is>
          <t>Echo</t>
        </is>
      </c>
      <c r="H216" t="inlineStr">
        <is>
          <t>findings</t>
        </is>
      </c>
      <c r="I216" t="inlineStr">
        <is>
          <t>Mildly
depressed LVEF.</t>
        </is>
      </c>
    </row>
    <row r="217">
      <c r="A217" t="inlineStr">
        <is>
          <t>99217-findings-2-3</t>
        </is>
      </c>
      <c r="B217" t="inlineStr"/>
      <c r="C217" t="inlineStr"/>
      <c r="D217">
        <f>HYPERLINK("http://nlpdeep.cs.uic.edu:8080/proofing/t5/99217-findings-2-3.pdf","t5/99217-findings-2-3.pdf")</f>
        <v/>
      </c>
      <c r="E217" t="n">
        <v>118760</v>
      </c>
      <c r="F217" t="n">
        <v>99217</v>
      </c>
      <c r="G217" t="inlineStr">
        <is>
          <t>Echo</t>
        </is>
      </c>
      <c r="H217" t="inlineStr">
        <is>
          <t>findings</t>
        </is>
      </c>
      <c r="I217" t="inlineStr">
        <is>
          <t>TDI E/e' &gt;15, suggesting PCWP&gt;18mmHg.</t>
        </is>
      </c>
    </row>
    <row r="218">
      <c r="A218" t="inlineStr">
        <is>
          <t>99217-findings-2-3</t>
        </is>
      </c>
      <c r="B218" t="inlineStr"/>
      <c r="C218" t="inlineStr"/>
      <c r="D218">
        <f>HYPERLINK("http://nlpdeep.cs.uic.edu:8080/proofing/gsii/99217-findings-2-3.pdf","gsii/99217-findings-2-3.pdf")</f>
        <v/>
      </c>
      <c r="E218" t="n">
        <v>118760</v>
      </c>
      <c r="F218" t="n">
        <v>99217</v>
      </c>
      <c r="G218" t="inlineStr">
        <is>
          <t>Echo</t>
        </is>
      </c>
      <c r="H218" t="inlineStr">
        <is>
          <t>findings</t>
        </is>
      </c>
      <c r="I218" t="inlineStr">
        <is>
          <t>TDI E/e' &gt;15, suggesting PCWP&gt;18mmHg.</t>
        </is>
      </c>
    </row>
    <row r="219">
      <c r="A219" t="inlineStr">
        <is>
          <t>99217-findings-2-4</t>
        </is>
      </c>
      <c r="B219" t="inlineStr"/>
      <c r="C219" t="inlineStr"/>
      <c r="D219">
        <f>HYPERLINK("http://nlpdeep.cs.uic.edu:8080/proofing/t5/99217-findings-2-4.pdf","t5/99217-findings-2-4.pdf")</f>
        <v/>
      </c>
      <c r="E219" t="n">
        <v>118760</v>
      </c>
      <c r="F219" t="n">
        <v>99217</v>
      </c>
      <c r="G219" t="inlineStr">
        <is>
          <t>Echo</t>
        </is>
      </c>
      <c r="H219" t="inlineStr">
        <is>
          <t>findings</t>
        </is>
      </c>
      <c r="I219" t="inlineStr">
        <is>
          <t>Doppler parameters are
most consistent with c/w Grade II (moderate) LV diastolic dysfunction.</t>
        </is>
      </c>
    </row>
    <row r="220">
      <c r="A220" t="inlineStr">
        <is>
          <t>99217-findings-2-4</t>
        </is>
      </c>
      <c r="B220" t="inlineStr"/>
      <c r="C220" t="inlineStr"/>
      <c r="D220">
        <f>HYPERLINK("http://nlpdeep.cs.uic.edu:8080/proofing/gsii/99217-findings-2-4.pdf","gsii/99217-findings-2-4.pdf")</f>
        <v/>
      </c>
      <c r="E220" t="n">
        <v>118760</v>
      </c>
      <c r="F220" t="n">
        <v>99217</v>
      </c>
      <c r="G220" t="inlineStr">
        <is>
          <t>Echo</t>
        </is>
      </c>
      <c r="H220" t="inlineStr">
        <is>
          <t>findings</t>
        </is>
      </c>
      <c r="I220" t="inlineStr">
        <is>
          <t>Doppler parameters are
most consistent with c/w Grade II (moderate) LV diastolic dysfunction.</t>
        </is>
      </c>
    </row>
    <row r="221">
      <c r="A221" t="inlineStr">
        <is>
          <t>99217-findings-2-5</t>
        </is>
      </c>
      <c r="B221" t="inlineStr"/>
      <c r="C221" t="inlineStr"/>
      <c r="D221">
        <f>HYPERLINK("http://nlpdeep.cs.uic.edu:8080/proofing/t5/99217-findings-2-5.pdf","t5/99217-findings-2-5.pdf")</f>
        <v/>
      </c>
      <c r="E221" t="n">
        <v>118760</v>
      </c>
      <c r="F221" t="n">
        <v>99217</v>
      </c>
      <c r="G221" t="inlineStr">
        <is>
          <t>Echo</t>
        </is>
      </c>
      <c r="H221" t="inlineStr">
        <is>
          <t>findings</t>
        </is>
      </c>
      <c r="I221" t="inlineStr">
        <is>
          <t>No
resting LVOT gradient.</t>
        </is>
      </c>
    </row>
    <row r="222">
      <c r="A222" t="inlineStr">
        <is>
          <t>99217-findings-2-5</t>
        </is>
      </c>
      <c r="B222" t="inlineStr"/>
      <c r="C222" t="inlineStr"/>
      <c r="D222">
        <f>HYPERLINK("http://nlpdeep.cs.uic.edu:8080/proofing/gsii/99217-findings-2-5.pdf","gsii/99217-findings-2-5.pdf")</f>
        <v/>
      </c>
      <c r="E222" t="n">
        <v>118760</v>
      </c>
      <c r="F222" t="n">
        <v>99217</v>
      </c>
      <c r="G222" t="inlineStr">
        <is>
          <t>Echo</t>
        </is>
      </c>
      <c r="H222" t="inlineStr">
        <is>
          <t>findings</t>
        </is>
      </c>
      <c r="I222" t="inlineStr">
        <is>
          <t>No
resting LVOT gradient.</t>
        </is>
      </c>
    </row>
    <row r="223">
      <c r="A223" t="inlineStr">
        <is>
          <t>99217-findings-3-0</t>
        </is>
      </c>
      <c r="B223" t="inlineStr"/>
      <c r="C223" t="inlineStr"/>
      <c r="D223">
        <f>HYPERLINK("http://nlpdeep.cs.uic.edu:8080/proofing/t5/99217-findings-3-0.pdf","t5/99217-findings-3-0.pdf")</f>
        <v/>
      </c>
      <c r="E223" t="n">
        <v>118760</v>
      </c>
      <c r="F223" t="n">
        <v>99217</v>
      </c>
      <c r="G223" t="inlineStr">
        <is>
          <t>Echo</t>
        </is>
      </c>
      <c r="H223" t="inlineStr">
        <is>
          <t>findings</t>
        </is>
      </c>
      <c r="I223" t="inlineStr">
        <is>
          <t>ortic arch diameter. Focal calcifications in aortic
arch.
AORTIC VALVE: Three aortic valve leaflets. Moderately thickened aortic valve
leaflets. Mild AS (area</t>
        </is>
      </c>
    </row>
    <row r="224">
      <c r="A224" t="inlineStr">
        <is>
          <t>99217-findings-3-0</t>
        </is>
      </c>
      <c r="B224" t="inlineStr"/>
      <c r="C224" t="inlineStr"/>
      <c r="D224">
        <f>HYPERLINK("http://nlpdeep.cs.uic.edu:8080/proofing/gsii/99217-findings-3-0.pdf","gsii/99217-findings-3-0.pdf")</f>
        <v/>
      </c>
      <c r="E224" t="n">
        <v>118760</v>
      </c>
      <c r="F224" t="n">
        <v>99217</v>
      </c>
      <c r="G224" t="inlineStr">
        <is>
          <t>Echo</t>
        </is>
      </c>
      <c r="H224" t="inlineStr">
        <is>
          <t>findings</t>
        </is>
      </c>
      <c r="I224" t="inlineStr">
        <is>
          <t>ortic arch diameter. Focal calcifications in aortic
arch.
AORTIC VALVE: Three aortic valve leaflets. Moderately thickened aortic valve
leaflets. Mild AS (area</t>
        </is>
      </c>
    </row>
    <row r="225">
      <c r="A225" t="inlineStr">
        <is>
          <t>99217-findings-4-0</t>
        </is>
      </c>
      <c r="B225" t="inlineStr"/>
      <c r="C225" t="inlineStr"/>
      <c r="D225">
        <f>HYPERLINK("http://nlpdeep.cs.uic.edu:8080/proofing/t5/99217-findings-4-0.pdf","t5/99217-findings-4-0.pdf")</f>
        <v/>
      </c>
      <c r="E225" t="n">
        <v>118760</v>
      </c>
      <c r="F225" t="n">
        <v>99217</v>
      </c>
      <c r="G225" t="inlineStr">
        <is>
          <t>Echo</t>
        </is>
      </c>
      <c r="H225" t="inlineStr">
        <is>
          <t>findings</t>
        </is>
      </c>
      <c r="I225" t="inlineStr">
        <is>
          <t xml:space="preserve">.2-1.9cm2). Trace AR.
MITRAL VALVE: Mildly thickened mitral </t>
        </is>
      </c>
    </row>
    <row r="226">
      <c r="A226" t="inlineStr">
        <is>
          <t>99217-findings-4-0</t>
        </is>
      </c>
      <c r="B226" t="inlineStr"/>
      <c r="C226" t="inlineStr"/>
      <c r="D226">
        <f>HYPERLINK("http://nlpdeep.cs.uic.edu:8080/proofing/gsii/99217-findings-4-0.pdf","gsii/99217-findings-4-0.pdf")</f>
        <v/>
      </c>
      <c r="E226" t="n">
        <v>118760</v>
      </c>
      <c r="F226" t="n">
        <v>99217</v>
      </c>
      <c r="G226" t="inlineStr">
        <is>
          <t>Echo</t>
        </is>
      </c>
      <c r="H226" t="inlineStr">
        <is>
          <t>findings</t>
        </is>
      </c>
      <c r="I226" t="inlineStr">
        <is>
          <t xml:space="preserve">.2-1.9cm2). Trace AR.
MITRAL VALVE: Mildly thickened mitral </t>
        </is>
      </c>
    </row>
    <row r="227">
      <c r="A227" t="inlineStr">
        <is>
          <t>99217-findings-5-0</t>
        </is>
      </c>
      <c r="B227" t="inlineStr"/>
      <c r="C227" t="inlineStr"/>
      <c r="D227">
        <f>HYPERLINK("http://nlpdeep.cs.uic.edu:8080/proofing/t5/99217-findings-5-0.pdf","t5/99217-findings-5-0.pdf")</f>
        <v/>
      </c>
      <c r="E227" t="n">
        <v>118760</v>
      </c>
      <c r="F227" t="n">
        <v>99217</v>
      </c>
      <c r="G227" t="inlineStr">
        <is>
          <t>Echo</t>
        </is>
      </c>
      <c r="H227" t="inlineStr">
        <is>
          <t>findings</t>
        </is>
      </c>
      <c r="I227" t="inlineStr">
        <is>
          <t xml:space="preserve">
AORTA: Normal aortic diameter at the sinus level.</t>
        </is>
      </c>
    </row>
    <row r="228">
      <c r="A228" t="inlineStr">
        <is>
          <t>99217-findings-5-0</t>
        </is>
      </c>
      <c r="B228" t="inlineStr"/>
      <c r="C228" t="inlineStr"/>
      <c r="D228">
        <f>HYPERLINK("http://nlpdeep.cs.uic.edu:8080/proofing/gsii/99217-findings-5-0.pdf","gsii/99217-findings-5-0.pdf")</f>
        <v/>
      </c>
      <c r="E228" t="n">
        <v>118760</v>
      </c>
      <c r="F228" t="n">
        <v>99217</v>
      </c>
      <c r="G228" t="inlineStr">
        <is>
          <t>Echo</t>
        </is>
      </c>
      <c r="H228" t="inlineStr">
        <is>
          <t>findings</t>
        </is>
      </c>
      <c r="I228" t="inlineStr">
        <is>
          <t xml:space="preserve">
AORTA: Normal aortic diameter at the sinus level.</t>
        </is>
      </c>
    </row>
    <row r="229">
      <c r="A229" t="inlineStr">
        <is>
          <t>99217-findings-5-1</t>
        </is>
      </c>
      <c r="B229" t="inlineStr"/>
      <c r="C229" t="inlineStr"/>
      <c r="D229">
        <f>HYPERLINK("http://nlpdeep.cs.uic.edu:8080/proofing/t5/99217-findings-5-1.pdf","t5/99217-findings-5-1.pdf")</f>
        <v/>
      </c>
      <c r="E229" t="n">
        <v>118760</v>
      </c>
      <c r="F229" t="n">
        <v>99217</v>
      </c>
      <c r="G229" t="inlineStr">
        <is>
          <t>Echo</t>
        </is>
      </c>
      <c r="H229" t="inlineStr">
        <is>
          <t>findings</t>
        </is>
      </c>
      <c r="I229" t="inlineStr">
        <is>
          <t>Focal calcifications in
aortic root.</t>
        </is>
      </c>
    </row>
    <row r="230">
      <c r="A230" t="inlineStr">
        <is>
          <t>99217-findings-5-1</t>
        </is>
      </c>
      <c r="B230" t="inlineStr"/>
      <c r="C230" t="inlineStr"/>
      <c r="D230">
        <f>HYPERLINK("http://nlpdeep.cs.uic.edu:8080/proofing/gsii/99217-findings-5-1.pdf","gsii/99217-findings-5-1.pdf")</f>
        <v/>
      </c>
      <c r="E230" t="n">
        <v>118760</v>
      </c>
      <c r="F230" t="n">
        <v>99217</v>
      </c>
      <c r="G230" t="inlineStr">
        <is>
          <t>Echo</t>
        </is>
      </c>
      <c r="H230" t="inlineStr">
        <is>
          <t>findings</t>
        </is>
      </c>
      <c r="I230" t="inlineStr">
        <is>
          <t>Focal calcifications in
aortic root.</t>
        </is>
      </c>
    </row>
    <row r="231">
      <c r="A231" t="inlineStr">
        <is>
          <t>99217-findings-5-2</t>
        </is>
      </c>
      <c r="B231" t="inlineStr"/>
      <c r="C231" t="inlineStr"/>
      <c r="D231">
        <f>HYPERLINK("http://nlpdeep.cs.uic.edu:8080/proofing/t5/99217-findings-5-2.pdf","t5/99217-findings-5-2.pdf")</f>
        <v/>
      </c>
      <c r="E231" t="n">
        <v>118760</v>
      </c>
      <c r="F231" t="n">
        <v>99217</v>
      </c>
      <c r="G231" t="inlineStr">
        <is>
          <t>Echo</t>
        </is>
      </c>
      <c r="H231" t="inlineStr">
        <is>
          <t>findings</t>
        </is>
      </c>
      <c r="I231" t="inlineStr">
        <is>
          <t>Normal ascending aorta diameter.</t>
        </is>
      </c>
    </row>
    <row r="232">
      <c r="A232" t="inlineStr">
        <is>
          <t>99217-findings-5-2</t>
        </is>
      </c>
      <c r="B232" t="inlineStr"/>
      <c r="C232" t="inlineStr"/>
      <c r="D232">
        <f>HYPERLINK("http://nlpdeep.cs.uic.edu:8080/proofing/gsii/99217-findings-5-2.pdf","gsii/99217-findings-5-2.pdf")</f>
        <v/>
      </c>
      <c r="E232" t="n">
        <v>118760</v>
      </c>
      <c r="F232" t="n">
        <v>99217</v>
      </c>
      <c r="G232" t="inlineStr">
        <is>
          <t>Echo</t>
        </is>
      </c>
      <c r="H232" t="inlineStr">
        <is>
          <t>findings</t>
        </is>
      </c>
      <c r="I232" t="inlineStr">
        <is>
          <t>Normal ascending aorta diameter.</t>
        </is>
      </c>
    </row>
    <row r="233">
      <c r="A233" t="inlineStr">
        <is>
          <t>99217-findings-5-3</t>
        </is>
      </c>
      <c r="B233" t="inlineStr"/>
      <c r="C233" t="inlineStr"/>
      <c r="D233">
        <f>HYPERLINK("http://nlpdeep.cs.uic.edu:8080/proofing/t5/99217-findings-5-3.pdf","t5/99217-findings-5-3.pdf")</f>
        <v/>
      </c>
      <c r="E233" t="n">
        <v>118760</v>
      </c>
      <c r="F233" t="n">
        <v>99217</v>
      </c>
      <c r="G233" t="inlineStr">
        <is>
          <t>Echo</t>
        </is>
      </c>
      <c r="H233" t="inlineStr">
        <is>
          <t>findings</t>
        </is>
      </c>
      <c r="I233" t="inlineStr">
        <is>
          <t>Focal calcifications in
ascending aorta.</t>
        </is>
      </c>
    </row>
    <row r="234">
      <c r="A234" t="inlineStr">
        <is>
          <t>99217-findings-5-3</t>
        </is>
      </c>
      <c r="B234" t="inlineStr"/>
      <c r="C234" t="inlineStr"/>
      <c r="D234">
        <f>HYPERLINK("http://nlpdeep.cs.uic.edu:8080/proofing/gsii/99217-findings-5-3.pdf","gsii/99217-findings-5-3.pdf")</f>
        <v/>
      </c>
      <c r="E234" t="n">
        <v>118760</v>
      </c>
      <c r="F234" t="n">
        <v>99217</v>
      </c>
      <c r="G234" t="inlineStr">
        <is>
          <t>Echo</t>
        </is>
      </c>
      <c r="H234" t="inlineStr">
        <is>
          <t>findings</t>
        </is>
      </c>
      <c r="I234" t="inlineStr">
        <is>
          <t>Focal calcifications in
ascending aorta.</t>
        </is>
      </c>
    </row>
    <row r="235">
      <c r="A235" t="inlineStr">
        <is>
          <t>99217-findings-5-4</t>
        </is>
      </c>
      <c r="B235" t="inlineStr"/>
      <c r="C235" t="inlineStr"/>
      <c r="D235">
        <f>HYPERLINK("http://nlpdeep.cs.uic.edu:8080/proofing/t5/99217-findings-5-4.pdf","t5/99217-findings-5-4.pdf")</f>
        <v/>
      </c>
      <c r="E235" t="n">
        <v>118760</v>
      </c>
      <c r="F235" t="n">
        <v>99217</v>
      </c>
      <c r="G235" t="inlineStr">
        <is>
          <t>Echo</t>
        </is>
      </c>
      <c r="H235" t="inlineStr">
        <is>
          <t>findings</t>
        </is>
      </c>
      <c r="I235" t="inlineStr">
        <is>
          <t>Normal aortic arch diameter.</t>
        </is>
      </c>
    </row>
    <row r="236">
      <c r="A236" t="inlineStr">
        <is>
          <t>99217-findings-5-4</t>
        </is>
      </c>
      <c r="B236" t="inlineStr"/>
      <c r="C236" t="inlineStr"/>
      <c r="D236">
        <f>HYPERLINK("http://nlpdeep.cs.uic.edu:8080/proofing/gsii/99217-findings-5-4.pdf","gsii/99217-findings-5-4.pdf")</f>
        <v/>
      </c>
      <c r="E236" t="n">
        <v>118760</v>
      </c>
      <c r="F236" t="n">
        <v>99217</v>
      </c>
      <c r="G236" t="inlineStr">
        <is>
          <t>Echo</t>
        </is>
      </c>
      <c r="H236" t="inlineStr">
        <is>
          <t>findings</t>
        </is>
      </c>
      <c r="I236" t="inlineStr">
        <is>
          <t>Normal aortic arch diameter.</t>
        </is>
      </c>
    </row>
    <row r="237">
      <c r="A237" t="inlineStr">
        <is>
          <t>99217-findings-5-5</t>
        </is>
      </c>
      <c r="B237" t="inlineStr"/>
      <c r="C237" t="inlineStr"/>
      <c r="D237">
        <f>HYPERLINK("http://nlpdeep.cs.uic.edu:8080/proofing/t5/99217-findings-5-5.pdf","t5/99217-findings-5-5.pdf")</f>
        <v/>
      </c>
      <c r="E237" t="n">
        <v>118760</v>
      </c>
      <c r="F237" t="n">
        <v>99217</v>
      </c>
      <c r="G237" t="inlineStr">
        <is>
          <t>Echo</t>
        </is>
      </c>
      <c r="H237" t="inlineStr">
        <is>
          <t>findings</t>
        </is>
      </c>
      <c r="I237" t="inlineStr">
        <is>
          <t>Focal calcifications in aortic
arch.</t>
        </is>
      </c>
    </row>
    <row r="238">
      <c r="A238" t="inlineStr">
        <is>
          <t>99217-findings-5-5</t>
        </is>
      </c>
      <c r="B238" t="inlineStr"/>
      <c r="C238" t="inlineStr"/>
      <c r="D238">
        <f>HYPERLINK("http://nlpdeep.cs.uic.edu:8080/proofing/gsii/99217-findings-5-5.pdf","gsii/99217-findings-5-5.pdf")</f>
        <v/>
      </c>
      <c r="E238" t="n">
        <v>118760</v>
      </c>
      <c r="F238" t="n">
        <v>99217</v>
      </c>
      <c r="G238" t="inlineStr">
        <is>
          <t>Echo</t>
        </is>
      </c>
      <c r="H238" t="inlineStr">
        <is>
          <t>findings</t>
        </is>
      </c>
      <c r="I238" t="inlineStr">
        <is>
          <t>Focal calcifications in aortic
arch.</t>
        </is>
      </c>
    </row>
    <row r="239">
      <c r="A239" t="inlineStr">
        <is>
          <t>99217-findings-6-0</t>
        </is>
      </c>
      <c r="B239" t="inlineStr"/>
      <c r="C239" t="inlineStr"/>
      <c r="D239">
        <f>HYPERLINK("http://nlpdeep.cs.uic.edu:8080/proofing/t5/99217-findings-6-0.pdf","t5/99217-findings-6-0.pdf")</f>
        <v/>
      </c>
      <c r="E239" t="n">
        <v>118760</v>
      </c>
      <c r="F239" t="n">
        <v>99217</v>
      </c>
      <c r="G239" t="inlineStr">
        <is>
          <t>Echo</t>
        </is>
      </c>
      <c r="H239" t="inlineStr">
        <is>
          <t>findings</t>
        </is>
      </c>
      <c r="I239" t="inlineStr">
        <is>
          <t xml:space="preserve">
AORTIC VALVE: Three aortic valve leaflets.</t>
        </is>
      </c>
    </row>
    <row r="240">
      <c r="A240" t="inlineStr">
        <is>
          <t>99217-findings-6-0</t>
        </is>
      </c>
      <c r="B240" t="inlineStr"/>
      <c r="C240" t="inlineStr"/>
      <c r="D240">
        <f>HYPERLINK("http://nlpdeep.cs.uic.edu:8080/proofing/gsii/99217-findings-6-0.pdf","gsii/99217-findings-6-0.pdf")</f>
        <v/>
      </c>
      <c r="E240" t="n">
        <v>118760</v>
      </c>
      <c r="F240" t="n">
        <v>99217</v>
      </c>
      <c r="G240" t="inlineStr">
        <is>
          <t>Echo</t>
        </is>
      </c>
      <c r="H240" t="inlineStr">
        <is>
          <t>findings</t>
        </is>
      </c>
      <c r="I240" t="inlineStr">
        <is>
          <t xml:space="preserve">
AORTIC VALVE: Three aortic valve leaflets.</t>
        </is>
      </c>
    </row>
    <row r="241">
      <c r="A241" t="inlineStr">
        <is>
          <t>99217-findings-6-1</t>
        </is>
      </c>
      <c r="B241" t="inlineStr"/>
      <c r="C241" t="inlineStr"/>
      <c r="D241">
        <f>HYPERLINK("http://nlpdeep.cs.uic.edu:8080/proofing/t5/99217-findings-6-1.pdf","t5/99217-findings-6-1.pdf")</f>
        <v/>
      </c>
      <c r="E241" t="n">
        <v>118760</v>
      </c>
      <c r="F241" t="n">
        <v>99217</v>
      </c>
      <c r="G241" t="inlineStr">
        <is>
          <t>Echo</t>
        </is>
      </c>
      <c r="H241" t="inlineStr">
        <is>
          <t>findings</t>
        </is>
      </c>
      <c r="I241" t="inlineStr">
        <is>
          <t>Moderately thickened aortic valve
leaflets.</t>
        </is>
      </c>
    </row>
    <row r="242">
      <c r="A242" t="inlineStr">
        <is>
          <t>99217-findings-6-1</t>
        </is>
      </c>
      <c r="B242" t="inlineStr"/>
      <c r="C242" t="inlineStr"/>
      <c r="D242">
        <f>HYPERLINK("http://nlpdeep.cs.uic.edu:8080/proofing/gsii/99217-findings-6-1.pdf","gsii/99217-findings-6-1.pdf")</f>
        <v/>
      </c>
      <c r="E242" t="n">
        <v>118760</v>
      </c>
      <c r="F242" t="n">
        <v>99217</v>
      </c>
      <c r="G242" t="inlineStr">
        <is>
          <t>Echo</t>
        </is>
      </c>
      <c r="H242" t="inlineStr">
        <is>
          <t>findings</t>
        </is>
      </c>
      <c r="I242" t="inlineStr">
        <is>
          <t>Moderately thickened aortic valve
leaflets.</t>
        </is>
      </c>
    </row>
    <row r="243">
      <c r="A243" t="inlineStr">
        <is>
          <t>99217-findings-6-2</t>
        </is>
      </c>
      <c r="B243" t="inlineStr"/>
      <c r="C243" t="inlineStr"/>
      <c r="D243">
        <f>HYPERLINK("http://nlpdeep.cs.uic.edu:8080/proofing/t5/99217-findings-6-2.pdf","t5/99217-findings-6-2.pdf")</f>
        <v/>
      </c>
      <c r="E243" t="n">
        <v>118760</v>
      </c>
      <c r="F243" t="n">
        <v>99217</v>
      </c>
      <c r="G243" t="inlineStr">
        <is>
          <t>Echo</t>
        </is>
      </c>
      <c r="H243" t="inlineStr">
        <is>
          <t>findings</t>
        </is>
      </c>
      <c r="I243" t="inlineStr">
        <is>
          <t>Mild AS (area 1.2-1.9cm2).</t>
        </is>
      </c>
    </row>
    <row r="244">
      <c r="A244" t="inlineStr">
        <is>
          <t>99217-findings-6-2</t>
        </is>
      </c>
      <c r="B244" t="inlineStr"/>
      <c r="C244" t="inlineStr"/>
      <c r="D244">
        <f>HYPERLINK("http://nlpdeep.cs.uic.edu:8080/proofing/gsii/99217-findings-6-2.pdf","gsii/99217-findings-6-2.pdf")</f>
        <v/>
      </c>
      <c r="E244" t="n">
        <v>118760</v>
      </c>
      <c r="F244" t="n">
        <v>99217</v>
      </c>
      <c r="G244" t="inlineStr">
        <is>
          <t>Echo</t>
        </is>
      </c>
      <c r="H244" t="inlineStr">
        <is>
          <t>findings</t>
        </is>
      </c>
      <c r="I244" t="inlineStr">
        <is>
          <t>Mild AS (area 1.2-1.9cm2).</t>
        </is>
      </c>
    </row>
    <row r="245">
      <c r="A245" t="inlineStr">
        <is>
          <t>99217-findings-6-3</t>
        </is>
      </c>
      <c r="B245" t="inlineStr"/>
      <c r="C245" t="inlineStr"/>
      <c r="D245">
        <f>HYPERLINK("http://nlpdeep.cs.uic.edu:8080/proofing/t5/99217-findings-6-3.pdf","t5/99217-findings-6-3.pdf")</f>
        <v/>
      </c>
      <c r="E245" t="n">
        <v>118760</v>
      </c>
      <c r="F245" t="n">
        <v>99217</v>
      </c>
      <c r="G245" t="inlineStr">
        <is>
          <t>Echo</t>
        </is>
      </c>
      <c r="H245" t="inlineStr">
        <is>
          <t>findings</t>
        </is>
      </c>
      <c r="I245" t="inlineStr">
        <is>
          <t>Trace AR.</t>
        </is>
      </c>
    </row>
    <row r="246">
      <c r="A246" t="inlineStr">
        <is>
          <t>99217-findings-6-3</t>
        </is>
      </c>
      <c r="B246" t="inlineStr"/>
      <c r="C246" t="inlineStr"/>
      <c r="D246">
        <f>HYPERLINK("http://nlpdeep.cs.uic.edu:8080/proofing/gsii/99217-findings-6-3.pdf","gsii/99217-findings-6-3.pdf")</f>
        <v/>
      </c>
      <c r="E246" t="n">
        <v>118760</v>
      </c>
      <c r="F246" t="n">
        <v>99217</v>
      </c>
      <c r="G246" t="inlineStr">
        <is>
          <t>Echo</t>
        </is>
      </c>
      <c r="H246" t="inlineStr">
        <is>
          <t>findings</t>
        </is>
      </c>
      <c r="I246" t="inlineStr">
        <is>
          <t>Trace AR.</t>
        </is>
      </c>
    </row>
    <row r="247">
      <c r="A247" t="inlineStr">
        <is>
          <t>99217-findings-7-0</t>
        </is>
      </c>
      <c r="B247" t="inlineStr"/>
      <c r="C247" t="inlineStr"/>
      <c r="D247">
        <f>HYPERLINK("http://nlpdeep.cs.uic.edu:8080/proofing/t5/99217-findings-7-0.pdf","t5/99217-findings-7-0.pdf")</f>
        <v/>
      </c>
      <c r="E247" t="n">
        <v>118760</v>
      </c>
      <c r="F247" t="n">
        <v>99217</v>
      </c>
      <c r="G247" t="inlineStr">
        <is>
          <t>Echo</t>
        </is>
      </c>
      <c r="H247" t="inlineStr">
        <is>
          <t>findings</t>
        </is>
      </c>
      <c r="I247" t="inlineStr">
        <is>
          <t xml:space="preserve">
MITRAL VALVE: Mildly thickened mitral valve leaflets.</t>
        </is>
      </c>
    </row>
    <row r="248">
      <c r="A248" t="inlineStr">
        <is>
          <t>99217-findings-7-0</t>
        </is>
      </c>
      <c r="B248" t="inlineStr"/>
      <c r="C248" t="inlineStr"/>
      <c r="D248">
        <f>HYPERLINK("http://nlpdeep.cs.uic.edu:8080/proofing/gsii/99217-findings-7-0.pdf","gsii/99217-findings-7-0.pdf")</f>
        <v/>
      </c>
      <c r="E248" t="n">
        <v>118760</v>
      </c>
      <c r="F248" t="n">
        <v>99217</v>
      </c>
      <c r="G248" t="inlineStr">
        <is>
          <t>Echo</t>
        </is>
      </c>
      <c r="H248" t="inlineStr">
        <is>
          <t>findings</t>
        </is>
      </c>
      <c r="I248" t="inlineStr">
        <is>
          <t xml:space="preserve">
MITRAL VALVE: Mildly thickened mitral valve leaflets.</t>
        </is>
      </c>
    </row>
    <row r="249">
      <c r="A249" t="inlineStr">
        <is>
          <t>99217-findings-7-1</t>
        </is>
      </c>
      <c r="B249" t="inlineStr"/>
      <c r="C249" t="inlineStr"/>
      <c r="D249">
        <f>HYPERLINK("http://nlpdeep.cs.uic.edu:8080/proofing/t5/99217-findings-7-1.pdf","t5/99217-findings-7-1.pdf")</f>
        <v/>
      </c>
      <c r="E249" t="n">
        <v>118760</v>
      </c>
      <c r="F249" t="n">
        <v>99217</v>
      </c>
      <c r="G249" t="inlineStr">
        <is>
          <t>Echo</t>
        </is>
      </c>
      <c r="H249" t="inlineStr">
        <is>
          <t>findings</t>
        </is>
      </c>
      <c r="I249" t="inlineStr">
        <is>
          <t>No MVP.</t>
        </is>
      </c>
    </row>
    <row r="250">
      <c r="A250" t="inlineStr">
        <is>
          <t>99217-findings-7-1</t>
        </is>
      </c>
      <c r="B250" t="inlineStr"/>
      <c r="C250" t="inlineStr"/>
      <c r="D250">
        <f>HYPERLINK("http://nlpdeep.cs.uic.edu:8080/proofing/gsii/99217-findings-7-1.pdf","gsii/99217-findings-7-1.pdf")</f>
        <v/>
      </c>
      <c r="E250" t="n">
        <v>118760</v>
      </c>
      <c r="F250" t="n">
        <v>99217</v>
      </c>
      <c r="G250" t="inlineStr">
        <is>
          <t>Echo</t>
        </is>
      </c>
      <c r="H250" t="inlineStr">
        <is>
          <t>findings</t>
        </is>
      </c>
      <c r="I250" t="inlineStr">
        <is>
          <t>No MVP.</t>
        </is>
      </c>
    </row>
    <row r="251">
      <c r="A251" t="inlineStr">
        <is>
          <t>99217-findings-7-2</t>
        </is>
      </c>
      <c r="B251" t="inlineStr"/>
      <c r="C251" t="inlineStr"/>
      <c r="D251">
        <f>HYPERLINK("http://nlpdeep.cs.uic.edu:8080/proofing/t5/99217-findings-7-2.pdf","t5/99217-findings-7-2.pdf")</f>
        <v/>
      </c>
      <c r="E251" t="n">
        <v>118760</v>
      </c>
      <c r="F251" t="n">
        <v>99217</v>
      </c>
      <c r="G251" t="inlineStr">
        <is>
          <t>Echo</t>
        </is>
      </c>
      <c r="H251" t="inlineStr">
        <is>
          <t>findings</t>
        </is>
      </c>
      <c r="I251" t="inlineStr">
        <is>
          <t>Moderate mitral
annular calcification.</t>
        </is>
      </c>
    </row>
    <row r="252">
      <c r="A252" t="inlineStr">
        <is>
          <t>99217-findings-7-2</t>
        </is>
      </c>
      <c r="B252" t="inlineStr"/>
      <c r="C252" t="inlineStr"/>
      <c r="D252">
        <f>HYPERLINK("http://nlpdeep.cs.uic.edu:8080/proofing/gsii/99217-findings-7-2.pdf","gsii/99217-findings-7-2.pdf")</f>
        <v/>
      </c>
      <c r="E252" t="n">
        <v>118760</v>
      </c>
      <c r="F252" t="n">
        <v>99217</v>
      </c>
      <c r="G252" t="inlineStr">
        <is>
          <t>Echo</t>
        </is>
      </c>
      <c r="H252" t="inlineStr">
        <is>
          <t>findings</t>
        </is>
      </c>
      <c r="I252" t="inlineStr">
        <is>
          <t>Moderate mitral
annular calcification.</t>
        </is>
      </c>
    </row>
    <row r="253">
      <c r="A253" t="inlineStr">
        <is>
          <t>99217-findings-7-3</t>
        </is>
      </c>
      <c r="B253" t="inlineStr"/>
      <c r="C253" t="inlineStr"/>
      <c r="D253">
        <f>HYPERLINK("http://nlpdeep.cs.uic.edu:8080/proofing/t5/99217-findings-7-3.pdf","t5/99217-findings-7-3.pdf")</f>
        <v/>
      </c>
      <c r="E253" t="n">
        <v>118760</v>
      </c>
      <c r="F253" t="n">
        <v>99217</v>
      </c>
      <c r="G253" t="inlineStr">
        <is>
          <t>Echo</t>
        </is>
      </c>
      <c r="H253" t="inlineStr">
        <is>
          <t>findings</t>
        </is>
      </c>
      <c r="I253" t="inlineStr">
        <is>
          <t>Mild thickening of mitral valve chordae.</t>
        </is>
      </c>
    </row>
    <row r="254">
      <c r="A254" t="inlineStr">
        <is>
          <t>99217-findings-7-3</t>
        </is>
      </c>
      <c r="B254" t="inlineStr"/>
      <c r="C254" t="inlineStr"/>
      <c r="D254">
        <f>HYPERLINK("http://nlpdeep.cs.uic.edu:8080/proofing/gsii/99217-findings-7-3.pdf","gsii/99217-findings-7-3.pdf")</f>
        <v/>
      </c>
      <c r="E254" t="n">
        <v>118760</v>
      </c>
      <c r="F254" t="n">
        <v>99217</v>
      </c>
      <c r="G254" t="inlineStr">
        <is>
          <t>Echo</t>
        </is>
      </c>
      <c r="H254" t="inlineStr">
        <is>
          <t>findings</t>
        </is>
      </c>
      <c r="I254" t="inlineStr">
        <is>
          <t>Mild thickening of mitral valve chordae.</t>
        </is>
      </c>
    </row>
    <row r="255">
      <c r="A255" t="inlineStr">
        <is>
          <t>99217-findings-7-4</t>
        </is>
      </c>
      <c r="B255" t="inlineStr"/>
      <c r="C255" t="inlineStr"/>
      <c r="D255">
        <f>HYPERLINK("http://nlpdeep.cs.uic.edu:8080/proofing/t5/99217-findings-7-4.pdf","t5/99217-findings-7-4.pdf")</f>
        <v/>
      </c>
      <c r="E255" t="n">
        <v>118760</v>
      </c>
      <c r="F255" t="n">
        <v>99217</v>
      </c>
      <c r="G255" t="inlineStr">
        <is>
          <t>Echo</t>
        </is>
      </c>
      <c r="H255" t="inlineStr">
        <is>
          <t>findings</t>
        </is>
      </c>
      <c r="I255" t="inlineStr">
        <is>
          <t>Calcified tips
of papillary muscles.</t>
        </is>
      </c>
    </row>
    <row r="256">
      <c r="A256" t="inlineStr">
        <is>
          <t>99217-findings-7-4</t>
        </is>
      </c>
      <c r="B256" t="inlineStr"/>
      <c r="C256" t="inlineStr"/>
      <c r="D256">
        <f>HYPERLINK("http://nlpdeep.cs.uic.edu:8080/proofing/gsii/99217-findings-7-4.pdf","gsii/99217-findings-7-4.pdf")</f>
        <v/>
      </c>
      <c r="E256" t="n">
        <v>118760</v>
      </c>
      <c r="F256" t="n">
        <v>99217</v>
      </c>
      <c r="G256" t="inlineStr">
        <is>
          <t>Echo</t>
        </is>
      </c>
      <c r="H256" t="inlineStr">
        <is>
          <t>findings</t>
        </is>
      </c>
      <c r="I256" t="inlineStr">
        <is>
          <t>Calcified tips
of papillary muscles.</t>
        </is>
      </c>
    </row>
    <row r="257">
      <c r="A257" t="inlineStr">
        <is>
          <t>99217-findings-7-5</t>
        </is>
      </c>
      <c r="B257" t="inlineStr"/>
      <c r="C257" t="inlineStr"/>
      <c r="D257">
        <f>HYPERLINK("http://nlpdeep.cs.uic.edu:8080/proofing/t5/99217-findings-7-5.pdf","t5/99217-findings-7-5.pdf")</f>
        <v/>
      </c>
      <c r="E257" t="n">
        <v>118760</v>
      </c>
      <c r="F257" t="n">
        <v>99217</v>
      </c>
      <c r="G257" t="inlineStr">
        <is>
          <t>Echo</t>
        </is>
      </c>
      <c r="H257" t="inlineStr">
        <is>
          <t>findings</t>
        </is>
      </c>
      <c r="I257" t="inlineStr">
        <is>
          <t>Mild (1+) MR. [Due to acoustic shadowing, the severity
of MR may be significantly UNDERestimated.]</t>
        </is>
      </c>
    </row>
    <row r="258">
      <c r="A258" t="inlineStr">
        <is>
          <t>99217-findings-7-5</t>
        </is>
      </c>
      <c r="B258" t="inlineStr"/>
      <c r="C258" t="inlineStr"/>
      <c r="D258">
        <f>HYPERLINK("http://nlpdeep.cs.uic.edu:8080/proofing/gsii/99217-findings-7-5.pdf","gsii/99217-findings-7-5.pdf")</f>
        <v/>
      </c>
      <c r="E258" t="n">
        <v>118760</v>
      </c>
      <c r="F258" t="n">
        <v>99217</v>
      </c>
      <c r="G258" t="inlineStr">
        <is>
          <t>Echo</t>
        </is>
      </c>
      <c r="H258" t="inlineStr">
        <is>
          <t>findings</t>
        </is>
      </c>
      <c r="I258" t="inlineStr">
        <is>
          <t>Mild (1+) MR. [Due to acoustic shadowing, the severity
of MR may be significantly UNDERestimated.]</t>
        </is>
      </c>
    </row>
    <row r="259">
      <c r="A259" t="inlineStr">
        <is>
          <t>99217-findings-7-6</t>
        </is>
      </c>
      <c r="B259" t="inlineStr"/>
      <c r="C259" t="inlineStr"/>
      <c r="D259">
        <f>HYPERLINK("http://nlpdeep.cs.uic.edu:8080/proofing/t5/99217-findings-7-6.pdf","t5/99217-findings-7-6.pdf")</f>
        <v/>
      </c>
      <c r="E259" t="n">
        <v>118760</v>
      </c>
      <c r="F259" t="n">
        <v>99217</v>
      </c>
      <c r="G259" t="inlineStr">
        <is>
          <t>Echo</t>
        </is>
      </c>
      <c r="H259" t="inlineStr">
        <is>
          <t>findings</t>
        </is>
      </c>
      <c r="I259" t="inlineStr">
        <is>
          <t>Prolonged (&gt;250ms) transmitral
E-wave decel time.</t>
        </is>
      </c>
    </row>
    <row r="260">
      <c r="A260" t="inlineStr">
        <is>
          <t>99217-findings-7-6</t>
        </is>
      </c>
      <c r="B260" t="inlineStr"/>
      <c r="C260" t="inlineStr"/>
      <c r="D260">
        <f>HYPERLINK("http://nlpdeep.cs.uic.edu:8080/proofing/gsii/99217-findings-7-6.pdf","gsii/99217-findings-7-6.pdf")</f>
        <v/>
      </c>
      <c r="E260" t="n">
        <v>118760</v>
      </c>
      <c r="F260" t="n">
        <v>99217</v>
      </c>
      <c r="G260" t="inlineStr">
        <is>
          <t>Echo</t>
        </is>
      </c>
      <c r="H260" t="inlineStr">
        <is>
          <t>findings</t>
        </is>
      </c>
      <c r="I260" t="inlineStr">
        <is>
          <t>Prolonged (&gt;250ms) transmitral
E-wave decel time.</t>
        </is>
      </c>
    </row>
    <row r="261">
      <c r="A261" t="inlineStr">
        <is>
          <t>99217-findings-7-7</t>
        </is>
      </c>
      <c r="B261" t="inlineStr"/>
      <c r="C261" t="inlineStr"/>
      <c r="D261">
        <f>HYPERLINK("http://nlpdeep.cs.uic.edu:8080/proofing/t5/99217-findings-7-7.pdf","t5/99217-findings-7-7.pdf")</f>
        <v/>
      </c>
      <c r="E261" t="n">
        <v>118760</v>
      </c>
      <c r="F261" t="n">
        <v>99217</v>
      </c>
      <c r="G261" t="inlineStr">
        <is>
          <t>Echo</t>
        </is>
      </c>
      <c r="H261" t="inlineStr">
        <is>
          <t>findings</t>
        </is>
      </c>
      <c r="I261" t="inlineStr">
        <is>
          <t>LV inflow pattern c/w impaired relaxation.</t>
        </is>
      </c>
    </row>
    <row r="262">
      <c r="A262" t="inlineStr">
        <is>
          <t>99217-findings-7-7</t>
        </is>
      </c>
      <c r="B262" t="inlineStr"/>
      <c r="C262" t="inlineStr"/>
      <c r="D262">
        <f>HYPERLINK("http://nlpdeep.cs.uic.edu:8080/proofing/gsii/99217-findings-7-7.pdf","gsii/99217-findings-7-7.pdf")</f>
        <v/>
      </c>
      <c r="E262" t="n">
        <v>118760</v>
      </c>
      <c r="F262" t="n">
        <v>99217</v>
      </c>
      <c r="G262" t="inlineStr">
        <is>
          <t>Echo</t>
        </is>
      </c>
      <c r="H262" t="inlineStr">
        <is>
          <t>findings</t>
        </is>
      </c>
      <c r="I262" t="inlineStr">
        <is>
          <t>LV inflow pattern c/w impaired relaxation.</t>
        </is>
      </c>
    </row>
    <row r="263">
      <c r="A263" t="inlineStr">
        <is>
          <t>99217-findings-8-0</t>
        </is>
      </c>
      <c r="B263" t="inlineStr"/>
      <c r="C263" t="inlineStr"/>
      <c r="D263">
        <f>HYPERLINK("http://nlpdeep.cs.uic.edu:8080/proofing/t5/99217-findings-8-0.pdf","t5/99217-findings-8-0.pdf")</f>
        <v/>
      </c>
      <c r="E263" t="n">
        <v>118760</v>
      </c>
      <c r="F263" t="n">
        <v>99217</v>
      </c>
      <c r="G263" t="inlineStr">
        <is>
          <t>Echo</t>
        </is>
      </c>
      <c r="H263" t="inlineStr">
        <is>
          <t>findings</t>
        </is>
      </c>
      <c r="I263" t="inlineStr">
        <is>
          <t xml:space="preserve">
TRICUSPID VALVE: Mildly thickened tricuspid valve leaflets.</t>
        </is>
      </c>
    </row>
    <row r="264">
      <c r="A264" t="inlineStr">
        <is>
          <t>99217-findings-8-0</t>
        </is>
      </c>
      <c r="B264" t="inlineStr"/>
      <c r="C264" t="inlineStr"/>
      <c r="D264">
        <f>HYPERLINK("http://nlpdeep.cs.uic.edu:8080/proofing/gsii/99217-findings-8-0.pdf","gsii/99217-findings-8-0.pdf")</f>
        <v/>
      </c>
      <c r="E264" t="n">
        <v>118760</v>
      </c>
      <c r="F264" t="n">
        <v>99217</v>
      </c>
      <c r="G264" t="inlineStr">
        <is>
          <t>Echo</t>
        </is>
      </c>
      <c r="H264" t="inlineStr">
        <is>
          <t>findings</t>
        </is>
      </c>
      <c r="I264" t="inlineStr">
        <is>
          <t xml:space="preserve">
TRICUSPID VALVE: Mildly thickened tricuspid valve leaflets.</t>
        </is>
      </c>
    </row>
    <row r="265">
      <c r="A265" t="inlineStr">
        <is>
          <t>99217-findings-8-1</t>
        </is>
      </c>
      <c r="B265" t="inlineStr"/>
      <c r="C265" t="inlineStr"/>
      <c r="D265">
        <f>HYPERLINK("http://nlpdeep.cs.uic.edu:8080/proofing/t5/99217-findings-8-1.pdf","t5/99217-findings-8-1.pdf")</f>
        <v/>
      </c>
      <c r="E265" t="n">
        <v>118760</v>
      </c>
      <c r="F265" t="n">
        <v>99217</v>
      </c>
      <c r="G265" t="inlineStr">
        <is>
          <t>Echo</t>
        </is>
      </c>
      <c r="H265" t="inlineStr">
        <is>
          <t>findings</t>
        </is>
      </c>
      <c r="I265" t="inlineStr">
        <is>
          <t>Normal tricuspid
valve supporting structures.</t>
        </is>
      </c>
    </row>
    <row r="266">
      <c r="A266" t="inlineStr">
        <is>
          <t>99217-findings-8-1</t>
        </is>
      </c>
      <c r="B266" t="inlineStr"/>
      <c r="C266" t="inlineStr"/>
      <c r="D266">
        <f>HYPERLINK("http://nlpdeep.cs.uic.edu:8080/proofing/gsii/99217-findings-8-1.pdf","gsii/99217-findings-8-1.pdf")</f>
        <v/>
      </c>
      <c r="E266" t="n">
        <v>118760</v>
      </c>
      <c r="F266" t="n">
        <v>99217</v>
      </c>
      <c r="G266" t="inlineStr">
        <is>
          <t>Echo</t>
        </is>
      </c>
      <c r="H266" t="inlineStr">
        <is>
          <t>findings</t>
        </is>
      </c>
      <c r="I266" t="inlineStr">
        <is>
          <t>Normal tricuspid
valve supporting structures.</t>
        </is>
      </c>
    </row>
    <row r="267">
      <c r="A267" t="inlineStr">
        <is>
          <t>99217-findings-8-2</t>
        </is>
      </c>
      <c r="B267" t="inlineStr"/>
      <c r="C267" t="inlineStr"/>
      <c r="D267">
        <f>HYPERLINK("http://nlpdeep.cs.uic.edu:8080/proofing/t5/99217-findings-8-2.pdf","t5/99217-findings-8-2.pdf")</f>
        <v/>
      </c>
      <c r="E267" t="n">
        <v>118760</v>
      </c>
      <c r="F267" t="n">
        <v>99217</v>
      </c>
      <c r="G267" t="inlineStr">
        <is>
          <t>Echo</t>
        </is>
      </c>
      <c r="H267" t="inlineStr">
        <is>
          <t>findings</t>
        </is>
      </c>
      <c r="I267" t="inlineStr">
        <is>
          <t>No TS.</t>
        </is>
      </c>
    </row>
    <row r="268">
      <c r="A268" t="inlineStr">
        <is>
          <t>99217-findings-8-2</t>
        </is>
      </c>
      <c r="B268" t="inlineStr"/>
      <c r="C268" t="inlineStr"/>
      <c r="D268">
        <f>HYPERLINK("http://nlpdeep.cs.uic.edu:8080/proofing/gsii/99217-findings-8-2.pdf","gsii/99217-findings-8-2.pdf")</f>
        <v/>
      </c>
      <c r="E268" t="n">
        <v>118760</v>
      </c>
      <c r="F268" t="n">
        <v>99217</v>
      </c>
      <c r="G268" t="inlineStr">
        <is>
          <t>Echo</t>
        </is>
      </c>
      <c r="H268" t="inlineStr">
        <is>
          <t>findings</t>
        </is>
      </c>
      <c r="I268" t="inlineStr">
        <is>
          <t>No TS.</t>
        </is>
      </c>
    </row>
    <row r="269">
      <c r="A269" t="inlineStr">
        <is>
          <t>99217-findings-8-3</t>
        </is>
      </c>
      <c r="B269" t="inlineStr"/>
      <c r="C269" t="inlineStr"/>
      <c r="D269">
        <f>HYPERLINK("http://nlpdeep.cs.uic.edu:8080/proofing/t5/99217-findings-8-3.pdf","t5/99217-findings-8-3.pdf")</f>
        <v/>
      </c>
      <c r="E269" t="n">
        <v>118760</v>
      </c>
      <c r="F269" t="n">
        <v>99217</v>
      </c>
      <c r="G269" t="inlineStr">
        <is>
          <t>Echo</t>
        </is>
      </c>
      <c r="H269" t="inlineStr">
        <is>
          <t>findings</t>
        </is>
      </c>
      <c r="I269" t="inlineStr">
        <is>
          <t>Physiologic TR.</t>
        </is>
      </c>
    </row>
    <row r="270">
      <c r="A270" t="inlineStr">
        <is>
          <t>99217-findings-8-3</t>
        </is>
      </c>
      <c r="B270" t="inlineStr"/>
      <c r="C270" t="inlineStr"/>
      <c r="D270">
        <f>HYPERLINK("http://nlpdeep.cs.uic.edu:8080/proofing/gsii/99217-findings-8-3.pdf","gsii/99217-findings-8-3.pdf")</f>
        <v/>
      </c>
      <c r="E270" t="n">
        <v>118760</v>
      </c>
      <c r="F270" t="n">
        <v>99217</v>
      </c>
      <c r="G270" t="inlineStr">
        <is>
          <t>Echo</t>
        </is>
      </c>
      <c r="H270" t="inlineStr">
        <is>
          <t>findings</t>
        </is>
      </c>
      <c r="I270" t="inlineStr">
        <is>
          <t>Physiologic TR.</t>
        </is>
      </c>
    </row>
    <row r="271">
      <c r="A271" t="inlineStr">
        <is>
          <t>99217-findings-8-4</t>
        </is>
      </c>
      <c r="B271" t="inlineStr"/>
      <c r="C271" t="inlineStr"/>
      <c r="D271">
        <f>HYPERLINK("http://nlpdeep.cs.uic.edu:8080/proofing/t5/99217-findings-8-4.pdf","t5/99217-findings-8-4.pdf")</f>
        <v/>
      </c>
      <c r="E271" t="n">
        <v>118760</v>
      </c>
      <c r="F271" t="n">
        <v>99217</v>
      </c>
      <c r="G271" t="inlineStr">
        <is>
          <t>Echo</t>
        </is>
      </c>
      <c r="H271" t="inlineStr">
        <is>
          <t>findings</t>
        </is>
      </c>
      <c r="I271" t="inlineStr">
        <is>
          <t>Mild PA systolic
hypertension.</t>
        </is>
      </c>
    </row>
    <row r="272">
      <c r="A272" t="inlineStr">
        <is>
          <t>99217-findings-8-4</t>
        </is>
      </c>
      <c r="B272" t="inlineStr"/>
      <c r="C272" t="inlineStr"/>
      <c r="D272">
        <f>HYPERLINK("http://nlpdeep.cs.uic.edu:8080/proofing/gsii/99217-findings-8-4.pdf","gsii/99217-findings-8-4.pdf")</f>
        <v/>
      </c>
      <c r="E272" t="n">
        <v>118760</v>
      </c>
      <c r="F272" t="n">
        <v>99217</v>
      </c>
      <c r="G272" t="inlineStr">
        <is>
          <t>Echo</t>
        </is>
      </c>
      <c r="H272" t="inlineStr">
        <is>
          <t>findings</t>
        </is>
      </c>
      <c r="I272" t="inlineStr">
        <is>
          <t>Mild PA systolic
hypertension.</t>
        </is>
      </c>
    </row>
    <row r="273">
      <c r="A273" t="inlineStr">
        <is>
          <t>99217-findings-9-0</t>
        </is>
      </c>
      <c r="B273" t="inlineStr"/>
      <c r="C273" t="inlineStr"/>
      <c r="D273">
        <f>HYPERLINK("http://nlpdeep.cs.uic.edu:8080/proofing/t5/99217-findings-9-0.pdf","t5/99217-findings-9-0.pdf")</f>
        <v/>
      </c>
      <c r="E273" t="n">
        <v>118760</v>
      </c>
      <c r="F273" t="n">
        <v>99217</v>
      </c>
      <c r="G273" t="inlineStr">
        <is>
          <t>Echo</t>
        </is>
      </c>
      <c r="H273" t="inlineStr">
        <is>
          <t>findings</t>
        </is>
      </c>
      <c r="I273" t="inlineStr">
        <is>
          <t xml:space="preserve">
PULMONIC VALVE/PULMONARY ARTERY: Normal pulmonic valve leaflet.</t>
        </is>
      </c>
    </row>
    <row r="274">
      <c r="A274" t="inlineStr">
        <is>
          <t>99217-findings-9-0</t>
        </is>
      </c>
      <c r="B274" t="inlineStr"/>
      <c r="C274" t="inlineStr"/>
      <c r="D274">
        <f>HYPERLINK("http://nlpdeep.cs.uic.edu:8080/proofing/gsii/99217-findings-9-0.pdf","gsii/99217-findings-9-0.pdf")</f>
        <v/>
      </c>
      <c r="E274" t="n">
        <v>118760</v>
      </c>
      <c r="F274" t="n">
        <v>99217</v>
      </c>
      <c r="G274" t="inlineStr">
        <is>
          <t>Echo</t>
        </is>
      </c>
      <c r="H274" t="inlineStr">
        <is>
          <t>findings</t>
        </is>
      </c>
      <c r="I274" t="inlineStr">
        <is>
          <t xml:space="preserve">
PULMONIC VALVE/PULMONARY ARTERY: Normal pulmonic valve leaflet.</t>
        </is>
      </c>
    </row>
    <row r="275">
      <c r="A275" t="inlineStr">
        <is>
          <t>99217-findings-9-1</t>
        </is>
      </c>
      <c r="B275" t="inlineStr"/>
      <c r="C275" t="inlineStr"/>
      <c r="D275">
        <f>HYPERLINK("http://nlpdeep.cs.uic.edu:8080/proofing/t5/99217-findings-9-1.pdf","t5/99217-findings-9-1.pdf")</f>
        <v/>
      </c>
      <c r="E275" t="n">
        <v>118760</v>
      </c>
      <c r="F275" t="n">
        <v>99217</v>
      </c>
      <c r="G275" t="inlineStr">
        <is>
          <t>Echo</t>
        </is>
      </c>
      <c r="H275" t="inlineStr">
        <is>
          <t>findings</t>
        </is>
      </c>
      <c r="I275" t="inlineStr">
        <is>
          <t>No PS.</t>
        </is>
      </c>
    </row>
    <row r="276">
      <c r="A276" t="inlineStr">
        <is>
          <t>99217-findings-9-1</t>
        </is>
      </c>
      <c r="B276" t="inlineStr"/>
      <c r="C276" t="inlineStr"/>
      <c r="D276">
        <f>HYPERLINK("http://nlpdeep.cs.uic.edu:8080/proofing/gsii/99217-findings-9-1.pdf","gsii/99217-findings-9-1.pdf")</f>
        <v/>
      </c>
      <c r="E276" t="n">
        <v>118760</v>
      </c>
      <c r="F276" t="n">
        <v>99217</v>
      </c>
      <c r="G276" t="inlineStr">
        <is>
          <t>Echo</t>
        </is>
      </c>
      <c r="H276" t="inlineStr">
        <is>
          <t>findings</t>
        </is>
      </c>
      <c r="I276" t="inlineStr">
        <is>
          <t>No PS.</t>
        </is>
      </c>
    </row>
    <row r="277">
      <c r="A277" t="inlineStr">
        <is>
          <t>99217-findings-9-2</t>
        </is>
      </c>
      <c r="B277" t="inlineStr"/>
      <c r="C277" t="inlineStr"/>
      <c r="D277">
        <f>HYPERLINK("http://nlpdeep.cs.uic.edu:8080/proofing/t5/99217-findings-9-2.pdf","t5/99217-findings-9-2.pdf")</f>
        <v/>
      </c>
      <c r="E277" t="n">
        <v>118760</v>
      </c>
      <c r="F277" t="n">
        <v>99217</v>
      </c>
      <c r="G277" t="inlineStr">
        <is>
          <t>Echo</t>
        </is>
      </c>
      <c r="H277" t="inlineStr">
        <is>
          <t>findings</t>
        </is>
      </c>
      <c r="I277" t="inlineStr">
        <is>
          <t xml:space="preserve">
Physiologic PR.</t>
        </is>
      </c>
    </row>
    <row r="278">
      <c r="A278" t="inlineStr">
        <is>
          <t>99217-findings-9-2</t>
        </is>
      </c>
      <c r="B278" t="inlineStr"/>
      <c r="C278" t="inlineStr"/>
      <c r="D278">
        <f>HYPERLINK("http://nlpdeep.cs.uic.edu:8080/proofing/gsii/99217-findings-9-2.pdf","gsii/99217-findings-9-2.pdf")</f>
        <v/>
      </c>
      <c r="E278" t="n">
        <v>118760</v>
      </c>
      <c r="F278" t="n">
        <v>99217</v>
      </c>
      <c r="G278" t="inlineStr">
        <is>
          <t>Echo</t>
        </is>
      </c>
      <c r="H278" t="inlineStr">
        <is>
          <t>findings</t>
        </is>
      </c>
      <c r="I278" t="inlineStr">
        <is>
          <t xml:space="preserve">
Physiologic PR.</t>
        </is>
      </c>
    </row>
    <row r="279">
      <c r="A279" t="inlineStr">
        <is>
          <t>99217-findings-9-3</t>
        </is>
      </c>
      <c r="B279" t="inlineStr"/>
      <c r="C279" t="inlineStr"/>
      <c r="D279">
        <f>HYPERLINK("http://nlpdeep.cs.uic.edu:8080/proofing/t5/99217-findings-9-3.pdf","t5/99217-findings-9-3.pdf")</f>
        <v/>
      </c>
      <c r="E279" t="n">
        <v>118760</v>
      </c>
      <c r="F279" t="n">
        <v>99217</v>
      </c>
      <c r="G279" t="inlineStr">
        <is>
          <t>Echo</t>
        </is>
      </c>
      <c r="H279" t="inlineStr">
        <is>
          <t>findings</t>
        </is>
      </c>
      <c r="I279" t="inlineStr">
        <is>
          <t>Normal main PA.</t>
        </is>
      </c>
    </row>
    <row r="280">
      <c r="A280" t="inlineStr">
        <is>
          <t>99217-findings-9-3</t>
        </is>
      </c>
      <c r="B280" t="inlineStr"/>
      <c r="C280" t="inlineStr"/>
      <c r="D280">
        <f>HYPERLINK("http://nlpdeep.cs.uic.edu:8080/proofing/gsii/99217-findings-9-3.pdf","gsii/99217-findings-9-3.pdf")</f>
        <v/>
      </c>
      <c r="E280" t="n">
        <v>118760</v>
      </c>
      <c r="F280" t="n">
        <v>99217</v>
      </c>
      <c r="G280" t="inlineStr">
        <is>
          <t>Echo</t>
        </is>
      </c>
      <c r="H280" t="inlineStr">
        <is>
          <t>findings</t>
        </is>
      </c>
      <c r="I280" t="inlineStr">
        <is>
          <t>Normal main PA.</t>
        </is>
      </c>
    </row>
    <row r="281">
      <c r="A281" t="inlineStr">
        <is>
          <t>99217-findings-9-4</t>
        </is>
      </c>
      <c r="B281" t="inlineStr"/>
      <c r="C281" t="inlineStr"/>
      <c r="D281">
        <f>HYPERLINK("http://nlpdeep.cs.uic.edu:8080/proofing/t5/99217-findings-9-4.pdf","t5/99217-findings-9-4.pdf")</f>
        <v/>
      </c>
      <c r="E281" t="n">
        <v>118760</v>
      </c>
      <c r="F281" t="n">
        <v>99217</v>
      </c>
      <c r="G281" t="inlineStr">
        <is>
          <t>Echo</t>
        </is>
      </c>
      <c r="H281" t="inlineStr">
        <is>
          <t>findings</t>
        </is>
      </c>
      <c r="I281" t="inlineStr"/>
    </row>
    <row r="282">
      <c r="A282" t="inlineStr">
        <is>
          <t>99217-findings-9-4</t>
        </is>
      </c>
      <c r="B282" t="inlineStr"/>
      <c r="C282" t="inlineStr"/>
      <c r="D282">
        <f>HYPERLINK("http://nlpdeep.cs.uic.edu:8080/proofing/gsii/99217-findings-9-4.pdf","gsii/99217-findings-9-4.pdf")</f>
        <v/>
      </c>
      <c r="E282" t="n">
        <v>118760</v>
      </c>
      <c r="F282" t="n">
        <v>99217</v>
      </c>
      <c r="G282" t="inlineStr">
        <is>
          <t>Echo</t>
        </is>
      </c>
      <c r="H282" t="inlineStr">
        <is>
          <t>findings</t>
        </is>
      </c>
      <c r="I282" t="inlineStr"/>
    </row>
    <row r="283">
      <c r="A283" t="inlineStr">
        <is>
          <t>99217-findings-10-0</t>
        </is>
      </c>
      <c r="B283" t="inlineStr"/>
      <c r="C283" t="inlineStr"/>
      <c r="D283">
        <f>HYPERLINK("http://nlpdeep.cs.uic.edu:8080/proofing/t5/99217-findings-10-0.pdf","t5/99217-findings-10-0.pdf")</f>
        <v/>
      </c>
      <c r="E283" t="n">
        <v>118760</v>
      </c>
      <c r="F283" t="n">
        <v>99217</v>
      </c>
      <c r="G283" t="inlineStr">
        <is>
          <t>Echo</t>
        </is>
      </c>
      <c r="H283" t="inlineStr">
        <is>
          <t>findings</t>
        </is>
      </c>
      <c r="I283" t="inlineStr"/>
    </row>
    <row r="284">
      <c r="A284" t="inlineStr">
        <is>
          <t>99217-findings-10-0</t>
        </is>
      </c>
      <c r="B284" t="inlineStr"/>
      <c r="C284" t="inlineStr"/>
      <c r="D284">
        <f>HYPERLINK("http://nlpdeep.cs.uic.edu:8080/proofing/gsii/99217-findings-10-0.pdf","gsii/99217-findings-10-0.pdf")</f>
        <v/>
      </c>
      <c r="E284" t="n">
        <v>118760</v>
      </c>
      <c r="F284" t="n">
        <v>99217</v>
      </c>
      <c r="G284" t="inlineStr">
        <is>
          <t>Echo</t>
        </is>
      </c>
      <c r="H284" t="inlineStr">
        <is>
          <t>findings</t>
        </is>
      </c>
      <c r="I284" t="inlineStr"/>
    </row>
    <row r="285">
      <c r="A285" t="inlineStr">
        <is>
          <t>99217-findings-11-0</t>
        </is>
      </c>
      <c r="B285" t="inlineStr"/>
      <c r="C285" t="inlineStr"/>
      <c r="D285">
        <f>HYPERLINK("http://nlpdeep.cs.uic.edu:8080/proofing/t5/99217-findings-11-0.pdf","t5/99217-findings-11-0.pdf")</f>
        <v/>
      </c>
      <c r="E285" t="n">
        <v>118760</v>
      </c>
      <c r="F285" t="n">
        <v>99217</v>
      </c>
      <c r="G285" t="inlineStr">
        <is>
          <t>Echo</t>
        </is>
      </c>
      <c r="H285" t="inlineStr">
        <is>
          <t>findings</t>
        </is>
      </c>
      <c r="I285" t="inlineStr">
        <is>
          <t xml:space="preserve">
GENERAL COMMENTS: Suboptimal image quality - poor echo windows.</t>
        </is>
      </c>
    </row>
    <row r="286">
      <c r="A286" t="inlineStr">
        <is>
          <t>99217-findings-11-0</t>
        </is>
      </c>
      <c r="B286" t="inlineStr"/>
      <c r="C286" t="inlineStr"/>
      <c r="D286">
        <f>HYPERLINK("http://nlpdeep.cs.uic.edu:8080/proofing/gsii/99217-findings-11-0.pdf","gsii/99217-findings-11-0.pdf")</f>
        <v/>
      </c>
      <c r="E286" t="n">
        <v>118760</v>
      </c>
      <c r="F286" t="n">
        <v>99217</v>
      </c>
      <c r="G286" t="inlineStr">
        <is>
          <t>Echo</t>
        </is>
      </c>
      <c r="H286" t="inlineStr">
        <is>
          <t>findings</t>
        </is>
      </c>
      <c r="I286" t="inlineStr">
        <is>
          <t xml:space="preserve">
GENERAL COMMENTS: Suboptimal image quality - poor echo windows.</t>
        </is>
      </c>
    </row>
    <row r="287">
      <c r="A287" t="inlineStr">
        <is>
          <t>99217-conclusions-0-0</t>
        </is>
      </c>
      <c r="B287" t="inlineStr"/>
      <c r="C287" t="inlineStr"/>
      <c r="D287">
        <f>HYPERLINK("http://nlpdeep.cs.uic.edu:8080/proofing/t5/99217-conclusions-0-0.pdf","t5/99217-conclusions-0-0.pdf")</f>
        <v/>
      </c>
      <c r="E287" t="n">
        <v>118760</v>
      </c>
      <c r="F287" t="n">
        <v>99217</v>
      </c>
      <c r="G287" t="inlineStr">
        <is>
          <t>Echo</t>
        </is>
      </c>
      <c r="H287" t="inlineStr">
        <is>
          <t>conclusions</t>
        </is>
      </c>
      <c r="I287" t="inlineStr">
        <is>
          <t>The left atrium is mildly dilated.</t>
        </is>
      </c>
    </row>
    <row r="288">
      <c r="A288" t="inlineStr">
        <is>
          <t>99217-conclusions-0-0</t>
        </is>
      </c>
      <c r="B288" t="inlineStr"/>
      <c r="C288" t="inlineStr"/>
      <c r="D288">
        <f>HYPERLINK("http://nlpdeep.cs.uic.edu:8080/proofing/gsii/99217-conclusions-0-0.pdf","gsii/99217-conclusions-0-0.pdf")</f>
        <v/>
      </c>
      <c r="E288" t="n">
        <v>118760</v>
      </c>
      <c r="F288" t="n">
        <v>99217</v>
      </c>
      <c r="G288" t="inlineStr">
        <is>
          <t>Echo</t>
        </is>
      </c>
      <c r="H288" t="inlineStr">
        <is>
          <t>conclusions</t>
        </is>
      </c>
      <c r="I288" t="inlineStr">
        <is>
          <t>The left atrium is mildly dilated.</t>
        </is>
      </c>
    </row>
    <row r="289">
      <c r="A289" t="inlineStr">
        <is>
          <t>99217-conclusions-0-1</t>
        </is>
      </c>
      <c r="B289" t="inlineStr"/>
      <c r="C289" t="inlineStr"/>
      <c r="D289">
        <f>HYPERLINK("http://nlpdeep.cs.uic.edu:8080/proofing/t5/99217-conclusions-0-1.pdf","t5/99217-conclusions-0-1.pdf")</f>
        <v/>
      </c>
      <c r="E289" t="n">
        <v>118760</v>
      </c>
      <c r="F289" t="n">
        <v>99217</v>
      </c>
      <c r="G289" t="inlineStr">
        <is>
          <t>Echo</t>
        </is>
      </c>
      <c r="H289" t="inlineStr">
        <is>
          <t>conclusions</t>
        </is>
      </c>
      <c r="I289" t="inlineStr">
        <is>
          <t>Left ventricular wall thicknesses are
normal.</t>
        </is>
      </c>
    </row>
    <row r="290">
      <c r="A290" t="inlineStr">
        <is>
          <t>99217-conclusions-0-1</t>
        </is>
      </c>
      <c r="B290" t="inlineStr"/>
      <c r="C290" t="inlineStr"/>
      <c r="D290">
        <f>HYPERLINK("http://nlpdeep.cs.uic.edu:8080/proofing/gsii/99217-conclusions-0-1.pdf","gsii/99217-conclusions-0-1.pdf")</f>
        <v/>
      </c>
      <c r="E290" t="n">
        <v>118760</v>
      </c>
      <c r="F290" t="n">
        <v>99217</v>
      </c>
      <c r="G290" t="inlineStr">
        <is>
          <t>Echo</t>
        </is>
      </c>
      <c r="H290" t="inlineStr">
        <is>
          <t>conclusions</t>
        </is>
      </c>
      <c r="I290" t="inlineStr">
        <is>
          <t>Left ventricular wall thicknesses are
normal.</t>
        </is>
      </c>
    </row>
    <row r="291">
      <c r="A291" t="inlineStr">
        <is>
          <t>99217-conclusions-0-2</t>
        </is>
      </c>
      <c r="B291" t="inlineStr"/>
      <c r="C291" t="inlineStr"/>
      <c r="D291">
        <f>HYPERLINK("http://nlpdeep.cs.uic.edu:8080/proofing/t5/99217-conclusions-0-2.pdf","t5/99217-conclusions-0-2.pdf")</f>
        <v/>
      </c>
      <c r="E291" t="n">
        <v>118760</v>
      </c>
      <c r="F291" t="n">
        <v>99217</v>
      </c>
      <c r="G291" t="inlineStr">
        <is>
          <t>Echo</t>
        </is>
      </c>
      <c r="H291" t="inlineStr">
        <is>
          <t>conclusions</t>
        </is>
      </c>
      <c r="I291" t="inlineStr">
        <is>
          <t>The left ventricular cavity size is normal.</t>
        </is>
      </c>
    </row>
    <row r="292">
      <c r="A292" t="inlineStr">
        <is>
          <t>99217-conclusions-0-2</t>
        </is>
      </c>
      <c r="B292" t="inlineStr"/>
      <c r="C292" t="inlineStr"/>
      <c r="D292">
        <f>HYPERLINK("http://nlpdeep.cs.uic.edu:8080/proofing/gsii/99217-conclusions-0-2.pdf","gsii/99217-conclusions-0-2.pdf")</f>
        <v/>
      </c>
      <c r="E292" t="n">
        <v>118760</v>
      </c>
      <c r="F292" t="n">
        <v>99217</v>
      </c>
      <c r="G292" t="inlineStr">
        <is>
          <t>Echo</t>
        </is>
      </c>
      <c r="H292" t="inlineStr">
        <is>
          <t>conclusions</t>
        </is>
      </c>
      <c r="I292" t="inlineStr">
        <is>
          <t>The left ventricular cavity size is normal.</t>
        </is>
      </c>
    </row>
    <row r="293">
      <c r="A293" t="inlineStr">
        <is>
          <t>99217-conclusions-0-3</t>
        </is>
      </c>
      <c r="B293" t="inlineStr"/>
      <c r="C293" t="inlineStr"/>
      <c r="D293">
        <f>HYPERLINK("http://nlpdeep.cs.uic.edu:8080/proofing/t5/99217-conclusions-0-3.pdf","t5/99217-conclusions-0-3.pdf")</f>
        <v/>
      </c>
      <c r="E293" t="n">
        <v>118760</v>
      </c>
      <c r="F293" t="n">
        <v>99217</v>
      </c>
      <c r="G293" t="inlineStr">
        <is>
          <t>Echo</t>
        </is>
      </c>
      <c r="H293" t="inlineStr">
        <is>
          <t>conclusions</t>
        </is>
      </c>
      <c r="I293" t="inlineStr">
        <is>
          <t>Overall left ventricular
systolic function is mildly depressed (LVEF= 40-50 %) secondary to hypokinesis
of the inferior and posterior walls.</t>
        </is>
      </c>
    </row>
    <row r="294">
      <c r="A294" t="inlineStr">
        <is>
          <t>99217-conclusions-0-3</t>
        </is>
      </c>
      <c r="B294" t="inlineStr"/>
      <c r="C294" t="inlineStr"/>
      <c r="D294">
        <f>HYPERLINK("http://nlpdeep.cs.uic.edu:8080/proofing/gsii/99217-conclusions-0-3.pdf","gsii/99217-conclusions-0-3.pdf")</f>
        <v/>
      </c>
      <c r="E294" t="n">
        <v>118760</v>
      </c>
      <c r="F294" t="n">
        <v>99217</v>
      </c>
      <c r="G294" t="inlineStr">
        <is>
          <t>Echo</t>
        </is>
      </c>
      <c r="H294" t="inlineStr">
        <is>
          <t>conclusions</t>
        </is>
      </c>
      <c r="I294" t="inlineStr">
        <is>
          <t>Overall left ventricular
systolic function is mildly depressed (LVEF= 40-50 %) secondary to hypokinesis
of the inferior and posterior walls.</t>
        </is>
      </c>
    </row>
    <row r="295">
      <c r="A295" t="inlineStr">
        <is>
          <t>99217-conclusions-0-4</t>
        </is>
      </c>
      <c r="B295" t="inlineStr"/>
      <c r="C295" t="inlineStr"/>
      <c r="D295">
        <f>HYPERLINK("http://nlpdeep.cs.uic.edu:8080/proofing/t5/99217-conclusions-0-4.pdf","t5/99217-conclusions-0-4.pdf")</f>
        <v/>
      </c>
      <c r="E295" t="n">
        <v>118760</v>
      </c>
      <c r="F295" t="n">
        <v>99217</v>
      </c>
      <c r="G295" t="inlineStr">
        <is>
          <t>Echo</t>
        </is>
      </c>
      <c r="H295" t="inlineStr">
        <is>
          <t>conclusions</t>
        </is>
      </c>
      <c r="I295" t="inlineStr">
        <is>
          <t>Tissue Doppler imaging suggests an
increased left ventricular filling pressure (PCWP&gt;18mmHg).</t>
        </is>
      </c>
    </row>
    <row r="296">
      <c r="A296" t="inlineStr">
        <is>
          <t>99217-conclusions-0-4</t>
        </is>
      </c>
      <c r="B296" t="inlineStr"/>
      <c r="C296" t="inlineStr"/>
      <c r="D296">
        <f>HYPERLINK("http://nlpdeep.cs.uic.edu:8080/proofing/gsii/99217-conclusions-0-4.pdf","gsii/99217-conclusions-0-4.pdf")</f>
        <v/>
      </c>
      <c r="E296" t="n">
        <v>118760</v>
      </c>
      <c r="F296" t="n">
        <v>99217</v>
      </c>
      <c r="G296" t="inlineStr">
        <is>
          <t>Echo</t>
        </is>
      </c>
      <c r="H296" t="inlineStr">
        <is>
          <t>conclusions</t>
        </is>
      </c>
      <c r="I296" t="inlineStr">
        <is>
          <t>Tissue Doppler imaging suggests an
increased left ventricular filling pressure (PCWP&gt;18mmHg).</t>
        </is>
      </c>
    </row>
    <row r="297">
      <c r="A297" t="inlineStr">
        <is>
          <t>99217-conclusions-0-5</t>
        </is>
      </c>
      <c r="B297" t="inlineStr"/>
      <c r="C297" t="inlineStr"/>
      <c r="D297">
        <f>HYPERLINK("http://nlpdeep.cs.uic.edu:8080/proofing/t5/99217-conclusions-0-5.pdf","t5/99217-conclusions-0-5.pdf")</f>
        <v/>
      </c>
      <c r="E297" t="n">
        <v>118760</v>
      </c>
      <c r="F297" t="n">
        <v>99217</v>
      </c>
      <c r="G297" t="inlineStr">
        <is>
          <t>Echo</t>
        </is>
      </c>
      <c r="H297" t="inlineStr">
        <is>
          <t>conclusions</t>
        </is>
      </c>
      <c r="I297" t="inlineStr">
        <is>
          <t>Doppler parameters
are most consistent with Grade II (moderate) left ventricular diastolic
dysfunction.</t>
        </is>
      </c>
    </row>
    <row r="298">
      <c r="A298" t="inlineStr">
        <is>
          <t>99217-conclusions-0-5</t>
        </is>
      </c>
      <c r="B298" t="inlineStr"/>
      <c r="C298" t="inlineStr"/>
      <c r="D298">
        <f>HYPERLINK("http://nlpdeep.cs.uic.edu:8080/proofing/gsii/99217-conclusions-0-5.pdf","gsii/99217-conclusions-0-5.pdf")</f>
        <v/>
      </c>
      <c r="E298" t="n">
        <v>118760</v>
      </c>
      <c r="F298" t="n">
        <v>99217</v>
      </c>
      <c r="G298" t="inlineStr">
        <is>
          <t>Echo</t>
        </is>
      </c>
      <c r="H298" t="inlineStr">
        <is>
          <t>conclusions</t>
        </is>
      </c>
      <c r="I298" t="inlineStr">
        <is>
          <t>Doppler parameters
are most consistent with Grade II (moderate) left ventricular diastolic
dysfunction.</t>
        </is>
      </c>
    </row>
    <row r="299">
      <c r="A299" t="inlineStr">
        <is>
          <t>99217-conclusions-0-6</t>
        </is>
      </c>
      <c r="B299" t="inlineStr"/>
      <c r="C299" t="inlineStr"/>
      <c r="D299">
        <f>HYPERLINK("http://nlpdeep.cs.uic.edu:8080/proofing/t5/99217-conclusions-0-6.pdf","t5/99217-conclusions-0-6.pdf")</f>
        <v/>
      </c>
      <c r="E299" t="n">
        <v>118760</v>
      </c>
      <c r="F299" t="n">
        <v>99217</v>
      </c>
      <c r="G299" t="inlineStr">
        <is>
          <t>Echo</t>
        </is>
      </c>
      <c r="H299" t="inlineStr">
        <is>
          <t>conclusions</t>
        </is>
      </c>
      <c r="I299" t="inlineStr">
        <is>
          <t>Right ventricular chamber size and free wall motion are normal.</t>
        </is>
      </c>
    </row>
    <row r="300">
      <c r="A300" t="inlineStr">
        <is>
          <t>99217-conclusions-0-6</t>
        </is>
      </c>
      <c r="B300" t="inlineStr"/>
      <c r="C300" t="inlineStr"/>
      <c r="D300">
        <f>HYPERLINK("http://nlpdeep.cs.uic.edu:8080/proofing/gsii/99217-conclusions-0-6.pdf","gsii/99217-conclusions-0-6.pdf")</f>
        <v/>
      </c>
      <c r="E300" t="n">
        <v>118760</v>
      </c>
      <c r="F300" t="n">
        <v>99217</v>
      </c>
      <c r="G300" t="inlineStr">
        <is>
          <t>Echo</t>
        </is>
      </c>
      <c r="H300" t="inlineStr">
        <is>
          <t>conclusions</t>
        </is>
      </c>
      <c r="I300" t="inlineStr">
        <is>
          <t>Right ventricular chamber size and free wall motion are normal.</t>
        </is>
      </c>
    </row>
    <row r="301">
      <c r="A301" t="inlineStr">
        <is>
          <t>99217-conclusions-0-7</t>
        </is>
      </c>
      <c r="B301" t="inlineStr"/>
      <c r="C301" t="inlineStr"/>
      <c r="D301">
        <f>HYPERLINK("http://nlpdeep.cs.uic.edu:8080/proofing/t5/99217-conclusions-0-7.pdf","t5/99217-conclusions-0-7.pdf")</f>
        <v/>
      </c>
      <c r="E301" t="n">
        <v>118760</v>
      </c>
      <c r="F301" t="n">
        <v>99217</v>
      </c>
      <c r="G301" t="inlineStr">
        <is>
          <t>Echo</t>
        </is>
      </c>
      <c r="H301" t="inlineStr">
        <is>
          <t>conclusions</t>
        </is>
      </c>
      <c r="I301" t="inlineStr">
        <is>
          <t xml:space="preserve">
There are focal calcifications in the aortic arch.</t>
        </is>
      </c>
    </row>
    <row r="302">
      <c r="A302" t="inlineStr">
        <is>
          <t>99217-conclusions-0-7</t>
        </is>
      </c>
      <c r="B302" t="inlineStr"/>
      <c r="C302" t="inlineStr"/>
      <c r="D302">
        <f>HYPERLINK("http://nlpdeep.cs.uic.edu:8080/proofing/gsii/99217-conclusions-0-7.pdf","gsii/99217-conclusions-0-7.pdf")</f>
        <v/>
      </c>
      <c r="E302" t="n">
        <v>118760</v>
      </c>
      <c r="F302" t="n">
        <v>99217</v>
      </c>
      <c r="G302" t="inlineStr">
        <is>
          <t>Echo</t>
        </is>
      </c>
      <c r="H302" t="inlineStr">
        <is>
          <t>conclusions</t>
        </is>
      </c>
      <c r="I302" t="inlineStr">
        <is>
          <t xml:space="preserve">
There are focal calcifications in the aortic arch.</t>
        </is>
      </c>
    </row>
    <row r="303">
      <c r="A303" t="inlineStr">
        <is>
          <t>99217-conclusions-0-8</t>
        </is>
      </c>
      <c r="B303" t="inlineStr"/>
      <c r="C303" t="inlineStr"/>
      <c r="D303">
        <f>HYPERLINK("http://nlpdeep.cs.uic.edu:8080/proofing/t5/99217-conclusions-0-8.pdf","t5/99217-conclusions-0-8.pdf")</f>
        <v/>
      </c>
      <c r="E303" t="n">
        <v>118760</v>
      </c>
      <c r="F303" t="n">
        <v>99217</v>
      </c>
      <c r="G303" t="inlineStr">
        <is>
          <t>Echo</t>
        </is>
      </c>
      <c r="H303" t="inlineStr">
        <is>
          <t>conclusions</t>
        </is>
      </c>
      <c r="I303" t="inlineStr">
        <is>
          <t>There are three aortic
valve leaflets.</t>
        </is>
      </c>
    </row>
    <row r="304">
      <c r="A304" t="inlineStr">
        <is>
          <t>99217-conclusions-0-8</t>
        </is>
      </c>
      <c r="B304" t="inlineStr"/>
      <c r="C304" t="inlineStr"/>
      <c r="D304">
        <f>HYPERLINK("http://nlpdeep.cs.uic.edu:8080/proofing/gsii/99217-conclusions-0-8.pdf","gsii/99217-conclusions-0-8.pdf")</f>
        <v/>
      </c>
      <c r="E304" t="n">
        <v>118760</v>
      </c>
      <c r="F304" t="n">
        <v>99217</v>
      </c>
      <c r="G304" t="inlineStr">
        <is>
          <t>Echo</t>
        </is>
      </c>
      <c r="H304" t="inlineStr">
        <is>
          <t>conclusions</t>
        </is>
      </c>
      <c r="I304" t="inlineStr">
        <is>
          <t>There are three aortic
valve leaflets.</t>
        </is>
      </c>
    </row>
    <row r="305">
      <c r="A305" t="inlineStr">
        <is>
          <t>99217-conclusions-0-9</t>
        </is>
      </c>
      <c r="B305" t="inlineStr"/>
      <c r="C305" t="inlineStr"/>
      <c r="D305">
        <f>HYPERLINK("http://nlpdeep.cs.uic.edu:8080/proofing/t5/99217-conclusions-0-9.pdf","t5/99217-conclusions-0-9.pdf")</f>
        <v/>
      </c>
      <c r="E305" t="n">
        <v>118760</v>
      </c>
      <c r="F305" t="n">
        <v>99217</v>
      </c>
      <c r="G305" t="inlineStr">
        <is>
          <t>Echo</t>
        </is>
      </c>
      <c r="H305" t="inlineStr">
        <is>
          <t>conclusions</t>
        </is>
      </c>
      <c r="I305" t="inlineStr">
        <is>
          <t>The aortic valve leaflets are moderately thickened.</t>
        </is>
      </c>
    </row>
    <row r="306">
      <c r="A306" t="inlineStr">
        <is>
          <t>99217-conclusions-0-9</t>
        </is>
      </c>
      <c r="B306" t="inlineStr"/>
      <c r="C306" t="inlineStr"/>
      <c r="D306">
        <f>HYPERLINK("http://nlpdeep.cs.uic.edu:8080/proofing/gsii/99217-conclusions-0-9.pdf","gsii/99217-conclusions-0-9.pdf")</f>
        <v/>
      </c>
      <c r="E306" t="n">
        <v>118760</v>
      </c>
      <c r="F306" t="n">
        <v>99217</v>
      </c>
      <c r="G306" t="inlineStr">
        <is>
          <t>Echo</t>
        </is>
      </c>
      <c r="H306" t="inlineStr">
        <is>
          <t>conclusions</t>
        </is>
      </c>
      <c r="I306" t="inlineStr">
        <is>
          <t>The aortic valve leaflets are moderately thickened.</t>
        </is>
      </c>
    </row>
    <row r="307">
      <c r="A307" t="inlineStr">
        <is>
          <t>99217-conclusions-0-10</t>
        </is>
      </c>
      <c r="B307" t="inlineStr"/>
      <c r="C307" t="inlineStr"/>
      <c r="D307">
        <f>HYPERLINK("http://nlpdeep.cs.uic.edu:8080/proofing/t5/99217-conclusions-0-10.pdf","t5/99217-conclusions-0-10.pdf")</f>
        <v/>
      </c>
      <c r="E307" t="n">
        <v>118760</v>
      </c>
      <c r="F307" t="n">
        <v>99217</v>
      </c>
      <c r="G307" t="inlineStr">
        <is>
          <t>Echo</t>
        </is>
      </c>
      <c r="H307" t="inlineStr">
        <is>
          <t>conclusions</t>
        </is>
      </c>
      <c r="I307" t="inlineStr">
        <is>
          <t>There is
mild aortic valve stenosis (valve area 1.2-1.9cm2).</t>
        </is>
      </c>
    </row>
    <row r="308">
      <c r="A308" t="inlineStr">
        <is>
          <t>99217-conclusions-0-10</t>
        </is>
      </c>
      <c r="B308" t="inlineStr"/>
      <c r="C308" t="inlineStr"/>
      <c r="D308">
        <f>HYPERLINK("http://nlpdeep.cs.uic.edu:8080/proofing/gsii/99217-conclusions-0-10.pdf","gsii/99217-conclusions-0-10.pdf")</f>
        <v/>
      </c>
      <c r="E308" t="n">
        <v>118760</v>
      </c>
      <c r="F308" t="n">
        <v>99217</v>
      </c>
      <c r="G308" t="inlineStr">
        <is>
          <t>Echo</t>
        </is>
      </c>
      <c r="H308" t="inlineStr">
        <is>
          <t>conclusions</t>
        </is>
      </c>
      <c r="I308" t="inlineStr">
        <is>
          <t>There is
mild aortic valve stenosis (valve area 1.2-1.9cm2).</t>
        </is>
      </c>
    </row>
    <row r="309">
      <c r="A309" t="inlineStr">
        <is>
          <t>99217-conclusions-0-11</t>
        </is>
      </c>
      <c r="B309" t="inlineStr"/>
      <c r="C309" t="inlineStr"/>
      <c r="D309">
        <f>HYPERLINK("http://nlpdeep.cs.uic.edu:8080/proofing/t5/99217-conclusions-0-11.pdf","t5/99217-conclusions-0-11.pdf")</f>
        <v/>
      </c>
      <c r="E309" t="n">
        <v>118760</v>
      </c>
      <c r="F309" t="n">
        <v>99217</v>
      </c>
      <c r="G309" t="inlineStr">
        <is>
          <t>Echo</t>
        </is>
      </c>
      <c r="H309" t="inlineStr">
        <is>
          <t>conclusions</t>
        </is>
      </c>
      <c r="I309" t="inlineStr">
        <is>
          <t>Trace aortic regurgitation
is seen.</t>
        </is>
      </c>
    </row>
    <row r="310">
      <c r="A310" t="inlineStr">
        <is>
          <t>99217-conclusions-0-11</t>
        </is>
      </c>
      <c r="B310" t="inlineStr"/>
      <c r="C310" t="inlineStr"/>
      <c r="D310">
        <f>HYPERLINK("http://nlpdeep.cs.uic.edu:8080/proofing/gsii/99217-conclusions-0-11.pdf","gsii/99217-conclusions-0-11.pdf")</f>
        <v/>
      </c>
      <c r="E310" t="n">
        <v>118760</v>
      </c>
      <c r="F310" t="n">
        <v>99217</v>
      </c>
      <c r="G310" t="inlineStr">
        <is>
          <t>Echo</t>
        </is>
      </c>
      <c r="H310" t="inlineStr">
        <is>
          <t>conclusions</t>
        </is>
      </c>
      <c r="I310" t="inlineStr">
        <is>
          <t>Trace aortic regurgitation
is seen.</t>
        </is>
      </c>
    </row>
    <row r="311">
      <c r="A311" t="inlineStr">
        <is>
          <t>99217-conclusions-0-12</t>
        </is>
      </c>
      <c r="B311" t="inlineStr"/>
      <c r="C311" t="inlineStr"/>
      <c r="D311">
        <f>HYPERLINK("http://nlpdeep.cs.uic.edu:8080/proofing/t5/99217-conclusions-0-12.pdf","t5/99217-conclusions-0-12.pdf")</f>
        <v/>
      </c>
      <c r="E311" t="n">
        <v>118760</v>
      </c>
      <c r="F311" t="n">
        <v>99217</v>
      </c>
      <c r="G311" t="inlineStr">
        <is>
          <t>Echo</t>
        </is>
      </c>
      <c r="H311" t="inlineStr">
        <is>
          <t>conclusions</t>
        </is>
      </c>
      <c r="I311" t="inlineStr">
        <is>
          <t>The mitral valve leaflets are mildly thickened.</t>
        </is>
      </c>
    </row>
    <row r="312">
      <c r="A312" t="inlineStr">
        <is>
          <t>99217-conclusions-0-12</t>
        </is>
      </c>
      <c r="B312" t="inlineStr"/>
      <c r="C312" t="inlineStr"/>
      <c r="D312">
        <f>HYPERLINK("http://nlpdeep.cs.uic.edu:8080/proofing/gsii/99217-conclusions-0-12.pdf","gsii/99217-conclusions-0-12.pdf")</f>
        <v/>
      </c>
      <c r="E312" t="n">
        <v>118760</v>
      </c>
      <c r="F312" t="n">
        <v>99217</v>
      </c>
      <c r="G312" t="inlineStr">
        <is>
          <t>Echo</t>
        </is>
      </c>
      <c r="H312" t="inlineStr">
        <is>
          <t>conclusions</t>
        </is>
      </c>
      <c r="I312" t="inlineStr">
        <is>
          <t>The mitral valve leaflets are mildly thickened.</t>
        </is>
      </c>
    </row>
    <row r="313">
      <c r="A313" t="inlineStr">
        <is>
          <t>99217-conclusions-0-13</t>
        </is>
      </c>
      <c r="B313" t="inlineStr"/>
      <c r="C313" t="inlineStr"/>
      <c r="D313">
        <f>HYPERLINK("http://nlpdeep.cs.uic.edu:8080/proofing/t5/99217-conclusions-0-13.pdf","t5/99217-conclusions-0-13.pdf")</f>
        <v/>
      </c>
      <c r="E313" t="n">
        <v>118760</v>
      </c>
      <c r="F313" t="n">
        <v>99217</v>
      </c>
      <c r="G313" t="inlineStr">
        <is>
          <t>Echo</t>
        </is>
      </c>
      <c r="H313" t="inlineStr">
        <is>
          <t>conclusions</t>
        </is>
      </c>
      <c r="I313" t="inlineStr">
        <is>
          <t>There is no mitral
valve prolapse.</t>
        </is>
      </c>
    </row>
    <row r="314">
      <c r="A314" t="inlineStr">
        <is>
          <t>99217-conclusions-0-13</t>
        </is>
      </c>
      <c r="B314" t="inlineStr"/>
      <c r="C314" t="inlineStr"/>
      <c r="D314">
        <f>HYPERLINK("http://nlpdeep.cs.uic.edu:8080/proofing/gsii/99217-conclusions-0-13.pdf","gsii/99217-conclusions-0-13.pdf")</f>
        <v/>
      </c>
      <c r="E314" t="n">
        <v>118760</v>
      </c>
      <c r="F314" t="n">
        <v>99217</v>
      </c>
      <c r="G314" t="inlineStr">
        <is>
          <t>Echo</t>
        </is>
      </c>
      <c r="H314" t="inlineStr">
        <is>
          <t>conclusions</t>
        </is>
      </c>
      <c r="I314" t="inlineStr">
        <is>
          <t>There is no mitral
valve prolapse.</t>
        </is>
      </c>
    </row>
    <row r="315">
      <c r="A315" t="inlineStr">
        <is>
          <t>99217-conclusions-0-14</t>
        </is>
      </c>
      <c r="B315" t="inlineStr"/>
      <c r="C315" t="inlineStr"/>
      <c r="D315">
        <f>HYPERLINK("http://nlpdeep.cs.uic.edu:8080/proofing/t5/99217-conclusions-0-14.pdf","t5/99217-conclusions-0-14.pdf")</f>
        <v/>
      </c>
      <c r="E315" t="n">
        <v>118760</v>
      </c>
      <c r="F315" t="n">
        <v>99217</v>
      </c>
      <c r="G315" t="inlineStr">
        <is>
          <t>Echo</t>
        </is>
      </c>
      <c r="H315" t="inlineStr">
        <is>
          <t>conclusions</t>
        </is>
      </c>
      <c r="I315" t="inlineStr">
        <is>
          <t>Mild (1+) mitral regurgitation is seen. [Due to acoustic
shadowing, the severity of mitral regurgitation may be significantly
UNDERestimated.]</t>
        </is>
      </c>
    </row>
    <row r="316">
      <c r="A316" t="inlineStr">
        <is>
          <t>99217-conclusions-0-14</t>
        </is>
      </c>
      <c r="B316" t="inlineStr"/>
      <c r="C316" t="inlineStr"/>
      <c r="D316">
        <f>HYPERLINK("http://nlpdeep.cs.uic.edu:8080/proofing/gsii/99217-conclusions-0-14.pdf","gsii/99217-conclusions-0-14.pdf")</f>
        <v/>
      </c>
      <c r="E316" t="n">
        <v>118760</v>
      </c>
      <c r="F316" t="n">
        <v>99217</v>
      </c>
      <c r="G316" t="inlineStr">
        <is>
          <t>Echo</t>
        </is>
      </c>
      <c r="H316" t="inlineStr">
        <is>
          <t>conclusions</t>
        </is>
      </c>
      <c r="I316" t="inlineStr">
        <is>
          <t>Mild (1+) mitral regurgitation is seen. [Due to acoustic
shadowing, the severity of mitral regurgitation may be significantly
UNDERestimated.]</t>
        </is>
      </c>
    </row>
    <row r="317">
      <c r="A317" t="inlineStr">
        <is>
          <t>99217-conclusions-0-15</t>
        </is>
      </c>
      <c r="B317" t="inlineStr"/>
      <c r="C317" t="inlineStr"/>
      <c r="D317">
        <f>HYPERLINK("http://nlpdeep.cs.uic.edu:8080/proofing/t5/99217-conclusions-0-15.pdf","t5/99217-conclusions-0-15.pdf")</f>
        <v/>
      </c>
      <c r="E317" t="n">
        <v>118760</v>
      </c>
      <c r="F317" t="n">
        <v>99217</v>
      </c>
      <c r="G317" t="inlineStr">
        <is>
          <t>Echo</t>
        </is>
      </c>
      <c r="H317" t="inlineStr">
        <is>
          <t>conclusions</t>
        </is>
      </c>
      <c r="I317" t="inlineStr">
        <is>
          <t>The left ventricular inflow pattern suggests impaired
relaxation.</t>
        </is>
      </c>
    </row>
    <row r="318">
      <c r="A318" t="inlineStr">
        <is>
          <t>99217-conclusions-0-15</t>
        </is>
      </c>
      <c r="B318" t="inlineStr"/>
      <c r="C318" t="inlineStr"/>
      <c r="D318">
        <f>HYPERLINK("http://nlpdeep.cs.uic.edu:8080/proofing/gsii/99217-conclusions-0-15.pdf","gsii/99217-conclusions-0-15.pdf")</f>
        <v/>
      </c>
      <c r="E318" t="n">
        <v>118760</v>
      </c>
      <c r="F318" t="n">
        <v>99217</v>
      </c>
      <c r="G318" t="inlineStr">
        <is>
          <t>Echo</t>
        </is>
      </c>
      <c r="H318" t="inlineStr">
        <is>
          <t>conclusions</t>
        </is>
      </c>
      <c r="I318" t="inlineStr">
        <is>
          <t>The left ventricular inflow pattern suggests impaired
relaxation.</t>
        </is>
      </c>
    </row>
    <row r="319">
      <c r="A319" t="inlineStr">
        <is>
          <t>99217-conclusions-0-16</t>
        </is>
      </c>
      <c r="B319" t="inlineStr"/>
      <c r="C319" t="inlineStr"/>
      <c r="D319">
        <f>HYPERLINK("http://nlpdeep.cs.uic.edu:8080/proofing/t5/99217-conclusions-0-16.pdf","t5/99217-conclusions-0-16.pdf")</f>
        <v/>
      </c>
      <c r="E319" t="n">
        <v>118760</v>
      </c>
      <c r="F319" t="n">
        <v>99217</v>
      </c>
      <c r="G319" t="inlineStr">
        <is>
          <t>Echo</t>
        </is>
      </c>
      <c r="H319" t="inlineStr">
        <is>
          <t>conclusions</t>
        </is>
      </c>
      <c r="I319" t="inlineStr">
        <is>
          <t>The tricuspid valve leaflets are mildly thickened.</t>
        </is>
      </c>
    </row>
    <row r="320">
      <c r="A320" t="inlineStr">
        <is>
          <t>99217-conclusions-0-16</t>
        </is>
      </c>
      <c r="B320" t="inlineStr"/>
      <c r="C320" t="inlineStr"/>
      <c r="D320">
        <f>HYPERLINK("http://nlpdeep.cs.uic.edu:8080/proofing/gsii/99217-conclusions-0-16.pdf","gsii/99217-conclusions-0-16.pdf")</f>
        <v/>
      </c>
      <c r="E320" t="n">
        <v>118760</v>
      </c>
      <c r="F320" t="n">
        <v>99217</v>
      </c>
      <c r="G320" t="inlineStr">
        <is>
          <t>Echo</t>
        </is>
      </c>
      <c r="H320" t="inlineStr">
        <is>
          <t>conclusions</t>
        </is>
      </c>
      <c r="I320" t="inlineStr">
        <is>
          <t>The tricuspid valve leaflets are mildly thickened.</t>
        </is>
      </c>
    </row>
    <row r="321">
      <c r="A321" t="inlineStr">
        <is>
          <t>99217-conclusions-0-17</t>
        </is>
      </c>
      <c r="B321" t="inlineStr"/>
      <c r="C321" t="inlineStr"/>
      <c r="D321">
        <f>HYPERLINK("http://nlpdeep.cs.uic.edu:8080/proofing/t5/99217-conclusions-0-17.pdf","t5/99217-conclusions-0-17.pdf")</f>
        <v/>
      </c>
      <c r="E321" t="n">
        <v>118760</v>
      </c>
      <c r="F321" t="n">
        <v>99217</v>
      </c>
      <c r="G321" t="inlineStr">
        <is>
          <t>Echo</t>
        </is>
      </c>
      <c r="H321" t="inlineStr">
        <is>
          <t>conclusions</t>
        </is>
      </c>
      <c r="I321" t="inlineStr">
        <is>
          <t>There is mild
pulmonary artery systolic hypertension.</t>
        </is>
      </c>
    </row>
    <row r="322">
      <c r="A322" t="inlineStr">
        <is>
          <t>99217-conclusions-0-17</t>
        </is>
      </c>
      <c r="B322" t="inlineStr"/>
      <c r="C322" t="inlineStr"/>
      <c r="D322">
        <f>HYPERLINK("http://nlpdeep.cs.uic.edu:8080/proofing/gsii/99217-conclusions-0-17.pdf","gsii/99217-conclusions-0-17.pdf")</f>
        <v/>
      </c>
      <c r="E322" t="n">
        <v>118760</v>
      </c>
      <c r="F322" t="n">
        <v>99217</v>
      </c>
      <c r="G322" t="inlineStr">
        <is>
          <t>Echo</t>
        </is>
      </c>
      <c r="H322" t="inlineStr">
        <is>
          <t>conclusions</t>
        </is>
      </c>
      <c r="I322" t="inlineStr">
        <is>
          <t>There is mild
pulmonary artery systolic hypertension.</t>
        </is>
      </c>
    </row>
    <row r="323">
      <c r="A323" t="inlineStr">
        <is>
          <t>99217-conclusions-0-18</t>
        </is>
      </c>
      <c r="B323" t="inlineStr"/>
      <c r="C323" t="inlineStr"/>
      <c r="D323">
        <f>HYPERLINK("http://nlpdeep.cs.uic.edu:8080/proofing/t5/99217-conclusions-0-18.pdf","t5/99217-conclusions-0-18.pdf")</f>
        <v/>
      </c>
      <c r="E323" t="n">
        <v>118760</v>
      </c>
      <c r="F323" t="n">
        <v>99217</v>
      </c>
      <c r="G323" t="inlineStr">
        <is>
          <t>Echo</t>
        </is>
      </c>
      <c r="H323" t="inlineStr">
        <is>
          <t>conclusions</t>
        </is>
      </c>
      <c r="I323" t="inlineStr">
        <is>
          <t>There is no pericardial effusion.</t>
        </is>
      </c>
    </row>
    <row r="324">
      <c r="A324" t="inlineStr">
        <is>
          <t>99217-conclusions-0-18</t>
        </is>
      </c>
      <c r="B324" t="inlineStr"/>
      <c r="C324" t="inlineStr"/>
      <c r="D324">
        <f>HYPERLINK("http://nlpdeep.cs.uic.edu:8080/proofing/gsii/99217-conclusions-0-18.pdf","gsii/99217-conclusions-0-18.pdf")</f>
        <v/>
      </c>
      <c r="E324" t="n">
        <v>118760</v>
      </c>
      <c r="F324" t="n">
        <v>99217</v>
      </c>
      <c r="G324" t="inlineStr">
        <is>
          <t>Echo</t>
        </is>
      </c>
      <c r="H324" t="inlineStr">
        <is>
          <t>conclusions</t>
        </is>
      </c>
      <c r="I324" t="inlineStr">
        <is>
          <t>There is no pericardial effusion.</t>
        </is>
      </c>
    </row>
    <row r="325">
      <c r="A325" t="inlineStr">
        <is>
          <t>99217-comparison-0-0</t>
        </is>
      </c>
      <c r="B325" t="inlineStr"/>
      <c r="C325" t="inlineStr"/>
      <c r="D325">
        <f>HYPERLINK("http://nlpdeep.cs.uic.edu:8080/proofing/t5/99217-comparison-0-0.pdf","t5/99217-comparison-0-0.pdf")</f>
        <v/>
      </c>
      <c r="E325" t="n">
        <v>118760</v>
      </c>
      <c r="F325" t="n">
        <v>99217</v>
      </c>
      <c r="G325" t="inlineStr">
        <is>
          <t>Echo</t>
        </is>
      </c>
      <c r="H325" t="inlineStr">
        <is>
          <t>comparison</t>
        </is>
      </c>
      <c r="I325" t="inlineStr">
        <is>
          <t xml:space="preserve">
Compared with the findings of the prior study (images reviewed) of [**2131-2-13**], inferior and posterior hypokinesis is now present.</t>
        </is>
      </c>
    </row>
    <row r="326">
      <c r="A326" t="inlineStr">
        <is>
          <t>99217-comparison-0-0</t>
        </is>
      </c>
      <c r="B326" t="inlineStr"/>
      <c r="C326" t="inlineStr"/>
      <c r="D326">
        <f>HYPERLINK("http://nlpdeep.cs.uic.edu:8080/proofing/gsii/99217-comparison-0-0.pdf","gsii/99217-comparison-0-0.pdf")</f>
        <v/>
      </c>
      <c r="E326" t="n">
        <v>118760</v>
      </c>
      <c r="F326" t="n">
        <v>99217</v>
      </c>
      <c r="G326" t="inlineStr">
        <is>
          <t>Echo</t>
        </is>
      </c>
      <c r="H326" t="inlineStr">
        <is>
          <t>comparison</t>
        </is>
      </c>
      <c r="I326" t="inlineStr">
        <is>
          <t xml:space="preserve">
Compared with the findings of the prior study (images reviewed) of [**2131-2-13**], inferior and posterior hypokinesis is now present.</t>
        </is>
      </c>
    </row>
    <row r="327">
      <c r="A327" t="inlineStr">
        <is>
          <t>47346-allergies-0-0</t>
        </is>
      </c>
      <c r="B327" t="inlineStr"/>
      <c r="C327" t="inlineStr"/>
      <c r="D327">
        <f>HYPERLINK("http://nlpdeep.cs.uic.edu:8080/proofing/t5/47346-allergies-0-0.pdf","t5/47346-allergies-0-0.pdf")</f>
        <v/>
      </c>
      <c r="E327" t="n">
        <v>118760</v>
      </c>
      <c r="F327" t="n">
        <v>47346</v>
      </c>
      <c r="G327" t="inlineStr">
        <is>
          <t>Discharge summary</t>
        </is>
      </c>
      <c r="H327" t="inlineStr">
        <is>
          <t>allergies</t>
        </is>
      </c>
      <c r="I327" t="inlineStr">
        <is>
          <t>Vicodin / Percocet / Darvocet A500 / Oxycodone / V</t>
        </is>
      </c>
    </row>
    <row r="328">
      <c r="A328" t="inlineStr">
        <is>
          <t>47346-allergies-0-0</t>
        </is>
      </c>
      <c r="B328" t="inlineStr"/>
      <c r="C328" t="inlineStr"/>
      <c r="D328">
        <f>HYPERLINK("http://nlpdeep.cs.uic.edu:8080/proofing/gsii/47346-allergies-0-0.pdf","gsii/47346-allergies-0-0.pdf")</f>
        <v/>
      </c>
      <c r="E328" t="n">
        <v>118760</v>
      </c>
      <c r="F328" t="n">
        <v>47346</v>
      </c>
      <c r="G328" t="inlineStr">
        <is>
          <t>Discharge summary</t>
        </is>
      </c>
      <c r="H328" t="inlineStr">
        <is>
          <t>allergies</t>
        </is>
      </c>
      <c r="I328" t="inlineStr">
        <is>
          <t>Vicodin / Percocet / Darvocet A500 / Oxycodone / V</t>
        </is>
      </c>
    </row>
    <row r="329">
      <c r="A329" t="inlineStr">
        <is>
          <t>47346-chief-complaint-0-0</t>
        </is>
      </c>
      <c r="B329" t="inlineStr"/>
      <c r="C329" t="inlineStr"/>
      <c r="D329">
        <f>HYPERLINK("http://nlpdeep.cs.uic.edu:8080/proofing/t5/47346-chief-complaint-0-0.pdf","t5/47346-chief-complaint-0-0.pdf")</f>
        <v/>
      </c>
      <c r="E329" t="n">
        <v>118760</v>
      </c>
      <c r="F329" t="n">
        <v>47346</v>
      </c>
      <c r="G329" t="inlineStr">
        <is>
          <t>Discharge summary</t>
        </is>
      </c>
      <c r="H329" t="inlineStr">
        <is>
          <t>chief-complaint</t>
        </is>
      </c>
      <c r="I329" t="inlineStr">
        <is>
          <t>Fractured right hip (two-part intertrochanteric fracture)</t>
        </is>
      </c>
    </row>
    <row r="330">
      <c r="A330" t="inlineStr">
        <is>
          <t>47346-chief-complaint-0-0</t>
        </is>
      </c>
      <c r="B330" t="inlineStr"/>
      <c r="C330" t="inlineStr"/>
      <c r="D330">
        <f>HYPERLINK("http://nlpdeep.cs.uic.edu:8080/proofing/gsii/47346-chief-complaint-0-0.pdf","gsii/47346-chief-complaint-0-0.pdf")</f>
        <v/>
      </c>
      <c r="E330" t="n">
        <v>118760</v>
      </c>
      <c r="F330" t="n">
        <v>47346</v>
      </c>
      <c r="G330" t="inlineStr">
        <is>
          <t>Discharge summary</t>
        </is>
      </c>
      <c r="H330" t="inlineStr">
        <is>
          <t>chief-complaint</t>
        </is>
      </c>
      <c r="I330" t="inlineStr">
        <is>
          <t>Fractured right hip (two-part intertrochanteric fracture)</t>
        </is>
      </c>
    </row>
    <row r="331">
      <c r="A331" t="inlineStr">
        <is>
          <t>47346-major-surgical-or-invasive-procedure-0-0</t>
        </is>
      </c>
      <c r="B331" t="inlineStr"/>
      <c r="C331" t="inlineStr"/>
      <c r="D331">
        <f>HYPERLINK("http://nlpdeep.cs.uic.edu:8080/proofing/t5/47346-major-surgical-or-invasive-procedure-0-0.pdf","t5/47346-major-surgical-or-invasive-procedure-0-0.pdf")</f>
        <v/>
      </c>
      <c r="E331" t="n">
        <v>118760</v>
      </c>
      <c r="F331" t="n">
        <v>47346</v>
      </c>
      <c r="G331" t="inlineStr">
        <is>
          <t>Discharge summary</t>
        </is>
      </c>
      <c r="H331" t="inlineStr">
        <is>
          <t>major-surgical-or-invasive-procedure</t>
        </is>
      </c>
      <c r="I331" t="inlineStr">
        <is>
          <t>Operative repair of right two-part intertrochanteric
hip fracture with dynamic hip screw, with procedure complicated
by  intraoperative cardiac arrhythmia and post-surgical upper
extremity weakness which appears to be r</t>
        </is>
      </c>
    </row>
    <row r="332">
      <c r="A332" t="inlineStr">
        <is>
          <t>47346-major-surgical-or-invasive-procedure-0-0</t>
        </is>
      </c>
      <c r="B332" t="inlineStr"/>
      <c r="C332" t="inlineStr"/>
      <c r="D332">
        <f>HYPERLINK("http://nlpdeep.cs.uic.edu:8080/proofing/gsii/47346-major-surgical-or-invasive-procedure-0-0.pdf","gsii/47346-major-surgical-or-invasive-procedure-0-0.pdf")</f>
        <v/>
      </c>
      <c r="E332" t="n">
        <v>118760</v>
      </c>
      <c r="F332" t="n">
        <v>47346</v>
      </c>
      <c r="G332" t="inlineStr">
        <is>
          <t>Discharge summary</t>
        </is>
      </c>
      <c r="H332" t="inlineStr">
        <is>
          <t>major-surgical-or-invasive-procedure</t>
        </is>
      </c>
      <c r="I332" t="inlineStr">
        <is>
          <t>Operative repair of right two-part intertrochanteric
hip fracture with dynamic hip screw, with procedure complicated
by  intraoperative cardiac arrhythmia and post-surgical upper
extremity weakness which appears to be r</t>
        </is>
      </c>
    </row>
    <row r="333">
      <c r="A333" t="inlineStr">
        <is>
          <t>47346-history-of-present-illness-0-0</t>
        </is>
      </c>
      <c r="B333" t="inlineStr"/>
      <c r="C333" t="inlineStr"/>
      <c r="D333">
        <f>HYPERLINK("http://nlpdeep.cs.uic.edu:8080/proofing/t5/47346-history-of-present-illness-0-0.pdf","t5/47346-history-of-present-illness-0-0.pdf")</f>
        <v/>
      </c>
      <c r="E333" t="n">
        <v>118760</v>
      </c>
      <c r="F333" t="n">
        <v>47346</v>
      </c>
      <c r="G333" t="inlineStr">
        <is>
          <t>Discharge summary</t>
        </is>
      </c>
      <c r="H333" t="inlineStr">
        <is>
          <t>history-of-present-illness</t>
        </is>
      </c>
      <c r="I333" t="inlineStr">
        <is>
          <t>The patient is a 82 y/o Man with a history CAD (s/p CABG in
[**2122**]), PVD, AAA s/p repair in [**2123**], ESRD on HD, severe spinal
and lumbar stenosis, transferred to medicine after ORIF of a
right hip fracture, complicated by intraoperative cardiac
arrhythmia and post-surgical upper extremity weakness which
appears to be resolving.</t>
        </is>
      </c>
    </row>
    <row r="334">
      <c r="A334" t="inlineStr">
        <is>
          <t>47346-history-of-present-illness-0-0</t>
        </is>
      </c>
      <c r="B334" t="inlineStr"/>
      <c r="C334" t="inlineStr"/>
      <c r="D334">
        <f>HYPERLINK("http://nlpdeep.cs.uic.edu:8080/proofing/gsii/47346-history-of-present-illness-0-0.pdf","gsii/47346-history-of-present-illness-0-0.pdf")</f>
        <v/>
      </c>
      <c r="E334" t="n">
        <v>118760</v>
      </c>
      <c r="F334" t="n">
        <v>47346</v>
      </c>
      <c r="G334" t="inlineStr">
        <is>
          <t>Discharge summary</t>
        </is>
      </c>
      <c r="H334" t="inlineStr">
        <is>
          <t>history-of-present-illness</t>
        </is>
      </c>
      <c r="I334" t="inlineStr">
        <is>
          <t>The patient is a 82 y/o Man with a history CAD (s/p CABG in
[**2122**]), PVD, AAA s/p repair in [**2123**], ESRD on HD, severe spinal
and lumbar stenosis, transferred to medicine after ORIF of a
right hip fracture, complicated by intraoperative cardiac
arrhythmia and post-surgical upper extremity weakness which
appears to be resolving.</t>
        </is>
      </c>
    </row>
    <row r="335">
      <c r="A335" t="inlineStr">
        <is>
          <t>47346-history-of-present-illness-1-0</t>
        </is>
      </c>
      <c r="B335" t="inlineStr"/>
      <c r="C335" t="inlineStr"/>
      <c r="D335">
        <f>HYPERLINK("http://nlpdeep.cs.uic.edu:8080/proofing/t5/47346-history-of-present-illness-1-0.pdf","t5/47346-history-of-present-illness-1-0.pdf")</f>
        <v/>
      </c>
      <c r="E335" t="n">
        <v>118760</v>
      </c>
      <c r="F335" t="n">
        <v>47346</v>
      </c>
      <c r="G335" t="inlineStr">
        <is>
          <t>Discharge summary</t>
        </is>
      </c>
      <c r="H335" t="inlineStr">
        <is>
          <t>history-of-present-illness</t>
        </is>
      </c>
      <c r="I335" t="inlineStr">
        <is>
          <t xml:space="preserve">
Mr. [**Known lastname 656**] was in in usual state of health until Monday ([**9-22**])
morning when, while in his motorized wheelchair at home, he
attempted to reach for a watch that he had dropped on the ground
and fell out of his chair.</t>
        </is>
      </c>
    </row>
    <row r="336">
      <c r="A336" t="inlineStr">
        <is>
          <t>47346-history-of-present-illness-1-0</t>
        </is>
      </c>
      <c r="B336" t="inlineStr"/>
      <c r="C336" t="inlineStr"/>
      <c r="D336">
        <f>HYPERLINK("http://nlpdeep.cs.uic.edu:8080/proofing/gsii/47346-history-of-present-illness-1-0.pdf","gsii/47346-history-of-present-illness-1-0.pdf")</f>
        <v/>
      </c>
      <c r="E336" t="n">
        <v>118760</v>
      </c>
      <c r="F336" t="n">
        <v>47346</v>
      </c>
      <c r="G336" t="inlineStr">
        <is>
          <t>Discharge summary</t>
        </is>
      </c>
      <c r="H336" t="inlineStr">
        <is>
          <t>history-of-present-illness</t>
        </is>
      </c>
      <c r="I336" t="inlineStr">
        <is>
          <t xml:space="preserve">
Mr. [**Known lastname 656**] was in in usual state of health until Monday ([**9-22**])
morning when, while in his motorized wheelchair at home, he
attempted to reach for a watch that he had dropped on the ground
and fell out of his chair.</t>
        </is>
      </c>
    </row>
    <row r="337">
      <c r="A337" t="inlineStr">
        <is>
          <t>47346-history-of-present-illness-1-1</t>
        </is>
      </c>
      <c r="B337" t="inlineStr"/>
      <c r="C337" t="inlineStr"/>
      <c r="D337">
        <f>HYPERLINK("http://nlpdeep.cs.uic.edu:8080/proofing/t5/47346-history-of-present-illness-1-1.pdf","t5/47346-history-of-present-illness-1-1.pdf")</f>
        <v/>
      </c>
      <c r="E337" t="n">
        <v>118760</v>
      </c>
      <c r="F337" t="n">
        <v>47346</v>
      </c>
      <c r="G337" t="inlineStr">
        <is>
          <t>Discharge summary</t>
        </is>
      </c>
      <c r="H337" t="inlineStr">
        <is>
          <t>history-of-present-illness</t>
        </is>
      </c>
      <c r="I337" t="inlineStr">
        <is>
          <t>He denies any loss of consciousness
during the fall and was able to get back into the chair.</t>
        </is>
      </c>
    </row>
    <row r="338">
      <c r="A338" t="inlineStr">
        <is>
          <t>47346-history-of-present-illness-1-1</t>
        </is>
      </c>
      <c r="B338" t="inlineStr"/>
      <c r="C338" t="inlineStr"/>
      <c r="D338">
        <f>HYPERLINK("http://nlpdeep.cs.uic.edu:8080/proofing/gsii/47346-history-of-present-illness-1-1.pdf","gsii/47346-history-of-present-illness-1-1.pdf")</f>
        <v/>
      </c>
      <c r="E338" t="n">
        <v>118760</v>
      </c>
      <c r="F338" t="n">
        <v>47346</v>
      </c>
      <c r="G338" t="inlineStr">
        <is>
          <t>Discharge summary</t>
        </is>
      </c>
      <c r="H338" t="inlineStr">
        <is>
          <t>history-of-present-illness</t>
        </is>
      </c>
      <c r="I338" t="inlineStr">
        <is>
          <t>He denies any loss of consciousness
during the fall and was able to get back into the chair.</t>
        </is>
      </c>
    </row>
    <row r="339">
      <c r="A339" t="inlineStr">
        <is>
          <t>47346-history-of-present-illness-1-2</t>
        </is>
      </c>
      <c r="B339" t="inlineStr"/>
      <c r="C339" t="inlineStr"/>
      <c r="D339">
        <f>HYPERLINK("http://nlpdeep.cs.uic.edu:8080/proofing/t5/47346-history-of-present-illness-1-2.pdf","t5/47346-history-of-present-illness-1-2.pdf")</f>
        <v/>
      </c>
      <c r="E339" t="n">
        <v>118760</v>
      </c>
      <c r="F339" t="n">
        <v>47346</v>
      </c>
      <c r="G339" t="inlineStr">
        <is>
          <t>Discharge summary</t>
        </is>
      </c>
      <c r="H339" t="inlineStr">
        <is>
          <t>history-of-present-illness</t>
        </is>
      </c>
      <c r="I339" t="inlineStr">
        <is>
          <t>He
began to develop worsening pain in his right leg several hours
later, and presented to [**Hospital3 417**] hospital for evaluation
where a CT scan demonstrated a right intratrochanteric fracture.</t>
        </is>
      </c>
    </row>
    <row r="340">
      <c r="A340" t="inlineStr">
        <is>
          <t>47346-history-of-present-illness-1-2</t>
        </is>
      </c>
      <c r="B340" t="inlineStr"/>
      <c r="C340" t="inlineStr"/>
      <c r="D340">
        <f>HYPERLINK("http://nlpdeep.cs.uic.edu:8080/proofing/gsii/47346-history-of-present-illness-1-2.pdf","gsii/47346-history-of-present-illness-1-2.pdf")</f>
        <v/>
      </c>
      <c r="E340" t="n">
        <v>118760</v>
      </c>
      <c r="F340" t="n">
        <v>47346</v>
      </c>
      <c r="G340" t="inlineStr">
        <is>
          <t>Discharge summary</t>
        </is>
      </c>
      <c r="H340" t="inlineStr">
        <is>
          <t>history-of-present-illness</t>
        </is>
      </c>
      <c r="I340" t="inlineStr">
        <is>
          <t>He
began to develop worsening pain in his right leg several hours
later, and presented to [**Hospital3 417**] hospital for evaluation
where a CT scan demonstrated a right intratrochanteric fracture.</t>
        </is>
      </c>
    </row>
    <row r="341">
      <c r="A341" t="inlineStr">
        <is>
          <t>47346-history-of-present-illness-1-3</t>
        </is>
      </c>
      <c r="B341" t="inlineStr"/>
      <c r="C341" t="inlineStr"/>
      <c r="D341">
        <f>HYPERLINK("http://nlpdeep.cs.uic.edu:8080/proofing/t5/47346-history-of-present-illness-1-3.pdf","t5/47346-history-of-present-illness-1-3.pdf")</f>
        <v/>
      </c>
      <c r="E341" t="n">
        <v>118760</v>
      </c>
      <c r="F341" t="n">
        <v>47346</v>
      </c>
      <c r="G341" t="inlineStr">
        <is>
          <t>Discharge summary</t>
        </is>
      </c>
      <c r="H341" t="inlineStr">
        <is>
          <t>history-of-present-illness</t>
        </is>
      </c>
      <c r="I341" t="inlineStr">
        <is>
          <t xml:space="preserve">
He was transferred to the [**Hospital1 18**] for ORIF that day.</t>
        </is>
      </c>
    </row>
    <row r="342">
      <c r="A342" t="inlineStr">
        <is>
          <t>47346-history-of-present-illness-1-3</t>
        </is>
      </c>
      <c r="B342" t="inlineStr"/>
      <c r="C342" t="inlineStr"/>
      <c r="D342">
        <f>HYPERLINK("http://nlpdeep.cs.uic.edu:8080/proofing/gsii/47346-history-of-present-illness-1-3.pdf","gsii/47346-history-of-present-illness-1-3.pdf")</f>
        <v/>
      </c>
      <c r="E342" t="n">
        <v>118760</v>
      </c>
      <c r="F342" t="n">
        <v>47346</v>
      </c>
      <c r="G342" t="inlineStr">
        <is>
          <t>Discharge summary</t>
        </is>
      </c>
      <c r="H342" t="inlineStr">
        <is>
          <t>history-of-present-illness</t>
        </is>
      </c>
      <c r="I342" t="inlineStr">
        <is>
          <t xml:space="preserve">
He was transferred to the [**Hospital1 18**] for ORIF that day.</t>
        </is>
      </c>
    </row>
    <row r="343">
      <c r="A343" t="inlineStr">
        <is>
          <t>47346-history-of-present-illness-2-0</t>
        </is>
      </c>
      <c r="B343" t="inlineStr"/>
      <c r="C343" t="inlineStr"/>
      <c r="D343">
        <f>HYPERLINK("http://nlpdeep.cs.uic.edu:8080/proofing/t5/47346-history-of-present-illness-2-0.pdf","t5/47346-history-of-present-illness-2-0.pdf")</f>
        <v/>
      </c>
      <c r="E343" t="n">
        <v>118760</v>
      </c>
      <c r="F343" t="n">
        <v>47346</v>
      </c>
      <c r="G343" t="inlineStr">
        <is>
          <t>Discharge summary</t>
        </is>
      </c>
      <c r="H343" t="inlineStr">
        <is>
          <t>history-of-present-illness</t>
        </is>
      </c>
      <c r="I343" t="inlineStr">
        <is>
          <t xml:space="preserve">
During positioning on the OR table on [**9-22**] he had NSVT for ~3
beats (no strip available), followed by monomorphic sustained VT
with hypotension (SBP of ~40) during preparation of the
operation site.</t>
        </is>
      </c>
    </row>
    <row r="344">
      <c r="A344" t="inlineStr">
        <is>
          <t>47346-history-of-present-illness-2-0</t>
        </is>
      </c>
      <c r="B344" t="inlineStr"/>
      <c r="C344" t="inlineStr"/>
      <c r="D344">
        <f>HYPERLINK("http://nlpdeep.cs.uic.edu:8080/proofing/gsii/47346-history-of-present-illness-2-0.pdf","gsii/47346-history-of-present-illness-2-0.pdf")</f>
        <v/>
      </c>
      <c r="E344" t="n">
        <v>118760</v>
      </c>
      <c r="F344" t="n">
        <v>47346</v>
      </c>
      <c r="G344" t="inlineStr">
        <is>
          <t>Discharge summary</t>
        </is>
      </c>
      <c r="H344" t="inlineStr">
        <is>
          <t>history-of-present-illness</t>
        </is>
      </c>
      <c r="I344" t="inlineStr">
        <is>
          <t xml:space="preserve">
During positioning on the OR table on [**9-22**] he had NSVT for ~3
beats (no strip available), followed by monomorphic sustained VT
with hypotension (SBP of ~40) during preparation of the
operation site.</t>
        </is>
      </c>
    </row>
    <row r="345">
      <c r="A345" t="inlineStr">
        <is>
          <t>47346-history-of-present-illness-2-1</t>
        </is>
      </c>
      <c r="B345" t="inlineStr"/>
      <c r="C345" t="inlineStr"/>
      <c r="D345">
        <f>HYPERLINK("http://nlpdeep.cs.uic.edu:8080/proofing/t5/47346-history-of-present-illness-2-1.pdf","t5/47346-history-of-present-illness-2-1.pdf")</f>
        <v/>
      </c>
      <c r="E345" t="n">
        <v>118760</v>
      </c>
      <c r="F345" t="n">
        <v>47346</v>
      </c>
      <c r="G345" t="inlineStr">
        <is>
          <t>Discharge summary</t>
        </is>
      </c>
      <c r="H345" t="inlineStr">
        <is>
          <t>history-of-present-illness</t>
        </is>
      </c>
      <c r="I345" t="inlineStr">
        <is>
          <t>He received 1x300 Joule shock with return to
sinus rhythym, followed shortly by recurrence of SMVT, was
shocked again with 1x300 joules and again returned to sinus
rhythm.</t>
        </is>
      </c>
    </row>
    <row r="346">
      <c r="A346" t="inlineStr">
        <is>
          <t>47346-history-of-present-illness-2-1</t>
        </is>
      </c>
      <c r="B346" t="inlineStr"/>
      <c r="C346" t="inlineStr"/>
      <c r="D346">
        <f>HYPERLINK("http://nlpdeep.cs.uic.edu:8080/proofing/gsii/47346-history-of-present-illness-2-1.pdf","gsii/47346-history-of-present-illness-2-1.pdf")</f>
        <v/>
      </c>
      <c r="E346" t="n">
        <v>118760</v>
      </c>
      <c r="F346" t="n">
        <v>47346</v>
      </c>
      <c r="G346" t="inlineStr">
        <is>
          <t>Discharge summary</t>
        </is>
      </c>
      <c r="H346" t="inlineStr">
        <is>
          <t>history-of-present-illness</t>
        </is>
      </c>
      <c r="I346" t="inlineStr">
        <is>
          <t>He received 1x300 Joule shock with return to
sinus rhythym, followed shortly by recurrence of SMVT, was
shocked again with 1x300 joules and again returned to sinus
rhythm.</t>
        </is>
      </c>
    </row>
    <row r="347">
      <c r="A347" t="inlineStr">
        <is>
          <t>47346-history-of-present-illness-2-2</t>
        </is>
      </c>
      <c r="B347" t="inlineStr"/>
      <c r="C347" t="inlineStr"/>
      <c r="D347">
        <f>HYPERLINK("http://nlpdeep.cs.uic.edu:8080/proofing/t5/47346-history-of-present-illness-2-2.pdf","t5/47346-history-of-present-illness-2-2.pdf")</f>
        <v/>
      </c>
      <c r="E347" t="n">
        <v>118760</v>
      </c>
      <c r="F347" t="n">
        <v>47346</v>
      </c>
      <c r="G347" t="inlineStr">
        <is>
          <t>Discharge summary</t>
        </is>
      </c>
      <c r="H347" t="inlineStr">
        <is>
          <t>history-of-present-illness</t>
        </is>
      </c>
      <c r="I347" t="inlineStr">
        <is>
          <t>The operation was aborted and he was transferred to CCU
for further management.</t>
        </is>
      </c>
    </row>
    <row r="348">
      <c r="A348" t="inlineStr">
        <is>
          <t>47346-history-of-present-illness-2-2</t>
        </is>
      </c>
      <c r="B348" t="inlineStr"/>
      <c r="C348" t="inlineStr"/>
      <c r="D348">
        <f>HYPERLINK("http://nlpdeep.cs.uic.edu:8080/proofing/gsii/47346-history-of-present-illness-2-2.pdf","gsii/47346-history-of-present-illness-2-2.pdf")</f>
        <v/>
      </c>
      <c r="E348" t="n">
        <v>118760</v>
      </c>
      <c r="F348" t="n">
        <v>47346</v>
      </c>
      <c r="G348" t="inlineStr">
        <is>
          <t>Discharge summary</t>
        </is>
      </c>
      <c r="H348" t="inlineStr">
        <is>
          <t>history-of-present-illness</t>
        </is>
      </c>
      <c r="I348" t="inlineStr">
        <is>
          <t>The operation was aborted and he was transferred to CCU
for further management.</t>
        </is>
      </c>
    </row>
    <row r="349">
      <c r="A349" t="inlineStr">
        <is>
          <t>47346-history-of-present-illness-3-0</t>
        </is>
      </c>
      <c r="B349" t="inlineStr"/>
      <c r="C349" t="inlineStr"/>
      <c r="D349">
        <f>HYPERLINK("http://nlpdeep.cs.uic.edu:8080/proofing/t5/47346-history-of-present-illness-3-0.pdf","t5/47346-history-of-present-illness-3-0.pdf")</f>
        <v/>
      </c>
      <c r="E349" t="n">
        <v>118760</v>
      </c>
      <c r="F349" t="n">
        <v>47346</v>
      </c>
      <c r="G349" t="inlineStr">
        <is>
          <t>Discharge summary</t>
        </is>
      </c>
      <c r="H349" t="inlineStr">
        <is>
          <t>history-of-present-illness</t>
        </is>
      </c>
      <c r="I349" t="inlineStr">
        <is>
          <t xml:space="preserve">
In the CCU, post-op electrolytes were drawn and were normal,and
he was started on amiodarone.</t>
        </is>
      </c>
    </row>
    <row r="350">
      <c r="A350" t="inlineStr">
        <is>
          <t>47346-history-of-present-illness-3-0</t>
        </is>
      </c>
      <c r="B350" t="inlineStr"/>
      <c r="C350" t="inlineStr"/>
      <c r="D350">
        <f>HYPERLINK("http://nlpdeep.cs.uic.edu:8080/proofing/gsii/47346-history-of-present-illness-3-0.pdf","gsii/47346-history-of-present-illness-3-0.pdf")</f>
        <v/>
      </c>
      <c r="E350" t="n">
        <v>118760</v>
      </c>
      <c r="F350" t="n">
        <v>47346</v>
      </c>
      <c r="G350" t="inlineStr">
        <is>
          <t>Discharge summary</t>
        </is>
      </c>
      <c r="H350" t="inlineStr">
        <is>
          <t>history-of-present-illness</t>
        </is>
      </c>
      <c r="I350" t="inlineStr">
        <is>
          <t xml:space="preserve">
In the CCU, post-op electrolytes were drawn and were normal,and
he was started on amiodarone.</t>
        </is>
      </c>
    </row>
    <row r="351">
      <c r="A351" t="inlineStr">
        <is>
          <t>47346-history-of-present-illness-3-1</t>
        </is>
      </c>
      <c r="B351" t="inlineStr"/>
      <c r="C351" t="inlineStr"/>
      <c r="D351">
        <f>HYPERLINK("http://nlpdeep.cs.uic.edu:8080/proofing/t5/47346-history-of-present-illness-3-1.pdf","t5/47346-history-of-present-illness-3-1.pdf")</f>
        <v/>
      </c>
      <c r="E351" t="n">
        <v>118760</v>
      </c>
      <c r="F351" t="n">
        <v>47346</v>
      </c>
      <c r="G351" t="inlineStr">
        <is>
          <t>Discharge summary</t>
        </is>
      </c>
      <c r="H351" t="inlineStr">
        <is>
          <t>history-of-present-illness</t>
        </is>
      </c>
      <c r="I351" t="inlineStr">
        <is>
          <t>An echocardiogram showed new
posterior and inferior wall abnormalities compared to a previous
echo ([**2131-2-13**]), with a LEVF of 40-50%.</t>
        </is>
      </c>
    </row>
    <row r="352">
      <c r="A352" t="inlineStr">
        <is>
          <t>47346-history-of-present-illness-3-1</t>
        </is>
      </c>
      <c r="B352" t="inlineStr"/>
      <c r="C352" t="inlineStr"/>
      <c r="D352">
        <f>HYPERLINK("http://nlpdeep.cs.uic.edu:8080/proofing/gsii/47346-history-of-present-illness-3-1.pdf","gsii/47346-history-of-present-illness-3-1.pdf")</f>
        <v/>
      </c>
      <c r="E352" t="n">
        <v>118760</v>
      </c>
      <c r="F352" t="n">
        <v>47346</v>
      </c>
      <c r="G352" t="inlineStr">
        <is>
          <t>Discharge summary</t>
        </is>
      </c>
      <c r="H352" t="inlineStr">
        <is>
          <t>history-of-present-illness</t>
        </is>
      </c>
      <c r="I352" t="inlineStr">
        <is>
          <t>An echocardiogram showed new
posterior and inferior wall abnormalities compared to a previous
echo ([**2131-2-13**]), with a LEVF of 40-50%.</t>
        </is>
      </c>
    </row>
    <row r="353">
      <c r="A353" t="inlineStr">
        <is>
          <t>47346-history-of-present-illness-3-2</t>
        </is>
      </c>
      <c r="B353" t="inlineStr"/>
      <c r="C353" t="inlineStr"/>
      <c r="D353">
        <f>HYPERLINK("http://nlpdeep.cs.uic.edu:8080/proofing/t5/47346-history-of-present-illness-3-2.pdf","t5/47346-history-of-present-illness-3-2.pdf")</f>
        <v/>
      </c>
      <c r="E353" t="n">
        <v>118760</v>
      </c>
      <c r="F353" t="n">
        <v>47346</v>
      </c>
      <c r="G353" t="inlineStr">
        <is>
          <t>Discharge summary</t>
        </is>
      </c>
      <c r="H353" t="inlineStr">
        <is>
          <t>history-of-present-illness</t>
        </is>
      </c>
      <c r="I353" t="inlineStr">
        <is>
          <t xml:space="preserve"> EKG did not show any
evidence of new infarct.</t>
        </is>
      </c>
    </row>
    <row r="354">
      <c r="A354" t="inlineStr">
        <is>
          <t>47346-history-of-present-illness-3-2</t>
        </is>
      </c>
      <c r="B354" t="inlineStr"/>
      <c r="C354" t="inlineStr"/>
      <c r="D354">
        <f>HYPERLINK("http://nlpdeep.cs.uic.edu:8080/proofing/gsii/47346-history-of-present-illness-3-2.pdf","gsii/47346-history-of-present-illness-3-2.pdf")</f>
        <v/>
      </c>
      <c r="E354" t="n">
        <v>118760</v>
      </c>
      <c r="F354" t="n">
        <v>47346</v>
      </c>
      <c r="G354" t="inlineStr">
        <is>
          <t>Discharge summary</t>
        </is>
      </c>
      <c r="H354" t="inlineStr">
        <is>
          <t>history-of-present-illness</t>
        </is>
      </c>
      <c r="I354" t="inlineStr">
        <is>
          <t xml:space="preserve"> EKG did not show any
evidence of new infarct.</t>
        </is>
      </c>
    </row>
    <row r="355">
      <c r="A355" t="inlineStr">
        <is>
          <t>47346-history-of-present-illness-3-3</t>
        </is>
      </c>
      <c r="B355" t="inlineStr"/>
      <c r="C355" t="inlineStr"/>
      <c r="D355">
        <f>HYPERLINK("http://nlpdeep.cs.uic.edu:8080/proofing/t5/47346-history-of-present-illness-3-3.pdf","t5/47346-history-of-present-illness-3-3.pdf")</f>
        <v/>
      </c>
      <c r="E355" t="n">
        <v>118760</v>
      </c>
      <c r="F355" t="n">
        <v>47346</v>
      </c>
      <c r="G355" t="inlineStr">
        <is>
          <t>Discharge summary</t>
        </is>
      </c>
      <c r="H355" t="inlineStr">
        <is>
          <t>history-of-present-illness</t>
        </is>
      </c>
      <c r="I355" t="inlineStr">
        <is>
          <t xml:space="preserve"> He was cleared for surgery the
following day when no new arrhythmias developed.</t>
        </is>
      </c>
    </row>
    <row r="356">
      <c r="A356" t="inlineStr">
        <is>
          <t>47346-history-of-present-illness-3-3</t>
        </is>
      </c>
      <c r="B356" t="inlineStr"/>
      <c r="C356" t="inlineStr"/>
      <c r="D356">
        <f>HYPERLINK("http://nlpdeep.cs.uic.edu:8080/proofing/gsii/47346-history-of-present-illness-3-3.pdf","gsii/47346-history-of-present-illness-3-3.pdf")</f>
        <v/>
      </c>
      <c r="E356" t="n">
        <v>118760</v>
      </c>
      <c r="F356" t="n">
        <v>47346</v>
      </c>
      <c r="G356" t="inlineStr">
        <is>
          <t>Discharge summary</t>
        </is>
      </c>
      <c r="H356" t="inlineStr">
        <is>
          <t>history-of-present-illness</t>
        </is>
      </c>
      <c r="I356" t="inlineStr">
        <is>
          <t xml:space="preserve"> He was cleared for surgery the
following day when no new arrhythmias developed.</t>
        </is>
      </c>
    </row>
    <row r="357">
      <c r="A357" t="inlineStr">
        <is>
          <t>47346-history-of-present-illness-4-0</t>
        </is>
      </c>
      <c r="B357" t="inlineStr"/>
      <c r="C357" t="inlineStr"/>
      <c r="D357">
        <f>HYPERLINK("http://nlpdeep.cs.uic.edu:8080/proofing/t5/47346-history-of-present-illness-4-0.pdf","t5/47346-history-of-present-illness-4-0.pdf")</f>
        <v/>
      </c>
      <c r="E357" t="n">
        <v>118760</v>
      </c>
      <c r="F357" t="n">
        <v>47346</v>
      </c>
      <c r="G357" t="inlineStr">
        <is>
          <t>Discharge summary</t>
        </is>
      </c>
      <c r="H357" t="inlineStr">
        <is>
          <t>history-of-present-illness</t>
        </is>
      </c>
      <c r="I357" t="inlineStr">
        <is>
          <t xml:space="preserve">
On [**9-23**] he successfully underwent ORIF but experienced
postoperative weakness.</t>
        </is>
      </c>
    </row>
    <row r="358">
      <c r="A358" t="inlineStr">
        <is>
          <t>47346-history-of-present-illness-4-0</t>
        </is>
      </c>
      <c r="B358" t="inlineStr"/>
      <c r="C358" t="inlineStr"/>
      <c r="D358">
        <f>HYPERLINK("http://nlpdeep.cs.uic.edu:8080/proofing/gsii/47346-history-of-present-illness-4-0.pdf","gsii/47346-history-of-present-illness-4-0.pdf")</f>
        <v/>
      </c>
      <c r="E358" t="n">
        <v>118760</v>
      </c>
      <c r="F358" t="n">
        <v>47346</v>
      </c>
      <c r="G358" t="inlineStr">
        <is>
          <t>Discharge summary</t>
        </is>
      </c>
      <c r="H358" t="inlineStr">
        <is>
          <t>history-of-present-illness</t>
        </is>
      </c>
      <c r="I358" t="inlineStr">
        <is>
          <t xml:space="preserve">
On [**9-23**] he successfully underwent ORIF but experienced
postoperative weakness.</t>
        </is>
      </c>
    </row>
    <row r="359">
      <c r="A359" t="inlineStr">
        <is>
          <t>47346-history-of-present-illness-4-1</t>
        </is>
      </c>
      <c r="B359" t="inlineStr"/>
      <c r="C359" t="inlineStr"/>
      <c r="D359">
        <f>HYPERLINK("http://nlpdeep.cs.uic.edu:8080/proofing/t5/47346-history-of-present-illness-4-1.pdf","t5/47346-history-of-present-illness-4-1.pdf")</f>
        <v/>
      </c>
      <c r="E359" t="n">
        <v>118760</v>
      </c>
      <c r="F359" t="n">
        <v>47346</v>
      </c>
      <c r="G359" t="inlineStr">
        <is>
          <t>Discharge summary</t>
        </is>
      </c>
      <c r="H359" t="inlineStr">
        <is>
          <t>history-of-present-illness</t>
        </is>
      </c>
      <c r="I359" t="inlineStr">
        <is>
          <t>Per OMR and patient, his weakness was
diffuse in both the upper and lower extremities, but was most
prominent in his deltoids bilaterally (1+/5 L deltoid strength,
0/5 R deltoid strength).</t>
        </is>
      </c>
    </row>
    <row r="360">
      <c r="A360" t="inlineStr">
        <is>
          <t>47346-history-of-present-illness-4-1</t>
        </is>
      </c>
      <c r="B360" t="inlineStr"/>
      <c r="C360" t="inlineStr"/>
      <c r="D360">
        <f>HYPERLINK("http://nlpdeep.cs.uic.edu:8080/proofing/gsii/47346-history-of-present-illness-4-1.pdf","gsii/47346-history-of-present-illness-4-1.pdf")</f>
        <v/>
      </c>
      <c r="E360" t="n">
        <v>118760</v>
      </c>
      <c r="F360" t="n">
        <v>47346</v>
      </c>
      <c r="G360" t="inlineStr">
        <is>
          <t>Discharge summary</t>
        </is>
      </c>
      <c r="H360" t="inlineStr">
        <is>
          <t>history-of-present-illness</t>
        </is>
      </c>
      <c r="I360" t="inlineStr">
        <is>
          <t>Per OMR and patient, his weakness was
diffuse in both the upper and lower extremities, but was most
prominent in his deltoids bilaterally (1+/5 L deltoid strength,
0/5 R deltoid strength).</t>
        </is>
      </c>
    </row>
    <row r="361">
      <c r="A361" t="inlineStr">
        <is>
          <t>47346-history-of-present-illness-4-2</t>
        </is>
      </c>
      <c r="B361" t="inlineStr"/>
      <c r="C361" t="inlineStr"/>
      <c r="D361">
        <f>HYPERLINK("http://nlpdeep.cs.uic.edu:8080/proofing/t5/47346-history-of-present-illness-4-2.pdf","t5/47346-history-of-present-illness-4-2.pdf")</f>
        <v/>
      </c>
      <c r="E361" t="n">
        <v>118760</v>
      </c>
      <c r="F361" t="n">
        <v>47346</v>
      </c>
      <c r="G361" t="inlineStr">
        <is>
          <t>Discharge summary</t>
        </is>
      </c>
      <c r="H361" t="inlineStr">
        <is>
          <t>history-of-present-illness</t>
        </is>
      </c>
      <c r="I361" t="inlineStr">
        <is>
          <t>Neurosurgery was consulted, and noted
subjective and objective improvement in muscular strength
compared to previous neurological exam, but with persistent
diffuse weakness.</t>
        </is>
      </c>
    </row>
    <row r="362">
      <c r="A362" t="inlineStr">
        <is>
          <t>47346-history-of-present-illness-4-2</t>
        </is>
      </c>
      <c r="B362" t="inlineStr"/>
      <c r="C362" t="inlineStr"/>
      <c r="D362">
        <f>HYPERLINK("http://nlpdeep.cs.uic.edu:8080/proofing/gsii/47346-history-of-present-illness-4-2.pdf","gsii/47346-history-of-present-illness-4-2.pdf")</f>
        <v/>
      </c>
      <c r="E362" t="n">
        <v>118760</v>
      </c>
      <c r="F362" t="n">
        <v>47346</v>
      </c>
      <c r="G362" t="inlineStr">
        <is>
          <t>Discharge summary</t>
        </is>
      </c>
      <c r="H362" t="inlineStr">
        <is>
          <t>history-of-present-illness</t>
        </is>
      </c>
      <c r="I362" t="inlineStr">
        <is>
          <t>Neurosurgery was consulted, and noted
subjective and objective improvement in muscular strength
compared to previous neurological exam, but with persistent
diffuse weakness.</t>
        </is>
      </c>
    </row>
    <row r="363">
      <c r="A363" t="inlineStr">
        <is>
          <t>47346-history-of-present-illness-4-3</t>
        </is>
      </c>
      <c r="B363" t="inlineStr"/>
      <c r="C363" t="inlineStr"/>
      <c r="D363">
        <f>HYPERLINK("http://nlpdeep.cs.uic.edu:8080/proofing/t5/47346-history-of-present-illness-4-3.pdf","t5/47346-history-of-present-illness-4-3.pdf")</f>
        <v/>
      </c>
      <c r="E363" t="n">
        <v>118760</v>
      </c>
      <c r="F363" t="n">
        <v>47346</v>
      </c>
      <c r="G363" t="inlineStr">
        <is>
          <t>Discharge summary</t>
        </is>
      </c>
      <c r="H363" t="inlineStr">
        <is>
          <t>history-of-present-illness</t>
        </is>
      </c>
      <c r="I363" t="inlineStr">
        <is>
          <t>He was placed in a C-spine collar and received
CT C-spine per neurosurgery recommendations which showed
substantial narrowing of spinal canal which could represent old
stenosis but would be potentially worrisome for acute cord
impingement.</t>
        </is>
      </c>
    </row>
    <row r="364">
      <c r="A364" t="inlineStr">
        <is>
          <t>47346-history-of-present-illness-4-3</t>
        </is>
      </c>
      <c r="B364" t="inlineStr"/>
      <c r="C364" t="inlineStr"/>
      <c r="D364">
        <f>HYPERLINK("http://nlpdeep.cs.uic.edu:8080/proofing/gsii/47346-history-of-present-illness-4-3.pdf","gsii/47346-history-of-present-illness-4-3.pdf")</f>
        <v/>
      </c>
      <c r="E364" t="n">
        <v>118760</v>
      </c>
      <c r="F364" t="n">
        <v>47346</v>
      </c>
      <c r="G364" t="inlineStr">
        <is>
          <t>Discharge summary</t>
        </is>
      </c>
      <c r="H364" t="inlineStr">
        <is>
          <t>history-of-present-illness</t>
        </is>
      </c>
      <c r="I364" t="inlineStr">
        <is>
          <t>He was placed in a C-spine collar and received
CT C-spine per neurosurgery recommendations which showed
substantial narrowing of spinal canal which could represent old
stenosis but would be potentially worrisome for acute cord
impingement.</t>
        </is>
      </c>
    </row>
    <row r="365">
      <c r="A365" t="inlineStr">
        <is>
          <t>47346-history-of-present-illness-4-4</t>
        </is>
      </c>
      <c r="B365" t="inlineStr"/>
      <c r="C365" t="inlineStr"/>
      <c r="D365">
        <f>HYPERLINK("http://nlpdeep.cs.uic.edu:8080/proofing/t5/47346-history-of-present-illness-4-4.pdf","t5/47346-history-of-present-illness-4-4.pdf")</f>
        <v/>
      </c>
      <c r="E365" t="n">
        <v>118760</v>
      </c>
      <c r="F365" t="n">
        <v>47346</v>
      </c>
      <c r="G365" t="inlineStr">
        <is>
          <t>Discharge summary</t>
        </is>
      </c>
      <c r="H365" t="inlineStr">
        <is>
          <t>history-of-present-illness</t>
        </is>
      </c>
      <c r="I365" t="inlineStr">
        <is>
          <t>During this time, patient's neuro exam gradually
resolved with improved L arm strength, then R arm strength,
ultimately with improvement to what patient states is his
baseline.</t>
        </is>
      </c>
    </row>
    <row r="366">
      <c r="A366" t="inlineStr">
        <is>
          <t>47346-history-of-present-illness-4-4</t>
        </is>
      </c>
      <c r="B366" t="inlineStr"/>
      <c r="C366" t="inlineStr"/>
      <c r="D366">
        <f>HYPERLINK("http://nlpdeep.cs.uic.edu:8080/proofing/gsii/47346-history-of-present-illness-4-4.pdf","gsii/47346-history-of-present-illness-4-4.pdf")</f>
        <v/>
      </c>
      <c r="E366" t="n">
        <v>118760</v>
      </c>
      <c r="F366" t="n">
        <v>47346</v>
      </c>
      <c r="G366" t="inlineStr">
        <is>
          <t>Discharge summary</t>
        </is>
      </c>
      <c r="H366" t="inlineStr">
        <is>
          <t>history-of-present-illness</t>
        </is>
      </c>
      <c r="I366" t="inlineStr">
        <is>
          <t>During this time, patient's neuro exam gradually
resolved with improved L arm strength, then R arm strength,
ultimately with improvement to what patient states is his
baseline.</t>
        </is>
      </c>
    </row>
    <row r="367">
      <c r="A367" t="inlineStr">
        <is>
          <t>47346-past-medical-history-0-0</t>
        </is>
      </c>
      <c r="B367" t="inlineStr"/>
      <c r="C367" t="inlineStr"/>
      <c r="D367">
        <f>HYPERLINK("http://nlpdeep.cs.uic.edu:8080/proofing/t5/47346-past-medical-history-0-0.pdf","t5/47346-past-medical-history-0-0.pdf")</f>
        <v/>
      </c>
      <c r="E367" t="n">
        <v>118760</v>
      </c>
      <c r="F367" t="n">
        <v>47346</v>
      </c>
      <c r="G367" t="inlineStr">
        <is>
          <t>Discharge summary</t>
        </is>
      </c>
      <c r="H367" t="inlineStr">
        <is>
          <t>past-medical-history</t>
        </is>
      </c>
      <c r="I367" t="inlineStr">
        <is>
          <t>1)CAD
-s/p 3-vessel CABG in [**2122**] (LIMA-LAD, SVG-RCA-occluded,
SVG-OM1/OM3 occluded)
-s/p NSTEMI in [**2-3**] (DES in L main)
2)ESRD
-LUE AVF, HD MWF
-Per patient, has congenital left kidney hypoplasia
3)AAA
-s/p repair ([**2123**])
4)PVD
-s/p aortobililiac graft in [**2123**]
-s/p left CEA in [**2123**] ([**2132-5-22**] US showed right ICA 70-79%
stenosis, left ICA 1-39% stenosis)
5)Ischemic colitis
-Admitted [**2132-3-9**] for bloody diarrhea, uneventful hospital
course
6)Spinal stenosis
-s/p discectomy and arthrodesis at C5-C6 and C6-C7 [**2130-12-4**]
-Baseline impairment in walking (uses motoroized wheelchair or
walker)
7)Right renal tumor, suspicious for RCC, undergoing watchful
waiting, followed by Dr.</t>
        </is>
      </c>
    </row>
    <row r="368">
      <c r="A368" t="inlineStr">
        <is>
          <t>47346-past-medical-history-0-0</t>
        </is>
      </c>
      <c r="B368" t="inlineStr"/>
      <c r="C368" t="inlineStr"/>
      <c r="D368">
        <f>HYPERLINK("http://nlpdeep.cs.uic.edu:8080/proofing/gsii/47346-past-medical-history-0-0.pdf","gsii/47346-past-medical-history-0-0.pdf")</f>
        <v/>
      </c>
      <c r="E368" t="n">
        <v>118760</v>
      </c>
      <c r="F368" t="n">
        <v>47346</v>
      </c>
      <c r="G368" t="inlineStr">
        <is>
          <t>Discharge summary</t>
        </is>
      </c>
      <c r="H368" t="inlineStr">
        <is>
          <t>past-medical-history</t>
        </is>
      </c>
      <c r="I368" t="inlineStr">
        <is>
          <t>1)CAD
-s/p 3-vessel CABG in [**2122**] (LIMA-LAD, SVG-RCA-occluded,
SVG-OM1/OM3 occluded)
-s/p NSTEMI in [**2-3**] (DES in L main)
2)ESRD
-LUE AVF, HD MWF
-Per patient, has congenital left kidney hypoplasia
3)AAA
-s/p repair ([**2123**])
4)PVD
-s/p aortobililiac graft in [**2123**]
-s/p left CEA in [**2123**] ([**2132-5-22**] US showed right ICA 70-79%
stenosis, left ICA 1-39% stenosis)
5)Ischemic colitis
-Admitted [**2132-3-9**] for bloody diarrhea, uneventful hospital
course
6)Spinal stenosis
-s/p discectomy and arthrodesis at C5-C6 and C6-C7 [**2130-12-4**]
-Baseline impairment in walking (uses motoroized wheelchair or
walker)
7)Right renal tumor, suspicious for RCC, undergoing watchful
waiting, followed by Dr.</t>
        </is>
      </c>
    </row>
    <row r="369">
      <c r="A369" t="inlineStr">
        <is>
          <t>47346-past-medical-history-0-1</t>
        </is>
      </c>
      <c r="B369" t="inlineStr"/>
      <c r="C369" t="inlineStr"/>
      <c r="D369">
        <f>HYPERLINK("http://nlpdeep.cs.uic.edu:8080/proofing/t5/47346-past-medical-history-0-1.pdf","t5/47346-past-medical-history-0-1.pdf")</f>
        <v/>
      </c>
      <c r="E369" t="n">
        <v>118760</v>
      </c>
      <c r="F369" t="n">
        <v>47346</v>
      </c>
      <c r="G369" t="inlineStr">
        <is>
          <t>Discharge summary</t>
        </is>
      </c>
      <c r="H369" t="inlineStr">
        <is>
          <t>past-medical-history</t>
        </is>
      </c>
      <c r="I369" t="inlineStr">
        <is>
          <t>[**Last Name (STitle) 3748**]
8)Prostate cancer
-s/p brachytherapy in [**2122**]
9)Abdominal wall abscess in [**5-5**], s/p I&amp;D, cultures grew
Actinomyces
10)Cholangitis
-s/p CCK in [**2130-3-21**]
11)Bullous pemphigoid (diagnosed in [**7-/2132**])
-Dermatologist is Dr.</t>
        </is>
      </c>
    </row>
    <row r="370">
      <c r="A370" t="inlineStr">
        <is>
          <t>47346-past-medical-history-0-1</t>
        </is>
      </c>
      <c r="B370" t="inlineStr"/>
      <c r="C370" t="inlineStr"/>
      <c r="D370">
        <f>HYPERLINK("http://nlpdeep.cs.uic.edu:8080/proofing/gsii/47346-past-medical-history-0-1.pdf","gsii/47346-past-medical-history-0-1.pdf")</f>
        <v/>
      </c>
      <c r="E370" t="n">
        <v>118760</v>
      </c>
      <c r="F370" t="n">
        <v>47346</v>
      </c>
      <c r="G370" t="inlineStr">
        <is>
          <t>Discharge summary</t>
        </is>
      </c>
      <c r="H370" t="inlineStr">
        <is>
          <t>past-medical-history</t>
        </is>
      </c>
      <c r="I370" t="inlineStr">
        <is>
          <t>[**Last Name (STitle) 3748**]
8)Prostate cancer
-s/p brachytherapy in [**2122**]
9)Abdominal wall abscess in [**5-5**], s/p I&amp;D, cultures grew
Actinomyces
10)Cholangitis
-s/p CCK in [**2130-3-21**]
11)Bullous pemphigoid (diagnosed in [**7-/2132**])
-Dermatologist is Dr.</t>
        </is>
      </c>
    </row>
    <row r="371">
      <c r="A371" t="inlineStr">
        <is>
          <t>47346-past-medical-history-0-2</t>
        </is>
      </c>
      <c r="B371" t="inlineStr"/>
      <c r="C371" t="inlineStr"/>
      <c r="D371">
        <f>HYPERLINK("http://nlpdeep.cs.uic.edu:8080/proofing/t5/47346-past-medical-history-0-2.pdf","t5/47346-past-medical-history-0-2.pdf")</f>
        <v/>
      </c>
      <c r="E371" t="n">
        <v>118760</v>
      </c>
      <c r="F371" t="n">
        <v>47346</v>
      </c>
      <c r="G371" t="inlineStr">
        <is>
          <t>Discharge summary</t>
        </is>
      </c>
      <c r="H371" t="inlineStr">
        <is>
          <t>past-medical-history</t>
        </is>
      </c>
      <c r="I371" t="inlineStr">
        <is>
          <t>[**First Name8 (NamePattern2) 402**] [**Last Name (NamePattern1) **]
12)s/p Cataract surgery on l</t>
        </is>
      </c>
    </row>
    <row r="372">
      <c r="A372" t="inlineStr">
        <is>
          <t>47346-past-medical-history-0-2</t>
        </is>
      </c>
      <c r="B372" t="inlineStr"/>
      <c r="C372" t="inlineStr"/>
      <c r="D372">
        <f>HYPERLINK("http://nlpdeep.cs.uic.edu:8080/proofing/gsii/47346-past-medical-history-0-2.pdf","gsii/47346-past-medical-history-0-2.pdf")</f>
        <v/>
      </c>
      <c r="E372" t="n">
        <v>118760</v>
      </c>
      <c r="F372" t="n">
        <v>47346</v>
      </c>
      <c r="G372" t="inlineStr">
        <is>
          <t>Discharge summary</t>
        </is>
      </c>
      <c r="H372" t="inlineStr">
        <is>
          <t>past-medical-history</t>
        </is>
      </c>
      <c r="I372" t="inlineStr">
        <is>
          <t>[**First Name8 (NamePattern2) 402**] [**Last Name (NamePattern1) **]
12)s/p Cataract surgery on l</t>
        </is>
      </c>
    </row>
    <row r="373">
      <c r="A373" t="inlineStr">
        <is>
          <t>47346-social-history-0-0</t>
        </is>
      </c>
      <c r="B373" t="inlineStr"/>
      <c r="C373" t="inlineStr"/>
      <c r="D373">
        <f>HYPERLINK("http://nlpdeep.cs.uic.edu:8080/proofing/t5/47346-social-history-0-0.pdf","t5/47346-social-history-0-0.pdf")</f>
        <v/>
      </c>
      <c r="E373" t="n">
        <v>118760</v>
      </c>
      <c r="F373" t="n">
        <v>47346</v>
      </c>
      <c r="G373" t="inlineStr">
        <is>
          <t>Discharge summary</t>
        </is>
      </c>
      <c r="H373" t="inlineStr">
        <is>
          <t>social-history</t>
        </is>
      </c>
      <c r="I373" t="inlineStr">
        <is>
          <t>Lives alone at [**Location (un) 33866**] [**Hospital3 400**] Residency.</t>
        </is>
      </c>
    </row>
    <row r="374">
      <c r="A374" t="inlineStr">
        <is>
          <t>47346-social-history-0-0</t>
        </is>
      </c>
      <c r="B374" t="inlineStr"/>
      <c r="C374" t="inlineStr"/>
      <c r="D374">
        <f>HYPERLINK("http://nlpdeep.cs.uic.edu:8080/proofing/gsii/47346-social-history-0-0.pdf","gsii/47346-social-history-0-0.pdf")</f>
        <v/>
      </c>
      <c r="E374" t="n">
        <v>118760</v>
      </c>
      <c r="F374" t="n">
        <v>47346</v>
      </c>
      <c r="G374" t="inlineStr">
        <is>
          <t>Discharge summary</t>
        </is>
      </c>
      <c r="H374" t="inlineStr">
        <is>
          <t>social-history</t>
        </is>
      </c>
      <c r="I374" t="inlineStr">
        <is>
          <t>Lives alone at [**Location (un) 33866**] [**Hospital3 400**] Residency.</t>
        </is>
      </c>
    </row>
    <row r="375">
      <c r="A375" t="inlineStr">
        <is>
          <t>47346-social-history-0-1</t>
        </is>
      </c>
      <c r="B375" t="inlineStr"/>
      <c r="C375" t="inlineStr"/>
      <c r="D375">
        <f>HYPERLINK("http://nlpdeep.cs.uic.edu:8080/proofing/t5/47346-social-history-0-1.pdf","t5/47346-social-history-0-1.pdf")</f>
        <v/>
      </c>
      <c r="E375" t="n">
        <v>118760</v>
      </c>
      <c r="F375" t="n">
        <v>47346</v>
      </c>
      <c r="G375" t="inlineStr">
        <is>
          <t>Discharge summary</t>
        </is>
      </c>
      <c r="H375" t="inlineStr">
        <is>
          <t>social-history</t>
        </is>
      </c>
      <c r="I375" t="inlineStr">
        <is>
          <t>He
previously worked as a district manager for Metropolitan life.</t>
        </is>
      </c>
    </row>
    <row r="376">
      <c r="A376" t="inlineStr">
        <is>
          <t>47346-social-history-0-1</t>
        </is>
      </c>
      <c r="B376" t="inlineStr"/>
      <c r="C376" t="inlineStr"/>
      <c r="D376">
        <f>HYPERLINK("http://nlpdeep.cs.uic.edu:8080/proofing/gsii/47346-social-history-0-1.pdf","gsii/47346-social-history-0-1.pdf")</f>
        <v/>
      </c>
      <c r="E376" t="n">
        <v>118760</v>
      </c>
      <c r="F376" t="n">
        <v>47346</v>
      </c>
      <c r="G376" t="inlineStr">
        <is>
          <t>Discharge summary</t>
        </is>
      </c>
      <c r="H376" t="inlineStr">
        <is>
          <t>social-history</t>
        </is>
      </c>
      <c r="I376" t="inlineStr">
        <is>
          <t>He
previously worked as a district manager for Metropolitan life.</t>
        </is>
      </c>
    </row>
    <row r="377">
      <c r="A377" t="inlineStr">
        <is>
          <t>47346-social-history-0-2</t>
        </is>
      </c>
      <c r="B377" t="inlineStr"/>
      <c r="C377" t="inlineStr"/>
      <c r="D377">
        <f>HYPERLINK("http://nlpdeep.cs.uic.edu:8080/proofing/t5/47346-social-history-0-2.pdf","t5/47346-social-history-0-2.pdf")</f>
        <v/>
      </c>
      <c r="E377" t="n">
        <v>118760</v>
      </c>
      <c r="F377" t="n">
        <v>47346</v>
      </c>
      <c r="G377" t="inlineStr">
        <is>
          <t>Discharge summary</t>
        </is>
      </c>
      <c r="H377" t="inlineStr">
        <is>
          <t>social-history</t>
        </is>
      </c>
      <c r="I377" t="inlineStr">
        <is>
          <t xml:space="preserve">
60 pack-year smoking history, quit 10 years ago.</t>
        </is>
      </c>
    </row>
    <row r="378">
      <c r="A378" t="inlineStr">
        <is>
          <t>47346-social-history-0-2</t>
        </is>
      </c>
      <c r="B378" t="inlineStr"/>
      <c r="C378" t="inlineStr"/>
      <c r="D378">
        <f>HYPERLINK("http://nlpdeep.cs.uic.edu:8080/proofing/gsii/47346-social-history-0-2.pdf","gsii/47346-social-history-0-2.pdf")</f>
        <v/>
      </c>
      <c r="E378" t="n">
        <v>118760</v>
      </c>
      <c r="F378" t="n">
        <v>47346</v>
      </c>
      <c r="G378" t="inlineStr">
        <is>
          <t>Discharge summary</t>
        </is>
      </c>
      <c r="H378" t="inlineStr">
        <is>
          <t>social-history</t>
        </is>
      </c>
      <c r="I378" t="inlineStr">
        <is>
          <t xml:space="preserve">
60 pack-year smoking history, quit 10 years ago.</t>
        </is>
      </c>
    </row>
    <row r="379">
      <c r="A379" t="inlineStr">
        <is>
          <t>47346-social-history-0-3</t>
        </is>
      </c>
      <c r="B379" t="inlineStr"/>
      <c r="C379" t="inlineStr"/>
      <c r="D379">
        <f>HYPERLINK("http://nlpdeep.cs.uic.edu:8080/proofing/t5/47346-social-history-0-3.pdf","t5/47346-social-history-0-3.pdf")</f>
        <v/>
      </c>
      <c r="E379" t="n">
        <v>118760</v>
      </c>
      <c r="F379" t="n">
        <v>47346</v>
      </c>
      <c r="G379" t="inlineStr">
        <is>
          <t>Discharge summary</t>
        </is>
      </c>
      <c r="H379" t="inlineStr">
        <is>
          <t>social-history</t>
        </is>
      </c>
      <c r="I379" t="inlineStr">
        <is>
          <t>Occasional
social alcohol use.</t>
        </is>
      </c>
    </row>
    <row r="380">
      <c r="A380" t="inlineStr">
        <is>
          <t>47346-social-history-0-3</t>
        </is>
      </c>
      <c r="B380" t="inlineStr"/>
      <c r="C380" t="inlineStr"/>
      <c r="D380">
        <f>HYPERLINK("http://nlpdeep.cs.uic.edu:8080/proofing/gsii/47346-social-history-0-3.pdf","gsii/47346-social-history-0-3.pdf")</f>
        <v/>
      </c>
      <c r="E380" t="n">
        <v>118760</v>
      </c>
      <c r="F380" t="n">
        <v>47346</v>
      </c>
      <c r="G380" t="inlineStr">
        <is>
          <t>Discharge summary</t>
        </is>
      </c>
      <c r="H380" t="inlineStr">
        <is>
          <t>social-history</t>
        </is>
      </c>
      <c r="I380" t="inlineStr">
        <is>
          <t>Occasional
social alcohol use.</t>
        </is>
      </c>
    </row>
    <row r="381">
      <c r="A381" t="inlineStr">
        <is>
          <t>47346-family-history-0-0</t>
        </is>
      </c>
      <c r="B381" t="inlineStr"/>
      <c r="C381" t="inlineStr"/>
      <c r="D381">
        <f>HYPERLINK("http://nlpdeep.cs.uic.edu:8080/proofing/t5/47346-family-history-0-0.pdf","t5/47346-family-history-0-0.pdf")</f>
        <v/>
      </c>
      <c r="E381" t="n">
        <v>118760</v>
      </c>
      <c r="F381" t="n">
        <v>47346</v>
      </c>
      <c r="G381" t="inlineStr">
        <is>
          <t>Discharge summary</t>
        </is>
      </c>
      <c r="H381" t="inlineStr">
        <is>
          <t>family-history</t>
        </is>
      </c>
      <c r="I381" t="inlineStr">
        <is>
          <t>One daughter (53) and son (57), both in good health.</t>
        </is>
      </c>
    </row>
    <row r="382">
      <c r="A382" t="inlineStr">
        <is>
          <t>47346-family-history-0-0</t>
        </is>
      </c>
      <c r="B382" t="inlineStr"/>
      <c r="C382" t="inlineStr"/>
      <c r="D382">
        <f>HYPERLINK("http://nlpdeep.cs.uic.edu:8080/proofing/gsii/47346-family-history-0-0.pdf","gsii/47346-family-history-0-0.pdf")</f>
        <v/>
      </c>
      <c r="E382" t="n">
        <v>118760</v>
      </c>
      <c r="F382" t="n">
        <v>47346</v>
      </c>
      <c r="G382" t="inlineStr">
        <is>
          <t>Discharge summary</t>
        </is>
      </c>
      <c r="H382" t="inlineStr">
        <is>
          <t>family-history</t>
        </is>
      </c>
      <c r="I382" t="inlineStr">
        <is>
          <t>One daughter (53) and son (57), both in good health.</t>
        </is>
      </c>
    </row>
    <row r="383">
      <c r="A383" t="inlineStr">
        <is>
          <t>47346-family-history-0-1</t>
        </is>
      </c>
      <c r="B383" t="inlineStr"/>
      <c r="C383" t="inlineStr"/>
      <c r="D383">
        <f>HYPERLINK("http://nlpdeep.cs.uic.edu:8080/proofing/t5/47346-family-history-0-1.pdf","t5/47346-family-history-0-1.pdf")</f>
        <v/>
      </c>
      <c r="E383" t="n">
        <v>118760</v>
      </c>
      <c r="F383" t="n">
        <v>47346</v>
      </c>
      <c r="G383" t="inlineStr">
        <is>
          <t>Discharge summary</t>
        </is>
      </c>
      <c r="H383" t="inlineStr">
        <is>
          <t>family-history</t>
        </is>
      </c>
      <c r="I383" t="inlineStr">
        <is>
          <t>One sister
with diverticulitis.</t>
        </is>
      </c>
    </row>
    <row r="384">
      <c r="A384" t="inlineStr">
        <is>
          <t>47346-family-history-0-1</t>
        </is>
      </c>
      <c r="B384" t="inlineStr"/>
      <c r="C384" t="inlineStr"/>
      <c r="D384">
        <f>HYPERLINK("http://nlpdeep.cs.uic.edu:8080/proofing/gsii/47346-family-history-0-1.pdf","gsii/47346-family-history-0-1.pdf")</f>
        <v/>
      </c>
      <c r="E384" t="n">
        <v>118760</v>
      </c>
      <c r="F384" t="n">
        <v>47346</v>
      </c>
      <c r="G384" t="inlineStr">
        <is>
          <t>Discharge summary</t>
        </is>
      </c>
      <c r="H384" t="inlineStr">
        <is>
          <t>family-history</t>
        </is>
      </c>
      <c r="I384" t="inlineStr">
        <is>
          <t>One sister
with diverticulitis.</t>
        </is>
      </c>
    </row>
    <row r="385">
      <c r="A385" t="inlineStr">
        <is>
          <t>47346-physical-examination-0-0</t>
        </is>
      </c>
      <c r="B385" t="inlineStr"/>
      <c r="C385" t="inlineStr"/>
      <c r="D385">
        <f>HYPERLINK("http://nlpdeep.cs.uic.edu:8080/proofing/t5/47346-physical-examination-0-0.pdf","t5/47346-physical-examination-0-0.pdf")</f>
        <v/>
      </c>
      <c r="E385" t="n">
        <v>118760</v>
      </c>
      <c r="F385" t="n">
        <v>47346</v>
      </c>
      <c r="G385" t="inlineStr">
        <is>
          <t>Discharge summary</t>
        </is>
      </c>
      <c r="H385" t="inlineStr">
        <is>
          <t>physical-examination</t>
        </is>
      </c>
      <c r="I385" t="inlineStr"/>
    </row>
    <row r="386">
      <c r="A386" t="inlineStr">
        <is>
          <t>47346-physical-examination-0-0</t>
        </is>
      </c>
      <c r="B386" t="inlineStr"/>
      <c r="C386" t="inlineStr"/>
      <c r="D386">
        <f>HYPERLINK("http://nlpdeep.cs.uic.edu:8080/proofing/gsii/47346-physical-examination-0-0.pdf","gsii/47346-physical-examination-0-0.pdf")</f>
        <v/>
      </c>
      <c r="E386" t="n">
        <v>118760</v>
      </c>
      <c r="F386" t="n">
        <v>47346</v>
      </c>
      <c r="G386" t="inlineStr">
        <is>
          <t>Discharge summary</t>
        </is>
      </c>
      <c r="H386" t="inlineStr">
        <is>
          <t>physical-examination</t>
        </is>
      </c>
      <c r="I386" t="inlineStr"/>
    </row>
    <row r="387">
      <c r="A387" t="inlineStr">
        <is>
          <t>47346-physical-examination-1-0</t>
        </is>
      </c>
      <c r="B387" t="inlineStr"/>
      <c r="C387" t="inlineStr"/>
      <c r="D387">
        <f>HYPERLINK("http://nlpdeep.cs.uic.edu:8080/proofing/t5/47346-physical-examination-1-0.pdf","t5/47346-physical-examination-1-0.pdf")</f>
        <v/>
      </c>
      <c r="E387" t="n">
        <v>118760</v>
      </c>
      <c r="F387" t="n">
        <v>47346</v>
      </c>
      <c r="G387" t="inlineStr">
        <is>
          <t>Discharge summary</t>
        </is>
      </c>
      <c r="H387" t="inlineStr">
        <is>
          <t>physical-examination</t>
        </is>
      </c>
      <c r="I387" t="inlineStr">
        <is>
          <t xml:space="preserve">
General: Very pleasant man, appeared stated age in no apparent
distress.</t>
        </is>
      </c>
    </row>
    <row r="388">
      <c r="A388" t="inlineStr">
        <is>
          <t>47346-physical-examination-1-0</t>
        </is>
      </c>
      <c r="B388" t="inlineStr"/>
      <c r="C388" t="inlineStr"/>
      <c r="D388">
        <f>HYPERLINK("http://nlpdeep.cs.uic.edu:8080/proofing/gsii/47346-physical-examination-1-0.pdf","gsii/47346-physical-examination-1-0.pdf")</f>
        <v/>
      </c>
      <c r="E388" t="n">
        <v>118760</v>
      </c>
      <c r="F388" t="n">
        <v>47346</v>
      </c>
      <c r="G388" t="inlineStr">
        <is>
          <t>Discharge summary</t>
        </is>
      </c>
      <c r="H388" t="inlineStr">
        <is>
          <t>physical-examination</t>
        </is>
      </c>
      <c r="I388" t="inlineStr">
        <is>
          <t xml:space="preserve">
General: Very pleasant man, appeared stated age in no apparent
distress.</t>
        </is>
      </c>
    </row>
    <row r="389">
      <c r="A389" t="inlineStr">
        <is>
          <t>47346-physical-examination-1-1</t>
        </is>
      </c>
      <c r="B389" t="inlineStr"/>
      <c r="C389" t="inlineStr"/>
      <c r="D389">
        <f>HYPERLINK("http://nlpdeep.cs.uic.edu:8080/proofing/t5/47346-physical-examination-1-1.pdf","t5/47346-physical-examination-1-1.pdf")</f>
        <v/>
      </c>
      <c r="E389" t="n">
        <v>118760</v>
      </c>
      <c r="F389" t="n">
        <v>47346</v>
      </c>
      <c r="G389" t="inlineStr">
        <is>
          <t>Discharge summary</t>
        </is>
      </c>
      <c r="H389" t="inlineStr">
        <is>
          <t>physical-examination</t>
        </is>
      </c>
      <c r="I389" t="inlineStr">
        <is>
          <t>Lying in bed with C-spine collar.</t>
        </is>
      </c>
    </row>
    <row r="390">
      <c r="A390" t="inlineStr">
        <is>
          <t>47346-physical-examination-1-1</t>
        </is>
      </c>
      <c r="B390" t="inlineStr"/>
      <c r="C390" t="inlineStr"/>
      <c r="D390">
        <f>HYPERLINK("http://nlpdeep.cs.uic.edu:8080/proofing/gsii/47346-physical-examination-1-1.pdf","gsii/47346-physical-examination-1-1.pdf")</f>
        <v/>
      </c>
      <c r="E390" t="n">
        <v>118760</v>
      </c>
      <c r="F390" t="n">
        <v>47346</v>
      </c>
      <c r="G390" t="inlineStr">
        <is>
          <t>Discharge summary</t>
        </is>
      </c>
      <c r="H390" t="inlineStr">
        <is>
          <t>physical-examination</t>
        </is>
      </c>
      <c r="I390" t="inlineStr">
        <is>
          <t>Lying in bed with C-spine collar.</t>
        </is>
      </c>
    </row>
    <row r="391">
      <c r="A391" t="inlineStr">
        <is>
          <t>47346-physical-examination-1-2</t>
        </is>
      </c>
      <c r="B391" t="inlineStr"/>
      <c r="C391" t="inlineStr"/>
      <c r="D391">
        <f>HYPERLINK("http://nlpdeep.cs.uic.edu:8080/proofing/t5/47346-physical-examination-1-2.pdf","t5/47346-physical-examination-1-2.pdf")</f>
        <v/>
      </c>
      <c r="E391" t="n">
        <v>118760</v>
      </c>
      <c r="F391" t="n">
        <v>47346</v>
      </c>
      <c r="G391" t="inlineStr">
        <is>
          <t>Discharge summary</t>
        </is>
      </c>
      <c r="H391" t="inlineStr">
        <is>
          <t>physical-examination</t>
        </is>
      </c>
      <c r="I391" t="inlineStr">
        <is>
          <t xml:space="preserve">
HEENT: Thyromegaly and lymphadenopathy could not be assessed due
to C-spine collar.</t>
        </is>
      </c>
    </row>
    <row r="392">
      <c r="A392" t="inlineStr">
        <is>
          <t>47346-physical-examination-1-2</t>
        </is>
      </c>
      <c r="B392" t="inlineStr"/>
      <c r="C392" t="inlineStr"/>
      <c r="D392">
        <f>HYPERLINK("http://nlpdeep.cs.uic.edu:8080/proofing/gsii/47346-physical-examination-1-2.pdf","gsii/47346-physical-examination-1-2.pdf")</f>
        <v/>
      </c>
      <c r="E392" t="n">
        <v>118760</v>
      </c>
      <c r="F392" t="n">
        <v>47346</v>
      </c>
      <c r="G392" t="inlineStr">
        <is>
          <t>Discharge summary</t>
        </is>
      </c>
      <c r="H392" t="inlineStr">
        <is>
          <t>physical-examination</t>
        </is>
      </c>
      <c r="I392" t="inlineStr">
        <is>
          <t xml:space="preserve">
HEENT: Thyromegaly and lymphadenopathy could not be assessed due
to C-spine collar.</t>
        </is>
      </c>
    </row>
    <row r="393">
      <c r="A393" t="inlineStr">
        <is>
          <t>47346-physical-examination-1-3</t>
        </is>
      </c>
      <c r="B393" t="inlineStr"/>
      <c r="C393" t="inlineStr"/>
      <c r="D393">
        <f>HYPERLINK("http://nlpdeep.cs.uic.edu:8080/proofing/t5/47346-physical-examination-1-3.pdf","t5/47346-physical-examination-1-3.pdf")</f>
        <v/>
      </c>
      <c r="E393" t="n">
        <v>118760</v>
      </c>
      <c r="F393" t="n">
        <v>47346</v>
      </c>
      <c r="G393" t="inlineStr">
        <is>
          <t>Discharge summary</t>
        </is>
      </c>
      <c r="H393" t="inlineStr">
        <is>
          <t>physical-examination</t>
        </is>
      </c>
      <c r="I393" t="inlineStr">
        <is>
          <t xml:space="preserve"> Sclera anicteric, MMM.</t>
        </is>
      </c>
    </row>
    <row r="394">
      <c r="A394" t="inlineStr">
        <is>
          <t>47346-physical-examination-1-3</t>
        </is>
      </c>
      <c r="B394" t="inlineStr"/>
      <c r="C394" t="inlineStr"/>
      <c r="D394">
        <f>HYPERLINK("http://nlpdeep.cs.uic.edu:8080/proofing/gsii/47346-physical-examination-1-3.pdf","gsii/47346-physical-examination-1-3.pdf")</f>
        <v/>
      </c>
      <c r="E394" t="n">
        <v>118760</v>
      </c>
      <c r="F394" t="n">
        <v>47346</v>
      </c>
      <c r="G394" t="inlineStr">
        <is>
          <t>Discharge summary</t>
        </is>
      </c>
      <c r="H394" t="inlineStr">
        <is>
          <t>physical-examination</t>
        </is>
      </c>
      <c r="I394" t="inlineStr">
        <is>
          <t xml:space="preserve"> Sclera anicteric, MMM.</t>
        </is>
      </c>
    </row>
    <row r="395">
      <c r="A395" t="inlineStr">
        <is>
          <t>47346-physical-examination-1-4</t>
        </is>
      </c>
      <c r="B395" t="inlineStr"/>
      <c r="C395" t="inlineStr"/>
      <c r="D395">
        <f>HYPERLINK("http://nlpdeep.cs.uic.edu:8080/proofing/t5/47346-physical-examination-1-4.pdf","t5/47346-physical-examination-1-4.pdf")</f>
        <v/>
      </c>
      <c r="E395" t="n">
        <v>118760</v>
      </c>
      <c r="F395" t="n">
        <v>47346</v>
      </c>
      <c r="G395" t="inlineStr">
        <is>
          <t>Discharge summary</t>
        </is>
      </c>
      <c r="H395" t="inlineStr">
        <is>
          <t>physical-examination</t>
        </is>
      </c>
      <c r="I395" t="inlineStr">
        <is>
          <t xml:space="preserve">
Chest: Lungs CTAB, no crackles, rhonchi, wheezing.</t>
        </is>
      </c>
    </row>
    <row r="396">
      <c r="A396" t="inlineStr">
        <is>
          <t>47346-physical-examination-1-4</t>
        </is>
      </c>
      <c r="B396" t="inlineStr"/>
      <c r="C396" t="inlineStr"/>
      <c r="D396">
        <f>HYPERLINK("http://nlpdeep.cs.uic.edu:8080/proofing/gsii/47346-physical-examination-1-4.pdf","gsii/47346-physical-examination-1-4.pdf")</f>
        <v/>
      </c>
      <c r="E396" t="n">
        <v>118760</v>
      </c>
      <c r="F396" t="n">
        <v>47346</v>
      </c>
      <c r="G396" t="inlineStr">
        <is>
          <t>Discharge summary</t>
        </is>
      </c>
      <c r="H396" t="inlineStr">
        <is>
          <t>physical-examination</t>
        </is>
      </c>
      <c r="I396" t="inlineStr">
        <is>
          <t xml:space="preserve">
Chest: Lungs CTAB, no crackles, rhonchi, wheezing.</t>
        </is>
      </c>
    </row>
    <row r="397">
      <c r="A397" t="inlineStr">
        <is>
          <t>47346-physical-examination-1-5</t>
        </is>
      </c>
      <c r="B397" t="inlineStr"/>
      <c r="C397" t="inlineStr"/>
      <c r="D397">
        <f>HYPERLINK("http://nlpdeep.cs.uic.edu:8080/proofing/t5/47346-physical-examination-1-5.pdf","t5/47346-physical-examination-1-5.pdf")</f>
        <v/>
      </c>
      <c r="E397" t="n">
        <v>118760</v>
      </c>
      <c r="F397" t="n">
        <v>47346</v>
      </c>
      <c r="G397" t="inlineStr">
        <is>
          <t>Discharge summary</t>
        </is>
      </c>
      <c r="H397" t="inlineStr">
        <is>
          <t>physical-examination</t>
        </is>
      </c>
      <c r="I397" t="inlineStr">
        <is>
          <t xml:space="preserve">
Cardiac: Regular rate and rhythym, nl S1 and S2.</t>
        </is>
      </c>
    </row>
    <row r="398">
      <c r="A398" t="inlineStr">
        <is>
          <t>47346-physical-examination-1-5</t>
        </is>
      </c>
      <c r="B398" t="inlineStr"/>
      <c r="C398" t="inlineStr"/>
      <c r="D398">
        <f>HYPERLINK("http://nlpdeep.cs.uic.edu:8080/proofing/gsii/47346-physical-examination-1-5.pdf","gsii/47346-physical-examination-1-5.pdf")</f>
        <v/>
      </c>
      <c r="E398" t="n">
        <v>118760</v>
      </c>
      <c r="F398" t="n">
        <v>47346</v>
      </c>
      <c r="G398" t="inlineStr">
        <is>
          <t>Discharge summary</t>
        </is>
      </c>
      <c r="H398" t="inlineStr">
        <is>
          <t>physical-examination</t>
        </is>
      </c>
      <c r="I398" t="inlineStr">
        <is>
          <t xml:space="preserve">
Cardiac: Regular rate and rhythym, nl S1 and S2.</t>
        </is>
      </c>
    </row>
    <row r="399">
      <c r="A399" t="inlineStr">
        <is>
          <t>47346-physical-examination-1-6</t>
        </is>
      </c>
      <c r="B399" t="inlineStr"/>
      <c r="C399" t="inlineStr"/>
      <c r="D399">
        <f>HYPERLINK("http://nlpdeep.cs.uic.edu:8080/proofing/t5/47346-physical-examination-1-6.pdf","t5/47346-physical-examination-1-6.pdf")</f>
        <v/>
      </c>
      <c r="E399" t="n">
        <v>118760</v>
      </c>
      <c r="F399" t="n">
        <v>47346</v>
      </c>
      <c r="G399" t="inlineStr">
        <is>
          <t>Discharge summary</t>
        </is>
      </c>
      <c r="H399" t="inlineStr">
        <is>
          <t>physical-examination</t>
        </is>
      </c>
      <c r="I399" t="inlineStr">
        <is>
          <t>Grade III/VI
systolic murmur heard best at right sternal border at 2nd
intercostal space.</t>
        </is>
      </c>
    </row>
    <row r="400">
      <c r="A400" t="inlineStr">
        <is>
          <t>47346-physical-examination-1-6</t>
        </is>
      </c>
      <c r="B400" t="inlineStr"/>
      <c r="C400" t="inlineStr"/>
      <c r="D400">
        <f>HYPERLINK("http://nlpdeep.cs.uic.edu:8080/proofing/gsii/47346-physical-examination-1-6.pdf","gsii/47346-physical-examination-1-6.pdf")</f>
        <v/>
      </c>
      <c r="E400" t="n">
        <v>118760</v>
      </c>
      <c r="F400" t="n">
        <v>47346</v>
      </c>
      <c r="G400" t="inlineStr">
        <is>
          <t>Discharge summary</t>
        </is>
      </c>
      <c r="H400" t="inlineStr">
        <is>
          <t>physical-examination</t>
        </is>
      </c>
      <c r="I400" t="inlineStr">
        <is>
          <t>Grade III/VI
systolic murmur heard best at right sternal border at 2nd
intercostal space.</t>
        </is>
      </c>
    </row>
    <row r="401">
      <c r="A401" t="inlineStr">
        <is>
          <t>47346-physical-examination-1-7</t>
        </is>
      </c>
      <c r="B401" t="inlineStr"/>
      <c r="C401" t="inlineStr"/>
      <c r="D401">
        <f>HYPERLINK("http://nlpdeep.cs.uic.edu:8080/proofing/t5/47346-physical-examination-1-7.pdf","t5/47346-physical-examination-1-7.pdf")</f>
        <v/>
      </c>
      <c r="E401" t="n">
        <v>118760</v>
      </c>
      <c r="F401" t="n">
        <v>47346</v>
      </c>
      <c r="G401" t="inlineStr">
        <is>
          <t>Discharge summary</t>
        </is>
      </c>
      <c r="H401" t="inlineStr">
        <is>
          <t>physical-examination</t>
        </is>
      </c>
      <c r="I401" t="inlineStr">
        <is>
          <t xml:space="preserve">
Abdomen: Large midline scars from sternotomy and AAA repair
visible.</t>
        </is>
      </c>
    </row>
    <row r="402">
      <c r="A402" t="inlineStr">
        <is>
          <t>47346-physical-examination-1-7</t>
        </is>
      </c>
      <c r="B402" t="inlineStr"/>
      <c r="C402" t="inlineStr"/>
      <c r="D402">
        <f>HYPERLINK("http://nlpdeep.cs.uic.edu:8080/proofing/gsii/47346-physical-examination-1-7.pdf","gsii/47346-physical-examination-1-7.pdf")</f>
        <v/>
      </c>
      <c r="E402" t="n">
        <v>118760</v>
      </c>
      <c r="F402" t="n">
        <v>47346</v>
      </c>
      <c r="G402" t="inlineStr">
        <is>
          <t>Discharge summary</t>
        </is>
      </c>
      <c r="H402" t="inlineStr">
        <is>
          <t>physical-examination</t>
        </is>
      </c>
      <c r="I402" t="inlineStr">
        <is>
          <t xml:space="preserve">
Abdomen: Large midline scars from sternotomy and AAA repair
visible.</t>
        </is>
      </c>
    </row>
    <row r="403">
      <c r="A403" t="inlineStr">
        <is>
          <t>47346-physical-examination-1-8</t>
        </is>
      </c>
      <c r="B403" t="inlineStr"/>
      <c r="C403" t="inlineStr"/>
      <c r="D403">
        <f>HYPERLINK("http://nlpdeep.cs.uic.edu:8080/proofing/t5/47346-physical-examination-1-8.pdf","t5/47346-physical-examination-1-8.pdf")</f>
        <v/>
      </c>
      <c r="E403" t="n">
        <v>118760</v>
      </c>
      <c r="F403" t="n">
        <v>47346</v>
      </c>
      <c r="G403" t="inlineStr">
        <is>
          <t>Discharge summary</t>
        </is>
      </c>
      <c r="H403" t="inlineStr">
        <is>
          <t>physical-examination</t>
        </is>
      </c>
      <c r="I403" t="inlineStr">
        <is>
          <t>Normal bowel sounds/
Back: Not assessed due condition.</t>
        </is>
      </c>
    </row>
    <row r="404">
      <c r="A404" t="inlineStr">
        <is>
          <t>47346-physical-examination-1-8</t>
        </is>
      </c>
      <c r="B404" t="inlineStr"/>
      <c r="C404" t="inlineStr"/>
      <c r="D404">
        <f>HYPERLINK("http://nlpdeep.cs.uic.edu:8080/proofing/gsii/47346-physical-examination-1-8.pdf","gsii/47346-physical-examination-1-8.pdf")</f>
        <v/>
      </c>
      <c r="E404" t="n">
        <v>118760</v>
      </c>
      <c r="F404" t="n">
        <v>47346</v>
      </c>
      <c r="G404" t="inlineStr">
        <is>
          <t>Discharge summary</t>
        </is>
      </c>
      <c r="H404" t="inlineStr">
        <is>
          <t>physical-examination</t>
        </is>
      </c>
      <c r="I404" t="inlineStr">
        <is>
          <t>Normal bowel sounds/
Back: Not assessed due condition.</t>
        </is>
      </c>
    </row>
    <row r="405">
      <c r="A405" t="inlineStr">
        <is>
          <t>47346-physical-examination-1-9</t>
        </is>
      </c>
      <c r="B405" t="inlineStr"/>
      <c r="C405" t="inlineStr"/>
      <c r="D405">
        <f>HYPERLINK("http://nlpdeep.cs.uic.edu:8080/proofing/t5/47346-physical-examination-1-9.pdf","t5/47346-physical-examination-1-9.pdf")</f>
        <v/>
      </c>
      <c r="E405" t="n">
        <v>118760</v>
      </c>
      <c r="F405" t="n">
        <v>47346</v>
      </c>
      <c r="G405" t="inlineStr">
        <is>
          <t>Discharge summary</t>
        </is>
      </c>
      <c r="H405" t="inlineStr">
        <is>
          <t>physical-examination</t>
        </is>
      </c>
      <c r="I405" t="inlineStr">
        <is>
          <t xml:space="preserve">
Ext: No cyanosis, clubbing.</t>
        </is>
      </c>
    </row>
    <row r="406">
      <c r="A406" t="inlineStr">
        <is>
          <t>47346-physical-examination-1-9</t>
        </is>
      </c>
      <c r="B406" t="inlineStr"/>
      <c r="C406" t="inlineStr"/>
      <c r="D406">
        <f>HYPERLINK("http://nlpdeep.cs.uic.edu:8080/proofing/gsii/47346-physical-examination-1-9.pdf","gsii/47346-physical-examination-1-9.pdf")</f>
        <v/>
      </c>
      <c r="E406" t="n">
        <v>118760</v>
      </c>
      <c r="F406" t="n">
        <v>47346</v>
      </c>
      <c r="G406" t="inlineStr">
        <is>
          <t>Discharge summary</t>
        </is>
      </c>
      <c r="H406" t="inlineStr">
        <is>
          <t>physical-examination</t>
        </is>
      </c>
      <c r="I406" t="inlineStr">
        <is>
          <t xml:space="preserve">
Ext: No cyanosis, clubbing.</t>
        </is>
      </c>
    </row>
    <row r="407">
      <c r="A407" t="inlineStr">
        <is>
          <t>47346-physical-examination-1-10</t>
        </is>
      </c>
      <c r="B407" t="inlineStr"/>
      <c r="C407" t="inlineStr"/>
      <c r="D407">
        <f>HYPERLINK("http://nlpdeep.cs.uic.edu:8080/proofing/t5/47346-physical-examination-1-10.pdf","t5/47346-physical-examination-1-10.pdf")</f>
        <v/>
      </c>
      <c r="E407" t="n">
        <v>118760</v>
      </c>
      <c r="F407" t="n">
        <v>47346</v>
      </c>
      <c r="G407" t="inlineStr">
        <is>
          <t>Discharge summary</t>
        </is>
      </c>
      <c r="H407" t="inlineStr">
        <is>
          <t>physical-examination</t>
        </is>
      </c>
      <c r="I407" t="inlineStr">
        <is>
          <t>1+ pitting edema in LE bilaterally.</t>
        </is>
      </c>
    </row>
    <row r="408">
      <c r="A408" t="inlineStr">
        <is>
          <t>47346-physical-examination-1-10</t>
        </is>
      </c>
      <c r="B408" t="inlineStr"/>
      <c r="C408" t="inlineStr"/>
      <c r="D408">
        <f>HYPERLINK("http://nlpdeep.cs.uic.edu:8080/proofing/gsii/47346-physical-examination-1-10.pdf","gsii/47346-physical-examination-1-10.pdf")</f>
        <v/>
      </c>
      <c r="E408" t="n">
        <v>118760</v>
      </c>
      <c r="F408" t="n">
        <v>47346</v>
      </c>
      <c r="G408" t="inlineStr">
        <is>
          <t>Discharge summary</t>
        </is>
      </c>
      <c r="H408" t="inlineStr">
        <is>
          <t>physical-examination</t>
        </is>
      </c>
      <c r="I408" t="inlineStr">
        <is>
          <t>1+ pitting edema in LE bilaterally.</t>
        </is>
      </c>
    </row>
    <row r="409">
      <c r="A409" t="inlineStr">
        <is>
          <t>47346-physical-examination-1-11</t>
        </is>
      </c>
      <c r="B409" t="inlineStr"/>
      <c r="C409" t="inlineStr"/>
      <c r="D409">
        <f>HYPERLINK("http://nlpdeep.cs.uic.edu:8080/proofing/t5/47346-physical-examination-1-11.pdf","t5/47346-physical-examination-1-11.pdf")</f>
        <v/>
      </c>
      <c r="E409" t="n">
        <v>118760</v>
      </c>
      <c r="F409" t="n">
        <v>47346</v>
      </c>
      <c r="G409" t="inlineStr">
        <is>
          <t>Discharge summary</t>
        </is>
      </c>
      <c r="H409" t="inlineStr">
        <is>
          <t>physical-examination</t>
        </is>
      </c>
      <c r="I409" t="inlineStr">
        <is>
          <t xml:space="preserve">
Skin: Multiple bruises throughout hands.</t>
        </is>
      </c>
    </row>
    <row r="410">
      <c r="A410" t="inlineStr">
        <is>
          <t>47346-physical-examination-1-11</t>
        </is>
      </c>
      <c r="B410" t="inlineStr"/>
      <c r="C410" t="inlineStr"/>
      <c r="D410">
        <f>HYPERLINK("http://nlpdeep.cs.uic.edu:8080/proofing/gsii/47346-physical-examination-1-11.pdf","gsii/47346-physical-examination-1-11.pdf")</f>
        <v/>
      </c>
      <c r="E410" t="n">
        <v>118760</v>
      </c>
      <c r="F410" t="n">
        <v>47346</v>
      </c>
      <c r="G410" t="inlineStr">
        <is>
          <t>Discharge summary</t>
        </is>
      </c>
      <c r="H410" t="inlineStr">
        <is>
          <t>physical-examination</t>
        </is>
      </c>
      <c r="I410" t="inlineStr">
        <is>
          <t xml:space="preserve">
Skin: Multiple bruises throughout hands.</t>
        </is>
      </c>
    </row>
    <row r="411">
      <c r="A411" t="inlineStr">
        <is>
          <t>47346-physical-examination-1-12</t>
        </is>
      </c>
      <c r="B411" t="inlineStr"/>
      <c r="C411" t="inlineStr"/>
      <c r="D411">
        <f>HYPERLINK("http://nlpdeep.cs.uic.edu:8080/proofing/t5/47346-physical-examination-1-12.pdf","t5/47346-physical-examination-1-12.pdf")</f>
        <v/>
      </c>
      <c r="E411" t="n">
        <v>118760</v>
      </c>
      <c r="F411" t="n">
        <v>47346</v>
      </c>
      <c r="G411" t="inlineStr">
        <is>
          <t>Discharge summary</t>
        </is>
      </c>
      <c r="H411" t="inlineStr">
        <is>
          <t>physical-examination</t>
        </is>
      </c>
      <c r="I411" t="inlineStr">
        <is>
          <t>Several bandages
(including on right deltoid and left forearm) covering ruptured
blisters from bullous pemphigoid, several other lesions visible.</t>
        </is>
      </c>
    </row>
    <row r="412">
      <c r="A412" t="inlineStr">
        <is>
          <t>47346-physical-examination-1-12</t>
        </is>
      </c>
      <c r="B412" t="inlineStr"/>
      <c r="C412" t="inlineStr"/>
      <c r="D412">
        <f>HYPERLINK("http://nlpdeep.cs.uic.edu:8080/proofing/gsii/47346-physical-examination-1-12.pdf","gsii/47346-physical-examination-1-12.pdf")</f>
        <v/>
      </c>
      <c r="E412" t="n">
        <v>118760</v>
      </c>
      <c r="F412" t="n">
        <v>47346</v>
      </c>
      <c r="G412" t="inlineStr">
        <is>
          <t>Discharge summary</t>
        </is>
      </c>
      <c r="H412" t="inlineStr">
        <is>
          <t>physical-examination</t>
        </is>
      </c>
      <c r="I412" t="inlineStr">
        <is>
          <t>Several bandages
(including on right deltoid and left forearm) covering ruptured
blisters from bullous pemphigoid, several other lesions visible.</t>
        </is>
      </c>
    </row>
    <row r="413">
      <c r="A413" t="inlineStr">
        <is>
          <t>47346-physical-examination-1-13</t>
        </is>
      </c>
      <c r="B413" t="inlineStr"/>
      <c r="C413" t="inlineStr"/>
      <c r="D413">
        <f>HYPERLINK("http://nlpdeep.cs.uic.edu:8080/proofing/t5/47346-physical-examination-1-13.pdf","t5/47346-physical-examination-1-13.pdf")</f>
        <v/>
      </c>
      <c r="E413" t="n">
        <v>118760</v>
      </c>
      <c r="F413" t="n">
        <v>47346</v>
      </c>
      <c r="G413" t="inlineStr">
        <is>
          <t>Discharge summary</t>
        </is>
      </c>
      <c r="H413" t="inlineStr">
        <is>
          <t>physical-examination</t>
        </is>
      </c>
      <c r="I413" t="inlineStr">
        <is>
          <t xml:space="preserve">
Neuro:
   Mental status: Alert and oriented x3, 30/30 on mini-mental
status.</t>
        </is>
      </c>
    </row>
    <row r="414">
      <c r="A414" t="inlineStr">
        <is>
          <t>47346-physical-examination-1-13</t>
        </is>
      </c>
      <c r="B414" t="inlineStr"/>
      <c r="C414" t="inlineStr"/>
      <c r="D414">
        <f>HYPERLINK("http://nlpdeep.cs.uic.edu:8080/proofing/gsii/47346-physical-examination-1-13.pdf","gsii/47346-physical-examination-1-13.pdf")</f>
        <v/>
      </c>
      <c r="E414" t="n">
        <v>118760</v>
      </c>
      <c r="F414" t="n">
        <v>47346</v>
      </c>
      <c r="G414" t="inlineStr">
        <is>
          <t>Discharge summary</t>
        </is>
      </c>
      <c r="H414" t="inlineStr">
        <is>
          <t>physical-examination</t>
        </is>
      </c>
      <c r="I414" t="inlineStr">
        <is>
          <t xml:space="preserve">
Neuro:
   Mental status: Alert and oriented x3, 30/30 on mini-mental
status.</t>
        </is>
      </c>
    </row>
    <row r="415">
      <c r="A415" t="inlineStr">
        <is>
          <t>47346-physical-examination-1-14</t>
        </is>
      </c>
      <c r="B415" t="inlineStr"/>
      <c r="C415" t="inlineStr"/>
      <c r="D415">
        <f>HYPERLINK("http://nlpdeep.cs.uic.edu:8080/proofing/t5/47346-physical-examination-1-14.pdf","t5/47346-physical-examination-1-14.pdf")</f>
        <v/>
      </c>
      <c r="E415" t="n">
        <v>118760</v>
      </c>
      <c r="F415" t="n">
        <v>47346</v>
      </c>
      <c r="G415" t="inlineStr">
        <is>
          <t>Discharge summary</t>
        </is>
      </c>
      <c r="H415" t="inlineStr">
        <is>
          <t>physical-examination</t>
        </is>
      </c>
      <c r="I415" t="inlineStr">
        <is>
          <t xml:space="preserve">
   Cranial Nerves: II-XII intact, could not assess SCM (C-spine
collar).</t>
        </is>
      </c>
    </row>
    <row r="416">
      <c r="A416" t="inlineStr">
        <is>
          <t>47346-physical-examination-1-14</t>
        </is>
      </c>
      <c r="B416" t="inlineStr"/>
      <c r="C416" t="inlineStr"/>
      <c r="D416">
        <f>HYPERLINK("http://nlpdeep.cs.uic.edu:8080/proofing/gsii/47346-physical-examination-1-14.pdf","gsii/47346-physical-examination-1-14.pdf")</f>
        <v/>
      </c>
      <c r="E416" t="n">
        <v>118760</v>
      </c>
      <c r="F416" t="n">
        <v>47346</v>
      </c>
      <c r="G416" t="inlineStr">
        <is>
          <t>Discharge summary</t>
        </is>
      </c>
      <c r="H416" t="inlineStr">
        <is>
          <t>physical-examination</t>
        </is>
      </c>
      <c r="I416" t="inlineStr">
        <is>
          <t xml:space="preserve">
   Cranial Nerves: II-XII intact, could not assess SCM (C-spine
collar).</t>
        </is>
      </c>
    </row>
    <row r="417">
      <c r="A417" t="inlineStr">
        <is>
          <t>47346-physical-examination-1-15</t>
        </is>
      </c>
      <c r="B417" t="inlineStr"/>
      <c r="C417" t="inlineStr"/>
      <c r="D417">
        <f>HYPERLINK("http://nlpdeep.cs.uic.edu:8080/proofing/t5/47346-physical-examination-1-15.pdf","t5/47346-physical-examination-1-15.pdf")</f>
        <v/>
      </c>
      <c r="E417" t="n">
        <v>118760</v>
      </c>
      <c r="F417" t="n">
        <v>47346</v>
      </c>
      <c r="G417" t="inlineStr">
        <is>
          <t>Discharge summary</t>
        </is>
      </c>
      <c r="H417" t="inlineStr">
        <is>
          <t>physical-examination</t>
        </is>
      </c>
      <c r="I417" t="inlineStr">
        <is>
          <t>Left [**Doctor First Name 2281**] symmetric, likely [**12-31**] catarac surgery.</t>
        </is>
      </c>
    </row>
    <row r="418">
      <c r="A418" t="inlineStr">
        <is>
          <t>47346-physical-examination-1-15</t>
        </is>
      </c>
      <c r="B418" t="inlineStr"/>
      <c r="C418" t="inlineStr"/>
      <c r="D418">
        <f>HYPERLINK("http://nlpdeep.cs.uic.edu:8080/proofing/gsii/47346-physical-examination-1-15.pdf","gsii/47346-physical-examination-1-15.pdf")</f>
        <v/>
      </c>
      <c r="E418" t="n">
        <v>118760</v>
      </c>
      <c r="F418" t="n">
        <v>47346</v>
      </c>
      <c r="G418" t="inlineStr">
        <is>
          <t>Discharge summary</t>
        </is>
      </c>
      <c r="H418" t="inlineStr">
        <is>
          <t>physical-examination</t>
        </is>
      </c>
      <c r="I418" t="inlineStr">
        <is>
          <t>Left [**Doctor First Name 2281**] symmetric, likely [**12-31**] catarac surgery.</t>
        </is>
      </c>
    </row>
    <row r="419">
      <c r="A419" t="inlineStr">
        <is>
          <t>47346-physical-examination-1-16</t>
        </is>
      </c>
      <c r="B419" t="inlineStr"/>
      <c r="C419" t="inlineStr"/>
      <c r="D419">
        <f>HYPERLINK("http://nlpdeep.cs.uic.edu:8080/proofing/t5/47346-physical-examination-1-16.pdf","t5/47346-physical-examination-1-16.pdf")</f>
        <v/>
      </c>
      <c r="E419" t="n">
        <v>118760</v>
      </c>
      <c r="F419" t="n">
        <v>47346</v>
      </c>
      <c r="G419" t="inlineStr">
        <is>
          <t>Discharge summary</t>
        </is>
      </c>
      <c r="H419" t="inlineStr">
        <is>
          <t>physical-examination</t>
        </is>
      </c>
      <c r="I419" t="inlineStr">
        <is>
          <t>Mild
facial asymmetry (lip droop) which patient states he has had
since a child.</t>
        </is>
      </c>
    </row>
    <row r="420">
      <c r="A420" t="inlineStr">
        <is>
          <t>47346-physical-examination-1-16</t>
        </is>
      </c>
      <c r="B420" t="inlineStr"/>
      <c r="C420" t="inlineStr"/>
      <c r="D420">
        <f>HYPERLINK("http://nlpdeep.cs.uic.edu:8080/proofing/gsii/47346-physical-examination-1-16.pdf","gsii/47346-physical-examination-1-16.pdf")</f>
        <v/>
      </c>
      <c r="E420" t="n">
        <v>118760</v>
      </c>
      <c r="F420" t="n">
        <v>47346</v>
      </c>
      <c r="G420" t="inlineStr">
        <is>
          <t>Discharge summary</t>
        </is>
      </c>
      <c r="H420" t="inlineStr">
        <is>
          <t>physical-examination</t>
        </is>
      </c>
      <c r="I420" t="inlineStr">
        <is>
          <t>Mild
facial asymmetry (lip droop) which patient states he has had
since a child.</t>
        </is>
      </c>
    </row>
    <row r="421">
      <c r="A421" t="inlineStr">
        <is>
          <t>47346-physical-examination-1-17</t>
        </is>
      </c>
      <c r="B421" t="inlineStr"/>
      <c r="C421" t="inlineStr"/>
      <c r="D421">
        <f>HYPERLINK("http://nlpdeep.cs.uic.edu:8080/proofing/t5/47346-physical-examination-1-17.pdf","t5/47346-physical-examination-1-17.pdf")</f>
        <v/>
      </c>
      <c r="E421" t="n">
        <v>118760</v>
      </c>
      <c r="F421" t="n">
        <v>47346</v>
      </c>
      <c r="G421" t="inlineStr">
        <is>
          <t>Discharge summary</t>
        </is>
      </c>
      <c r="H421" t="inlineStr">
        <is>
          <t>physical-examination</t>
        </is>
      </c>
      <c r="I421" t="inlineStr">
        <is>
          <t xml:space="preserve">
   Sensory: Intact to light touch throughout, and to
proprioception.</t>
        </is>
      </c>
    </row>
    <row r="422">
      <c r="A422" t="inlineStr">
        <is>
          <t>47346-physical-examination-1-17</t>
        </is>
      </c>
      <c r="B422" t="inlineStr"/>
      <c r="C422" t="inlineStr"/>
      <c r="D422">
        <f>HYPERLINK("http://nlpdeep.cs.uic.edu:8080/proofing/gsii/47346-physical-examination-1-17.pdf","gsii/47346-physical-examination-1-17.pdf")</f>
        <v/>
      </c>
      <c r="E422" t="n">
        <v>118760</v>
      </c>
      <c r="F422" t="n">
        <v>47346</v>
      </c>
      <c r="G422" t="inlineStr">
        <is>
          <t>Discharge summary</t>
        </is>
      </c>
      <c r="H422" t="inlineStr">
        <is>
          <t>physical-examination</t>
        </is>
      </c>
      <c r="I422" t="inlineStr">
        <is>
          <t xml:space="preserve">
   Sensory: Intact to light touch throughout, and to
proprioception.</t>
        </is>
      </c>
    </row>
    <row r="423">
      <c r="A423" t="inlineStr">
        <is>
          <t>47346-physical-examination-1-18</t>
        </is>
      </c>
      <c r="B423" t="inlineStr"/>
      <c r="C423" t="inlineStr"/>
      <c r="D423">
        <f>HYPERLINK("http://nlpdeep.cs.uic.edu:8080/proofing/t5/47346-physical-examination-1-18.pdf","t5/47346-physical-examination-1-18.pdf")</f>
        <v/>
      </c>
      <c r="E423" t="n">
        <v>118760</v>
      </c>
      <c r="F423" t="n">
        <v>47346</v>
      </c>
      <c r="G423" t="inlineStr">
        <is>
          <t>Discharge summary</t>
        </is>
      </c>
      <c r="H423" t="inlineStr">
        <is>
          <t>physical-examination</t>
        </is>
      </c>
      <c r="I423" t="inlineStr">
        <is>
          <t xml:space="preserve">
   Motor: Normal bulk and tone.</t>
        </is>
      </c>
    </row>
    <row r="424">
      <c r="A424" t="inlineStr">
        <is>
          <t>47346-physical-examination-1-18</t>
        </is>
      </c>
      <c r="B424" t="inlineStr"/>
      <c r="C424" t="inlineStr"/>
      <c r="D424">
        <f>HYPERLINK("http://nlpdeep.cs.uic.edu:8080/proofing/gsii/47346-physical-examination-1-18.pdf","gsii/47346-physical-examination-1-18.pdf")</f>
        <v/>
      </c>
      <c r="E424" t="n">
        <v>118760</v>
      </c>
      <c r="F424" t="n">
        <v>47346</v>
      </c>
      <c r="G424" t="inlineStr">
        <is>
          <t>Discharge summary</t>
        </is>
      </c>
      <c r="H424" t="inlineStr">
        <is>
          <t>physical-examination</t>
        </is>
      </c>
      <c r="I424" t="inlineStr">
        <is>
          <t xml:space="preserve">
   Motor: Normal bulk and tone.</t>
        </is>
      </c>
    </row>
    <row r="425">
      <c r="A425" t="inlineStr">
        <is>
          <t>47346-physical-examination-1-19</t>
        </is>
      </c>
      <c r="B425" t="inlineStr"/>
      <c r="C425" t="inlineStr"/>
      <c r="D425">
        <f>HYPERLINK("http://nlpdeep.cs.uic.edu:8080/proofing/t5/47346-physical-examination-1-19.pdf","t5/47346-physical-examination-1-19.pdf")</f>
        <v/>
      </c>
      <c r="E425" t="n">
        <v>118760</v>
      </c>
      <c r="F425" t="n">
        <v>47346</v>
      </c>
      <c r="G425" t="inlineStr">
        <is>
          <t>Discharge summary</t>
        </is>
      </c>
      <c r="H425" t="inlineStr">
        <is>
          <t>physical-examination</t>
        </is>
      </c>
      <c r="I425" t="inlineStr">
        <is>
          <t>Diffuse weakness present
throughout, especially in UE extensors and IPs.</t>
        </is>
      </c>
    </row>
    <row r="426">
      <c r="A426" t="inlineStr">
        <is>
          <t>47346-physical-examination-1-19</t>
        </is>
      </c>
      <c r="B426" t="inlineStr"/>
      <c r="C426" t="inlineStr"/>
      <c r="D426">
        <f>HYPERLINK("http://nlpdeep.cs.uic.edu:8080/proofing/gsii/47346-physical-examination-1-19.pdf","gsii/47346-physical-examination-1-19.pdf")</f>
        <v/>
      </c>
      <c r="E426" t="n">
        <v>118760</v>
      </c>
      <c r="F426" t="n">
        <v>47346</v>
      </c>
      <c r="G426" t="inlineStr">
        <is>
          <t>Discharge summary</t>
        </is>
      </c>
      <c r="H426" t="inlineStr">
        <is>
          <t>physical-examination</t>
        </is>
      </c>
      <c r="I426" t="inlineStr">
        <is>
          <t>Diffuse weakness present
throughout, especially in UE extensors and IPs.</t>
        </is>
      </c>
    </row>
    <row r="427">
      <c r="A427" t="inlineStr">
        <is>
          <t>47346-physical-examination-1-20</t>
        </is>
      </c>
      <c r="B427" t="inlineStr"/>
      <c r="C427" t="inlineStr"/>
      <c r="D427">
        <f>HYPERLINK("http://nlpdeep.cs.uic.edu:8080/proofing/t5/47346-physical-examination-1-20.pdf","t5/47346-physical-examination-1-20.pdf")</f>
        <v/>
      </c>
      <c r="E427" t="n">
        <v>118760</v>
      </c>
      <c r="F427" t="n">
        <v>47346</v>
      </c>
      <c r="G427" t="inlineStr">
        <is>
          <t>Discharge summary</t>
        </is>
      </c>
      <c r="H427" t="inlineStr">
        <is>
          <t>physical-examination</t>
        </is>
      </c>
      <c r="I427" t="inlineStr">
        <is>
          <t xml:space="preserve">
    Delt Bic Tri  WrE FinEx IP Quad ham DF  PF
L  5    4+  4    4    4      3   4   4  4+  5
R  4+   4+  4    4+   4      3   4   4  4+  5
   Gait: Not assessed due to clinical condition.</t>
        </is>
      </c>
    </row>
    <row r="428">
      <c r="A428" t="inlineStr">
        <is>
          <t>47346-physical-examination-1-20</t>
        </is>
      </c>
      <c r="B428" t="inlineStr"/>
      <c r="C428" t="inlineStr"/>
      <c r="D428">
        <f>HYPERLINK("http://nlpdeep.cs.uic.edu:8080/proofing/gsii/47346-physical-examination-1-20.pdf","gsii/47346-physical-examination-1-20.pdf")</f>
        <v/>
      </c>
      <c r="E428" t="n">
        <v>118760</v>
      </c>
      <c r="F428" t="n">
        <v>47346</v>
      </c>
      <c r="G428" t="inlineStr">
        <is>
          <t>Discharge summary</t>
        </is>
      </c>
      <c r="H428" t="inlineStr">
        <is>
          <t>physical-examination</t>
        </is>
      </c>
      <c r="I428" t="inlineStr">
        <is>
          <t xml:space="preserve">
    Delt Bic Tri  WrE FinEx IP Quad ham DF  PF
L  5    4+  4    4    4      3   4   4  4+  5
R  4+   4+  4    4+   4      3   4   4  4+  5
   Gait: Not assessed due to clinical condition.</t>
        </is>
      </c>
    </row>
    <row r="429">
      <c r="A429" t="inlineStr">
        <is>
          <t>47346-labs-imaging-0-0</t>
        </is>
      </c>
      <c r="B429" t="inlineStr"/>
      <c r="C429" t="inlineStr"/>
      <c r="D429">
        <f>HYPERLINK("http://nlpdeep.cs.uic.edu:8080/proofing/t5/47346-labs-imaging-0-0.pdf","t5/47346-labs-imaging-0-0.pdf")</f>
        <v/>
      </c>
      <c r="E429" t="n">
        <v>118760</v>
      </c>
      <c r="F429" t="n">
        <v>47346</v>
      </c>
      <c r="G429" t="inlineStr">
        <is>
          <t>Discharge summary</t>
        </is>
      </c>
      <c r="H429" t="inlineStr">
        <is>
          <t>labs-imaging</t>
        </is>
      </c>
      <c r="I429" t="inlineStr">
        <is>
          <t>ADMISSION LABS:
===============
[**2132-9-21**] 09:00PM   WBC-14.1* RBC-4.22* HGB-14.0 HCT-44.5#
MCV-106*# MCH-33.3* MCHC-31.6 RDW-16.7*
[**2132-9-21**] 09:00PM   NEUTS-84.1* LYMPHS-9.4* MONOS-3.6 EOS-2.2
BASOS-0.7
[**2132-9-21**] 09:00PM   PLT COUNT-207
[**2132-9-21**] 09:00PM   PT-13.9* PTT-30.2 INR(PT)-1.2*
[**2132-9-21**] 09:00PM   ASA-NEG ETHANOL-NEG ACETMNPHN-NEG
bnzodzpn-NEG barbitrt-NEG tricyclic-NEG
[**2132-9-21**] 09:00PM   ALT(SGPT)-28 AST(SGOT)-48* LD(LDH)-337* ALK
PHOS-173* TOT BILI-0.3
[**2132-9-21**] 09:00PM   CALCIUM-8.8 PHOSPHATE-10.2*# MAGNESIUM-2.4
[**2132-9-21**] 09:00PM   GLUCOSE-128* UREA N-91* CREAT-9.0*#
SODIUM-137 POTASSIUM-5.0 CHLORIDE-92* TOTAL CO2-24 ANION GAP-26*</t>
        </is>
      </c>
    </row>
    <row r="430">
      <c r="A430" t="inlineStr">
        <is>
          <t>47346-labs-imaging-0-0</t>
        </is>
      </c>
      <c r="B430" t="inlineStr"/>
      <c r="C430" t="inlineStr"/>
      <c r="D430">
        <f>HYPERLINK("http://nlpdeep.cs.uic.edu:8080/proofing/gsii/47346-labs-imaging-0-0.pdf","gsii/47346-labs-imaging-0-0.pdf")</f>
        <v/>
      </c>
      <c r="E430" t="n">
        <v>118760</v>
      </c>
      <c r="F430" t="n">
        <v>47346</v>
      </c>
      <c r="G430" t="inlineStr">
        <is>
          <t>Discharge summary</t>
        </is>
      </c>
      <c r="H430" t="inlineStr">
        <is>
          <t>labs-imaging</t>
        </is>
      </c>
      <c r="I430" t="inlineStr">
        <is>
          <t>ADMISSION LABS:
===============
[**2132-9-21**] 09:00PM   WBC-14.1* RBC-4.22* HGB-14.0 HCT-44.5#
MCV-106*# MCH-33.3* MCHC-31.6 RDW-16.7*
[**2132-9-21**] 09:00PM   NEUTS-84.1* LYMPHS-9.4* MONOS-3.6 EOS-2.2
BASOS-0.7
[**2132-9-21**] 09:00PM   PLT COUNT-207
[**2132-9-21**] 09:00PM   PT-13.9* PTT-30.2 INR(PT)-1.2*
[**2132-9-21**] 09:00PM   ASA-NEG ETHANOL-NEG ACETMNPHN-NEG
bnzodzpn-NEG barbitrt-NEG tricyclic-NEG
[**2132-9-21**] 09:00PM   ALT(SGPT)-28 AST(SGOT)-48* LD(LDH)-337* ALK
PHOS-173* TOT BILI-0.3
[**2132-9-21**] 09:00PM   CALCIUM-8.8 PHOSPHATE-10.2*# MAGNESIUM-2.4
[**2132-9-21**] 09:00PM   GLUCOSE-128* UREA N-91* CREAT-9.0*#
SODIUM-137 POTASSIUM-5.0 CHLORIDE-92* TOTAL CO2-24 ANION GAP-26*</t>
        </is>
      </c>
    </row>
    <row r="431">
      <c r="A431" t="inlineStr">
        <is>
          <t>47346-labs-imaging-0-1</t>
        </is>
      </c>
      <c r="B431" t="inlineStr"/>
      <c r="C431" t="inlineStr"/>
      <c r="D431">
        <f>HYPERLINK("http://nlpdeep.cs.uic.edu:8080/proofing/t5/47346-labs-imaging-0-1.pdf","t5/47346-labs-imaging-0-1.pdf")</f>
        <v/>
      </c>
      <c r="E431" t="n">
        <v>118760</v>
      </c>
      <c r="F431" t="n">
        <v>47346</v>
      </c>
      <c r="G431" t="inlineStr">
        <is>
          <t>Discharge summary</t>
        </is>
      </c>
      <c r="H431" t="inlineStr">
        <is>
          <t>labs-imaging</t>
        </is>
      </c>
      <c r="I431" t="inlineStr"/>
    </row>
    <row r="432">
      <c r="A432" t="inlineStr">
        <is>
          <t>47346-labs-imaging-0-1</t>
        </is>
      </c>
      <c r="B432" t="inlineStr"/>
      <c r="C432" t="inlineStr"/>
      <c r="D432">
        <f>HYPERLINK("http://nlpdeep.cs.uic.edu:8080/proofing/gsii/47346-labs-imaging-0-1.pdf","gsii/47346-labs-imaging-0-1.pdf")</f>
        <v/>
      </c>
      <c r="E432" t="n">
        <v>118760</v>
      </c>
      <c r="F432" t="n">
        <v>47346</v>
      </c>
      <c r="G432" t="inlineStr">
        <is>
          <t>Discharge summary</t>
        </is>
      </c>
      <c r="H432" t="inlineStr">
        <is>
          <t>labs-imaging</t>
        </is>
      </c>
      <c r="I432" t="inlineStr"/>
    </row>
    <row r="433">
      <c r="A433" t="inlineStr">
        <is>
          <t>47346-labs-imaging-1-0</t>
        </is>
      </c>
      <c r="B433" t="inlineStr"/>
      <c r="C433" t="inlineStr"/>
      <c r="D433">
        <f>HYPERLINK("http://nlpdeep.cs.uic.edu:8080/proofing/t5/47346-labs-imaging-1-0.pdf","t5/47346-labs-imaging-1-0.pdf")</f>
        <v/>
      </c>
      <c r="E433" t="n">
        <v>118760</v>
      </c>
      <c r="F433" t="n">
        <v>47346</v>
      </c>
      <c r="G433" t="inlineStr">
        <is>
          <t>Discharge summary</t>
        </is>
      </c>
      <c r="H433" t="inlineStr">
        <is>
          <t>labs-imaging</t>
        </is>
      </c>
      <c r="I433" t="inlineStr"/>
    </row>
    <row r="434">
      <c r="A434" t="inlineStr">
        <is>
          <t>47346-labs-imaging-1-0</t>
        </is>
      </c>
      <c r="B434" t="inlineStr"/>
      <c r="C434" t="inlineStr"/>
      <c r="D434">
        <f>HYPERLINK("http://nlpdeep.cs.uic.edu:8080/proofing/gsii/47346-labs-imaging-1-0.pdf","gsii/47346-labs-imaging-1-0.pdf")</f>
        <v/>
      </c>
      <c r="E434" t="n">
        <v>118760</v>
      </c>
      <c r="F434" t="n">
        <v>47346</v>
      </c>
      <c r="G434" t="inlineStr">
        <is>
          <t>Discharge summary</t>
        </is>
      </c>
      <c r="H434" t="inlineStr">
        <is>
          <t>labs-imaging</t>
        </is>
      </c>
      <c r="I434" t="inlineStr"/>
    </row>
    <row r="435">
      <c r="A435" t="inlineStr">
        <is>
          <t>47346-labs-imaging-1-1</t>
        </is>
      </c>
      <c r="B435" t="inlineStr"/>
      <c r="C435" t="inlineStr"/>
      <c r="D435">
        <f>HYPERLINK("http://nlpdeep.cs.uic.edu:8080/proofing/t5/47346-labs-imaging-1-1.pdf","t5/47346-labs-imaging-1-1.pdf")</f>
        <v/>
      </c>
      <c r="E435" t="n">
        <v>118760</v>
      </c>
      <c r="F435" t="n">
        <v>47346</v>
      </c>
      <c r="G435" t="inlineStr">
        <is>
          <t>Discharge summary</t>
        </is>
      </c>
      <c r="H435" t="inlineStr">
        <is>
          <t>labs-imaging</t>
        </is>
      </c>
      <c r="I435" t="inlineStr">
        <is>
          <t>PTT-34.3 INR(PT)-1.4*
[**2132-9-23**] 04:29AM BLOOD PT-14.2* PTT-34.6 INR(PT)-1.2*</t>
        </is>
      </c>
    </row>
    <row r="436">
      <c r="A436" t="inlineStr">
        <is>
          <t>47346-labs-imaging-1-1</t>
        </is>
      </c>
      <c r="B436" t="inlineStr"/>
      <c r="C436" t="inlineStr"/>
      <c r="D436">
        <f>HYPERLINK("http://nlpdeep.cs.uic.edu:8080/proofing/gsii/47346-labs-imaging-1-1.pdf","gsii/47346-labs-imaging-1-1.pdf")</f>
        <v/>
      </c>
      <c r="E436" t="n">
        <v>118760</v>
      </c>
      <c r="F436" t="n">
        <v>47346</v>
      </c>
      <c r="G436" t="inlineStr">
        <is>
          <t>Discharge summary</t>
        </is>
      </c>
      <c r="H436" t="inlineStr">
        <is>
          <t>labs-imaging</t>
        </is>
      </c>
      <c r="I436" t="inlineStr">
        <is>
          <t>PTT-34.3 INR(PT)-1.4*
[**2132-9-23**] 04:29AM BLOOD PT-14.2* PTT-34.6 INR(PT)-1.2*</t>
        </is>
      </c>
    </row>
    <row r="437">
      <c r="A437" t="inlineStr">
        <is>
          <t>47346-labs-imaging-1-2</t>
        </is>
      </c>
      <c r="B437" t="inlineStr"/>
      <c r="C437" t="inlineStr"/>
      <c r="D437">
        <f>HYPERLINK("http://nlpdeep.cs.uic.edu:8080/proofing/t5/47346-labs-imaging-1-2.pdf","t5/47346-labs-imaging-1-2.pdf")</f>
        <v/>
      </c>
      <c r="E437" t="n">
        <v>118760</v>
      </c>
      <c r="F437" t="n">
        <v>47346</v>
      </c>
      <c r="G437" t="inlineStr">
        <is>
          <t>Discharge summary</t>
        </is>
      </c>
      <c r="H437" t="inlineStr">
        <is>
          <t>labs-imaging</t>
        </is>
      </c>
      <c r="I437" t="inlineStr"/>
    </row>
    <row r="438">
      <c r="A438" t="inlineStr">
        <is>
          <t>47346-labs-imaging-1-2</t>
        </is>
      </c>
      <c r="B438" t="inlineStr"/>
      <c r="C438" t="inlineStr"/>
      <c r="D438">
        <f>HYPERLINK("http://nlpdeep.cs.uic.edu:8080/proofing/gsii/47346-labs-imaging-1-2.pdf","gsii/47346-labs-imaging-1-2.pdf")</f>
        <v/>
      </c>
      <c r="E438" t="n">
        <v>118760</v>
      </c>
      <c r="F438" t="n">
        <v>47346</v>
      </c>
      <c r="G438" t="inlineStr">
        <is>
          <t>Discharge summary</t>
        </is>
      </c>
      <c r="H438" t="inlineStr">
        <is>
          <t>labs-imaging</t>
        </is>
      </c>
      <c r="I438" t="inlineStr"/>
    </row>
    <row r="439">
      <c r="A439" t="inlineStr">
        <is>
          <t>47346-labs-imaging-2-0</t>
        </is>
      </c>
      <c r="B439" t="inlineStr"/>
      <c r="C439" t="inlineStr"/>
      <c r="D439">
        <f>HYPERLINK("http://nlpdeep.cs.uic.edu:8080/proofing/t5/47346-labs-imaging-2-0.pdf","t5/47346-labs-imaging-2-0.pdf")</f>
        <v/>
      </c>
      <c r="E439" t="n">
        <v>118760</v>
      </c>
      <c r="F439" t="n">
        <v>47346</v>
      </c>
      <c r="G439" t="inlineStr">
        <is>
          <t>Discharge summary</t>
        </is>
      </c>
      <c r="H439" t="inlineStr">
        <is>
          <t>labs-imaging</t>
        </is>
      </c>
      <c r="I439" t="inlineStr"/>
    </row>
    <row r="440">
      <c r="A440" t="inlineStr">
        <is>
          <t>47346-labs-imaging-2-0</t>
        </is>
      </c>
      <c r="B440" t="inlineStr"/>
      <c r="C440" t="inlineStr"/>
      <c r="D440">
        <f>HYPERLINK("http://nlpdeep.cs.uic.edu:8080/proofing/gsii/47346-labs-imaging-2-0.pdf","gsii/47346-labs-imaging-2-0.pdf")</f>
        <v/>
      </c>
      <c r="E440" t="n">
        <v>118760</v>
      </c>
      <c r="F440" t="n">
        <v>47346</v>
      </c>
      <c r="G440" t="inlineStr">
        <is>
          <t>Discharge summary</t>
        </is>
      </c>
      <c r="H440" t="inlineStr">
        <is>
          <t>labs-imaging</t>
        </is>
      </c>
      <c r="I440" t="inlineStr"/>
    </row>
    <row r="441">
      <c r="A441" t="inlineStr">
        <is>
          <t>47346-labs-imaging-3-0</t>
        </is>
      </c>
      <c r="B441" t="inlineStr"/>
      <c r="C441" t="inlineStr"/>
      <c r="D441">
        <f>HYPERLINK("http://nlpdeep.cs.uic.edu:8080/proofing/t5/47346-labs-imaging-3-0.pdf","t5/47346-labs-imaging-3-0.pdf")</f>
        <v/>
      </c>
      <c r="E441" t="n">
        <v>118760</v>
      </c>
      <c r="F441" t="n">
        <v>47346</v>
      </c>
      <c r="G441" t="inlineStr">
        <is>
          <t>Discharge summary</t>
        </is>
      </c>
      <c r="H441" t="inlineStr">
        <is>
          <t>labs-imaging</t>
        </is>
      </c>
      <c r="I441" t="inlineStr"/>
    </row>
    <row r="442">
      <c r="A442" t="inlineStr">
        <is>
          <t>47346-labs-imaging-3-0</t>
        </is>
      </c>
      <c r="B442" t="inlineStr"/>
      <c r="C442" t="inlineStr"/>
      <c r="D442">
        <f>HYPERLINK("http://nlpdeep.cs.uic.edu:8080/proofing/gsii/47346-labs-imaging-3-0.pdf","gsii/47346-labs-imaging-3-0.pdf")</f>
        <v/>
      </c>
      <c r="E442" t="n">
        <v>118760</v>
      </c>
      <c r="F442" t="n">
        <v>47346</v>
      </c>
      <c r="G442" t="inlineStr">
        <is>
          <t>Discharge summary</t>
        </is>
      </c>
      <c r="H442" t="inlineStr">
        <is>
          <t>labs-imaging</t>
        </is>
      </c>
      <c r="I442" t="inlineStr"/>
    </row>
    <row r="443">
      <c r="A443" t="inlineStr">
        <is>
          <t>47346-labs-imaging-3-1</t>
        </is>
      </c>
      <c r="B443" t="inlineStr"/>
      <c r="C443" t="inlineStr"/>
      <c r="D443">
        <f>HYPERLINK("http://nlpdeep.cs.uic.edu:8080/proofing/t5/47346-labs-imaging-3-1.pdf","t5/47346-labs-imaging-3-1.pdf")</f>
        <v/>
      </c>
      <c r="E443" t="n">
        <v>118760</v>
      </c>
      <c r="F443" t="n">
        <v>47346</v>
      </c>
      <c r="G443" t="inlineStr">
        <is>
          <t>Discharge summary</t>
        </is>
      </c>
      <c r="H443" t="inlineStr">
        <is>
          <t>labs-imaging</t>
        </is>
      </c>
      <c r="I443" t="inlineStr">
        <is>
          <t>Faint lucency at the right hip suggesting intertrochanteric
fracture.</t>
        </is>
      </c>
    </row>
    <row r="444">
      <c r="A444" t="inlineStr">
        <is>
          <t>47346-labs-imaging-3-1</t>
        </is>
      </c>
      <c r="B444" t="inlineStr"/>
      <c r="C444" t="inlineStr"/>
      <c r="D444">
        <f>HYPERLINK("http://nlpdeep.cs.uic.edu:8080/proofing/gsii/47346-labs-imaging-3-1.pdf","gsii/47346-labs-imaging-3-1.pdf")</f>
        <v/>
      </c>
      <c r="E444" t="n">
        <v>118760</v>
      </c>
      <c r="F444" t="n">
        <v>47346</v>
      </c>
      <c r="G444" t="inlineStr">
        <is>
          <t>Discharge summary</t>
        </is>
      </c>
      <c r="H444" t="inlineStr">
        <is>
          <t>labs-imaging</t>
        </is>
      </c>
      <c r="I444" t="inlineStr">
        <is>
          <t>Faint lucency at the right hip suggesting intertrochanteric
fracture.</t>
        </is>
      </c>
    </row>
    <row r="445">
      <c r="A445" t="inlineStr">
        <is>
          <t>47346-labs-imaging-3-2</t>
        </is>
      </c>
      <c r="B445" t="inlineStr"/>
      <c r="C445" t="inlineStr"/>
      <c r="D445">
        <f>HYPERLINK("http://nlpdeep.cs.uic.edu:8080/proofing/t5/47346-labs-imaging-3-2.pdf","t5/47346-labs-imaging-3-2.pdf")</f>
        <v/>
      </c>
      <c r="E445" t="n">
        <v>118760</v>
      </c>
      <c r="F445" t="n">
        <v>47346</v>
      </c>
      <c r="G445" t="inlineStr">
        <is>
          <t>Discharge summary</t>
        </is>
      </c>
      <c r="H445" t="inlineStr">
        <is>
          <t>labs-imaging</t>
        </is>
      </c>
      <c r="I445" t="inlineStr">
        <is>
          <t>Extensive degenerative change.</t>
        </is>
      </c>
    </row>
    <row r="446">
      <c r="A446" t="inlineStr">
        <is>
          <t>47346-labs-imaging-3-2</t>
        </is>
      </c>
      <c r="B446" t="inlineStr"/>
      <c r="C446" t="inlineStr"/>
      <c r="D446">
        <f>HYPERLINK("http://nlpdeep.cs.uic.edu:8080/proofing/gsii/47346-labs-imaging-3-2.pdf","gsii/47346-labs-imaging-3-2.pdf")</f>
        <v/>
      </c>
      <c r="E446" t="n">
        <v>118760</v>
      </c>
      <c r="F446" t="n">
        <v>47346</v>
      </c>
      <c r="G446" t="inlineStr">
        <is>
          <t>Discharge summary</t>
        </is>
      </c>
      <c r="H446" t="inlineStr">
        <is>
          <t>labs-imaging</t>
        </is>
      </c>
      <c r="I446" t="inlineStr">
        <is>
          <t>Extensive degenerative change.</t>
        </is>
      </c>
    </row>
    <row r="447">
      <c r="A447" t="inlineStr">
        <is>
          <t>47346-labs-imaging-3-3</t>
        </is>
      </c>
      <c r="B447" t="inlineStr"/>
      <c r="C447" t="inlineStr"/>
      <c r="D447">
        <f>HYPERLINK("http://nlpdeep.cs.uic.edu:8080/proofing/t5/47346-labs-imaging-3-3.pdf","t5/47346-labs-imaging-3-3.pdf")</f>
        <v/>
      </c>
      <c r="E447" t="n">
        <v>118760</v>
      </c>
      <c r="F447" t="n">
        <v>47346</v>
      </c>
      <c r="G447" t="inlineStr">
        <is>
          <t>Discharge summary</t>
        </is>
      </c>
      <c r="H447" t="inlineStr">
        <is>
          <t>labs-imaging</t>
        </is>
      </c>
      <c r="I447" t="inlineStr">
        <is>
          <t>Atherosclerotic disease.</t>
        </is>
      </c>
    </row>
    <row r="448">
      <c r="A448" t="inlineStr">
        <is>
          <t>47346-labs-imaging-3-3</t>
        </is>
      </c>
      <c r="B448" t="inlineStr"/>
      <c r="C448" t="inlineStr"/>
      <c r="D448">
        <f>HYPERLINK("http://nlpdeep.cs.uic.edu:8080/proofing/gsii/47346-labs-imaging-3-3.pdf","gsii/47346-labs-imaging-3-3.pdf")</f>
        <v/>
      </c>
      <c r="E448" t="n">
        <v>118760</v>
      </c>
      <c r="F448" t="n">
        <v>47346</v>
      </c>
      <c r="G448" t="inlineStr">
        <is>
          <t>Discharge summary</t>
        </is>
      </c>
      <c r="H448" t="inlineStr">
        <is>
          <t>labs-imaging</t>
        </is>
      </c>
      <c r="I448" t="inlineStr">
        <is>
          <t>Atherosclerotic disease.</t>
        </is>
      </c>
    </row>
    <row r="449">
      <c r="A449" t="inlineStr">
        <is>
          <t>47346-labs-imaging-3-4</t>
        </is>
      </c>
      <c r="B449" t="inlineStr"/>
      <c r="C449" t="inlineStr"/>
      <c r="D449">
        <f>HYPERLINK("http://nlpdeep.cs.uic.edu:8080/proofing/t5/47346-labs-imaging-3-4.pdf","t5/47346-labs-imaging-3-4.pdf")</f>
        <v/>
      </c>
      <c r="E449" t="n">
        <v>118760</v>
      </c>
      <c r="F449" t="n">
        <v>47346</v>
      </c>
      <c r="G449" t="inlineStr">
        <is>
          <t>Discharge summary</t>
        </is>
      </c>
      <c r="H449" t="inlineStr">
        <is>
          <t>labs-imaging</t>
        </is>
      </c>
      <c r="I449" t="inlineStr">
        <is>
          <t xml:space="preserve">
The study and the report were reviewed by the staff radiologist.</t>
        </is>
      </c>
    </row>
    <row r="450">
      <c r="A450" t="inlineStr">
        <is>
          <t>47346-labs-imaging-3-4</t>
        </is>
      </c>
      <c r="B450" t="inlineStr"/>
      <c r="C450" t="inlineStr"/>
      <c r="D450">
        <f>HYPERLINK("http://nlpdeep.cs.uic.edu:8080/proofing/gsii/47346-labs-imaging-3-4.pdf","gsii/47346-labs-imaging-3-4.pdf")</f>
        <v/>
      </c>
      <c r="E450" t="n">
        <v>118760</v>
      </c>
      <c r="F450" t="n">
        <v>47346</v>
      </c>
      <c r="G450" t="inlineStr">
        <is>
          <t>Discharge summary</t>
        </is>
      </c>
      <c r="H450" t="inlineStr">
        <is>
          <t>labs-imaging</t>
        </is>
      </c>
      <c r="I450" t="inlineStr">
        <is>
          <t xml:space="preserve">
The study and the report were reviewed by the staff radiologist.</t>
        </is>
      </c>
    </row>
    <row r="451">
      <c r="A451" t="inlineStr">
        <is>
          <t>47346-labs-imaging-4-0</t>
        </is>
      </c>
      <c r="B451" t="inlineStr"/>
      <c r="C451" t="inlineStr"/>
      <c r="D451">
        <f>HYPERLINK("http://nlpdeep.cs.uic.edu:8080/proofing/t5/47346-labs-imaging-4-0.pdf","t5/47346-labs-imaging-4-0.pdf")</f>
        <v/>
      </c>
      <c r="E451" t="n">
        <v>118760</v>
      </c>
      <c r="F451" t="n">
        <v>47346</v>
      </c>
      <c r="G451" t="inlineStr">
        <is>
          <t>Discharge summary</t>
        </is>
      </c>
      <c r="H451" t="inlineStr">
        <is>
          <t>labs-imaging</t>
        </is>
      </c>
      <c r="I451" t="inlineStr"/>
    </row>
    <row r="452">
      <c r="A452" t="inlineStr">
        <is>
          <t>47346-labs-imaging-4-0</t>
        </is>
      </c>
      <c r="B452" t="inlineStr"/>
      <c r="C452" t="inlineStr"/>
      <c r="D452">
        <f>HYPERLINK("http://nlpdeep.cs.uic.edu:8080/proofing/gsii/47346-labs-imaging-4-0.pdf","gsii/47346-labs-imaging-4-0.pdf")</f>
        <v/>
      </c>
      <c r="E452" t="n">
        <v>118760</v>
      </c>
      <c r="F452" t="n">
        <v>47346</v>
      </c>
      <c r="G452" t="inlineStr">
        <is>
          <t>Discharge summary</t>
        </is>
      </c>
      <c r="H452" t="inlineStr">
        <is>
          <t>labs-imaging</t>
        </is>
      </c>
      <c r="I452" t="inlineStr"/>
    </row>
    <row r="453">
      <c r="A453" t="inlineStr">
        <is>
          <t>47346-labs-imaging-5-0</t>
        </is>
      </c>
      <c r="B453" t="inlineStr"/>
      <c r="C453" t="inlineStr"/>
      <c r="D453">
        <f>HYPERLINK("http://nlpdeep.cs.uic.edu:8080/proofing/t5/47346-labs-imaging-5-0.pdf","t5/47346-labs-imaging-5-0.pdf")</f>
        <v/>
      </c>
      <c r="E453" t="n">
        <v>118760</v>
      </c>
      <c r="F453" t="n">
        <v>47346</v>
      </c>
      <c r="G453" t="inlineStr">
        <is>
          <t>Discharge summary</t>
        </is>
      </c>
      <c r="H453" t="inlineStr">
        <is>
          <t>labs-imaging</t>
        </is>
      </c>
      <c r="I453" t="inlineStr"/>
    </row>
    <row r="454">
      <c r="A454" t="inlineStr">
        <is>
          <t>47346-labs-imaging-5-0</t>
        </is>
      </c>
      <c r="B454" t="inlineStr"/>
      <c r="C454" t="inlineStr"/>
      <c r="D454">
        <f>HYPERLINK("http://nlpdeep.cs.uic.edu:8080/proofing/gsii/47346-labs-imaging-5-0.pdf","gsii/47346-labs-imaging-5-0.pdf")</f>
        <v/>
      </c>
      <c r="E454" t="n">
        <v>118760</v>
      </c>
      <c r="F454" t="n">
        <v>47346</v>
      </c>
      <c r="G454" t="inlineStr">
        <is>
          <t>Discharge summary</t>
        </is>
      </c>
      <c r="H454" t="inlineStr">
        <is>
          <t>labs-imaging</t>
        </is>
      </c>
      <c r="I454" t="inlineStr"/>
    </row>
    <row r="455">
      <c r="A455" t="inlineStr">
        <is>
          <t>47346-labs-imaging-5-1</t>
        </is>
      </c>
      <c r="B455" t="inlineStr"/>
      <c r="C455" t="inlineStr"/>
      <c r="D455">
        <f>HYPERLINK("http://nlpdeep.cs.uic.edu:8080/proofing/t5/47346-labs-imaging-5-1.pdf","t5/47346-labs-imaging-5-1.pdf")</f>
        <v/>
      </c>
      <c r="E455" t="n">
        <v>118760</v>
      </c>
      <c r="F455" t="n">
        <v>47346</v>
      </c>
      <c r="G455" t="inlineStr">
        <is>
          <t>Discharge summary</t>
        </is>
      </c>
      <c r="H455" t="inlineStr">
        <is>
          <t>labs-imaging</t>
        </is>
      </c>
      <c r="I455" t="inlineStr">
        <is>
          <t>A bone fragment in the
posterolateral canal
on the right at T2 is likely chronic in etiology, although not
unambiguously characterized in this study.</t>
        </is>
      </c>
    </row>
    <row r="456">
      <c r="A456" t="inlineStr">
        <is>
          <t>47346-labs-imaging-5-1</t>
        </is>
      </c>
      <c r="B456" t="inlineStr"/>
      <c r="C456" t="inlineStr"/>
      <c r="D456">
        <f>HYPERLINK("http://nlpdeep.cs.uic.edu:8080/proofing/gsii/47346-labs-imaging-5-1.pdf","gsii/47346-labs-imaging-5-1.pdf")</f>
        <v/>
      </c>
      <c r="E456" t="n">
        <v>118760</v>
      </c>
      <c r="F456" t="n">
        <v>47346</v>
      </c>
      <c r="G456" t="inlineStr">
        <is>
          <t>Discharge summary</t>
        </is>
      </c>
      <c r="H456" t="inlineStr">
        <is>
          <t>labs-imaging</t>
        </is>
      </c>
      <c r="I456" t="inlineStr">
        <is>
          <t>A bone fragment in the
posterolateral canal
on the right at T2 is likely chronic in etiology, although not
unambiguously characterized in this study.</t>
        </is>
      </c>
    </row>
    <row r="457">
      <c r="A457" t="inlineStr">
        <is>
          <t>47346-labs-imaging-6-0</t>
        </is>
      </c>
      <c r="B457" t="inlineStr"/>
      <c r="C457" t="inlineStr"/>
      <c r="D457">
        <f>HYPERLINK("http://nlpdeep.cs.uic.edu:8080/proofing/t5/47346-labs-imaging-6-0.pdf","t5/47346-labs-imaging-6-0.pdf")</f>
        <v/>
      </c>
      <c r="E457" t="n">
        <v>118760</v>
      </c>
      <c r="F457" t="n">
        <v>47346</v>
      </c>
      <c r="G457" t="inlineStr">
        <is>
          <t>Discharge summary</t>
        </is>
      </c>
      <c r="H457" t="inlineStr">
        <is>
          <t>labs-imaging</t>
        </is>
      </c>
      <c r="I457" t="inlineStr">
        <is>
          <t>Florid degenerative changes predispose this patient to spinal
cord trauma with minor injury.</t>
        </is>
      </c>
    </row>
    <row r="458">
      <c r="A458" t="inlineStr">
        <is>
          <t>47346-labs-imaging-6-0</t>
        </is>
      </c>
      <c r="B458" t="inlineStr"/>
      <c r="C458" t="inlineStr"/>
      <c r="D458">
        <f>HYPERLINK("http://nlpdeep.cs.uic.edu:8080/proofing/gsii/47346-labs-imaging-6-0.pdf","gsii/47346-labs-imaging-6-0.pdf")</f>
        <v/>
      </c>
      <c r="E458" t="n">
        <v>118760</v>
      </c>
      <c r="F458" t="n">
        <v>47346</v>
      </c>
      <c r="G458" t="inlineStr">
        <is>
          <t>Discharge summary</t>
        </is>
      </c>
      <c r="H458" t="inlineStr">
        <is>
          <t>labs-imaging</t>
        </is>
      </c>
      <c r="I458" t="inlineStr">
        <is>
          <t>Florid degenerative changes predispose this patient to spinal
cord trauma with minor injury.</t>
        </is>
      </c>
    </row>
    <row r="459">
      <c r="A459" t="inlineStr">
        <is>
          <t>47346-labs-imaging-6-1</t>
        </is>
      </c>
      <c r="B459" t="inlineStr"/>
      <c r="C459" t="inlineStr"/>
      <c r="D459">
        <f>HYPERLINK("http://nlpdeep.cs.uic.edu:8080/proofing/t5/47346-labs-imaging-6-1.pdf","t5/47346-labs-imaging-6-1.pdf")</f>
        <v/>
      </c>
      <c r="E459" t="n">
        <v>118760</v>
      </c>
      <c r="F459" t="n">
        <v>47346</v>
      </c>
      <c r="G459" t="inlineStr">
        <is>
          <t>Discharge summary</t>
        </is>
      </c>
      <c r="H459" t="inlineStr">
        <is>
          <t>labs-imaging</t>
        </is>
      </c>
      <c r="I459" t="inlineStr">
        <is>
          <t>Recommend MR for further
evaluation.</t>
        </is>
      </c>
    </row>
    <row r="460">
      <c r="A460" t="inlineStr">
        <is>
          <t>47346-labs-imaging-6-1</t>
        </is>
      </c>
      <c r="B460" t="inlineStr"/>
      <c r="C460" t="inlineStr"/>
      <c r="D460">
        <f>HYPERLINK("http://nlpdeep.cs.uic.edu:8080/proofing/gsii/47346-labs-imaging-6-1.pdf","gsii/47346-labs-imaging-6-1.pdf")</f>
        <v/>
      </c>
      <c r="E460" t="n">
        <v>118760</v>
      </c>
      <c r="F460" t="n">
        <v>47346</v>
      </c>
      <c r="G460" t="inlineStr">
        <is>
          <t>Discharge summary</t>
        </is>
      </c>
      <c r="H460" t="inlineStr">
        <is>
          <t>labs-imaging</t>
        </is>
      </c>
      <c r="I460" t="inlineStr">
        <is>
          <t>Recommend MR for further
evaluation.</t>
        </is>
      </c>
    </row>
    <row r="461">
      <c r="A461" t="inlineStr">
        <is>
          <t>47346-labs-imaging-7-0</t>
        </is>
      </c>
      <c r="B461" t="inlineStr"/>
      <c r="C461" t="inlineStr"/>
      <c r="D461">
        <f>HYPERLINK("http://nlpdeep.cs.uic.edu:8080/proofing/t5/47346-labs-imaging-7-0.pdf","t5/47346-labs-imaging-7-0.pdf")</f>
        <v/>
      </c>
      <c r="E461" t="n">
        <v>118760</v>
      </c>
      <c r="F461" t="n">
        <v>47346</v>
      </c>
      <c r="G461" t="inlineStr">
        <is>
          <t>Discharge summary</t>
        </is>
      </c>
      <c r="H461" t="inlineStr">
        <is>
          <t>labs-imaging</t>
        </is>
      </c>
      <c r="I461" t="inlineStr"/>
    </row>
    <row r="462">
      <c r="A462" t="inlineStr">
        <is>
          <t>47346-labs-imaging-7-0</t>
        </is>
      </c>
      <c r="B462" t="inlineStr"/>
      <c r="C462" t="inlineStr"/>
      <c r="D462">
        <f>HYPERLINK("http://nlpdeep.cs.uic.edu:8080/proofing/gsii/47346-labs-imaging-7-0.pdf","gsii/47346-labs-imaging-7-0.pdf")</f>
        <v/>
      </c>
      <c r="E462" t="n">
        <v>118760</v>
      </c>
      <c r="F462" t="n">
        <v>47346</v>
      </c>
      <c r="G462" t="inlineStr">
        <is>
          <t>Discharge summary</t>
        </is>
      </c>
      <c r="H462" t="inlineStr">
        <is>
          <t>labs-imaging</t>
        </is>
      </c>
      <c r="I462" t="inlineStr"/>
    </row>
    <row r="463">
      <c r="A463" t="inlineStr">
        <is>
          <t>47346-labs-imaging-8-0</t>
        </is>
      </c>
      <c r="B463" t="inlineStr"/>
      <c r="C463" t="inlineStr"/>
      <c r="D463">
        <f>HYPERLINK("http://nlpdeep.cs.uic.edu:8080/proofing/t5/47346-labs-imaging-8-0.pdf","t5/47346-labs-imaging-8-0.pdf")</f>
        <v/>
      </c>
      <c r="E463" t="n">
        <v>118760</v>
      </c>
      <c r="F463" t="n">
        <v>47346</v>
      </c>
      <c r="G463" t="inlineStr">
        <is>
          <t>Discharge summary</t>
        </is>
      </c>
      <c r="H463" t="inlineStr">
        <is>
          <t>labs-imaging</t>
        </is>
      </c>
      <c r="I463" t="inlineStr"/>
    </row>
    <row r="464">
      <c r="A464" t="inlineStr">
        <is>
          <t>47346-labs-imaging-8-0</t>
        </is>
      </c>
      <c r="B464" t="inlineStr"/>
      <c r="C464" t="inlineStr"/>
      <c r="D464">
        <f>HYPERLINK("http://nlpdeep.cs.uic.edu:8080/proofing/gsii/47346-labs-imaging-8-0.pdf","gsii/47346-labs-imaging-8-0.pdf")</f>
        <v/>
      </c>
      <c r="E464" t="n">
        <v>118760</v>
      </c>
      <c r="F464" t="n">
        <v>47346</v>
      </c>
      <c r="G464" t="inlineStr">
        <is>
          <t>Discharge summary</t>
        </is>
      </c>
      <c r="H464" t="inlineStr">
        <is>
          <t>labs-imaging</t>
        </is>
      </c>
      <c r="I464" t="inlineStr"/>
    </row>
    <row r="465">
      <c r="A465" t="inlineStr">
        <is>
          <t>47346-hospital-course-0-0</t>
        </is>
      </c>
      <c r="B465" t="inlineStr"/>
      <c r="C465" t="inlineStr"/>
      <c r="D465">
        <f>HYPERLINK("http://nlpdeep.cs.uic.edu:8080/proofing/t5/47346-hospital-course-0-0.pdf","t5/47346-hospital-course-0-0.pdf")</f>
        <v/>
      </c>
      <c r="E465" t="n">
        <v>118760</v>
      </c>
      <c r="F465" t="n">
        <v>47346</v>
      </c>
      <c r="G465" t="inlineStr">
        <is>
          <t>Discharge summary</t>
        </is>
      </c>
      <c r="H465" t="inlineStr">
        <is>
          <t>hospital-course</t>
        </is>
      </c>
      <c r="I465" t="inlineStr">
        <is>
          <t># Hip fracture - patient intially presented to [**Hospital3 417**]
hospital where a right two-part intratrochanteric fracture was
demonstrated by CT on [**9-22**], and transferred to [**Hospital1 18**] for ORIF.</t>
        </is>
      </c>
    </row>
    <row r="466">
      <c r="A466" t="inlineStr">
        <is>
          <t>47346-hospital-course-0-0</t>
        </is>
      </c>
      <c r="B466" t="inlineStr"/>
      <c r="C466" t="inlineStr"/>
      <c r="D466">
        <f>HYPERLINK("http://nlpdeep.cs.uic.edu:8080/proofing/gsii/47346-hospital-course-0-0.pdf","gsii/47346-hospital-course-0-0.pdf")</f>
        <v/>
      </c>
      <c r="E466" t="n">
        <v>118760</v>
      </c>
      <c r="F466" t="n">
        <v>47346</v>
      </c>
      <c r="G466" t="inlineStr">
        <is>
          <t>Discharge summary</t>
        </is>
      </c>
      <c r="H466" t="inlineStr">
        <is>
          <t>hospital-course</t>
        </is>
      </c>
      <c r="I466" t="inlineStr">
        <is>
          <t># Hip fracture - patient intially presented to [**Hospital3 417**]
hospital where a right two-part intratrochanteric fracture was
demonstrated by CT on [**9-22**], and transferred to [**Hospital1 18**] for ORIF.</t>
        </is>
      </c>
    </row>
    <row r="467">
      <c r="A467" t="inlineStr">
        <is>
          <t>47346-hospital-course-0-1</t>
        </is>
      </c>
      <c r="B467" t="inlineStr"/>
      <c r="C467" t="inlineStr"/>
      <c r="D467">
        <f>HYPERLINK("http://nlpdeep.cs.uic.edu:8080/proofing/t5/47346-hospital-course-0-1.pdf","t5/47346-hospital-course-0-1.pdf")</f>
        <v/>
      </c>
      <c r="E467" t="n">
        <v>118760</v>
      </c>
      <c r="F467" t="n">
        <v>47346</v>
      </c>
      <c r="G467" t="inlineStr">
        <is>
          <t>Discharge summary</t>
        </is>
      </c>
      <c r="H467" t="inlineStr">
        <is>
          <t>hospital-course</t>
        </is>
      </c>
      <c r="I467" t="inlineStr">
        <is>
          <t xml:space="preserve">
The surgery was aborted to cardiac arrhytmias discussed below,
but completed on [**9-23**] with placement of a dynamic hip screw.</t>
        </is>
      </c>
    </row>
    <row r="468">
      <c r="A468" t="inlineStr">
        <is>
          <t>47346-hospital-course-0-1</t>
        </is>
      </c>
      <c r="B468" t="inlineStr"/>
      <c r="C468" t="inlineStr"/>
      <c r="D468">
        <f>HYPERLINK("http://nlpdeep.cs.uic.edu:8080/proofing/gsii/47346-hospital-course-0-1.pdf","gsii/47346-hospital-course-0-1.pdf")</f>
        <v/>
      </c>
      <c r="E468" t="n">
        <v>118760</v>
      </c>
      <c r="F468" t="n">
        <v>47346</v>
      </c>
      <c r="G468" t="inlineStr">
        <is>
          <t>Discharge summary</t>
        </is>
      </c>
      <c r="H468" t="inlineStr">
        <is>
          <t>hospital-course</t>
        </is>
      </c>
      <c r="I468" t="inlineStr">
        <is>
          <t xml:space="preserve">
The surgery was aborted to cardiac arrhytmias discussed below,
but completed on [**9-23**] with placement of a dynamic hip screw.</t>
        </is>
      </c>
    </row>
    <row r="469">
      <c r="A469" t="inlineStr">
        <is>
          <t>47346-hospital-course-0-2</t>
        </is>
      </c>
      <c r="B469" t="inlineStr"/>
      <c r="C469" t="inlineStr"/>
      <c r="D469">
        <f>HYPERLINK("http://nlpdeep.cs.uic.edu:8080/proofing/t5/47346-hospital-course-0-2.pdf","t5/47346-hospital-course-0-2.pdf")</f>
        <v/>
      </c>
      <c r="E469" t="n">
        <v>118760</v>
      </c>
      <c r="F469" t="n">
        <v>47346</v>
      </c>
      <c r="G469" t="inlineStr">
        <is>
          <t>Discharge summary</t>
        </is>
      </c>
      <c r="H469" t="inlineStr">
        <is>
          <t>hospital-course</t>
        </is>
      </c>
      <c r="I469" t="inlineStr">
        <is>
          <t xml:space="preserve">
Per orthopedics, the right hip can now bear weight as tolerated.</t>
        </is>
      </c>
    </row>
    <row r="470">
      <c r="A470" t="inlineStr">
        <is>
          <t>47346-hospital-course-0-2</t>
        </is>
      </c>
      <c r="B470" t="inlineStr"/>
      <c r="C470" t="inlineStr"/>
      <c r="D470">
        <f>HYPERLINK("http://nlpdeep.cs.uic.edu:8080/proofing/gsii/47346-hospital-course-0-2.pdf","gsii/47346-hospital-course-0-2.pdf")</f>
        <v/>
      </c>
      <c r="E470" t="n">
        <v>118760</v>
      </c>
      <c r="F470" t="n">
        <v>47346</v>
      </c>
      <c r="G470" t="inlineStr">
        <is>
          <t>Discharge summary</t>
        </is>
      </c>
      <c r="H470" t="inlineStr">
        <is>
          <t>hospital-course</t>
        </is>
      </c>
      <c r="I470" t="inlineStr">
        <is>
          <t xml:space="preserve">
Per orthopedics, the right hip can now bear weight as tolerated.</t>
        </is>
      </c>
    </row>
    <row r="471">
      <c r="A471" t="inlineStr">
        <is>
          <t>47346-hospital-course-0-3</t>
        </is>
      </c>
      <c r="B471" t="inlineStr"/>
      <c r="C471" t="inlineStr"/>
      <c r="D471">
        <f>HYPERLINK("http://nlpdeep.cs.uic.edu:8080/proofing/t5/47346-hospital-course-0-3.pdf","t5/47346-hospital-course-0-3.pdf")</f>
        <v/>
      </c>
      <c r="E471" t="n">
        <v>118760</v>
      </c>
      <c r="F471" t="n">
        <v>47346</v>
      </c>
      <c r="G471" t="inlineStr">
        <is>
          <t>Discharge summary</t>
        </is>
      </c>
      <c r="H471" t="inlineStr">
        <is>
          <t>hospital-course</t>
        </is>
      </c>
      <c r="I471" t="inlineStr">
        <is>
          <t xml:space="preserve">
Patient should receive anticoagulation for 4 weeks with a target
INR of 1.5-2.0, and followup at the orthopedic in 2 weeks.</t>
        </is>
      </c>
    </row>
    <row r="472">
      <c r="A472" t="inlineStr">
        <is>
          <t>47346-hospital-course-0-3</t>
        </is>
      </c>
      <c r="B472" t="inlineStr"/>
      <c r="C472" t="inlineStr"/>
      <c r="D472">
        <f>HYPERLINK("http://nlpdeep.cs.uic.edu:8080/proofing/gsii/47346-hospital-course-0-3.pdf","gsii/47346-hospital-course-0-3.pdf")</f>
        <v/>
      </c>
      <c r="E472" t="n">
        <v>118760</v>
      </c>
      <c r="F472" t="n">
        <v>47346</v>
      </c>
      <c r="G472" t="inlineStr">
        <is>
          <t>Discharge summary</t>
        </is>
      </c>
      <c r="H472" t="inlineStr">
        <is>
          <t>hospital-course</t>
        </is>
      </c>
      <c r="I472" t="inlineStr">
        <is>
          <t xml:space="preserve">
Patient should receive anticoagulation for 4 weeks with a target
INR of 1.5-2.0, and followup at the orthopedic in 2 weeks.</t>
        </is>
      </c>
    </row>
    <row r="473">
      <c r="A473" t="inlineStr">
        <is>
          <t>47346-hospital-course-1-0</t>
        </is>
      </c>
      <c r="B473" t="inlineStr"/>
      <c r="C473" t="inlineStr"/>
      <c r="D473">
        <f>HYPERLINK("http://nlpdeep.cs.uic.edu:8080/proofing/t5/47346-hospital-course-1-0.pdf","t5/47346-hospital-course-1-0.pdf")</f>
        <v/>
      </c>
      <c r="E473" t="n">
        <v>118760</v>
      </c>
      <c r="F473" t="n">
        <v>47346</v>
      </c>
      <c r="G473" t="inlineStr">
        <is>
          <t>Discharge summary</t>
        </is>
      </c>
      <c r="H473" t="inlineStr">
        <is>
          <t>hospital-course</t>
        </is>
      </c>
      <c r="I473" t="inlineStr">
        <is>
          <t xml:space="preserve">
# Pulseless VT - occurred in OR; likely in the setting of being
immediately post-HD and anesthesia induction.</t>
        </is>
      </c>
    </row>
    <row r="474">
      <c r="A474" t="inlineStr">
        <is>
          <t>47346-hospital-course-1-0</t>
        </is>
      </c>
      <c r="B474" t="inlineStr"/>
      <c r="C474" t="inlineStr"/>
      <c r="D474">
        <f>HYPERLINK("http://nlpdeep.cs.uic.edu:8080/proofing/gsii/47346-hospital-course-1-0.pdf","gsii/47346-hospital-course-1-0.pdf")</f>
        <v/>
      </c>
      <c r="E474" t="n">
        <v>118760</v>
      </c>
      <c r="F474" t="n">
        <v>47346</v>
      </c>
      <c r="G474" t="inlineStr">
        <is>
          <t>Discharge summary</t>
        </is>
      </c>
      <c r="H474" t="inlineStr">
        <is>
          <t>hospital-course</t>
        </is>
      </c>
      <c r="I474" t="inlineStr">
        <is>
          <t xml:space="preserve">
# Pulseless VT - occurred in OR; likely in the setting of being
immediately post-HD and anesthesia induction.</t>
        </is>
      </c>
    </row>
    <row r="475">
      <c r="A475" t="inlineStr">
        <is>
          <t>47346-hospital-course-1-1</t>
        </is>
      </c>
      <c r="B475" t="inlineStr"/>
      <c r="C475" t="inlineStr"/>
      <c r="D475">
        <f>HYPERLINK("http://nlpdeep.cs.uic.edu:8080/proofing/t5/47346-hospital-course-1-1.pdf","t5/47346-hospital-course-1-1.pdf")</f>
        <v/>
      </c>
      <c r="E475" t="n">
        <v>118760</v>
      </c>
      <c r="F475" t="n">
        <v>47346</v>
      </c>
      <c r="G475" t="inlineStr">
        <is>
          <t>Discharge summary</t>
        </is>
      </c>
      <c r="H475" t="inlineStr">
        <is>
          <t>hospital-course</t>
        </is>
      </c>
      <c r="I475" t="inlineStr">
        <is>
          <t xml:space="preserve"> As the strip was
not preserved, EP felt that a study would not be helpful, as it
cannot be verified that any inducible VT during a study was the
rhythm that the patient had experienced.</t>
        </is>
      </c>
    </row>
    <row r="476">
      <c r="A476" t="inlineStr">
        <is>
          <t>47346-hospital-course-1-1</t>
        </is>
      </c>
      <c r="B476" t="inlineStr"/>
      <c r="C476" t="inlineStr"/>
      <c r="D476">
        <f>HYPERLINK("http://nlpdeep.cs.uic.edu:8080/proofing/gsii/47346-hospital-course-1-1.pdf","gsii/47346-hospital-course-1-1.pdf")</f>
        <v/>
      </c>
      <c r="E476" t="n">
        <v>118760</v>
      </c>
      <c r="F476" t="n">
        <v>47346</v>
      </c>
      <c r="G476" t="inlineStr">
        <is>
          <t>Discharge summary</t>
        </is>
      </c>
      <c r="H476" t="inlineStr">
        <is>
          <t>hospital-course</t>
        </is>
      </c>
      <c r="I476" t="inlineStr">
        <is>
          <t xml:space="preserve"> As the strip was
not preserved, EP felt that a study would not be helpful, as it
cannot be verified that any inducible VT during a study was the
rhythm that the patient had experienced.</t>
        </is>
      </c>
    </row>
    <row r="477">
      <c r="A477" t="inlineStr">
        <is>
          <t>47346-hospital-course-1-2</t>
        </is>
      </c>
      <c r="B477" t="inlineStr"/>
      <c r="C477" t="inlineStr"/>
      <c r="D477">
        <f>HYPERLINK("http://nlpdeep.cs.uic.edu:8080/proofing/t5/47346-hospital-course-1-2.pdf","t5/47346-hospital-course-1-2.pdf")</f>
        <v/>
      </c>
      <c r="E477" t="n">
        <v>118760</v>
      </c>
      <c r="F477" t="n">
        <v>47346</v>
      </c>
      <c r="G477" t="inlineStr">
        <is>
          <t>Discharge summary</t>
        </is>
      </c>
      <c r="H477" t="inlineStr">
        <is>
          <t>hospital-course</t>
        </is>
      </c>
      <c r="I477" t="inlineStr">
        <is>
          <t xml:space="preserve"> The patient was kept
on amiodarone during his time in the CCU, but per EP it was felt
that continued therapy was not indicated at this time and so
this was discontinued while the patient was in the unit.</t>
        </is>
      </c>
    </row>
    <row r="478">
      <c r="A478" t="inlineStr">
        <is>
          <t>47346-hospital-course-1-2</t>
        </is>
      </c>
      <c r="B478" t="inlineStr"/>
      <c r="C478" t="inlineStr"/>
      <c r="D478">
        <f>HYPERLINK("http://nlpdeep.cs.uic.edu:8080/proofing/gsii/47346-hospital-course-1-2.pdf","gsii/47346-hospital-course-1-2.pdf")</f>
        <v/>
      </c>
      <c r="E478" t="n">
        <v>118760</v>
      </c>
      <c r="F478" t="n">
        <v>47346</v>
      </c>
      <c r="G478" t="inlineStr">
        <is>
          <t>Discharge summary</t>
        </is>
      </c>
      <c r="H478" t="inlineStr">
        <is>
          <t>hospital-course</t>
        </is>
      </c>
      <c r="I478" t="inlineStr">
        <is>
          <t xml:space="preserve"> The patient was kept
on amiodarone during his time in the CCU, but per EP it was felt
that continued therapy was not indicated at this time and so
this was discontinued while the patient was in the unit.</t>
        </is>
      </c>
    </row>
    <row r="479">
      <c r="A479" t="inlineStr">
        <is>
          <t>47346-hospital-course-1-3</t>
        </is>
      </c>
      <c r="B479" t="inlineStr"/>
      <c r="C479" t="inlineStr"/>
      <c r="D479">
        <f>HYPERLINK("http://nlpdeep.cs.uic.edu:8080/proofing/t5/47346-hospital-course-1-3.pdf","t5/47346-hospital-course-1-3.pdf")</f>
        <v/>
      </c>
      <c r="E479" t="n">
        <v>118760</v>
      </c>
      <c r="F479" t="n">
        <v>47346</v>
      </c>
      <c r="G479" t="inlineStr">
        <is>
          <t>Discharge summary</t>
        </is>
      </c>
      <c r="H479" t="inlineStr">
        <is>
          <t>hospital-course</t>
        </is>
      </c>
      <c r="I479" t="inlineStr">
        <is>
          <t xml:space="preserve"> The
patient will need evaluation by a cardiologist before any
operations in the future.</t>
        </is>
      </c>
    </row>
    <row r="480">
      <c r="A480" t="inlineStr">
        <is>
          <t>47346-hospital-course-1-3</t>
        </is>
      </c>
      <c r="B480" t="inlineStr"/>
      <c r="C480" t="inlineStr"/>
      <c r="D480">
        <f>HYPERLINK("http://nlpdeep.cs.uic.edu:8080/proofing/gsii/47346-hospital-course-1-3.pdf","gsii/47346-hospital-course-1-3.pdf")</f>
        <v/>
      </c>
      <c r="E480" t="n">
        <v>118760</v>
      </c>
      <c r="F480" t="n">
        <v>47346</v>
      </c>
      <c r="G480" t="inlineStr">
        <is>
          <t>Discharge summary</t>
        </is>
      </c>
      <c r="H480" t="inlineStr">
        <is>
          <t>hospital-course</t>
        </is>
      </c>
      <c r="I480" t="inlineStr">
        <is>
          <t xml:space="preserve"> The
patient will need evaluation by a cardiologist before any
operations in the future.</t>
        </is>
      </c>
    </row>
    <row r="481">
      <c r="A481" t="inlineStr">
        <is>
          <t>47346-hospital-course-1-4</t>
        </is>
      </c>
      <c r="B481" t="inlineStr"/>
      <c r="C481" t="inlineStr"/>
      <c r="D481">
        <f>HYPERLINK("http://nlpdeep.cs.uic.edu:8080/proofing/t5/47346-hospital-course-1-4.pdf","t5/47346-hospital-course-1-4.pdf")</f>
        <v/>
      </c>
      <c r="E481" t="n">
        <v>118760</v>
      </c>
      <c r="F481" t="n">
        <v>47346</v>
      </c>
      <c r="G481" t="inlineStr">
        <is>
          <t>Discharge summary</t>
        </is>
      </c>
      <c r="H481" t="inlineStr">
        <is>
          <t>hospital-course</t>
        </is>
      </c>
      <c r="I481" t="inlineStr">
        <is>
          <t xml:space="preserve"> The patient had PVCs but no other
signs of ectopic activity or abnormal rhythms during his time in
the unit, nor after transfer to the medicine floor.</t>
        </is>
      </c>
    </row>
    <row r="482">
      <c r="A482" t="inlineStr">
        <is>
          <t>47346-hospital-course-1-4</t>
        </is>
      </c>
      <c r="B482" t="inlineStr"/>
      <c r="C482" t="inlineStr"/>
      <c r="D482">
        <f>HYPERLINK("http://nlpdeep.cs.uic.edu:8080/proofing/gsii/47346-hospital-course-1-4.pdf","gsii/47346-hospital-course-1-4.pdf")</f>
        <v/>
      </c>
      <c r="E482" t="n">
        <v>118760</v>
      </c>
      <c r="F482" t="n">
        <v>47346</v>
      </c>
      <c r="G482" t="inlineStr">
        <is>
          <t>Discharge summary</t>
        </is>
      </c>
      <c r="H482" t="inlineStr">
        <is>
          <t>hospital-course</t>
        </is>
      </c>
      <c r="I482" t="inlineStr">
        <is>
          <t xml:space="preserve"> The patient had PVCs but no other
signs of ectopic activity or abnormal rhythms during his time in
the unit, nor after transfer to the medicine floor.</t>
        </is>
      </c>
    </row>
    <row r="483">
      <c r="A483" t="inlineStr">
        <is>
          <t>47346-hospital-course-2-0</t>
        </is>
      </c>
      <c r="B483" t="inlineStr"/>
      <c r="C483" t="inlineStr"/>
      <c r="D483">
        <f>HYPERLINK("http://nlpdeep.cs.uic.edu:8080/proofing/t5/47346-hospital-course-2-0.pdf","t5/47346-hospital-course-2-0.pdf")</f>
        <v/>
      </c>
      <c r="E483" t="n">
        <v>118760</v>
      </c>
      <c r="F483" t="n">
        <v>47346</v>
      </c>
      <c r="G483" t="inlineStr">
        <is>
          <t>Discharge summary</t>
        </is>
      </c>
      <c r="H483" t="inlineStr">
        <is>
          <t>hospital-course</t>
        </is>
      </c>
      <c r="I483" t="inlineStr">
        <is>
          <t xml:space="preserve">
# Neurologic weakness - The patient experienced transient
weakness of his upper extremities, including his deltoids
bilaterally immediately post-operatively after extubation.</t>
        </is>
      </c>
    </row>
    <row r="484">
      <c r="A484" t="inlineStr">
        <is>
          <t>47346-hospital-course-2-0</t>
        </is>
      </c>
      <c r="B484" t="inlineStr"/>
      <c r="C484" t="inlineStr"/>
      <c r="D484">
        <f>HYPERLINK("http://nlpdeep.cs.uic.edu:8080/proofing/gsii/47346-hospital-course-2-0.pdf","gsii/47346-hospital-course-2-0.pdf")</f>
        <v/>
      </c>
      <c r="E484" t="n">
        <v>118760</v>
      </c>
      <c r="F484" t="n">
        <v>47346</v>
      </c>
      <c r="G484" t="inlineStr">
        <is>
          <t>Discharge summary</t>
        </is>
      </c>
      <c r="H484" t="inlineStr">
        <is>
          <t>hospital-course</t>
        </is>
      </c>
      <c r="I484" t="inlineStr">
        <is>
          <t xml:space="preserve">
# Neurologic weakness - The patient experienced transient
weakness of his upper extremities, including his deltoids
bilaterally immediately post-operatively after extubation.</t>
        </is>
      </c>
    </row>
    <row r="485">
      <c r="A485" t="inlineStr">
        <is>
          <t>47346-hospital-course-2-1</t>
        </is>
      </c>
      <c r="B485" t="inlineStr"/>
      <c r="C485" t="inlineStr"/>
      <c r="D485">
        <f>HYPERLINK("http://nlpdeep.cs.uic.edu:8080/proofing/t5/47346-hospital-course-2-1.pdf","t5/47346-hospital-course-2-1.pdf")</f>
        <v/>
      </c>
      <c r="E485" t="n">
        <v>118760</v>
      </c>
      <c r="F485" t="n">
        <v>47346</v>
      </c>
      <c r="G485" t="inlineStr">
        <is>
          <t>Discharge summary</t>
        </is>
      </c>
      <c r="H485" t="inlineStr">
        <is>
          <t>hospital-course</t>
        </is>
      </c>
      <c r="I485" t="inlineStr">
        <is>
          <t xml:space="preserve"> On
initial exam, the patient had 0-1/5 strength of the deltoids
bilaterally.</t>
        </is>
      </c>
    </row>
    <row r="486">
      <c r="A486" t="inlineStr">
        <is>
          <t>47346-hospital-course-2-1</t>
        </is>
      </c>
      <c r="B486" t="inlineStr"/>
      <c r="C486" t="inlineStr"/>
      <c r="D486">
        <f>HYPERLINK("http://nlpdeep.cs.uic.edu:8080/proofing/gsii/47346-hospital-course-2-1.pdf","gsii/47346-hospital-course-2-1.pdf")</f>
        <v/>
      </c>
      <c r="E486" t="n">
        <v>118760</v>
      </c>
      <c r="F486" t="n">
        <v>47346</v>
      </c>
      <c r="G486" t="inlineStr">
        <is>
          <t>Discharge summary</t>
        </is>
      </c>
      <c r="H486" t="inlineStr">
        <is>
          <t>hospital-course</t>
        </is>
      </c>
      <c r="I486" t="inlineStr">
        <is>
          <t xml:space="preserve"> On
initial exam, the patient had 0-1/5 strength of the deltoids
bilaterally.</t>
        </is>
      </c>
    </row>
    <row r="487">
      <c r="A487" t="inlineStr">
        <is>
          <t>47346-hospital-course-2-2</t>
        </is>
      </c>
      <c r="B487" t="inlineStr"/>
      <c r="C487" t="inlineStr"/>
      <c r="D487">
        <f>HYPERLINK("http://nlpdeep.cs.uic.edu:8080/proofing/t5/47346-hospital-course-2-2.pdf","t5/47346-hospital-course-2-2.pdf")</f>
        <v/>
      </c>
      <c r="E487" t="n">
        <v>118760</v>
      </c>
      <c r="F487" t="n">
        <v>47346</v>
      </c>
      <c r="G487" t="inlineStr">
        <is>
          <t>Discharge summary</t>
        </is>
      </c>
      <c r="H487" t="inlineStr">
        <is>
          <t>hospital-course</t>
        </is>
      </c>
      <c r="I487" t="inlineStr">
        <is>
          <t xml:space="preserve"> Given his h/o severe cervical stenosis and recent
h/o intubation/extubation, Ortho/NSGY were consulted.</t>
        </is>
      </c>
    </row>
    <row r="488">
      <c r="A488" t="inlineStr">
        <is>
          <t>47346-hospital-course-2-2</t>
        </is>
      </c>
      <c r="B488" t="inlineStr"/>
      <c r="C488" t="inlineStr"/>
      <c r="D488">
        <f>HYPERLINK("http://nlpdeep.cs.uic.edu:8080/proofing/gsii/47346-hospital-course-2-2.pdf","gsii/47346-hospital-course-2-2.pdf")</f>
        <v/>
      </c>
      <c r="E488" t="n">
        <v>118760</v>
      </c>
      <c r="F488" t="n">
        <v>47346</v>
      </c>
      <c r="G488" t="inlineStr">
        <is>
          <t>Discharge summary</t>
        </is>
      </c>
      <c r="H488" t="inlineStr">
        <is>
          <t>hospital-course</t>
        </is>
      </c>
      <c r="I488" t="inlineStr">
        <is>
          <t xml:space="preserve"> Given his h/o severe cervical stenosis and recent
h/o intubation/extubation, Ortho/NSGY were consulted.</t>
        </is>
      </c>
    </row>
    <row r="489">
      <c r="A489" t="inlineStr">
        <is>
          <t>47346-hospital-course-2-3</t>
        </is>
      </c>
      <c r="B489" t="inlineStr"/>
      <c r="C489" t="inlineStr"/>
      <c r="D489">
        <f>HYPERLINK("http://nlpdeep.cs.uic.edu:8080/proofing/t5/47346-hospital-course-2-3.pdf","t5/47346-hospital-course-2-3.pdf")</f>
        <v/>
      </c>
      <c r="E489" t="n">
        <v>118760</v>
      </c>
      <c r="F489" t="n">
        <v>47346</v>
      </c>
      <c r="G489" t="inlineStr">
        <is>
          <t>Discharge summary</t>
        </is>
      </c>
      <c r="H489" t="inlineStr">
        <is>
          <t>hospital-course</t>
        </is>
      </c>
      <c r="I489" t="inlineStr">
        <is>
          <t xml:space="preserve"> NSGY
recommended CT C-spine and collar placement.</t>
        </is>
      </c>
    </row>
    <row r="490">
      <c r="A490" t="inlineStr">
        <is>
          <t>47346-hospital-course-2-3</t>
        </is>
      </c>
      <c r="B490" t="inlineStr"/>
      <c r="C490" t="inlineStr"/>
      <c r="D490">
        <f>HYPERLINK("http://nlpdeep.cs.uic.edu:8080/proofing/gsii/47346-hospital-course-2-3.pdf","gsii/47346-hospital-course-2-3.pdf")</f>
        <v/>
      </c>
      <c r="E490" t="n">
        <v>118760</v>
      </c>
      <c r="F490" t="n">
        <v>47346</v>
      </c>
      <c r="G490" t="inlineStr">
        <is>
          <t>Discharge summary</t>
        </is>
      </c>
      <c r="H490" t="inlineStr">
        <is>
          <t>hospital-course</t>
        </is>
      </c>
      <c r="I490" t="inlineStr">
        <is>
          <t xml:space="preserve"> NSGY
recommended CT C-spine and collar placement.</t>
        </is>
      </c>
    </row>
    <row r="491">
      <c r="A491" t="inlineStr">
        <is>
          <t>47346-hospital-course-2-4</t>
        </is>
      </c>
      <c r="B491" t="inlineStr"/>
      <c r="C491" t="inlineStr"/>
      <c r="D491">
        <f>HYPERLINK("http://nlpdeep.cs.uic.edu:8080/proofing/t5/47346-hospital-course-2-4.pdf","t5/47346-hospital-course-2-4.pdf")</f>
        <v/>
      </c>
      <c r="E491" t="n">
        <v>118760</v>
      </c>
      <c r="F491" t="n">
        <v>47346</v>
      </c>
      <c r="G491" t="inlineStr">
        <is>
          <t>Discharge summary</t>
        </is>
      </c>
      <c r="H491" t="inlineStr">
        <is>
          <t>hospital-course</t>
        </is>
      </c>
      <c r="I491" t="inlineStr">
        <is>
          <t xml:space="preserve"> The CT c-spine
showed known severe spinal foraminal narrowing but no clear
evidence of acute injury, with MRI showing no bone edema, no
ligamentous damage, but substantial degenerative changes
worsened mildly since previous MRI ([**2130-12-1**]).</t>
        </is>
      </c>
    </row>
    <row r="492">
      <c r="A492" t="inlineStr">
        <is>
          <t>47346-hospital-course-2-4</t>
        </is>
      </c>
      <c r="B492" t="inlineStr"/>
      <c r="C492" t="inlineStr"/>
      <c r="D492">
        <f>HYPERLINK("http://nlpdeep.cs.uic.edu:8080/proofing/gsii/47346-hospital-course-2-4.pdf","gsii/47346-hospital-course-2-4.pdf")</f>
        <v/>
      </c>
      <c r="E492" t="n">
        <v>118760</v>
      </c>
      <c r="F492" t="n">
        <v>47346</v>
      </c>
      <c r="G492" t="inlineStr">
        <is>
          <t>Discharge summary</t>
        </is>
      </c>
      <c r="H492" t="inlineStr">
        <is>
          <t>hospital-course</t>
        </is>
      </c>
      <c r="I492" t="inlineStr">
        <is>
          <t xml:space="preserve"> The CT c-spine
showed known severe spinal foraminal narrowing but no clear
evidence of acute injury, with MRI showing no bone edema, no
ligamentous damage, but substantial degenerative changes
worsened mildly since previous MRI ([**2130-12-1**]).</t>
        </is>
      </c>
    </row>
    <row r="493">
      <c r="A493" t="inlineStr">
        <is>
          <t>47346-hospital-course-2-5</t>
        </is>
      </c>
      <c r="B493" t="inlineStr"/>
      <c r="C493" t="inlineStr"/>
      <c r="D493">
        <f>HYPERLINK("http://nlpdeep.cs.uic.edu:8080/proofing/t5/47346-hospital-course-2-5.pdf","t5/47346-hospital-course-2-5.pdf")</f>
        <v/>
      </c>
      <c r="E493" t="n">
        <v>118760</v>
      </c>
      <c r="F493" t="n">
        <v>47346</v>
      </c>
      <c r="G493" t="inlineStr">
        <is>
          <t>Discharge summary</t>
        </is>
      </c>
      <c r="H493" t="inlineStr">
        <is>
          <t>hospital-course</t>
        </is>
      </c>
      <c r="I493" t="inlineStr">
        <is>
          <t xml:space="preserve"> Over several
hours post-operatively the patient had slow but spontaneous
improvement of symptoms and returned to his baseline strength
(per his report).</t>
        </is>
      </c>
    </row>
    <row r="494">
      <c r="A494" t="inlineStr">
        <is>
          <t>47346-hospital-course-2-5</t>
        </is>
      </c>
      <c r="B494" t="inlineStr"/>
      <c r="C494" t="inlineStr"/>
      <c r="D494">
        <f>HYPERLINK("http://nlpdeep.cs.uic.edu:8080/proofing/gsii/47346-hospital-course-2-5.pdf","gsii/47346-hospital-course-2-5.pdf")</f>
        <v/>
      </c>
      <c r="E494" t="n">
        <v>118760</v>
      </c>
      <c r="F494" t="n">
        <v>47346</v>
      </c>
      <c r="G494" t="inlineStr">
        <is>
          <t>Discharge summary</t>
        </is>
      </c>
      <c r="H494" t="inlineStr">
        <is>
          <t>hospital-course</t>
        </is>
      </c>
      <c r="I494" t="inlineStr">
        <is>
          <t xml:space="preserve"> Over several
hours post-operatively the patient had slow but spontaneous
improvement of symptoms and returned to his baseline strength
(per his report).</t>
        </is>
      </c>
    </row>
    <row r="495">
      <c r="A495" t="inlineStr">
        <is>
          <t>47346-hospital-course-3-0</t>
        </is>
      </c>
      <c r="B495" t="inlineStr"/>
      <c r="C495" t="inlineStr"/>
      <c r="D495">
        <f>HYPERLINK("http://nlpdeep.cs.uic.edu:8080/proofing/t5/47346-hospital-course-3-0.pdf","t5/47346-hospital-course-3-0.pdf")</f>
        <v/>
      </c>
      <c r="E495" t="n">
        <v>118760</v>
      </c>
      <c r="F495" t="n">
        <v>47346</v>
      </c>
      <c r="G495" t="inlineStr">
        <is>
          <t>Discharge summary</t>
        </is>
      </c>
      <c r="H495" t="inlineStr">
        <is>
          <t>hospital-course</t>
        </is>
      </c>
      <c r="I495" t="inlineStr">
        <is>
          <t xml:space="preserve">
# CAD - Continued ASA, BB, statin.</t>
        </is>
      </c>
    </row>
    <row r="496">
      <c r="A496" t="inlineStr">
        <is>
          <t>47346-hospital-course-3-0</t>
        </is>
      </c>
      <c r="B496" t="inlineStr"/>
      <c r="C496" t="inlineStr"/>
      <c r="D496">
        <f>HYPERLINK("http://nlpdeep.cs.uic.edu:8080/proofing/gsii/47346-hospital-course-3-0.pdf","gsii/47346-hospital-course-3-0.pdf")</f>
        <v/>
      </c>
      <c r="E496" t="n">
        <v>118760</v>
      </c>
      <c r="F496" t="n">
        <v>47346</v>
      </c>
      <c r="G496" t="inlineStr">
        <is>
          <t>Discharge summary</t>
        </is>
      </c>
      <c r="H496" t="inlineStr">
        <is>
          <t>hospital-course</t>
        </is>
      </c>
      <c r="I496" t="inlineStr">
        <is>
          <t xml:space="preserve">
# CAD - Continued ASA, BB, statin.</t>
        </is>
      </c>
    </row>
    <row r="497">
      <c r="A497" t="inlineStr">
        <is>
          <t>47346-hospital-course-3-1</t>
        </is>
      </c>
      <c r="B497" t="inlineStr"/>
      <c r="C497" t="inlineStr"/>
      <c r="D497">
        <f>HYPERLINK("http://nlpdeep.cs.uic.edu:8080/proofing/t5/47346-hospital-course-3-1.pdf","t5/47346-hospital-course-3-1.pdf")</f>
        <v/>
      </c>
      <c r="E497" t="n">
        <v>118760</v>
      </c>
      <c r="F497" t="n">
        <v>47346</v>
      </c>
      <c r="G497" t="inlineStr">
        <is>
          <t>Discharge summary</t>
        </is>
      </c>
      <c r="H497" t="inlineStr">
        <is>
          <t>hospital-course</t>
        </is>
      </c>
      <c r="I497" t="inlineStr">
        <is>
          <t xml:space="preserve"> Patient should not stop ASA
for any minor surgeries in the future as he has a DES -&gt; LMCA.</t>
        </is>
      </c>
    </row>
    <row r="498">
      <c r="A498" t="inlineStr">
        <is>
          <t>47346-hospital-course-3-1</t>
        </is>
      </c>
      <c r="B498" t="inlineStr"/>
      <c r="C498" t="inlineStr"/>
      <c r="D498">
        <f>HYPERLINK("http://nlpdeep.cs.uic.edu:8080/proofing/gsii/47346-hospital-course-3-1.pdf","gsii/47346-hospital-course-3-1.pdf")</f>
        <v/>
      </c>
      <c r="E498" t="n">
        <v>118760</v>
      </c>
      <c r="F498" t="n">
        <v>47346</v>
      </c>
      <c r="G498" t="inlineStr">
        <is>
          <t>Discharge summary</t>
        </is>
      </c>
      <c r="H498" t="inlineStr">
        <is>
          <t>hospital-course</t>
        </is>
      </c>
      <c r="I498" t="inlineStr">
        <is>
          <t xml:space="preserve"> Patient should not stop ASA
for any minor surgeries in the future as he has a DES -&gt; LMCA.</t>
        </is>
      </c>
    </row>
    <row r="499">
      <c r="A499" t="inlineStr">
        <is>
          <t>47346-hospital-course-4-0</t>
        </is>
      </c>
      <c r="B499" t="inlineStr"/>
      <c r="C499" t="inlineStr"/>
      <c r="D499">
        <f>HYPERLINK("http://nlpdeep.cs.uic.edu:8080/proofing/t5/47346-hospital-course-4-0.pdf","t5/47346-hospital-course-4-0.pdf")</f>
        <v/>
      </c>
      <c r="E499" t="n">
        <v>118760</v>
      </c>
      <c r="F499" t="n">
        <v>47346</v>
      </c>
      <c r="G499" t="inlineStr">
        <is>
          <t>Discharge summary</t>
        </is>
      </c>
      <c r="H499" t="inlineStr">
        <is>
          <t>hospital-course</t>
        </is>
      </c>
      <c r="I499" t="inlineStr">
        <is>
          <t xml:space="preserve">
# ESRD - Patient received hemodyalsis at [**Hospital1 18**] on Wednesday and
Friday. Hemodynamically stable throughout stay except for mild
hypotension post dialysis that responded well to fluids.</t>
        </is>
      </c>
    </row>
    <row r="500">
      <c r="A500" t="inlineStr">
        <is>
          <t>47346-hospital-course-4-0</t>
        </is>
      </c>
      <c r="B500" t="inlineStr"/>
      <c r="C500" t="inlineStr"/>
      <c r="D500">
        <f>HYPERLINK("http://nlpdeep.cs.uic.edu:8080/proofing/gsii/47346-hospital-course-4-0.pdf","gsii/47346-hospital-course-4-0.pdf")</f>
        <v/>
      </c>
      <c r="E500" t="n">
        <v>118760</v>
      </c>
      <c r="F500" t="n">
        <v>47346</v>
      </c>
      <c r="G500" t="inlineStr">
        <is>
          <t>Discharge summary</t>
        </is>
      </c>
      <c r="H500" t="inlineStr">
        <is>
          <t>hospital-course</t>
        </is>
      </c>
      <c r="I500" t="inlineStr">
        <is>
          <t xml:space="preserve">
# ESRD - Patient received hemodyalsis at [**Hospital1 18**] on Wednesday and
Friday. Hemodynamically stable throughout stay except for mild
hypotension post dialysis that responded well to fluids.</t>
        </is>
      </c>
    </row>
    <row r="501">
      <c r="A501" t="inlineStr">
        <is>
          <t>47346-hospital-course-4-1</t>
        </is>
      </c>
      <c r="B501" t="inlineStr"/>
      <c r="C501" t="inlineStr"/>
      <c r="D501">
        <f>HYPERLINK("http://nlpdeep.cs.uic.edu:8080/proofing/t5/47346-hospital-course-4-1.pdf","t5/47346-hospital-course-4-1.pdf")</f>
        <v/>
      </c>
      <c r="E501" t="n">
        <v>118760</v>
      </c>
      <c r="F501" t="n">
        <v>47346</v>
      </c>
      <c r="G501" t="inlineStr">
        <is>
          <t>Discharge summary</t>
        </is>
      </c>
      <c r="H501" t="inlineStr">
        <is>
          <t>hospital-course</t>
        </is>
      </c>
      <c r="I501" t="inlineStr">
        <is>
          <t>Held
metoprolol prior to HD sessions.</t>
        </is>
      </c>
    </row>
    <row r="502">
      <c r="A502" t="inlineStr">
        <is>
          <t>47346-hospital-course-4-1</t>
        </is>
      </c>
      <c r="B502" t="inlineStr"/>
      <c r="C502" t="inlineStr"/>
      <c r="D502">
        <f>HYPERLINK("http://nlpdeep.cs.uic.edu:8080/proofing/gsii/47346-hospital-course-4-1.pdf","gsii/47346-hospital-course-4-1.pdf")</f>
        <v/>
      </c>
      <c r="E502" t="n">
        <v>118760</v>
      </c>
      <c r="F502" t="n">
        <v>47346</v>
      </c>
      <c r="G502" t="inlineStr">
        <is>
          <t>Discharge summary</t>
        </is>
      </c>
      <c r="H502" t="inlineStr">
        <is>
          <t>hospital-course</t>
        </is>
      </c>
      <c r="I502" t="inlineStr">
        <is>
          <t>Held
metoprolol prior to HD sessions.</t>
        </is>
      </c>
    </row>
    <row r="503">
      <c r="A503" t="inlineStr">
        <is>
          <t>47346-hospital-course-4-2</t>
        </is>
      </c>
      <c r="B503" t="inlineStr"/>
      <c r="C503" t="inlineStr"/>
      <c r="D503">
        <f>HYPERLINK("http://nlpdeep.cs.uic.edu:8080/proofing/t5/47346-hospital-course-4-2.pdf","t5/47346-hospital-course-4-2.pdf")</f>
        <v/>
      </c>
      <c r="E503" t="n">
        <v>118760</v>
      </c>
      <c r="F503" t="n">
        <v>47346</v>
      </c>
      <c r="G503" t="inlineStr">
        <is>
          <t>Discharge summary</t>
        </is>
      </c>
      <c r="H503" t="inlineStr">
        <is>
          <t>hospital-course</t>
        </is>
      </c>
      <c r="I503" t="inlineStr">
        <is>
          <t>Continued on sevelamer and
calcium acetate.</t>
        </is>
      </c>
    </row>
    <row r="504">
      <c r="A504" t="inlineStr">
        <is>
          <t>47346-hospital-course-4-2</t>
        </is>
      </c>
      <c r="B504" t="inlineStr"/>
      <c r="C504" t="inlineStr"/>
      <c r="D504">
        <f>HYPERLINK("http://nlpdeep.cs.uic.edu:8080/proofing/gsii/47346-hospital-course-4-2.pdf","gsii/47346-hospital-course-4-2.pdf")</f>
        <v/>
      </c>
      <c r="E504" t="n">
        <v>118760</v>
      </c>
      <c r="F504" t="n">
        <v>47346</v>
      </c>
      <c r="G504" t="inlineStr">
        <is>
          <t>Discharge summary</t>
        </is>
      </c>
      <c r="H504" t="inlineStr">
        <is>
          <t>hospital-course</t>
        </is>
      </c>
      <c r="I504" t="inlineStr">
        <is>
          <t>Continued on sevelamer and
calcium acetate.</t>
        </is>
      </c>
    </row>
    <row r="505">
      <c r="A505" t="inlineStr">
        <is>
          <t>47346-hospital-course-5-0</t>
        </is>
      </c>
      <c r="B505" t="inlineStr"/>
      <c r="C505" t="inlineStr"/>
      <c r="D505">
        <f>HYPERLINK("http://nlpdeep.cs.uic.edu:8080/proofing/t5/47346-hospital-course-5-0.pdf","t5/47346-hospital-course-5-0.pdf")</f>
        <v/>
      </c>
      <c r="E505" t="n">
        <v>118760</v>
      </c>
      <c r="F505" t="n">
        <v>47346</v>
      </c>
      <c r="G505" t="inlineStr">
        <is>
          <t>Discharge summary</t>
        </is>
      </c>
      <c r="H505" t="inlineStr">
        <is>
          <t>hospital-course</t>
        </is>
      </c>
      <c r="I505" t="inlineStr">
        <is>
          <t xml:space="preserve">
#Bullous Pemphigoid - followed by Dermatology while here, with
regular changing of dressings in blistered areas and application
of recommended medications.</t>
        </is>
      </c>
    </row>
    <row r="506">
      <c r="A506" t="inlineStr">
        <is>
          <t>47346-hospital-course-5-0</t>
        </is>
      </c>
      <c r="B506" t="inlineStr"/>
      <c r="C506" t="inlineStr"/>
      <c r="D506">
        <f>HYPERLINK("http://nlpdeep.cs.uic.edu:8080/proofing/gsii/47346-hospital-course-5-0.pdf","gsii/47346-hospital-course-5-0.pdf")</f>
        <v/>
      </c>
      <c r="E506" t="n">
        <v>118760</v>
      </c>
      <c r="F506" t="n">
        <v>47346</v>
      </c>
      <c r="G506" t="inlineStr">
        <is>
          <t>Discharge summary</t>
        </is>
      </c>
      <c r="H506" t="inlineStr">
        <is>
          <t>hospital-course</t>
        </is>
      </c>
      <c r="I506" t="inlineStr">
        <is>
          <t xml:space="preserve">
#Bullous Pemphigoid - followed by Dermatology while here, with
regular changing of dressings in blistered areas and application
of recommended medications.</t>
        </is>
      </c>
    </row>
    <row r="507">
      <c r="A507" t="inlineStr">
        <is>
          <t>47346-hospital-course-6-0</t>
        </is>
      </c>
      <c r="B507" t="inlineStr"/>
      <c r="C507" t="inlineStr"/>
      <c r="D507">
        <f>HYPERLINK("http://nlpdeep.cs.uic.edu:8080/proofing/t5/47346-hospital-course-6-0.pdf","t5/47346-hospital-course-6-0.pdf")</f>
        <v/>
      </c>
      <c r="E507" t="n">
        <v>118760</v>
      </c>
      <c r="F507" t="n">
        <v>47346</v>
      </c>
      <c r="G507" t="inlineStr">
        <is>
          <t>Discharge summary</t>
        </is>
      </c>
      <c r="H507" t="inlineStr">
        <is>
          <t>hospital-course</t>
        </is>
      </c>
      <c r="I507" t="inlineStr">
        <is>
          <t xml:space="preserve">
# Supratherapeutic INR - pt was on coumadin 2 mg daily
post-operative per ortho; however, after 2 doses, INR climbed to
8.6.</t>
        </is>
      </c>
    </row>
    <row r="508">
      <c r="A508" t="inlineStr">
        <is>
          <t>47346-hospital-course-6-0</t>
        </is>
      </c>
      <c r="B508" t="inlineStr"/>
      <c r="C508" t="inlineStr"/>
      <c r="D508">
        <f>HYPERLINK("http://nlpdeep.cs.uic.edu:8080/proofing/gsii/47346-hospital-course-6-0.pdf","gsii/47346-hospital-course-6-0.pdf")</f>
        <v/>
      </c>
      <c r="E508" t="n">
        <v>118760</v>
      </c>
      <c r="F508" t="n">
        <v>47346</v>
      </c>
      <c r="G508" t="inlineStr">
        <is>
          <t>Discharge summary</t>
        </is>
      </c>
      <c r="H508" t="inlineStr">
        <is>
          <t>hospital-course</t>
        </is>
      </c>
      <c r="I508" t="inlineStr">
        <is>
          <t xml:space="preserve">
# Supratherapeutic INR - pt was on coumadin 2 mg daily
post-operative per ortho; however, after 2 doses, INR climbed to
8.6.</t>
        </is>
      </c>
    </row>
    <row r="509">
      <c r="A509" t="inlineStr">
        <is>
          <t>47346-hospital-course-6-1</t>
        </is>
      </c>
      <c r="B509" t="inlineStr"/>
      <c r="C509" t="inlineStr"/>
      <c r="D509">
        <f>HYPERLINK("http://nlpdeep.cs.uic.edu:8080/proofing/t5/47346-hospital-course-6-1.pdf","t5/47346-hospital-course-6-1.pdf")</f>
        <v/>
      </c>
      <c r="E509" t="n">
        <v>118760</v>
      </c>
      <c r="F509" t="n">
        <v>47346</v>
      </c>
      <c r="G509" t="inlineStr">
        <is>
          <t>Discharge summary</t>
        </is>
      </c>
      <c r="H509" t="inlineStr">
        <is>
          <t>hospital-course</t>
        </is>
      </c>
      <c r="I509" t="inlineStr">
        <is>
          <t>Held coumadin.</t>
        </is>
      </c>
    </row>
    <row r="510">
      <c r="A510" t="inlineStr">
        <is>
          <t>47346-hospital-course-6-1</t>
        </is>
      </c>
      <c r="B510" t="inlineStr"/>
      <c r="C510" t="inlineStr"/>
      <c r="D510">
        <f>HYPERLINK("http://nlpdeep.cs.uic.edu:8080/proofing/gsii/47346-hospital-course-6-1.pdf","gsii/47346-hospital-course-6-1.pdf")</f>
        <v/>
      </c>
      <c r="E510" t="n">
        <v>118760</v>
      </c>
      <c r="F510" t="n">
        <v>47346</v>
      </c>
      <c r="G510" t="inlineStr">
        <is>
          <t>Discharge summary</t>
        </is>
      </c>
      <c r="H510" t="inlineStr">
        <is>
          <t>hospital-course</t>
        </is>
      </c>
      <c r="I510" t="inlineStr">
        <is>
          <t>Held coumadin.</t>
        </is>
      </c>
    </row>
    <row r="511">
      <c r="A511" t="inlineStr">
        <is>
          <t>47346-hospital-course-6-2</t>
        </is>
      </c>
      <c r="B511" t="inlineStr"/>
      <c r="C511" t="inlineStr"/>
      <c r="D511">
        <f>HYPERLINK("http://nlpdeep.cs.uic.edu:8080/proofing/t5/47346-hospital-course-6-2.pdf","t5/47346-hospital-course-6-2.pdf")</f>
        <v/>
      </c>
      <c r="E511" t="n">
        <v>118760</v>
      </c>
      <c r="F511" t="n">
        <v>47346</v>
      </c>
      <c r="G511" t="inlineStr">
        <is>
          <t>Discharge summary</t>
        </is>
      </c>
      <c r="H511" t="inlineStr">
        <is>
          <t>hospital-course</t>
        </is>
      </c>
      <c r="I511" t="inlineStr">
        <is>
          <t>Gave vitamin K 2 mg po x 1.</t>
        </is>
      </c>
    </row>
    <row r="512">
      <c r="A512" t="inlineStr">
        <is>
          <t>47346-hospital-course-6-2</t>
        </is>
      </c>
      <c r="B512" t="inlineStr"/>
      <c r="C512" t="inlineStr"/>
      <c r="D512">
        <f>HYPERLINK("http://nlpdeep.cs.uic.edu:8080/proofing/gsii/47346-hospital-course-6-2.pdf","gsii/47346-hospital-course-6-2.pdf")</f>
        <v/>
      </c>
      <c r="E512" t="n">
        <v>118760</v>
      </c>
      <c r="F512" t="n">
        <v>47346</v>
      </c>
      <c r="G512" t="inlineStr">
        <is>
          <t>Discharge summary</t>
        </is>
      </c>
      <c r="H512" t="inlineStr">
        <is>
          <t>hospital-course</t>
        </is>
      </c>
      <c r="I512" t="inlineStr">
        <is>
          <t>Gave vitamin K 2 mg po x 1.</t>
        </is>
      </c>
    </row>
    <row r="513">
      <c r="A513" t="inlineStr">
        <is>
          <t>47346-hospital-course-6-3</t>
        </is>
      </c>
      <c r="B513" t="inlineStr"/>
      <c r="C513" t="inlineStr"/>
      <c r="D513">
        <f>HYPERLINK("http://nlpdeep.cs.uic.edu:8080/proofing/t5/47346-hospital-course-6-3.pdf","t5/47346-hospital-course-6-3.pdf")</f>
        <v/>
      </c>
      <c r="E513" t="n">
        <v>118760</v>
      </c>
      <c r="F513" t="n">
        <v>47346</v>
      </c>
      <c r="G513" t="inlineStr">
        <is>
          <t>Discharge summary</t>
        </is>
      </c>
      <c r="H513" t="inlineStr">
        <is>
          <t>hospital-course</t>
        </is>
      </c>
      <c r="I513" t="inlineStr">
        <is>
          <t>Followed INR
daily for goal 1.5-2.</t>
        </is>
      </c>
    </row>
    <row r="514">
      <c r="A514" t="inlineStr">
        <is>
          <t>47346-hospital-course-6-3</t>
        </is>
      </c>
      <c r="B514" t="inlineStr"/>
      <c r="C514" t="inlineStr"/>
      <c r="D514">
        <f>HYPERLINK("http://nlpdeep.cs.uic.edu:8080/proofing/gsii/47346-hospital-course-6-3.pdf","gsii/47346-hospital-course-6-3.pdf")</f>
        <v/>
      </c>
      <c r="E514" t="n">
        <v>118760</v>
      </c>
      <c r="F514" t="n">
        <v>47346</v>
      </c>
      <c r="G514" t="inlineStr">
        <is>
          <t>Discharge summary</t>
        </is>
      </c>
      <c r="H514" t="inlineStr">
        <is>
          <t>hospital-course</t>
        </is>
      </c>
      <c r="I514" t="inlineStr">
        <is>
          <t>Followed INR
daily for goal 1.5-2.</t>
        </is>
      </c>
    </row>
    <row r="515">
      <c r="A515" t="inlineStr">
        <is>
          <t>47346-hospital-course-6-4</t>
        </is>
      </c>
      <c r="B515" t="inlineStr"/>
      <c r="C515" t="inlineStr"/>
      <c r="D515">
        <f>HYPERLINK("http://nlpdeep.cs.uic.edu:8080/proofing/t5/47346-hospital-course-6-4.pdf","t5/47346-hospital-course-6-4.pdf")</f>
        <v/>
      </c>
      <c r="E515" t="n">
        <v>118760</v>
      </c>
      <c r="F515" t="n">
        <v>47346</v>
      </c>
      <c r="G515" t="inlineStr">
        <is>
          <t>Discharge summary</t>
        </is>
      </c>
      <c r="H515" t="inlineStr">
        <is>
          <t>hospital-course</t>
        </is>
      </c>
      <c r="I515" t="inlineStr">
        <is>
          <t>Needs coumadin x 4 weeks.</t>
        </is>
      </c>
    </row>
    <row r="516">
      <c r="A516" t="inlineStr">
        <is>
          <t>47346-hospital-course-6-4</t>
        </is>
      </c>
      <c r="B516" t="inlineStr"/>
      <c r="C516" t="inlineStr"/>
      <c r="D516">
        <f>HYPERLINK("http://nlpdeep.cs.uic.edu:8080/proofing/gsii/47346-hospital-course-6-4.pdf","gsii/47346-hospital-course-6-4.pdf")</f>
        <v/>
      </c>
      <c r="E516" t="n">
        <v>118760</v>
      </c>
      <c r="F516" t="n">
        <v>47346</v>
      </c>
      <c r="G516" t="inlineStr">
        <is>
          <t>Discharge summary</t>
        </is>
      </c>
      <c r="H516" t="inlineStr">
        <is>
          <t>hospital-course</t>
        </is>
      </c>
      <c r="I516" t="inlineStr">
        <is>
          <t>Needs coumadin x 4 weeks.</t>
        </is>
      </c>
    </row>
    <row r="517">
      <c r="A517" t="inlineStr">
        <is>
          <t>47346-hospital-course-7-0</t>
        </is>
      </c>
      <c r="B517" t="inlineStr"/>
      <c r="C517" t="inlineStr"/>
      <c r="D517">
        <f>HYPERLINK("http://nlpdeep.cs.uic.edu:8080/proofing/t5/47346-hospital-course-7-0.pdf","t5/47346-hospital-course-7-0.pdf")</f>
        <v/>
      </c>
      <c r="E517" t="n">
        <v>118760</v>
      </c>
      <c r="F517" t="n">
        <v>47346</v>
      </c>
      <c r="G517" t="inlineStr">
        <is>
          <t>Discharge summary</t>
        </is>
      </c>
      <c r="H517" t="inlineStr">
        <is>
          <t>hospital-course</t>
        </is>
      </c>
      <c r="I517" t="inlineStr">
        <is>
          <t>TO DO FOR REHAB:
[ ] monitor INR daily (goal is 1.5-2.0 x 4 weeks per
orthopedics), please titrate coumadin as needed
[ ] physical therapy
[ ] occupational therapy
[ ] hemodialysis on Mon, Wed, Friday -- HOLD METOPROLOL PRIOR TO
HEMODIALYSIS SESSIONS
[ ] check CBC and electrolytes daily x 1 week, then three times
a w</t>
        </is>
      </c>
    </row>
    <row r="518">
      <c r="A518" t="inlineStr">
        <is>
          <t>47346-hospital-course-7-0</t>
        </is>
      </c>
      <c r="B518" t="inlineStr"/>
      <c r="C518" t="inlineStr"/>
      <c r="D518">
        <f>HYPERLINK("http://nlpdeep.cs.uic.edu:8080/proofing/gsii/47346-hospital-course-7-0.pdf","gsii/47346-hospital-course-7-0.pdf")</f>
        <v/>
      </c>
      <c r="E518" t="n">
        <v>118760</v>
      </c>
      <c r="F518" t="n">
        <v>47346</v>
      </c>
      <c r="G518" t="inlineStr">
        <is>
          <t>Discharge summary</t>
        </is>
      </c>
      <c r="H518" t="inlineStr">
        <is>
          <t>hospital-course</t>
        </is>
      </c>
      <c r="I518" t="inlineStr">
        <is>
          <t>TO DO FOR REHAB:
[ ] monitor INR daily (goal is 1.5-2.0 x 4 weeks per
orthopedics), please titrate coumadin as needed
[ ] physical therapy
[ ] occupational therapy
[ ] hemodialysis on Mon, Wed, Friday -- HOLD METOPROLOL PRIOR TO
HEMODIALYSIS SESSIONS
[ ] check CBC and electrolytes daily x 1 week, then three times
a w</t>
        </is>
      </c>
    </row>
    <row r="519">
      <c r="A519" t="inlineStr">
        <is>
          <t>47346-medication-history-0-0</t>
        </is>
      </c>
      <c r="B519" t="inlineStr"/>
      <c r="C519" t="inlineStr"/>
      <c r="D519">
        <f>HYPERLINK("http://nlpdeep.cs.uic.edu:8080/proofing/t5/47346-medication-history-0-0.pdf","t5/47346-medication-history-0-0.pdf")</f>
        <v/>
      </c>
      <c r="E519" t="n">
        <v>118760</v>
      </c>
      <c r="F519" t="n">
        <v>47346</v>
      </c>
      <c r="G519" t="inlineStr">
        <is>
          <t>Discharge summary</t>
        </is>
      </c>
      <c r="H519" t="inlineStr">
        <is>
          <t>medication-history</t>
        </is>
      </c>
      <c r="I519" t="inlineStr">
        <is>
          <t>Ezetimibe 10 mg daily
Celexa 20 mg daily
Zocor 80 mg daily
Mirtazapine 15 mg po qhs
Citalopram 10 mg po daily
Simethicone 80 mg po bid
Compazine 10 mg po q8h prn
Imodium 2 mg po q6h prn
ASA 325 mg po daily
Minocycline HcL 100 mg po bid
Calcium Acetate 667 mg - 2 cap tid
Metoprolol 25 mg po bid
Omeprazole 20 mg po daily
Lactobacillus 1 tab po bid
Vitamin B complex with C</t>
        </is>
      </c>
    </row>
    <row r="520">
      <c r="A520" t="inlineStr">
        <is>
          <t>47346-medication-history-0-0</t>
        </is>
      </c>
      <c r="B520" t="inlineStr"/>
      <c r="C520" t="inlineStr"/>
      <c r="D520">
        <f>HYPERLINK("http://nlpdeep.cs.uic.edu:8080/proofing/gsii/47346-medication-history-0-0.pdf","gsii/47346-medication-history-0-0.pdf")</f>
        <v/>
      </c>
      <c r="E520" t="n">
        <v>118760</v>
      </c>
      <c r="F520" t="n">
        <v>47346</v>
      </c>
      <c r="G520" t="inlineStr">
        <is>
          <t>Discharge summary</t>
        </is>
      </c>
      <c r="H520" t="inlineStr">
        <is>
          <t>medication-history</t>
        </is>
      </c>
      <c r="I520" t="inlineStr">
        <is>
          <t>Ezetimibe 10 mg daily
Celexa 20 mg daily
Zocor 80 mg daily
Mirtazapine 15 mg po qhs
Citalopram 10 mg po daily
Simethicone 80 mg po bid
Compazine 10 mg po q8h prn
Imodium 2 mg po q6h prn
ASA 325 mg po daily
Minocycline HcL 100 mg po bid
Calcium Acetate 667 mg - 2 cap tid
Metoprolol 25 mg po bid
Omeprazole 20 mg po daily
Lactobacillus 1 tab po bid
Vitamin B complex with C</t>
        </is>
      </c>
    </row>
    <row r="521">
      <c r="A521" t="inlineStr">
        <is>
          <t>47346-discharge-medications-0-0</t>
        </is>
      </c>
      <c r="B521" t="inlineStr"/>
      <c r="C521" t="inlineStr"/>
      <c r="D521">
        <f>HYPERLINK("http://nlpdeep.cs.uic.edu:8080/proofing/t5/47346-discharge-medications-0-0.pdf","t5/47346-discharge-medications-0-0.pdf")</f>
        <v/>
      </c>
      <c r="E521" t="n">
        <v>118760</v>
      </c>
      <c r="F521" t="n">
        <v>47346</v>
      </c>
      <c r="G521" t="inlineStr">
        <is>
          <t>Discharge summary</t>
        </is>
      </c>
      <c r="H521" t="inlineStr">
        <is>
          <t>discharge-medications</t>
        </is>
      </c>
      <c r="I521" t="inlineStr">
        <is>
          <t>Docusate Sodium 100 mg Capsule Sig: One (1) Capsule PO BID (2
times a day).</t>
        </is>
      </c>
    </row>
    <row r="522">
      <c r="A522" t="inlineStr">
        <is>
          <t>47346-discharge-medications-0-0</t>
        </is>
      </c>
      <c r="B522" t="inlineStr"/>
      <c r="C522" t="inlineStr"/>
      <c r="D522">
        <f>HYPERLINK("http://nlpdeep.cs.uic.edu:8080/proofing/gsii/47346-discharge-medications-0-0.pdf","gsii/47346-discharge-medications-0-0.pdf")</f>
        <v/>
      </c>
      <c r="E522" t="n">
        <v>118760</v>
      </c>
      <c r="F522" t="n">
        <v>47346</v>
      </c>
      <c r="G522" t="inlineStr">
        <is>
          <t>Discharge summary</t>
        </is>
      </c>
      <c r="H522" t="inlineStr">
        <is>
          <t>discharge-medications</t>
        </is>
      </c>
      <c r="I522" t="inlineStr">
        <is>
          <t>Docusate Sodium 100 mg Capsule Sig: One (1) Capsule PO BID (2
times a day).</t>
        </is>
      </c>
    </row>
    <row r="523">
      <c r="A523" t="inlineStr">
        <is>
          <t>47346-discharge-medications-0-1</t>
        </is>
      </c>
      <c r="B523" t="inlineStr"/>
      <c r="C523" t="inlineStr"/>
      <c r="D523">
        <f>HYPERLINK("http://nlpdeep.cs.uic.edu:8080/proofing/t5/47346-discharge-medications-0-1.pdf","t5/47346-discharge-medications-0-1.pdf")</f>
        <v/>
      </c>
      <c r="E523" t="n">
        <v>118760</v>
      </c>
      <c r="F523" t="n">
        <v>47346</v>
      </c>
      <c r="G523" t="inlineStr">
        <is>
          <t>Discharge summary</t>
        </is>
      </c>
      <c r="H523" t="inlineStr">
        <is>
          <t>discharge-medications</t>
        </is>
      </c>
      <c r="I523" t="inlineStr">
        <is>
          <t>Senna 8.6 mg Tablet Sig: One (1) Tablet PO BID (2 times a
day) as needed for constipation.</t>
        </is>
      </c>
    </row>
    <row r="524">
      <c r="A524" t="inlineStr">
        <is>
          <t>47346-discharge-medications-0-1</t>
        </is>
      </c>
      <c r="B524" t="inlineStr"/>
      <c r="C524" t="inlineStr"/>
      <c r="D524">
        <f>HYPERLINK("http://nlpdeep.cs.uic.edu:8080/proofing/gsii/47346-discharge-medications-0-1.pdf","gsii/47346-discharge-medications-0-1.pdf")</f>
        <v/>
      </c>
      <c r="E524" t="n">
        <v>118760</v>
      </c>
      <c r="F524" t="n">
        <v>47346</v>
      </c>
      <c r="G524" t="inlineStr">
        <is>
          <t>Discharge summary</t>
        </is>
      </c>
      <c r="H524" t="inlineStr">
        <is>
          <t>discharge-medications</t>
        </is>
      </c>
      <c r="I524" t="inlineStr">
        <is>
          <t>Senna 8.6 mg Tablet Sig: One (1) Tablet PO BID (2 times a
day) as needed for constipation.</t>
        </is>
      </c>
    </row>
    <row r="525">
      <c r="A525" t="inlineStr">
        <is>
          <t>47346-discharge-medications-0-2</t>
        </is>
      </c>
      <c r="B525" t="inlineStr"/>
      <c r="C525" t="inlineStr"/>
      <c r="D525">
        <f>HYPERLINK("http://nlpdeep.cs.uic.edu:8080/proofing/t5/47346-discharge-medications-0-2.pdf","t5/47346-discharge-medications-0-2.pdf")</f>
        <v/>
      </c>
      <c r="E525" t="n">
        <v>118760</v>
      </c>
      <c r="F525" t="n">
        <v>47346</v>
      </c>
      <c r="G525" t="inlineStr">
        <is>
          <t>Discharge summary</t>
        </is>
      </c>
      <c r="H525" t="inlineStr">
        <is>
          <t>discharge-medications</t>
        </is>
      </c>
      <c r="I525" t="inlineStr">
        <is>
          <t>Ezetimibe 10 mg Tablet Sig: One (1) Tablet PO DAILY (Daily).</t>
        </is>
      </c>
    </row>
    <row r="526">
      <c r="A526" t="inlineStr">
        <is>
          <t>47346-discharge-medications-0-2</t>
        </is>
      </c>
      <c r="B526" t="inlineStr"/>
      <c r="C526" t="inlineStr"/>
      <c r="D526">
        <f>HYPERLINK("http://nlpdeep.cs.uic.edu:8080/proofing/gsii/47346-discharge-medications-0-2.pdf","gsii/47346-discharge-medications-0-2.pdf")</f>
        <v/>
      </c>
      <c r="E526" t="n">
        <v>118760</v>
      </c>
      <c r="F526" t="n">
        <v>47346</v>
      </c>
      <c r="G526" t="inlineStr">
        <is>
          <t>Discharge summary</t>
        </is>
      </c>
      <c r="H526" t="inlineStr">
        <is>
          <t>discharge-medications</t>
        </is>
      </c>
      <c r="I526" t="inlineStr">
        <is>
          <t>Ezetimibe 10 mg Tablet Sig: One (1) Tablet PO DAILY (Daily).</t>
        </is>
      </c>
    </row>
    <row r="527">
      <c r="A527" t="inlineStr">
        <is>
          <t>47346-discharge-medications-1-0</t>
        </is>
      </c>
      <c r="B527" t="inlineStr"/>
      <c r="C527" t="inlineStr"/>
      <c r="D527">
        <f>HYPERLINK("http://nlpdeep.cs.uic.edu:8080/proofing/t5/47346-discharge-medications-1-0.pdf","t5/47346-discharge-medications-1-0.pdf")</f>
        <v/>
      </c>
      <c r="E527" t="n">
        <v>118760</v>
      </c>
      <c r="F527" t="n">
        <v>47346</v>
      </c>
      <c r="G527" t="inlineStr">
        <is>
          <t>Discharge summary</t>
        </is>
      </c>
      <c r="H527" t="inlineStr">
        <is>
          <t>discharge-medications</t>
        </is>
      </c>
      <c r="I527" t="inlineStr">
        <is>
          <t>Citalopram 20 mg Tablet Sig: One (1) Tablet PO DAILY (Daily).</t>
        </is>
      </c>
    </row>
    <row r="528">
      <c r="A528" t="inlineStr">
        <is>
          <t>47346-discharge-medications-1-0</t>
        </is>
      </c>
      <c r="B528" t="inlineStr"/>
      <c r="C528" t="inlineStr"/>
      <c r="D528">
        <f>HYPERLINK("http://nlpdeep.cs.uic.edu:8080/proofing/gsii/47346-discharge-medications-1-0.pdf","gsii/47346-discharge-medications-1-0.pdf")</f>
        <v/>
      </c>
      <c r="E528" t="n">
        <v>118760</v>
      </c>
      <c r="F528" t="n">
        <v>47346</v>
      </c>
      <c r="G528" t="inlineStr">
        <is>
          <t>Discharge summary</t>
        </is>
      </c>
      <c r="H528" t="inlineStr">
        <is>
          <t>discharge-medications</t>
        </is>
      </c>
      <c r="I528" t="inlineStr">
        <is>
          <t>Citalopram 20 mg Tablet Sig: One (1) Tablet PO DAILY (Daily).</t>
        </is>
      </c>
    </row>
    <row r="529">
      <c r="A529" t="inlineStr">
        <is>
          <t>47346-discharge-medications-2-0</t>
        </is>
      </c>
      <c r="B529" t="inlineStr"/>
      <c r="C529" t="inlineStr"/>
      <c r="D529">
        <f>HYPERLINK("http://nlpdeep.cs.uic.edu:8080/proofing/t5/47346-discharge-medications-2-0.pdf","t5/47346-discharge-medications-2-0.pdf")</f>
        <v/>
      </c>
      <c r="E529" t="n">
        <v>118760</v>
      </c>
      <c r="F529" t="n">
        <v>47346</v>
      </c>
      <c r="G529" t="inlineStr">
        <is>
          <t>Discharge summary</t>
        </is>
      </c>
      <c r="H529" t="inlineStr">
        <is>
          <t>discharge-medications</t>
        </is>
      </c>
      <c r="I529" t="inlineStr">
        <is>
          <t>Calcium Acetate 667 mg Capsule Sig: Two (2) Capsule PO TID
W/MEALS (3 TIMES A DAY WITH MEALS).</t>
        </is>
      </c>
    </row>
    <row r="530">
      <c r="A530" t="inlineStr">
        <is>
          <t>47346-discharge-medications-2-0</t>
        </is>
      </c>
      <c r="B530" t="inlineStr"/>
      <c r="C530" t="inlineStr"/>
      <c r="D530">
        <f>HYPERLINK("http://nlpdeep.cs.uic.edu:8080/proofing/gsii/47346-discharge-medications-2-0.pdf","gsii/47346-discharge-medications-2-0.pdf")</f>
        <v/>
      </c>
      <c r="E530" t="n">
        <v>118760</v>
      </c>
      <c r="F530" t="n">
        <v>47346</v>
      </c>
      <c r="G530" t="inlineStr">
        <is>
          <t>Discharge summary</t>
        </is>
      </c>
      <c r="H530" t="inlineStr">
        <is>
          <t>discharge-medications</t>
        </is>
      </c>
      <c r="I530" t="inlineStr">
        <is>
          <t>Calcium Acetate 667 mg Capsule Sig: Two (2) Capsule PO TID
W/MEALS (3 TIMES A DAY WITH MEALS).</t>
        </is>
      </c>
    </row>
    <row r="531">
      <c r="A531" t="inlineStr">
        <is>
          <t>47346-discharge-medications-2-1</t>
        </is>
      </c>
      <c r="B531" t="inlineStr"/>
      <c r="C531" t="inlineStr"/>
      <c r="D531">
        <f>HYPERLINK("http://nlpdeep.cs.uic.edu:8080/proofing/t5/47346-discharge-medications-2-1.pdf","t5/47346-discharge-medications-2-1.pdf")</f>
        <v/>
      </c>
      <c r="E531" t="n">
        <v>118760</v>
      </c>
      <c r="F531" t="n">
        <v>47346</v>
      </c>
      <c r="G531" t="inlineStr">
        <is>
          <t>Discharge summary</t>
        </is>
      </c>
      <c r="H531" t="inlineStr">
        <is>
          <t>discharge-medications</t>
        </is>
      </c>
      <c r="I531" t="inlineStr">
        <is>
          <t>Multivitamin,Tx-Minerals     Tablet Sig: One (1) Tablet PO
DAILY (Daily).</t>
        </is>
      </c>
    </row>
    <row r="532">
      <c r="A532" t="inlineStr">
        <is>
          <t>47346-discharge-medications-2-1</t>
        </is>
      </c>
      <c r="B532" t="inlineStr"/>
      <c r="C532" t="inlineStr"/>
      <c r="D532">
        <f>HYPERLINK("http://nlpdeep.cs.uic.edu:8080/proofing/gsii/47346-discharge-medications-2-1.pdf","gsii/47346-discharge-medications-2-1.pdf")</f>
        <v/>
      </c>
      <c r="E532" t="n">
        <v>118760</v>
      </c>
      <c r="F532" t="n">
        <v>47346</v>
      </c>
      <c r="G532" t="inlineStr">
        <is>
          <t>Discharge summary</t>
        </is>
      </c>
      <c r="H532" t="inlineStr">
        <is>
          <t>discharge-medications</t>
        </is>
      </c>
      <c r="I532" t="inlineStr">
        <is>
          <t>Multivitamin,Tx-Minerals     Tablet Sig: One (1) Tablet PO
DAILY (Daily).</t>
        </is>
      </c>
    </row>
    <row r="533">
      <c r="A533" t="inlineStr">
        <is>
          <t>47346-discharge-medications-2-2</t>
        </is>
      </c>
      <c r="B533" t="inlineStr"/>
      <c r="C533" t="inlineStr"/>
      <c r="D533">
        <f>HYPERLINK("http://nlpdeep.cs.uic.edu:8080/proofing/t5/47346-discharge-medications-2-2.pdf","t5/47346-discharge-medications-2-2.pdf")</f>
        <v/>
      </c>
      <c r="E533" t="n">
        <v>118760</v>
      </c>
      <c r="F533" t="n">
        <v>47346</v>
      </c>
      <c r="G533" t="inlineStr">
        <is>
          <t>Discharge summary</t>
        </is>
      </c>
      <c r="H533" t="inlineStr">
        <is>
          <t>discharge-medications</t>
        </is>
      </c>
      <c r="I533" t="inlineStr">
        <is>
          <t>Omeprazole 20 mg Capsule, Delayed Release(E.C.) Sig: One (1)
Capsule, Delayed Release(E.C.) PO DAILY (Daily).</t>
        </is>
      </c>
    </row>
    <row r="534">
      <c r="A534" t="inlineStr">
        <is>
          <t>47346-discharge-medications-2-2</t>
        </is>
      </c>
      <c r="B534" t="inlineStr"/>
      <c r="C534" t="inlineStr"/>
      <c r="D534">
        <f>HYPERLINK("http://nlpdeep.cs.uic.edu:8080/proofing/gsii/47346-discharge-medications-2-2.pdf","gsii/47346-discharge-medications-2-2.pdf")</f>
        <v/>
      </c>
      <c r="E534" t="n">
        <v>118760</v>
      </c>
      <c r="F534" t="n">
        <v>47346</v>
      </c>
      <c r="G534" t="inlineStr">
        <is>
          <t>Discharge summary</t>
        </is>
      </c>
      <c r="H534" t="inlineStr">
        <is>
          <t>discharge-medications</t>
        </is>
      </c>
      <c r="I534" t="inlineStr">
        <is>
          <t>Omeprazole 20 mg Capsule, Delayed Release(E.C.) Sig: One (1)
Capsule, Delayed Release(E.C.) PO DAILY (Daily).</t>
        </is>
      </c>
    </row>
    <row r="535">
      <c r="A535" t="inlineStr">
        <is>
          <t>47346-discharge-medications-2-3</t>
        </is>
      </c>
      <c r="B535" t="inlineStr"/>
      <c r="C535" t="inlineStr"/>
      <c r="D535">
        <f>HYPERLINK("http://nlpdeep.cs.uic.edu:8080/proofing/t5/47346-discharge-medications-2-3.pdf","t5/47346-discharge-medications-2-3.pdf")</f>
        <v/>
      </c>
      <c r="E535" t="n">
        <v>118760</v>
      </c>
      <c r="F535" t="n">
        <v>47346</v>
      </c>
      <c r="G535" t="inlineStr">
        <is>
          <t>Discharge summary</t>
        </is>
      </c>
      <c r="H535" t="inlineStr">
        <is>
          <t>discharge-medications</t>
        </is>
      </c>
      <c r="I535" t="inlineStr">
        <is>
          <t>Minocycline 50 mg Capsule Sig: Two (2) Capsule PO BID (2
times a day).</t>
        </is>
      </c>
    </row>
    <row r="536">
      <c r="A536" t="inlineStr">
        <is>
          <t>47346-discharge-medications-2-3</t>
        </is>
      </c>
      <c r="B536" t="inlineStr"/>
      <c r="C536" t="inlineStr"/>
      <c r="D536">
        <f>HYPERLINK("http://nlpdeep.cs.uic.edu:8080/proofing/gsii/47346-discharge-medications-2-3.pdf","gsii/47346-discharge-medications-2-3.pdf")</f>
        <v/>
      </c>
      <c r="E536" t="n">
        <v>118760</v>
      </c>
      <c r="F536" t="n">
        <v>47346</v>
      </c>
      <c r="G536" t="inlineStr">
        <is>
          <t>Discharge summary</t>
        </is>
      </c>
      <c r="H536" t="inlineStr">
        <is>
          <t>discharge-medications</t>
        </is>
      </c>
      <c r="I536" t="inlineStr">
        <is>
          <t>Minocycline 50 mg Capsule Sig: Two (2) Capsule PO BID (2
times a day).</t>
        </is>
      </c>
    </row>
    <row r="537">
      <c r="A537" t="inlineStr">
        <is>
          <t>47346-discharge-medications-2-4</t>
        </is>
      </c>
      <c r="B537" t="inlineStr"/>
      <c r="C537" t="inlineStr"/>
      <c r="D537">
        <f>HYPERLINK("http://nlpdeep.cs.uic.edu:8080/proofing/t5/47346-discharge-medications-2-4.pdf","t5/47346-discharge-medications-2-4.pdf")</f>
        <v/>
      </c>
      <c r="E537" t="n">
        <v>118760</v>
      </c>
      <c r="F537" t="n">
        <v>47346</v>
      </c>
      <c r="G537" t="inlineStr">
        <is>
          <t>Discharge summary</t>
        </is>
      </c>
      <c r="H537" t="inlineStr">
        <is>
          <t>discharge-medications</t>
        </is>
      </c>
      <c r="I537" t="inlineStr">
        <is>
          <t>Mupirocin Calcium 2 % Cream Sig: One (1) Appl Topical [**Hospital1 **] (2
times a day) as needed for on open wounds.</t>
        </is>
      </c>
    </row>
    <row r="538">
      <c r="A538" t="inlineStr">
        <is>
          <t>47346-discharge-medications-2-4</t>
        </is>
      </c>
      <c r="B538" t="inlineStr"/>
      <c r="C538" t="inlineStr"/>
      <c r="D538">
        <f>HYPERLINK("http://nlpdeep.cs.uic.edu:8080/proofing/gsii/47346-discharge-medications-2-4.pdf","gsii/47346-discharge-medications-2-4.pdf")</f>
        <v/>
      </c>
      <c r="E538" t="n">
        <v>118760</v>
      </c>
      <c r="F538" t="n">
        <v>47346</v>
      </c>
      <c r="G538" t="inlineStr">
        <is>
          <t>Discharge summary</t>
        </is>
      </c>
      <c r="H538" t="inlineStr">
        <is>
          <t>discharge-medications</t>
        </is>
      </c>
      <c r="I538" t="inlineStr">
        <is>
          <t>Mupirocin Calcium 2 % Cream Sig: One (1) Appl Topical [**Hospital1 **] (2
times a day) as needed for on open wounds.</t>
        </is>
      </c>
    </row>
    <row r="539">
      <c r="A539" t="inlineStr">
        <is>
          <t>47346-discharge-medications-2-5</t>
        </is>
      </c>
      <c r="B539" t="inlineStr"/>
      <c r="C539" t="inlineStr"/>
      <c r="D539">
        <f>HYPERLINK("http://nlpdeep.cs.uic.edu:8080/proofing/t5/47346-discharge-medications-2-5.pdf","t5/47346-discharge-medications-2-5.pdf")</f>
        <v/>
      </c>
      <c r="E539" t="n">
        <v>118760</v>
      </c>
      <c r="F539" t="n">
        <v>47346</v>
      </c>
      <c r="G539" t="inlineStr">
        <is>
          <t>Discharge summary</t>
        </is>
      </c>
      <c r="H539" t="inlineStr">
        <is>
          <t>discharge-medications</t>
        </is>
      </c>
      <c r="I539" t="inlineStr">
        <is>
          <t>Clobetasol 0.05 % Cream Sig: One (1) Appl Topical [**Hospital1 **] (2
times a day).</t>
        </is>
      </c>
    </row>
    <row r="540">
      <c r="A540" t="inlineStr">
        <is>
          <t>47346-discharge-medications-2-5</t>
        </is>
      </c>
      <c r="B540" t="inlineStr"/>
      <c r="C540" t="inlineStr"/>
      <c r="D540">
        <f>HYPERLINK("http://nlpdeep.cs.uic.edu:8080/proofing/gsii/47346-discharge-medications-2-5.pdf","gsii/47346-discharge-medications-2-5.pdf")</f>
        <v/>
      </c>
      <c r="E540" t="n">
        <v>118760</v>
      </c>
      <c r="F540" t="n">
        <v>47346</v>
      </c>
      <c r="G540" t="inlineStr">
        <is>
          <t>Discharge summary</t>
        </is>
      </c>
      <c r="H540" t="inlineStr">
        <is>
          <t>discharge-medications</t>
        </is>
      </c>
      <c r="I540" t="inlineStr">
        <is>
          <t>Clobetasol 0.05 % Cream Sig: One (1) Appl Topical [**Hospital1 **] (2
times a day).</t>
        </is>
      </c>
    </row>
    <row r="541">
      <c r="A541" t="inlineStr">
        <is>
          <t>47346-discharge-medications-2-6</t>
        </is>
      </c>
      <c r="B541" t="inlineStr"/>
      <c r="C541" t="inlineStr"/>
      <c r="D541">
        <f>HYPERLINK("http://nlpdeep.cs.uic.edu:8080/proofing/t5/47346-discharge-medications-2-6.pdf","t5/47346-discharge-medications-2-6.pdf")</f>
        <v/>
      </c>
      <c r="E541" t="n">
        <v>118760</v>
      </c>
      <c r="F541" t="n">
        <v>47346</v>
      </c>
      <c r="G541" t="inlineStr">
        <is>
          <t>Discharge summary</t>
        </is>
      </c>
      <c r="H541" t="inlineStr">
        <is>
          <t>discharge-medications</t>
        </is>
      </c>
      <c r="I541" t="inlineStr">
        <is>
          <t>Aspirin 325 mg Tablet Sig: One (1) Tablet PO DAILY (Daily).</t>
        </is>
      </c>
    </row>
    <row r="542">
      <c r="A542" t="inlineStr">
        <is>
          <t>47346-discharge-medications-2-6</t>
        </is>
      </c>
      <c r="B542" t="inlineStr"/>
      <c r="C542" t="inlineStr"/>
      <c r="D542">
        <f>HYPERLINK("http://nlpdeep.cs.uic.edu:8080/proofing/gsii/47346-discharge-medications-2-6.pdf","gsii/47346-discharge-medications-2-6.pdf")</f>
        <v/>
      </c>
      <c r="E542" t="n">
        <v>118760</v>
      </c>
      <c r="F542" t="n">
        <v>47346</v>
      </c>
      <c r="G542" t="inlineStr">
        <is>
          <t>Discharge summary</t>
        </is>
      </c>
      <c r="H542" t="inlineStr">
        <is>
          <t>discharge-medications</t>
        </is>
      </c>
      <c r="I542" t="inlineStr">
        <is>
          <t>Aspirin 325 mg Tablet Sig: One (1) Tablet PO DAILY (Daily).</t>
        </is>
      </c>
    </row>
    <row r="543">
      <c r="A543" t="inlineStr">
        <is>
          <t>47346-discharge-medications-3-0</t>
        </is>
      </c>
      <c r="B543" t="inlineStr"/>
      <c r="C543" t="inlineStr"/>
      <c r="D543">
        <f>HYPERLINK("http://nlpdeep.cs.uic.edu:8080/proofing/t5/47346-discharge-medications-3-0.pdf","t5/47346-discharge-medications-3-0.pdf")</f>
        <v/>
      </c>
      <c r="E543" t="n">
        <v>118760</v>
      </c>
      <c r="F543" t="n">
        <v>47346</v>
      </c>
      <c r="G543" t="inlineStr">
        <is>
          <t>Discharge summary</t>
        </is>
      </c>
      <c r="H543" t="inlineStr">
        <is>
          <t>discharge-medications</t>
        </is>
      </c>
      <c r="I543" t="inlineStr">
        <is>
          <t>Simvastatin 40 mg Tablet Sig: Two (2) Tablet PO HS (at
bedtime).</t>
        </is>
      </c>
    </row>
    <row r="544">
      <c r="A544" t="inlineStr">
        <is>
          <t>47346-discharge-medications-3-0</t>
        </is>
      </c>
      <c r="B544" t="inlineStr"/>
      <c r="C544" t="inlineStr"/>
      <c r="D544">
        <f>HYPERLINK("http://nlpdeep.cs.uic.edu:8080/proofing/gsii/47346-discharge-medications-3-0.pdf","gsii/47346-discharge-medications-3-0.pdf")</f>
        <v/>
      </c>
      <c r="E544" t="n">
        <v>118760</v>
      </c>
      <c r="F544" t="n">
        <v>47346</v>
      </c>
      <c r="G544" t="inlineStr">
        <is>
          <t>Discharge summary</t>
        </is>
      </c>
      <c r="H544" t="inlineStr">
        <is>
          <t>discharge-medications</t>
        </is>
      </c>
      <c r="I544" t="inlineStr">
        <is>
          <t>Simvastatin 40 mg Tablet Sig: Two (2) Tablet PO HS (at
bedtime).</t>
        </is>
      </c>
    </row>
    <row r="545">
      <c r="A545" t="inlineStr">
        <is>
          <t>47346-discharge-medications-3-1</t>
        </is>
      </c>
      <c r="B545" t="inlineStr"/>
      <c r="C545" t="inlineStr"/>
      <c r="D545">
        <f>HYPERLINK("http://nlpdeep.cs.uic.edu:8080/proofing/t5/47346-discharge-medications-3-1.pdf","t5/47346-discharge-medications-3-1.pdf")</f>
        <v/>
      </c>
      <c r="E545" t="n">
        <v>118760</v>
      </c>
      <c r="F545" t="n">
        <v>47346</v>
      </c>
      <c r="G545" t="inlineStr">
        <is>
          <t>Discharge summary</t>
        </is>
      </c>
      <c r="H545" t="inlineStr">
        <is>
          <t>discharge-medications</t>
        </is>
      </c>
      <c r="I545" t="inlineStr">
        <is>
          <t>Sevelamer HCl 400 mg Tablet Sig: Two (2) Tablet PO TID
W/MEALS (3 TIMES A DAY WITH MEALS).</t>
        </is>
      </c>
    </row>
    <row r="546">
      <c r="A546" t="inlineStr">
        <is>
          <t>47346-discharge-medications-3-1</t>
        </is>
      </c>
      <c r="B546" t="inlineStr"/>
      <c r="C546" t="inlineStr"/>
      <c r="D546">
        <f>HYPERLINK("http://nlpdeep.cs.uic.edu:8080/proofing/gsii/47346-discharge-medications-3-1.pdf","gsii/47346-discharge-medications-3-1.pdf")</f>
        <v/>
      </c>
      <c r="E546" t="n">
        <v>118760</v>
      </c>
      <c r="F546" t="n">
        <v>47346</v>
      </c>
      <c r="G546" t="inlineStr">
        <is>
          <t>Discharge summary</t>
        </is>
      </c>
      <c r="H546" t="inlineStr">
        <is>
          <t>discharge-medications</t>
        </is>
      </c>
      <c r="I546" t="inlineStr">
        <is>
          <t>Sevelamer HCl 400 mg Tablet Sig: Two (2) Tablet PO TID
W/MEALS (3 TIMES A DAY WITH MEALS).</t>
        </is>
      </c>
    </row>
    <row r="547">
      <c r="A547" t="inlineStr">
        <is>
          <t>47346-discharge-medications-3-2</t>
        </is>
      </c>
      <c r="B547" t="inlineStr"/>
      <c r="C547" t="inlineStr"/>
      <c r="D547">
        <f>HYPERLINK("http://nlpdeep.cs.uic.edu:8080/proofing/t5/47346-discharge-medications-3-2.pdf","t5/47346-discharge-medications-3-2.pdf")</f>
        <v/>
      </c>
      <c r="E547" t="n">
        <v>118760</v>
      </c>
      <c r="F547" t="n">
        <v>47346</v>
      </c>
      <c r="G547" t="inlineStr">
        <is>
          <t>Discharge summary</t>
        </is>
      </c>
      <c r="H547" t="inlineStr">
        <is>
          <t>discharge-medications</t>
        </is>
      </c>
      <c r="I547" t="inlineStr">
        <is>
          <t>Metoprolol Tartrate 25 mg Tablet Sig: 0.5 Tablet PO BID (2
times a day).</t>
        </is>
      </c>
    </row>
    <row r="548">
      <c r="A548" t="inlineStr">
        <is>
          <t>47346-discharge-medications-3-2</t>
        </is>
      </c>
      <c r="B548" t="inlineStr"/>
      <c r="C548" t="inlineStr"/>
      <c r="D548">
        <f>HYPERLINK("http://nlpdeep.cs.uic.edu:8080/proofing/gsii/47346-discharge-medications-3-2.pdf","gsii/47346-discharge-medications-3-2.pdf")</f>
        <v/>
      </c>
      <c r="E548" t="n">
        <v>118760</v>
      </c>
      <c r="F548" t="n">
        <v>47346</v>
      </c>
      <c r="G548" t="inlineStr">
        <is>
          <t>Discharge summary</t>
        </is>
      </c>
      <c r="H548" t="inlineStr">
        <is>
          <t>discharge-medications</t>
        </is>
      </c>
      <c r="I548" t="inlineStr">
        <is>
          <t>Metoprolol Tartrate 25 mg Tablet Sig: 0.5 Tablet PO BID (2
times a day).</t>
        </is>
      </c>
    </row>
    <row r="549">
      <c r="A549" t="inlineStr">
        <is>
          <t>47346-discharge-medications-3-3</t>
        </is>
      </c>
      <c r="B549" t="inlineStr"/>
      <c r="C549" t="inlineStr"/>
      <c r="D549">
        <f>HYPERLINK("http://nlpdeep.cs.uic.edu:8080/proofing/t5/47346-discharge-medications-3-3.pdf","t5/47346-discharge-medications-3-3.pdf")</f>
        <v/>
      </c>
      <c r="E549" t="n">
        <v>118760</v>
      </c>
      <c r="F549" t="n">
        <v>47346</v>
      </c>
      <c r="G549" t="inlineStr">
        <is>
          <t>Discharge summary</t>
        </is>
      </c>
      <c r="H549" t="inlineStr">
        <is>
          <t>discharge-medications</t>
        </is>
      </c>
      <c r="I549" t="inlineStr">
        <is>
          <t>Simethicone 80 mg Tablet, Chewable Sig: One (1) Tablet,
Chewable PO QID (4 times a day) as needed for bloating.</t>
        </is>
      </c>
    </row>
    <row r="550">
      <c r="A550" t="inlineStr">
        <is>
          <t>47346-discharge-medications-3-3</t>
        </is>
      </c>
      <c r="B550" t="inlineStr"/>
      <c r="C550" t="inlineStr"/>
      <c r="D550">
        <f>HYPERLINK("http://nlpdeep.cs.uic.edu:8080/proofing/gsii/47346-discharge-medications-3-3.pdf","gsii/47346-discharge-medications-3-3.pdf")</f>
        <v/>
      </c>
      <c r="E550" t="n">
        <v>118760</v>
      </c>
      <c r="F550" t="n">
        <v>47346</v>
      </c>
      <c r="G550" t="inlineStr">
        <is>
          <t>Discharge summary</t>
        </is>
      </c>
      <c r="H550" t="inlineStr">
        <is>
          <t>discharge-medications</t>
        </is>
      </c>
      <c r="I550" t="inlineStr">
        <is>
          <t>Simethicone 80 mg Tablet, Chewable Sig: One (1) Tablet,
Chewable PO QID (4 times a day) as needed for bloating.</t>
        </is>
      </c>
    </row>
    <row r="551">
      <c r="A551" t="inlineStr">
        <is>
          <t>47346-discharge-medications-3-4</t>
        </is>
      </c>
      <c r="B551" t="inlineStr"/>
      <c r="C551" t="inlineStr"/>
      <c r="D551">
        <f>HYPERLINK("http://nlpdeep.cs.uic.edu:8080/proofing/t5/47346-discharge-medications-3-4.pdf","t5/47346-discharge-medications-3-4.pdf")</f>
        <v/>
      </c>
      <c r="E551" t="n">
        <v>118760</v>
      </c>
      <c r="F551" t="n">
        <v>47346</v>
      </c>
      <c r="G551" t="inlineStr">
        <is>
          <t>Discharge summary</t>
        </is>
      </c>
      <c r="H551" t="inlineStr">
        <is>
          <t>discharge-medications</t>
        </is>
      </c>
      <c r="I551" t="inlineStr">
        <is>
          <t>Acetaminophen 500 mg Tablet Sig: Two (2) Tablet PO Q 8H
(Every 8 Hours) as needed for PAIN.</t>
        </is>
      </c>
    </row>
    <row r="552">
      <c r="A552" t="inlineStr">
        <is>
          <t>47346-discharge-medications-3-4</t>
        </is>
      </c>
      <c r="B552" t="inlineStr"/>
      <c r="C552" t="inlineStr"/>
      <c r="D552">
        <f>HYPERLINK("http://nlpdeep.cs.uic.edu:8080/proofing/gsii/47346-discharge-medications-3-4.pdf","gsii/47346-discharge-medications-3-4.pdf")</f>
        <v/>
      </c>
      <c r="E552" t="n">
        <v>118760</v>
      </c>
      <c r="F552" t="n">
        <v>47346</v>
      </c>
      <c r="G552" t="inlineStr">
        <is>
          <t>Discharge summary</t>
        </is>
      </c>
      <c r="H552" t="inlineStr">
        <is>
          <t>discharge-medications</t>
        </is>
      </c>
      <c r="I552" t="inlineStr">
        <is>
          <t>Acetaminophen 500 mg Tablet Sig: Two (2) Tablet PO Q 8H
(Every 8 Hours) as needed for PAIN.</t>
        </is>
      </c>
    </row>
    <row r="553">
      <c r="A553" t="inlineStr">
        <is>
          <t>47346-discharge-medications-3-5</t>
        </is>
      </c>
      <c r="B553" t="inlineStr"/>
      <c r="C553" t="inlineStr"/>
      <c r="D553">
        <f>HYPERLINK("http://nlpdeep.cs.uic.edu:8080/proofing/t5/47346-discharge-medications-3-5.pdf","t5/47346-discharge-medications-3-5.pdf")</f>
        <v/>
      </c>
      <c r="E553" t="n">
        <v>118760</v>
      </c>
      <c r="F553" t="n">
        <v>47346</v>
      </c>
      <c r="G553" t="inlineStr">
        <is>
          <t>Discharge summary</t>
        </is>
      </c>
      <c r="H553" t="inlineStr">
        <is>
          <t>discharge-medications</t>
        </is>
      </c>
      <c r="I553" t="inlineStr">
        <is>
          <t>Mirtazapine 15 mg Tablet Sig: One (1) Tablet PO HS (at
bedtime) as needed for Insomnia.</t>
        </is>
      </c>
    </row>
    <row r="554">
      <c r="A554" t="inlineStr">
        <is>
          <t>47346-discharge-medications-3-5</t>
        </is>
      </c>
      <c r="B554" t="inlineStr"/>
      <c r="C554" t="inlineStr"/>
      <c r="D554">
        <f>HYPERLINK("http://nlpdeep.cs.uic.edu:8080/proofing/gsii/47346-discharge-medications-3-5.pdf","gsii/47346-discharge-medications-3-5.pdf")</f>
        <v/>
      </c>
      <c r="E554" t="n">
        <v>118760</v>
      </c>
      <c r="F554" t="n">
        <v>47346</v>
      </c>
      <c r="G554" t="inlineStr">
        <is>
          <t>Discharge summary</t>
        </is>
      </c>
      <c r="H554" t="inlineStr">
        <is>
          <t>discharge-medications</t>
        </is>
      </c>
      <c r="I554" t="inlineStr">
        <is>
          <t>Mirtazapine 15 mg Tablet Sig: One (1) Tablet PO HS (at
bedtime) as needed for Insomnia.</t>
        </is>
      </c>
    </row>
    <row r="555">
      <c r="A555" t="inlineStr">
        <is>
          <t>47346-discharge-medications-3-6</t>
        </is>
      </c>
      <c r="B555" t="inlineStr"/>
      <c r="C555" t="inlineStr"/>
      <c r="D555">
        <f>HYPERLINK("http://nlpdeep.cs.uic.edu:8080/proofing/t5/47346-discharge-medications-3-6.pdf","t5/47346-discharge-medications-3-6.pdf")</f>
        <v/>
      </c>
      <c r="E555" t="n">
        <v>118760</v>
      </c>
      <c r="F555" t="n">
        <v>47346</v>
      </c>
      <c r="G555" t="inlineStr">
        <is>
          <t>Discharge summary</t>
        </is>
      </c>
      <c r="H555" t="inlineStr">
        <is>
          <t>discharge-medications</t>
        </is>
      </c>
      <c r="I555" t="inlineStr">
        <is>
          <t>Lactobacillus Acidophilus  Oral
19. Imodium A-D 2 mg Tablet Sig: One (1) Tablet PO every six (6)
hours as needed for diarrhea.</t>
        </is>
      </c>
    </row>
    <row r="556">
      <c r="A556" t="inlineStr">
        <is>
          <t>47346-discharge-medications-3-6</t>
        </is>
      </c>
      <c r="B556" t="inlineStr"/>
      <c r="C556" t="inlineStr"/>
      <c r="D556">
        <f>HYPERLINK("http://nlpdeep.cs.uic.edu:8080/proofing/gsii/47346-discharge-medications-3-6.pdf","gsii/47346-discharge-medications-3-6.pdf")</f>
        <v/>
      </c>
      <c r="E556" t="n">
        <v>118760</v>
      </c>
      <c r="F556" t="n">
        <v>47346</v>
      </c>
      <c r="G556" t="inlineStr">
        <is>
          <t>Discharge summary</t>
        </is>
      </c>
      <c r="H556" t="inlineStr">
        <is>
          <t>discharge-medications</t>
        </is>
      </c>
      <c r="I556" t="inlineStr">
        <is>
          <t>Lactobacillus Acidophilus  Oral
19. Imodium A-D 2 mg Tablet Sig: One (1) Tablet PO every six (6)
hours as needed for diarrhea.</t>
        </is>
      </c>
    </row>
    <row r="557">
      <c r="A557" t="inlineStr">
        <is>
          <t>47346-discharge-condition-0-0</t>
        </is>
      </c>
      <c r="B557" t="inlineStr"/>
      <c r="C557" t="inlineStr"/>
      <c r="D557">
        <f>HYPERLINK("http://nlpdeep.cs.uic.edu:8080/proofing/t5/47346-discharge-condition-0-0.pdf","t5/47346-discharge-condition-0-0.pdf")</f>
        <v/>
      </c>
      <c r="E557" t="n">
        <v>118760</v>
      </c>
      <c r="F557" t="n">
        <v>47346</v>
      </c>
      <c r="G557" t="inlineStr">
        <is>
          <t>Discharge summary</t>
        </is>
      </c>
      <c r="H557" t="inlineStr">
        <is>
          <t>discharge-condition</t>
        </is>
      </c>
      <c r="I557" t="inlineStr">
        <is>
          <t>Stable.</t>
        </is>
      </c>
    </row>
    <row r="558">
      <c r="A558" t="inlineStr">
        <is>
          <t>47346-discharge-condition-0-0</t>
        </is>
      </c>
      <c r="B558" t="inlineStr"/>
      <c r="C558" t="inlineStr"/>
      <c r="D558">
        <f>HYPERLINK("http://nlpdeep.cs.uic.edu:8080/proofing/gsii/47346-discharge-condition-0-0.pdf","gsii/47346-discharge-condition-0-0.pdf")</f>
        <v/>
      </c>
      <c r="E558" t="n">
        <v>118760</v>
      </c>
      <c r="F558" t="n">
        <v>47346</v>
      </c>
      <c r="G558" t="inlineStr">
        <is>
          <t>Discharge summary</t>
        </is>
      </c>
      <c r="H558" t="inlineStr">
        <is>
          <t>discharge-condition</t>
        </is>
      </c>
      <c r="I558" t="inlineStr">
        <is>
          <t>Stable.</t>
        </is>
      </c>
    </row>
    <row r="559">
      <c r="A559" t="inlineStr">
        <is>
          <t>47346-discharge-condition-0-1</t>
        </is>
      </c>
      <c r="B559" t="inlineStr"/>
      <c r="C559" t="inlineStr"/>
      <c r="D559">
        <f>HYPERLINK("http://nlpdeep.cs.uic.edu:8080/proofing/t5/47346-discharge-condition-0-1.pdf","t5/47346-discharge-condition-0-1.pdf")</f>
        <v/>
      </c>
      <c r="E559" t="n">
        <v>118760</v>
      </c>
      <c r="F559" t="n">
        <v>47346</v>
      </c>
      <c r="G559" t="inlineStr">
        <is>
          <t>Discharge summary</t>
        </is>
      </c>
      <c r="H559" t="inlineStr">
        <is>
          <t>discharge-condition</t>
        </is>
      </c>
      <c r="I559" t="inlineStr">
        <is>
          <t>On room air.</t>
        </is>
      </c>
    </row>
    <row r="560">
      <c r="A560" t="inlineStr">
        <is>
          <t>47346-discharge-condition-0-1</t>
        </is>
      </c>
      <c r="B560" t="inlineStr"/>
      <c r="C560" t="inlineStr"/>
      <c r="D560">
        <f>HYPERLINK("http://nlpdeep.cs.uic.edu:8080/proofing/gsii/47346-discharge-condition-0-1.pdf","gsii/47346-discharge-condition-0-1.pdf")</f>
        <v/>
      </c>
      <c r="E560" t="n">
        <v>118760</v>
      </c>
      <c r="F560" t="n">
        <v>47346</v>
      </c>
      <c r="G560" t="inlineStr">
        <is>
          <t>Discharge summary</t>
        </is>
      </c>
      <c r="H560" t="inlineStr">
        <is>
          <t>discharge-condition</t>
        </is>
      </c>
      <c r="I560" t="inlineStr">
        <is>
          <t>On room air.</t>
        </is>
      </c>
    </row>
    <row r="561">
      <c r="A561" t="inlineStr">
        <is>
          <t>47346-discharge-condition-0-2</t>
        </is>
      </c>
      <c r="B561" t="inlineStr"/>
      <c r="C561" t="inlineStr"/>
      <c r="D561">
        <f>HYPERLINK("http://nlpdeep.cs.uic.edu:8080/proofing/t5/47346-discharge-condition-0-2.pdf","t5/47346-discharge-condition-0-2.pdf")</f>
        <v/>
      </c>
      <c r="E561" t="n">
        <v>118760</v>
      </c>
      <c r="F561" t="n">
        <v>47346</v>
      </c>
      <c r="G561" t="inlineStr">
        <is>
          <t>Discharge summary</t>
        </is>
      </c>
      <c r="H561" t="inlineStr">
        <is>
          <t>discharge-condition</t>
        </is>
      </c>
      <c r="I561" t="inlineStr">
        <is>
          <t>Tolerating po's.</t>
        </is>
      </c>
    </row>
    <row r="562">
      <c r="A562" t="inlineStr">
        <is>
          <t>47346-discharge-condition-0-2</t>
        </is>
      </c>
      <c r="B562" t="inlineStr"/>
      <c r="C562" t="inlineStr"/>
      <c r="D562">
        <f>HYPERLINK("http://nlpdeep.cs.uic.edu:8080/proofing/gsii/47346-discharge-condition-0-2.pdf","gsii/47346-discharge-condition-0-2.pdf")</f>
        <v/>
      </c>
      <c r="E562" t="n">
        <v>118760</v>
      </c>
      <c r="F562" t="n">
        <v>47346</v>
      </c>
      <c r="G562" t="inlineStr">
        <is>
          <t>Discharge summary</t>
        </is>
      </c>
      <c r="H562" t="inlineStr">
        <is>
          <t>discharge-condition</t>
        </is>
      </c>
      <c r="I562" t="inlineStr">
        <is>
          <t>Tolerating po's.</t>
        </is>
      </c>
    </row>
    <row r="563">
      <c r="A563" t="inlineStr">
        <is>
          <t>47346-discharge-condition-0-3</t>
        </is>
      </c>
      <c r="B563" t="inlineStr"/>
      <c r="C563" t="inlineStr"/>
      <c r="D563">
        <f>HYPERLINK("http://nlpdeep.cs.uic.edu:8080/proofing/t5/47346-discharge-condition-0-3.pdf","t5/47346-discharge-condition-0-3.pdf")</f>
        <v/>
      </c>
      <c r="E563" t="n">
        <v>118760</v>
      </c>
      <c r="F563" t="n">
        <v>47346</v>
      </c>
      <c r="G563" t="inlineStr">
        <is>
          <t>Discharge summary</t>
        </is>
      </c>
      <c r="H563" t="inlineStr">
        <is>
          <t>discharge-condition</t>
        </is>
      </c>
      <c r="I563" t="inlineStr">
        <is>
          <t>Ambulating with
assistance.</t>
        </is>
      </c>
    </row>
    <row r="564">
      <c r="A564" t="inlineStr">
        <is>
          <t>47346-discharge-condition-0-3</t>
        </is>
      </c>
      <c r="B564" t="inlineStr"/>
      <c r="C564" t="inlineStr"/>
      <c r="D564">
        <f>HYPERLINK("http://nlpdeep.cs.uic.edu:8080/proofing/gsii/47346-discharge-condition-0-3.pdf","gsii/47346-discharge-condition-0-3.pdf")</f>
        <v/>
      </c>
      <c r="E564" t="n">
        <v>118760</v>
      </c>
      <c r="F564" t="n">
        <v>47346</v>
      </c>
      <c r="G564" t="inlineStr">
        <is>
          <t>Discharge summary</t>
        </is>
      </c>
      <c r="H564" t="inlineStr">
        <is>
          <t>discharge-condition</t>
        </is>
      </c>
      <c r="I564" t="inlineStr">
        <is>
          <t>Ambulating with
assistance.</t>
        </is>
      </c>
    </row>
    <row r="565">
      <c r="A565" t="inlineStr">
        <is>
          <t>47346-discharge-condition-0-4</t>
        </is>
      </c>
      <c r="B565" t="inlineStr"/>
      <c r="C565" t="inlineStr"/>
      <c r="D565">
        <f>HYPERLINK("http://nlpdeep.cs.uic.edu:8080/proofing/t5/47346-discharge-condition-0-4.pdf","t5/47346-discharge-condition-0-4.pdf")</f>
        <v/>
      </c>
      <c r="E565" t="n">
        <v>118760</v>
      </c>
      <c r="F565" t="n">
        <v>47346</v>
      </c>
      <c r="G565" t="inlineStr">
        <is>
          <t>Discharge summary</t>
        </is>
      </c>
      <c r="H565" t="inlineStr">
        <is>
          <t>discharge-condition</t>
        </is>
      </c>
      <c r="I565" t="inlineStr">
        <is>
          <t>Afebrile.</t>
        </is>
      </c>
    </row>
    <row r="566">
      <c r="A566" t="inlineStr">
        <is>
          <t>47346-discharge-condition-0-4</t>
        </is>
      </c>
      <c r="B566" t="inlineStr"/>
      <c r="C566" t="inlineStr"/>
      <c r="D566">
        <f>HYPERLINK("http://nlpdeep.cs.uic.edu:8080/proofing/gsii/47346-discharge-condition-0-4.pdf","gsii/47346-discharge-condition-0-4.pdf")</f>
        <v/>
      </c>
      <c r="E566" t="n">
        <v>118760</v>
      </c>
      <c r="F566" t="n">
        <v>47346</v>
      </c>
      <c r="G566" t="inlineStr">
        <is>
          <t>Discharge summary</t>
        </is>
      </c>
      <c r="H566" t="inlineStr">
        <is>
          <t>discharge-condition</t>
        </is>
      </c>
      <c r="I566" t="inlineStr">
        <is>
          <t>Afebrile.</t>
        </is>
      </c>
    </row>
    <row r="567">
      <c r="A567" t="inlineStr">
        <is>
          <t>47346-facility-0-0</t>
        </is>
      </c>
      <c r="B567" t="inlineStr"/>
      <c r="C567" t="inlineStr"/>
      <c r="D567">
        <f>HYPERLINK("http://nlpdeep.cs.uic.edu:8080/proofing/t5/47346-facility-0-0.pdf","t5/47346-facility-0-0.pdf")</f>
        <v/>
      </c>
      <c r="E567" t="n">
        <v>118760</v>
      </c>
      <c r="F567" t="n">
        <v>47346</v>
      </c>
      <c r="G567" t="inlineStr">
        <is>
          <t>Discharge summary</t>
        </is>
      </c>
      <c r="H567" t="inlineStr">
        <is>
          <t>facility</t>
        </is>
      </c>
      <c r="I567" t="inlineStr">
        <is>
          <t>[**Hospital6 459**] for the Aged - M</t>
        </is>
      </c>
    </row>
    <row r="568">
      <c r="A568" t="inlineStr">
        <is>
          <t>47346-facility-0-0</t>
        </is>
      </c>
      <c r="B568" t="inlineStr"/>
      <c r="C568" t="inlineStr"/>
      <c r="D568">
        <f>HYPERLINK("http://nlpdeep.cs.uic.edu:8080/proofing/gsii/47346-facility-0-0.pdf","gsii/47346-facility-0-0.pdf")</f>
        <v/>
      </c>
      <c r="E568" t="n">
        <v>118760</v>
      </c>
      <c r="F568" t="n">
        <v>47346</v>
      </c>
      <c r="G568" t="inlineStr">
        <is>
          <t>Discharge summary</t>
        </is>
      </c>
      <c r="H568" t="inlineStr">
        <is>
          <t>facility</t>
        </is>
      </c>
      <c r="I568" t="inlineStr">
        <is>
          <t>[**Hospital6 459**] for the Aged - M</t>
        </is>
      </c>
    </row>
    <row r="569">
      <c r="A569" t="inlineStr">
        <is>
          <t>47346-discharge-diagnosis-0-0</t>
        </is>
      </c>
      <c r="B569" t="inlineStr"/>
      <c r="C569" t="inlineStr"/>
      <c r="D569">
        <f>HYPERLINK("http://nlpdeep.cs.uic.edu:8080/proofing/t5/47346-discharge-diagnosis-0-0.pdf","t5/47346-discharge-diagnosis-0-0.pdf")</f>
        <v/>
      </c>
      <c r="E569" t="n">
        <v>118760</v>
      </c>
      <c r="F569" t="n">
        <v>47346</v>
      </c>
      <c r="G569" t="inlineStr">
        <is>
          <t>Discharge summary</t>
        </is>
      </c>
      <c r="H569" t="inlineStr">
        <is>
          <t>discharge-diagnosis</t>
        </is>
      </c>
      <c r="I569" t="inlineStr">
        <is>
          <t>Primary diagnosis:
1.</t>
        </is>
      </c>
    </row>
    <row r="570">
      <c r="A570" t="inlineStr">
        <is>
          <t>47346-discharge-diagnosis-0-0</t>
        </is>
      </c>
      <c r="B570" t="inlineStr"/>
      <c r="C570" t="inlineStr"/>
      <c r="D570">
        <f>HYPERLINK("http://nlpdeep.cs.uic.edu:8080/proofing/gsii/47346-discharge-diagnosis-0-0.pdf","gsii/47346-discharge-diagnosis-0-0.pdf")</f>
        <v/>
      </c>
      <c r="E570" t="n">
        <v>118760</v>
      </c>
      <c r="F570" t="n">
        <v>47346</v>
      </c>
      <c r="G570" t="inlineStr">
        <is>
          <t>Discharge summary</t>
        </is>
      </c>
      <c r="H570" t="inlineStr">
        <is>
          <t>discharge-diagnosis</t>
        </is>
      </c>
      <c r="I570" t="inlineStr">
        <is>
          <t>Primary diagnosis:
1.</t>
        </is>
      </c>
    </row>
    <row r="571">
      <c r="A571" t="inlineStr">
        <is>
          <t>47346-discharge-diagnosis-0-1</t>
        </is>
      </c>
      <c r="B571" t="inlineStr"/>
      <c r="C571" t="inlineStr"/>
      <c r="D571">
        <f>HYPERLINK("http://nlpdeep.cs.uic.edu:8080/proofing/t5/47346-discharge-diagnosis-0-1.pdf","t5/47346-discharge-diagnosis-0-1.pdf")</f>
        <v/>
      </c>
      <c r="E571" t="n">
        <v>118760</v>
      </c>
      <c r="F571" t="n">
        <v>47346</v>
      </c>
      <c r="G571" t="inlineStr">
        <is>
          <t>Discharge summary</t>
        </is>
      </c>
      <c r="H571" t="inlineStr">
        <is>
          <t>discharge-diagnosis</t>
        </is>
      </c>
      <c r="I571" t="inlineStr">
        <is>
          <t>R hip fracture
2.</t>
        </is>
      </c>
    </row>
    <row r="572">
      <c r="A572" t="inlineStr">
        <is>
          <t>47346-discharge-diagnosis-0-1</t>
        </is>
      </c>
      <c r="B572" t="inlineStr"/>
      <c r="C572" t="inlineStr"/>
      <c r="D572">
        <f>HYPERLINK("http://nlpdeep.cs.uic.edu:8080/proofing/gsii/47346-discharge-diagnosis-0-1.pdf","gsii/47346-discharge-diagnosis-0-1.pdf")</f>
        <v/>
      </c>
      <c r="E572" t="n">
        <v>118760</v>
      </c>
      <c r="F572" t="n">
        <v>47346</v>
      </c>
      <c r="G572" t="inlineStr">
        <is>
          <t>Discharge summary</t>
        </is>
      </c>
      <c r="H572" t="inlineStr">
        <is>
          <t>discharge-diagnosis</t>
        </is>
      </c>
      <c r="I572" t="inlineStr">
        <is>
          <t>R hip fracture
2.</t>
        </is>
      </c>
    </row>
    <row r="573">
      <c r="A573" t="inlineStr">
        <is>
          <t>47346-discharge-diagnosis-0-2</t>
        </is>
      </c>
      <c r="B573" t="inlineStr"/>
      <c r="C573" t="inlineStr"/>
      <c r="D573">
        <f>HYPERLINK("http://nlpdeep.cs.uic.edu:8080/proofing/t5/47346-discharge-diagnosis-0-2.pdf","t5/47346-discharge-diagnosis-0-2.pdf")</f>
        <v/>
      </c>
      <c r="E573" t="n">
        <v>118760</v>
      </c>
      <c r="F573" t="n">
        <v>47346</v>
      </c>
      <c r="G573" t="inlineStr">
        <is>
          <t>Discharge summary</t>
        </is>
      </c>
      <c r="H573" t="inlineStr">
        <is>
          <t>discharge-diagnosis</t>
        </is>
      </c>
      <c r="I573" t="inlineStr">
        <is>
          <t>Ventricular Tachycardia
3.</t>
        </is>
      </c>
    </row>
    <row r="574">
      <c r="A574" t="inlineStr">
        <is>
          <t>47346-discharge-diagnosis-0-2</t>
        </is>
      </c>
      <c r="B574" t="inlineStr"/>
      <c r="C574" t="inlineStr"/>
      <c r="D574">
        <f>HYPERLINK("http://nlpdeep.cs.uic.edu:8080/proofing/gsii/47346-discharge-diagnosis-0-2.pdf","gsii/47346-discharge-diagnosis-0-2.pdf")</f>
        <v/>
      </c>
      <c r="E574" t="n">
        <v>118760</v>
      </c>
      <c r="F574" t="n">
        <v>47346</v>
      </c>
      <c r="G574" t="inlineStr">
        <is>
          <t>Discharge summary</t>
        </is>
      </c>
      <c r="H574" t="inlineStr">
        <is>
          <t>discharge-diagnosis</t>
        </is>
      </c>
      <c r="I574" t="inlineStr">
        <is>
          <t>Ventricular Tachycardia
3.</t>
        </is>
      </c>
    </row>
    <row r="575">
      <c r="A575" t="inlineStr">
        <is>
          <t>47346-discharge-diagnosis-0-3</t>
        </is>
      </c>
      <c r="B575" t="inlineStr"/>
      <c r="C575" t="inlineStr"/>
      <c r="D575">
        <f>HYPERLINK("http://nlpdeep.cs.uic.edu:8080/proofing/t5/47346-discharge-diagnosis-0-3.pdf","t5/47346-discharge-diagnosis-0-3.pdf")</f>
        <v/>
      </c>
      <c r="E575" t="n">
        <v>118760</v>
      </c>
      <c r="F575" t="n">
        <v>47346</v>
      </c>
      <c r="G575" t="inlineStr">
        <is>
          <t>Discharge summary</t>
        </is>
      </c>
      <c r="H575" t="inlineStr">
        <is>
          <t>discharge-diagnosis</t>
        </is>
      </c>
      <c r="I575" t="inlineStr"/>
    </row>
    <row r="576">
      <c r="A576" t="inlineStr">
        <is>
          <t>47346-discharge-diagnosis-0-3</t>
        </is>
      </c>
      <c r="B576" t="inlineStr"/>
      <c r="C576" t="inlineStr"/>
      <c r="D576">
        <f>HYPERLINK("http://nlpdeep.cs.uic.edu:8080/proofing/gsii/47346-discharge-diagnosis-0-3.pdf","gsii/47346-discharge-diagnosis-0-3.pdf")</f>
        <v/>
      </c>
      <c r="E576" t="n">
        <v>118760</v>
      </c>
      <c r="F576" t="n">
        <v>47346</v>
      </c>
      <c r="G576" t="inlineStr">
        <is>
          <t>Discharge summary</t>
        </is>
      </c>
      <c r="H576" t="inlineStr">
        <is>
          <t>discharge-diagnosis</t>
        </is>
      </c>
      <c r="I576" t="inlineStr"/>
    </row>
    <row r="577">
      <c r="A577" t="inlineStr">
        <is>
          <t>47346-discharge-diagnosis-1-0</t>
        </is>
      </c>
      <c r="B577" t="inlineStr"/>
      <c r="C577" t="inlineStr"/>
      <c r="D577">
        <f>HYPERLINK("http://nlpdeep.cs.uic.edu:8080/proofing/t5/47346-discharge-diagnosis-1-0.pdf","t5/47346-discharge-diagnosis-1-0.pdf")</f>
        <v/>
      </c>
      <c r="E577" t="n">
        <v>118760</v>
      </c>
      <c r="F577" t="n">
        <v>47346</v>
      </c>
      <c r="G577" t="inlineStr">
        <is>
          <t>Discharge summary</t>
        </is>
      </c>
      <c r="H577" t="inlineStr">
        <is>
          <t>discharge-diagnosis</t>
        </is>
      </c>
      <c r="I577" t="inlineStr"/>
    </row>
    <row r="578">
      <c r="A578" t="inlineStr">
        <is>
          <t>47346-discharge-diagnosis-1-0</t>
        </is>
      </c>
      <c r="B578" t="inlineStr"/>
      <c r="C578" t="inlineStr"/>
      <c r="D578">
        <f>HYPERLINK("http://nlpdeep.cs.uic.edu:8080/proofing/gsii/47346-discharge-diagnosis-1-0.pdf","gsii/47346-discharge-diagnosis-1-0.pdf")</f>
        <v/>
      </c>
      <c r="E578" t="n">
        <v>118760</v>
      </c>
      <c r="F578" t="n">
        <v>47346</v>
      </c>
      <c r="G578" t="inlineStr">
        <is>
          <t>Discharge summary</t>
        </is>
      </c>
      <c r="H578" t="inlineStr">
        <is>
          <t>discharge-diagnosis</t>
        </is>
      </c>
      <c r="I578" t="inlineStr"/>
    </row>
    <row r="579">
      <c r="A579" t="inlineStr">
        <is>
          <t>47346-discharge-diagnosis-1-1</t>
        </is>
      </c>
      <c r="B579" t="inlineStr"/>
      <c r="C579" t="inlineStr"/>
      <c r="D579">
        <f>HYPERLINK("http://nlpdeep.cs.uic.edu:8080/proofing/t5/47346-discharge-diagnosis-1-1.pdf","t5/47346-discharge-diagnosis-1-1.pdf")</f>
        <v/>
      </c>
      <c r="E579" t="n">
        <v>118760</v>
      </c>
      <c r="F579" t="n">
        <v>47346</v>
      </c>
      <c r="G579" t="inlineStr">
        <is>
          <t>Discharge summary</t>
        </is>
      </c>
      <c r="H579" t="inlineStr">
        <is>
          <t>discharge-diagnosis</t>
        </is>
      </c>
      <c r="I579" t="inlineStr">
        <is>
          <t>C</t>
        </is>
      </c>
    </row>
    <row r="580">
      <c r="A580" t="inlineStr">
        <is>
          <t>47346-discharge-diagnosis-1-1</t>
        </is>
      </c>
      <c r="B580" t="inlineStr"/>
      <c r="C580" t="inlineStr"/>
      <c r="D580">
        <f>HYPERLINK("http://nlpdeep.cs.uic.edu:8080/proofing/gsii/47346-discharge-diagnosis-1-1.pdf","gsii/47346-discharge-diagnosis-1-1.pdf")</f>
        <v/>
      </c>
      <c r="E580" t="n">
        <v>118760</v>
      </c>
      <c r="F580" t="n">
        <v>47346</v>
      </c>
      <c r="G580" t="inlineStr">
        <is>
          <t>Discharge summary</t>
        </is>
      </c>
      <c r="H580" t="inlineStr">
        <is>
          <t>discharge-diagnosis</t>
        </is>
      </c>
      <c r="I580" t="inlineStr">
        <is>
          <t>C</t>
        </is>
      </c>
    </row>
    <row r="581">
      <c r="A581" t="inlineStr">
        <is>
          <t>47346-discharge-instructions-0-0</t>
        </is>
      </c>
      <c r="B581" t="inlineStr"/>
      <c r="C581" t="inlineStr"/>
      <c r="D581">
        <f>HYPERLINK("http://nlpdeep.cs.uic.edu:8080/proofing/t5/47346-discharge-instructions-0-0.pdf","t5/47346-discharge-instructions-0-0.pdf")</f>
        <v/>
      </c>
      <c r="E581" t="n">
        <v>118760</v>
      </c>
      <c r="F581" t="n">
        <v>47346</v>
      </c>
      <c r="G581" t="inlineStr">
        <is>
          <t>Discharge summary</t>
        </is>
      </c>
      <c r="H581" t="inlineStr">
        <is>
          <t>discharge-instructions</t>
        </is>
      </c>
      <c r="I581" t="inlineStr">
        <is>
          <t>You were admitted to [**Hospital1 18**] from [**Hospital3 417**] Hospital for
surgical repair of a right hip fracture.</t>
        </is>
      </c>
    </row>
    <row r="582">
      <c r="A582" t="inlineStr">
        <is>
          <t>47346-discharge-instructions-0-0</t>
        </is>
      </c>
      <c r="B582" t="inlineStr"/>
      <c r="C582" t="inlineStr"/>
      <c r="D582">
        <f>HYPERLINK("http://nlpdeep.cs.uic.edu:8080/proofing/gsii/47346-discharge-instructions-0-0.pdf","gsii/47346-discharge-instructions-0-0.pdf")</f>
        <v/>
      </c>
      <c r="E582" t="n">
        <v>118760</v>
      </c>
      <c r="F582" t="n">
        <v>47346</v>
      </c>
      <c r="G582" t="inlineStr">
        <is>
          <t>Discharge summary</t>
        </is>
      </c>
      <c r="H582" t="inlineStr">
        <is>
          <t>discharge-instructions</t>
        </is>
      </c>
      <c r="I582" t="inlineStr">
        <is>
          <t>You were admitted to [**Hospital1 18**] from [**Hospital3 417**] Hospital for
surgical repair of a right hip fracture.</t>
        </is>
      </c>
    </row>
    <row r="583">
      <c r="A583" t="inlineStr">
        <is>
          <t>47346-discharge-instructions-0-1</t>
        </is>
      </c>
      <c r="B583" t="inlineStr"/>
      <c r="C583" t="inlineStr"/>
      <c r="D583">
        <f>HYPERLINK("http://nlpdeep.cs.uic.edu:8080/proofing/t5/47346-discharge-instructions-0-1.pdf","t5/47346-discharge-instructions-0-1.pdf")</f>
        <v/>
      </c>
      <c r="E583" t="n">
        <v>118760</v>
      </c>
      <c r="F583" t="n">
        <v>47346</v>
      </c>
      <c r="G583" t="inlineStr">
        <is>
          <t>Discharge summary</t>
        </is>
      </c>
      <c r="H583" t="inlineStr">
        <is>
          <t>discharge-instructions</t>
        </is>
      </c>
      <c r="I583" t="inlineStr">
        <is>
          <t xml:space="preserve">
While being prepared for surgery and after anesthesia was
induced, you experienced a cardiac arrhythmia.</t>
        </is>
      </c>
    </row>
    <row r="584">
      <c r="A584" t="inlineStr">
        <is>
          <t>47346-discharge-instructions-0-1</t>
        </is>
      </c>
      <c r="B584" t="inlineStr"/>
      <c r="C584" t="inlineStr"/>
      <c r="D584">
        <f>HYPERLINK("http://nlpdeep.cs.uic.edu:8080/proofing/gsii/47346-discharge-instructions-0-1.pdf","gsii/47346-discharge-instructions-0-1.pdf")</f>
        <v/>
      </c>
      <c r="E584" t="n">
        <v>118760</v>
      </c>
      <c r="F584" t="n">
        <v>47346</v>
      </c>
      <c r="G584" t="inlineStr">
        <is>
          <t>Discharge summary</t>
        </is>
      </c>
      <c r="H584" t="inlineStr">
        <is>
          <t>discharge-instructions</t>
        </is>
      </c>
      <c r="I584" t="inlineStr">
        <is>
          <t xml:space="preserve">
While being prepared for surgery and after anesthesia was
induced, you experienced a cardiac arrhythmia.</t>
        </is>
      </c>
    </row>
    <row r="585">
      <c r="A585" t="inlineStr">
        <is>
          <t>47346-discharge-instructions-0-2</t>
        </is>
      </c>
      <c r="B585" t="inlineStr"/>
      <c r="C585" t="inlineStr"/>
      <c r="D585">
        <f>HYPERLINK("http://nlpdeep.cs.uic.edu:8080/proofing/t5/47346-discharge-instructions-0-2.pdf","t5/47346-discharge-instructions-0-2.pdf")</f>
        <v/>
      </c>
      <c r="E585" t="n">
        <v>118760</v>
      </c>
      <c r="F585" t="n">
        <v>47346</v>
      </c>
      <c r="G585" t="inlineStr">
        <is>
          <t>Discharge summary</t>
        </is>
      </c>
      <c r="H585" t="inlineStr">
        <is>
          <t>discharge-instructions</t>
        </is>
      </c>
      <c r="I585" t="inlineStr">
        <is>
          <t>Your heart was
shocked which corrected the arrhythmia, the operation was
aborted, and you were transferred to the cardiac ICU.</t>
        </is>
      </c>
    </row>
    <row r="586">
      <c r="A586" t="inlineStr">
        <is>
          <t>47346-discharge-instructions-0-2</t>
        </is>
      </c>
      <c r="B586" t="inlineStr"/>
      <c r="C586" t="inlineStr"/>
      <c r="D586">
        <f>HYPERLINK("http://nlpdeep.cs.uic.edu:8080/proofing/gsii/47346-discharge-instructions-0-2.pdf","gsii/47346-discharge-instructions-0-2.pdf")</f>
        <v/>
      </c>
      <c r="E586" t="n">
        <v>118760</v>
      </c>
      <c r="F586" t="n">
        <v>47346</v>
      </c>
      <c r="G586" t="inlineStr">
        <is>
          <t>Discharge summary</t>
        </is>
      </c>
      <c r="H586" t="inlineStr">
        <is>
          <t>discharge-instructions</t>
        </is>
      </c>
      <c r="I586" t="inlineStr">
        <is>
          <t>Your heart was
shocked which corrected the arrhythmia, the operation was
aborted, and you were transferred to the cardiac ICU.</t>
        </is>
      </c>
    </row>
    <row r="587">
      <c r="A587" t="inlineStr">
        <is>
          <t>47346-discharge-instructions-0-3</t>
        </is>
      </c>
      <c r="B587" t="inlineStr"/>
      <c r="C587" t="inlineStr"/>
      <c r="D587">
        <f>HYPERLINK("http://nlpdeep.cs.uic.edu:8080/proofing/t5/47346-discharge-instructions-0-3.pdf","t5/47346-discharge-instructions-0-3.pdf")</f>
        <v/>
      </c>
      <c r="E587" t="n">
        <v>118760</v>
      </c>
      <c r="F587" t="n">
        <v>47346</v>
      </c>
      <c r="G587" t="inlineStr">
        <is>
          <t>Discharge summary</t>
        </is>
      </c>
      <c r="H587" t="inlineStr">
        <is>
          <t>discharge-instructions</t>
        </is>
      </c>
      <c r="I587" t="inlineStr">
        <is>
          <t>You were
monitored for and after further studies of your heart by
cardiologist you were cleared to go back to the OR.</t>
        </is>
      </c>
    </row>
    <row r="588">
      <c r="A588" t="inlineStr">
        <is>
          <t>47346-discharge-instructions-0-3</t>
        </is>
      </c>
      <c r="B588" t="inlineStr"/>
      <c r="C588" t="inlineStr"/>
      <c r="D588">
        <f>HYPERLINK("http://nlpdeep.cs.uic.edu:8080/proofing/gsii/47346-discharge-instructions-0-3.pdf","gsii/47346-discharge-instructions-0-3.pdf")</f>
        <v/>
      </c>
      <c r="E588" t="n">
        <v>118760</v>
      </c>
      <c r="F588" t="n">
        <v>47346</v>
      </c>
      <c r="G588" t="inlineStr">
        <is>
          <t>Discharge summary</t>
        </is>
      </c>
      <c r="H588" t="inlineStr">
        <is>
          <t>discharge-instructions</t>
        </is>
      </c>
      <c r="I588" t="inlineStr">
        <is>
          <t>You were
monitored for and after further studies of your heart by
cardiologist you were cleared to go back to the OR.</t>
        </is>
      </c>
    </row>
    <row r="589">
      <c r="A589" t="inlineStr">
        <is>
          <t>47346-discharge-instructions-0-4</t>
        </is>
      </c>
      <c r="B589" t="inlineStr"/>
      <c r="C589" t="inlineStr"/>
      <c r="D589">
        <f>HYPERLINK("http://nlpdeep.cs.uic.edu:8080/proofing/t5/47346-discharge-instructions-0-4.pdf","t5/47346-discharge-instructions-0-4.pdf")</f>
        <v/>
      </c>
      <c r="E589" t="n">
        <v>118760</v>
      </c>
      <c r="F589" t="n">
        <v>47346</v>
      </c>
      <c r="G589" t="inlineStr">
        <is>
          <t>Discharge summary</t>
        </is>
      </c>
      <c r="H589" t="inlineStr">
        <is>
          <t>discharge-instructions</t>
        </is>
      </c>
      <c r="I589" t="inlineStr">
        <is>
          <t xml:space="preserve">
You succsefully underwent surgical repair of your right hip the
following day ([**9-23**]), but when you awoke you experienced
weakness, primarily in your upper arms.</t>
        </is>
      </c>
    </row>
    <row r="590">
      <c r="A590" t="inlineStr">
        <is>
          <t>47346-discharge-instructions-0-4</t>
        </is>
      </c>
      <c r="B590" t="inlineStr"/>
      <c r="C590" t="inlineStr"/>
      <c r="D590">
        <f>HYPERLINK("http://nlpdeep.cs.uic.edu:8080/proofing/gsii/47346-discharge-instructions-0-4.pdf","gsii/47346-discharge-instructions-0-4.pdf")</f>
        <v/>
      </c>
      <c r="E590" t="n">
        <v>118760</v>
      </c>
      <c r="F590" t="n">
        <v>47346</v>
      </c>
      <c r="G590" t="inlineStr">
        <is>
          <t>Discharge summary</t>
        </is>
      </c>
      <c r="H590" t="inlineStr">
        <is>
          <t>discharge-instructions</t>
        </is>
      </c>
      <c r="I590" t="inlineStr">
        <is>
          <t xml:space="preserve">
You succsefully underwent surgical repair of your right hip the
following day ([**9-23**]), but when you awoke you experienced
weakness, primarily in your upper arms.</t>
        </is>
      </c>
    </row>
    <row r="591">
      <c r="A591" t="inlineStr">
        <is>
          <t>47346-discharge-instructions-0-5</t>
        </is>
      </c>
      <c r="B591" t="inlineStr"/>
      <c r="C591" t="inlineStr"/>
      <c r="D591">
        <f>HYPERLINK("http://nlpdeep.cs.uic.edu:8080/proofing/t5/47346-discharge-instructions-0-5.pdf","t5/47346-discharge-instructions-0-5.pdf")</f>
        <v/>
      </c>
      <c r="E591" t="n">
        <v>118760</v>
      </c>
      <c r="F591" t="n">
        <v>47346</v>
      </c>
      <c r="G591" t="inlineStr">
        <is>
          <t>Discharge summary</t>
        </is>
      </c>
      <c r="H591" t="inlineStr">
        <is>
          <t>discharge-instructions</t>
        </is>
      </c>
      <c r="I591" t="inlineStr">
        <is>
          <t>The weakness resolved
spontaneously over the next several hours and returned to your
baseline.</t>
        </is>
      </c>
    </row>
    <row r="592">
      <c r="A592" t="inlineStr">
        <is>
          <t>47346-discharge-instructions-0-5</t>
        </is>
      </c>
      <c r="B592" t="inlineStr"/>
      <c r="C592" t="inlineStr"/>
      <c r="D592">
        <f>HYPERLINK("http://nlpdeep.cs.uic.edu:8080/proofing/gsii/47346-discharge-instructions-0-5.pdf","gsii/47346-discharge-instructions-0-5.pdf")</f>
        <v/>
      </c>
      <c r="E592" t="n">
        <v>118760</v>
      </c>
      <c r="F592" t="n">
        <v>47346</v>
      </c>
      <c r="G592" t="inlineStr">
        <is>
          <t>Discharge summary</t>
        </is>
      </c>
      <c r="H592" t="inlineStr">
        <is>
          <t>discharge-instructions</t>
        </is>
      </c>
      <c r="I592" t="inlineStr">
        <is>
          <t>The weakness resolved
spontaneously over the next several hours and returned to your
baseline.</t>
        </is>
      </c>
    </row>
    <row r="593">
      <c r="A593" t="inlineStr">
        <is>
          <t>47346-discharge-instructions-1-0</t>
        </is>
      </c>
      <c r="B593" t="inlineStr"/>
      <c r="C593" t="inlineStr"/>
      <c r="D593">
        <f>HYPERLINK("http://nlpdeep.cs.uic.edu:8080/proofing/t5/47346-discharge-instructions-1-0.pdf","t5/47346-discharge-instructions-1-0.pdf")</f>
        <v/>
      </c>
      <c r="E593" t="n">
        <v>118760</v>
      </c>
      <c r="F593" t="n">
        <v>47346</v>
      </c>
      <c r="G593" t="inlineStr">
        <is>
          <t>Discharge summary</t>
        </is>
      </c>
      <c r="H593" t="inlineStr">
        <is>
          <t>discharge-instructions</t>
        </is>
      </c>
      <c r="I593" t="inlineStr">
        <is>
          <t xml:space="preserve">
Please continue your medications as prescribed.</t>
        </is>
      </c>
    </row>
    <row r="594">
      <c r="A594" t="inlineStr">
        <is>
          <t>47346-discharge-instructions-1-0</t>
        </is>
      </c>
      <c r="B594" t="inlineStr"/>
      <c r="C594" t="inlineStr"/>
      <c r="D594">
        <f>HYPERLINK("http://nlpdeep.cs.uic.edu:8080/proofing/gsii/47346-discharge-instructions-1-0.pdf","gsii/47346-discharge-instructions-1-0.pdf")</f>
        <v/>
      </c>
      <c r="E594" t="n">
        <v>118760</v>
      </c>
      <c r="F594" t="n">
        <v>47346</v>
      </c>
      <c r="G594" t="inlineStr">
        <is>
          <t>Discharge summary</t>
        </is>
      </c>
      <c r="H594" t="inlineStr">
        <is>
          <t>discharge-instructions</t>
        </is>
      </c>
      <c r="I594" t="inlineStr">
        <is>
          <t xml:space="preserve">
Please continue your medications as prescribed.</t>
        </is>
      </c>
    </row>
    <row r="595">
      <c r="A595" t="inlineStr">
        <is>
          <t>47346-discharge-instructions-1-1</t>
        </is>
      </c>
      <c r="B595" t="inlineStr"/>
      <c r="C595" t="inlineStr"/>
      <c r="D595">
        <f>HYPERLINK("http://nlpdeep.cs.uic.edu:8080/proofing/t5/47346-discharge-instructions-1-1.pdf","t5/47346-discharge-instructions-1-1.pdf")</f>
        <v/>
      </c>
      <c r="E595" t="n">
        <v>118760</v>
      </c>
      <c r="F595" t="n">
        <v>47346</v>
      </c>
      <c r="G595" t="inlineStr">
        <is>
          <t>Discharge summary</t>
        </is>
      </c>
      <c r="H595" t="inlineStr">
        <is>
          <t>discharge-instructions</t>
        </is>
      </c>
      <c r="I595" t="inlineStr">
        <is>
          <t>The following
changes were made: (reconcile compared to home meds)
1.</t>
        </is>
      </c>
    </row>
    <row r="596">
      <c r="A596" t="inlineStr">
        <is>
          <t>47346-discharge-instructions-1-1</t>
        </is>
      </c>
      <c r="B596" t="inlineStr"/>
      <c r="C596" t="inlineStr"/>
      <c r="D596">
        <f>HYPERLINK("http://nlpdeep.cs.uic.edu:8080/proofing/gsii/47346-discharge-instructions-1-1.pdf","gsii/47346-discharge-instructions-1-1.pdf")</f>
        <v/>
      </c>
      <c r="E596" t="n">
        <v>118760</v>
      </c>
      <c r="F596" t="n">
        <v>47346</v>
      </c>
      <c r="G596" t="inlineStr">
        <is>
          <t>Discharge summary</t>
        </is>
      </c>
      <c r="H596" t="inlineStr">
        <is>
          <t>discharge-instructions</t>
        </is>
      </c>
      <c r="I596" t="inlineStr">
        <is>
          <t>The following
changes were made: (reconcile compared to home meds)
1.</t>
        </is>
      </c>
    </row>
    <row r="597">
      <c r="A597" t="inlineStr">
        <is>
          <t>47346-discharge-instructions-1-2</t>
        </is>
      </c>
      <c r="B597" t="inlineStr"/>
      <c r="C597" t="inlineStr"/>
      <c r="D597">
        <f>HYPERLINK("http://nlpdeep.cs.uic.edu:8080/proofing/t5/47346-discharge-instructions-1-2.pdf","t5/47346-discharge-instructions-1-2.pdf")</f>
        <v/>
      </c>
      <c r="E597" t="n">
        <v>118760</v>
      </c>
      <c r="F597" t="n">
        <v>47346</v>
      </c>
      <c r="G597" t="inlineStr">
        <is>
          <t>Discharge summary</t>
        </is>
      </c>
      <c r="H597" t="inlineStr">
        <is>
          <t>discharge-instructions</t>
        </is>
      </c>
      <c r="I597" t="inlineStr">
        <is>
          <t>Your compazaine was discontinued
2.</t>
        </is>
      </c>
    </row>
    <row r="598">
      <c r="A598" t="inlineStr">
        <is>
          <t>47346-discharge-instructions-1-2</t>
        </is>
      </c>
      <c r="B598" t="inlineStr"/>
      <c r="C598" t="inlineStr"/>
      <c r="D598">
        <f>HYPERLINK("http://nlpdeep.cs.uic.edu:8080/proofing/gsii/47346-discharge-instructions-1-2.pdf","gsii/47346-discharge-instructions-1-2.pdf")</f>
        <v/>
      </c>
      <c r="E598" t="n">
        <v>118760</v>
      </c>
      <c r="F598" t="n">
        <v>47346</v>
      </c>
      <c r="G598" t="inlineStr">
        <is>
          <t>Discharge summary</t>
        </is>
      </c>
      <c r="H598" t="inlineStr">
        <is>
          <t>discharge-instructions</t>
        </is>
      </c>
      <c r="I598" t="inlineStr">
        <is>
          <t>Your compazaine was discontinued
2.</t>
        </is>
      </c>
    </row>
    <row r="599">
      <c r="A599" t="inlineStr">
        <is>
          <t>47346-discharge-instructions-1-3</t>
        </is>
      </c>
      <c r="B599" t="inlineStr"/>
      <c r="C599" t="inlineStr"/>
      <c r="D599">
        <f>HYPERLINK("http://nlpdeep.cs.uic.edu:8080/proofing/t5/47346-discharge-instructions-1-3.pdf","t5/47346-discharge-instructions-1-3.pdf")</f>
        <v/>
      </c>
      <c r="E599" t="n">
        <v>118760</v>
      </c>
      <c r="F599" t="n">
        <v>47346</v>
      </c>
      <c r="G599" t="inlineStr">
        <is>
          <t>Discharge summary</t>
        </is>
      </c>
      <c r="H599" t="inlineStr">
        <is>
          <t>discharge-instructions</t>
        </is>
      </c>
      <c r="I599" t="inlineStr">
        <is>
          <t>Your metoprolol was decreased from 25 mg po BID daily to 12.5
mg po BID
3.</t>
        </is>
      </c>
    </row>
    <row r="600">
      <c r="A600" t="inlineStr">
        <is>
          <t>47346-discharge-instructions-1-3</t>
        </is>
      </c>
      <c r="B600" t="inlineStr"/>
      <c r="C600" t="inlineStr"/>
      <c r="D600">
        <f>HYPERLINK("http://nlpdeep.cs.uic.edu:8080/proofing/gsii/47346-discharge-instructions-1-3.pdf","gsii/47346-discharge-instructions-1-3.pdf")</f>
        <v/>
      </c>
      <c r="E600" t="n">
        <v>118760</v>
      </c>
      <c r="F600" t="n">
        <v>47346</v>
      </c>
      <c r="G600" t="inlineStr">
        <is>
          <t>Discharge summary</t>
        </is>
      </c>
      <c r="H600" t="inlineStr">
        <is>
          <t>discharge-instructions</t>
        </is>
      </c>
      <c r="I600" t="inlineStr">
        <is>
          <t>Your metoprolol was decreased from 25 mg po BID daily to 12.5
mg po BID
3.</t>
        </is>
      </c>
    </row>
    <row r="601">
      <c r="A601" t="inlineStr">
        <is>
          <t>47346-discharge-instructions-1-4</t>
        </is>
      </c>
      <c r="B601" t="inlineStr"/>
      <c r="C601" t="inlineStr"/>
      <c r="D601">
        <f>HYPERLINK("http://nlpdeep.cs.uic.edu:8080/proofing/t5/47346-discharge-instructions-1-4.pdf","t5/47346-discharge-instructions-1-4.pdf")</f>
        <v/>
      </c>
      <c r="E601" t="n">
        <v>118760</v>
      </c>
      <c r="F601" t="n">
        <v>47346</v>
      </c>
      <c r="G601" t="inlineStr">
        <is>
          <t>Discharge summary</t>
        </is>
      </c>
      <c r="H601" t="inlineStr">
        <is>
          <t>discharge-instructions</t>
        </is>
      </c>
      <c r="I601" t="inlineStr">
        <is>
          <t>Your nephrocap was discontinued
4.</t>
        </is>
      </c>
    </row>
    <row r="602">
      <c r="A602" t="inlineStr">
        <is>
          <t>47346-discharge-instructions-1-4</t>
        </is>
      </c>
      <c r="B602" t="inlineStr"/>
      <c r="C602" t="inlineStr"/>
      <c r="D602">
        <f>HYPERLINK("http://nlpdeep.cs.uic.edu:8080/proofing/gsii/47346-discharge-instructions-1-4.pdf","gsii/47346-discharge-instructions-1-4.pdf")</f>
        <v/>
      </c>
      <c r="E602" t="n">
        <v>118760</v>
      </c>
      <c r="F602" t="n">
        <v>47346</v>
      </c>
      <c r="G602" t="inlineStr">
        <is>
          <t>Discharge summary</t>
        </is>
      </c>
      <c r="H602" t="inlineStr">
        <is>
          <t>discharge-instructions</t>
        </is>
      </c>
      <c r="I602" t="inlineStr">
        <is>
          <t>Your nephrocap was discontinued
4.</t>
        </is>
      </c>
    </row>
    <row r="603">
      <c r="A603" t="inlineStr">
        <is>
          <t>47346-discharge-instructions-1-5</t>
        </is>
      </c>
      <c r="B603" t="inlineStr"/>
      <c r="C603" t="inlineStr"/>
      <c r="D603">
        <f>HYPERLINK("http://nlpdeep.cs.uic.edu:8080/proofing/t5/47346-discharge-instructions-1-5.pdf","t5/47346-discharge-instructions-1-5.pdf")</f>
        <v/>
      </c>
      <c r="E603" t="n">
        <v>118760</v>
      </c>
      <c r="F603" t="n">
        <v>47346</v>
      </c>
      <c r="G603" t="inlineStr">
        <is>
          <t>Discharge summary</t>
        </is>
      </c>
      <c r="H603" t="inlineStr">
        <is>
          <t>discharge-instructions</t>
        </is>
      </c>
      <c r="I603" t="inlineStr">
        <is>
          <t>We started you on Clobetasol 0.05% cream applied topically
5.</t>
        </is>
      </c>
    </row>
    <row r="604">
      <c r="A604" t="inlineStr">
        <is>
          <t>47346-discharge-instructions-1-5</t>
        </is>
      </c>
      <c r="B604" t="inlineStr"/>
      <c r="C604" t="inlineStr"/>
      <c r="D604">
        <f>HYPERLINK("http://nlpdeep.cs.uic.edu:8080/proofing/gsii/47346-discharge-instructions-1-5.pdf","gsii/47346-discharge-instructions-1-5.pdf")</f>
        <v/>
      </c>
      <c r="E604" t="n">
        <v>118760</v>
      </c>
      <c r="F604" t="n">
        <v>47346</v>
      </c>
      <c r="G604" t="inlineStr">
        <is>
          <t>Discharge summary</t>
        </is>
      </c>
      <c r="H604" t="inlineStr">
        <is>
          <t>discharge-instructions</t>
        </is>
      </c>
      <c r="I604" t="inlineStr">
        <is>
          <t>We started you on Clobetasol 0.05% cream applied topically
5.</t>
        </is>
      </c>
    </row>
    <row r="605">
      <c r="A605" t="inlineStr">
        <is>
          <t>47346-discharge-instructions-1-6</t>
        </is>
      </c>
      <c r="B605" t="inlineStr"/>
      <c r="C605" t="inlineStr"/>
      <c r="D605">
        <f>HYPERLINK("http://nlpdeep.cs.uic.edu:8080/proofing/t5/47346-discharge-instructions-1-6.pdf","t5/47346-discharge-instructions-1-6.pdf")</f>
        <v/>
      </c>
      <c r="E605" t="n">
        <v>118760</v>
      </c>
      <c r="F605" t="n">
        <v>47346</v>
      </c>
      <c r="G605" t="inlineStr">
        <is>
          <t>Discharge summary</t>
        </is>
      </c>
      <c r="H605" t="inlineStr">
        <is>
          <t>discharge-instructions</t>
        </is>
      </c>
      <c r="I605" t="inlineStr">
        <is>
          <t>We started you on Mupioricin cream 2% applied topically to
open wounds
6.</t>
        </is>
      </c>
    </row>
    <row r="606">
      <c r="A606" t="inlineStr">
        <is>
          <t>47346-discharge-instructions-1-6</t>
        </is>
      </c>
      <c r="B606" t="inlineStr"/>
      <c r="C606" t="inlineStr"/>
      <c r="D606">
        <f>HYPERLINK("http://nlpdeep.cs.uic.edu:8080/proofing/gsii/47346-discharge-instructions-1-6.pdf","gsii/47346-discharge-instructions-1-6.pdf")</f>
        <v/>
      </c>
      <c r="E606" t="n">
        <v>118760</v>
      </c>
      <c r="F606" t="n">
        <v>47346</v>
      </c>
      <c r="G606" t="inlineStr">
        <is>
          <t>Discharge summary</t>
        </is>
      </c>
      <c r="H606" t="inlineStr">
        <is>
          <t>discharge-instructions</t>
        </is>
      </c>
      <c r="I606" t="inlineStr">
        <is>
          <t>We started you on Mupioricin cream 2% applied topically to
open wounds
6.</t>
        </is>
      </c>
    </row>
    <row r="607">
      <c r="A607" t="inlineStr">
        <is>
          <t>47346-discharge-instructions-1-7</t>
        </is>
      </c>
      <c r="B607" t="inlineStr"/>
      <c r="C607" t="inlineStr"/>
      <c r="D607">
        <f>HYPERLINK("http://nlpdeep.cs.uic.edu:8080/proofing/t5/47346-discharge-instructions-1-7.pdf","t5/47346-discharge-instructions-1-7.pdf")</f>
        <v/>
      </c>
      <c r="E607" t="n">
        <v>118760</v>
      </c>
      <c r="F607" t="n">
        <v>47346</v>
      </c>
      <c r="G607" t="inlineStr">
        <is>
          <t>Discharge summary</t>
        </is>
      </c>
      <c r="H607" t="inlineStr">
        <is>
          <t>discharge-instructions</t>
        </is>
      </c>
      <c r="I607" t="inlineStr">
        <is>
          <t>We discontinued your daily remeron, and have made it as
needed
7.</t>
        </is>
      </c>
    </row>
    <row r="608">
      <c r="A608" t="inlineStr">
        <is>
          <t>47346-discharge-instructions-1-7</t>
        </is>
      </c>
      <c r="B608" t="inlineStr"/>
      <c r="C608" t="inlineStr"/>
      <c r="D608">
        <f>HYPERLINK("http://nlpdeep.cs.uic.edu:8080/proofing/gsii/47346-discharge-instructions-1-7.pdf","gsii/47346-discharge-instructions-1-7.pdf")</f>
        <v/>
      </c>
      <c r="E608" t="n">
        <v>118760</v>
      </c>
      <c r="F608" t="n">
        <v>47346</v>
      </c>
      <c r="G608" t="inlineStr">
        <is>
          <t>Discharge summary</t>
        </is>
      </c>
      <c r="H608" t="inlineStr">
        <is>
          <t>discharge-instructions</t>
        </is>
      </c>
      <c r="I608" t="inlineStr">
        <is>
          <t>We discontinued your daily remeron, and have made it as
needed
7.</t>
        </is>
      </c>
    </row>
    <row r="609">
      <c r="A609" t="inlineStr">
        <is>
          <t>47346-discharge-instructions-1-8</t>
        </is>
      </c>
      <c r="B609" t="inlineStr"/>
      <c r="C609" t="inlineStr"/>
      <c r="D609">
        <f>HYPERLINK("http://nlpdeep.cs.uic.edu:8080/proofing/t5/47346-discharge-instructions-1-8.pdf","t5/47346-discharge-instructions-1-8.pdf")</f>
        <v/>
      </c>
      <c r="E609" t="n">
        <v>118760</v>
      </c>
      <c r="F609" t="n">
        <v>47346</v>
      </c>
      <c r="G609" t="inlineStr">
        <is>
          <t>Discharge summary</t>
        </is>
      </c>
      <c r="H609" t="inlineStr">
        <is>
          <t>discharge-instructions</t>
        </is>
      </c>
      <c r="I609" t="inlineStr">
        <is>
          <t>We starte Acetaminophen 1 gm every 8 hours as needed for pain
8. You are being continued on Celexa(Citalopram) 20mg.</t>
        </is>
      </c>
    </row>
    <row r="610">
      <c r="A610" t="inlineStr">
        <is>
          <t>47346-discharge-instructions-1-8</t>
        </is>
      </c>
      <c r="B610" t="inlineStr"/>
      <c r="C610" t="inlineStr"/>
      <c r="D610">
        <f>HYPERLINK("http://nlpdeep.cs.uic.edu:8080/proofing/gsii/47346-discharge-instructions-1-8.pdf","gsii/47346-discharge-instructions-1-8.pdf")</f>
        <v/>
      </c>
      <c r="E610" t="n">
        <v>118760</v>
      </c>
      <c r="F610" t="n">
        <v>47346</v>
      </c>
      <c r="G610" t="inlineStr">
        <is>
          <t>Discharge summary</t>
        </is>
      </c>
      <c r="H610" t="inlineStr">
        <is>
          <t>discharge-instructions</t>
        </is>
      </c>
      <c r="I610" t="inlineStr">
        <is>
          <t>We starte Acetaminophen 1 gm every 8 hours as needed for pain
8. You are being continued on Celexa(Citalopram) 20mg.</t>
        </is>
      </c>
    </row>
    <row r="611">
      <c r="A611" t="inlineStr">
        <is>
          <t>47346-discharge-instructions-1-9</t>
        </is>
      </c>
      <c r="B611" t="inlineStr"/>
      <c r="C611" t="inlineStr"/>
      <c r="D611">
        <f>HYPERLINK("http://nlpdeep.cs.uic.edu:8080/proofing/t5/47346-discharge-instructions-1-9.pdf","t5/47346-discharge-instructions-1-9.pdf")</f>
        <v/>
      </c>
      <c r="E611" t="n">
        <v>118760</v>
      </c>
      <c r="F611" t="n">
        <v>47346</v>
      </c>
      <c r="G611" t="inlineStr">
        <is>
          <t>Discharge summary</t>
        </is>
      </c>
      <c r="H611" t="inlineStr">
        <is>
          <t>discharge-instructions</t>
        </is>
      </c>
      <c r="I611" t="inlineStr">
        <is>
          <t xml:space="preserve">
Please keep all your medical appointments as below.</t>
        </is>
      </c>
    </row>
    <row r="612">
      <c r="A612" t="inlineStr">
        <is>
          <t>47346-discharge-instructions-1-9</t>
        </is>
      </c>
      <c r="B612" t="inlineStr"/>
      <c r="C612" t="inlineStr"/>
      <c r="D612">
        <f>HYPERLINK("http://nlpdeep.cs.uic.edu:8080/proofing/gsii/47346-discharge-instructions-1-9.pdf","gsii/47346-discharge-instructions-1-9.pdf")</f>
        <v/>
      </c>
      <c r="E612" t="n">
        <v>118760</v>
      </c>
      <c r="F612" t="n">
        <v>47346</v>
      </c>
      <c r="G612" t="inlineStr">
        <is>
          <t>Discharge summary</t>
        </is>
      </c>
      <c r="H612" t="inlineStr">
        <is>
          <t>discharge-instructions</t>
        </is>
      </c>
      <c r="I612" t="inlineStr">
        <is>
          <t xml:space="preserve">
Please keep all your medical appointments as below.</t>
        </is>
      </c>
    </row>
    <row r="613">
      <c r="A613" t="inlineStr">
        <is>
          <t>47346-discharge-instructions-2-0</t>
        </is>
      </c>
      <c r="B613" t="inlineStr"/>
      <c r="C613" t="inlineStr"/>
      <c r="D613">
        <f>HYPERLINK("http://nlpdeep.cs.uic.edu:8080/proofing/t5/47346-discharge-instructions-2-0.pdf","t5/47346-discharge-instructions-2-0.pdf")</f>
        <v/>
      </c>
      <c r="E613" t="n">
        <v>118760</v>
      </c>
      <c r="F613" t="n">
        <v>47346</v>
      </c>
      <c r="G613" t="inlineStr">
        <is>
          <t>Discharge summary</t>
        </is>
      </c>
      <c r="H613" t="inlineStr">
        <is>
          <t>discharge-instructions</t>
        </is>
      </c>
      <c r="I613" t="inlineStr">
        <is>
          <t xml:space="preserve">
If you have any of the following symptoms, please call your
doctor or go to the nearest ER: fever &gt; 101, chest pain,
shortness of breath, nausea / vomiting, abdominal pain, bright
red blood per rectum, blood in urine, or any other concerning
symptoms.</t>
        </is>
      </c>
    </row>
    <row r="614">
      <c r="A614" t="inlineStr">
        <is>
          <t>47346-discharge-instructions-2-0</t>
        </is>
      </c>
      <c r="B614" t="inlineStr"/>
      <c r="C614" t="inlineStr"/>
      <c r="D614">
        <f>HYPERLINK("http://nlpdeep.cs.uic.edu:8080/proofing/gsii/47346-discharge-instructions-2-0.pdf","gsii/47346-discharge-instructions-2-0.pdf")</f>
        <v/>
      </c>
      <c r="E614" t="n">
        <v>118760</v>
      </c>
      <c r="F614" t="n">
        <v>47346</v>
      </c>
      <c r="G614" t="inlineStr">
        <is>
          <t>Discharge summary</t>
        </is>
      </c>
      <c r="H614" t="inlineStr">
        <is>
          <t>discharge-instructions</t>
        </is>
      </c>
      <c r="I614" t="inlineStr">
        <is>
          <t xml:space="preserve">
If you have any of the following symptoms, please call your
doctor or go to the nearest ER: fever &gt; 101, chest pain,
shortness of breath, nausea / vomiting, abdominal pain, bright
red blood per rectum, blood in urine, or any other concerning
symptoms.</t>
        </is>
      </c>
    </row>
    <row r="615">
      <c r="A615" t="inlineStr">
        <is>
          <t>47346-discharge-instructions-3-0</t>
        </is>
      </c>
      <c r="B615" t="inlineStr"/>
      <c r="C615" t="inlineStr"/>
      <c r="D615">
        <f>HYPERLINK("http://nlpdeep.cs.uic.edu:8080/proofing/t5/47346-discharge-instructions-3-0.pdf","t5/47346-discharge-instructions-3-0.pdf")</f>
        <v/>
      </c>
      <c r="E615" t="n">
        <v>118760</v>
      </c>
      <c r="F615" t="n">
        <v>47346</v>
      </c>
      <c r="G615" t="inlineStr">
        <is>
          <t>Discharge summary</t>
        </is>
      </c>
      <c r="H615" t="inlineStr">
        <is>
          <t>discharge-instructions</t>
        </is>
      </c>
      <c r="I615" t="inlineStr"/>
    </row>
    <row r="616">
      <c r="A616" t="inlineStr">
        <is>
          <t>47346-discharge-instructions-3-0</t>
        </is>
      </c>
      <c r="B616" t="inlineStr"/>
      <c r="C616" t="inlineStr"/>
      <c r="D616">
        <f>HYPERLINK("http://nlpdeep.cs.uic.edu:8080/proofing/gsii/47346-discharge-instructions-3-0.pdf","gsii/47346-discharge-instructions-3-0.pdf")</f>
        <v/>
      </c>
      <c r="E616" t="n">
        <v>118760</v>
      </c>
      <c r="F616" t="n">
        <v>47346</v>
      </c>
      <c r="G616" t="inlineStr">
        <is>
          <t>Discharge summary</t>
        </is>
      </c>
      <c r="H616" t="inlineStr">
        <is>
          <t>discharge-instructions</t>
        </is>
      </c>
      <c r="I616" t="inlineStr"/>
    </row>
    <row r="617">
      <c r="A617" t="inlineStr">
        <is>
          <t>47346-discharge-instructions-4-0</t>
        </is>
      </c>
      <c r="B617" t="inlineStr"/>
      <c r="C617" t="inlineStr"/>
      <c r="D617">
        <f>HYPERLINK("http://nlpdeep.cs.uic.edu:8080/proofing/t5/47346-discharge-instructions-4-0.pdf","t5/47346-discharge-instructions-4-0.pdf")</f>
        <v/>
      </c>
      <c r="E617" t="n">
        <v>118760</v>
      </c>
      <c r="F617" t="n">
        <v>47346</v>
      </c>
      <c r="G617" t="inlineStr">
        <is>
          <t>Discharge summary</t>
        </is>
      </c>
      <c r="H617" t="inlineStr">
        <is>
          <t>discharge-instructions</t>
        </is>
      </c>
      <c r="I617" t="inlineStr"/>
    </row>
    <row r="618">
      <c r="A618" t="inlineStr">
        <is>
          <t>47346-discharge-instructions-4-0</t>
        </is>
      </c>
      <c r="B618" t="inlineStr"/>
      <c r="C618" t="inlineStr"/>
      <c r="D618">
        <f>HYPERLINK("http://nlpdeep.cs.uic.edu:8080/proofing/gsii/47346-discharge-instructions-4-0.pdf","gsii/47346-discharge-instructions-4-0.pdf")</f>
        <v/>
      </c>
      <c r="E618" t="n">
        <v>118760</v>
      </c>
      <c r="F618" t="n">
        <v>47346</v>
      </c>
      <c r="G618" t="inlineStr">
        <is>
          <t>Discharge summary</t>
        </is>
      </c>
      <c r="H618" t="inlineStr">
        <is>
          <t>discharge-instructions</t>
        </is>
      </c>
      <c r="I618" t="inlineStr"/>
    </row>
    <row r="619">
      <c r="A619" t="inlineStr">
        <is>
          <t>47346-discharge-instructions-5-0</t>
        </is>
      </c>
      <c r="B619" t="inlineStr"/>
      <c r="C619" t="inlineStr"/>
      <c r="D619">
        <f>HYPERLINK("http://nlpdeep.cs.uic.edu:8080/proofing/t5/47346-discharge-instructions-5-0.pdf","t5/47346-discharge-instructions-5-0.pdf")</f>
        <v/>
      </c>
      <c r="E619" t="n">
        <v>118760</v>
      </c>
      <c r="F619" t="n">
        <v>47346</v>
      </c>
      <c r="G619" t="inlineStr">
        <is>
          <t>Discharge summary</t>
        </is>
      </c>
      <c r="H619" t="inlineStr">
        <is>
          <t>discharge-instructions</t>
        </is>
      </c>
      <c r="I619" t="inlineStr"/>
    </row>
    <row r="620">
      <c r="A620" t="inlineStr">
        <is>
          <t>47346-discharge-instructions-5-0</t>
        </is>
      </c>
      <c r="B620" t="inlineStr"/>
      <c r="C620" t="inlineStr"/>
      <c r="D620">
        <f>HYPERLINK("http://nlpdeep.cs.uic.edu:8080/proofing/gsii/47346-discharge-instructions-5-0.pdf","gsii/47346-discharge-instructions-5-0.pdf")</f>
        <v/>
      </c>
      <c r="E620" t="n">
        <v>118760</v>
      </c>
      <c r="F620" t="n">
        <v>47346</v>
      </c>
      <c r="G620" t="inlineStr">
        <is>
          <t>Discharge summary</t>
        </is>
      </c>
      <c r="H620" t="inlineStr">
        <is>
          <t>discharge-instructions</t>
        </is>
      </c>
      <c r="I620" t="inlineStr"/>
    </row>
    <row r="621">
      <c r="A621" t="inlineStr">
        <is>
          <t>47346-discharge-instructions-5-1</t>
        </is>
      </c>
      <c r="B621" t="inlineStr"/>
      <c r="C621" t="inlineStr"/>
      <c r="D621">
        <f>HYPERLINK("http://nlpdeep.cs.uic.edu:8080/proofing/t5/47346-discharge-instructions-5-1.pdf","t5/47346-discharge-instructions-5-1.pdf")</f>
        <v/>
      </c>
      <c r="E621" t="n">
        <v>118760</v>
      </c>
      <c r="F621" t="n">
        <v>47346</v>
      </c>
      <c r="G621" t="inlineStr">
        <is>
          <t>Discharge summary</t>
        </is>
      </c>
      <c r="H621" t="inlineStr">
        <is>
          <t>discharge-instructions</t>
        </is>
      </c>
      <c r="I621" t="inlineStr">
        <is>
          <t xml:space="preserve">
[**Last Name (STitle) 1057**] [**Name (STitle) **], for continuing outpatient care and monitoring of your
blood INR, which should be kept between 1.5-2.0 for 1 month on
coumadin.</t>
        </is>
      </c>
    </row>
    <row r="622">
      <c r="A622" t="inlineStr">
        <is>
          <t>47346-discharge-instructions-5-1</t>
        </is>
      </c>
      <c r="B622" t="inlineStr"/>
      <c r="C622" t="inlineStr"/>
      <c r="D622">
        <f>HYPERLINK("http://nlpdeep.cs.uic.edu:8080/proofing/gsii/47346-discharge-instructions-5-1.pdf","gsii/47346-discharge-instructions-5-1.pdf")</f>
        <v/>
      </c>
      <c r="E622" t="n">
        <v>118760</v>
      </c>
      <c r="F622" t="n">
        <v>47346</v>
      </c>
      <c r="G622" t="inlineStr">
        <is>
          <t>Discharge summary</t>
        </is>
      </c>
      <c r="H622" t="inlineStr">
        <is>
          <t>discharge-instructions</t>
        </is>
      </c>
      <c r="I622" t="inlineStr">
        <is>
          <t xml:space="preserve">
[**Last Name (STitle) 1057**] [**Name (STitle) **], for continuing outpatient care and monitoring of your
blood INR, which should be kept between 1.5-2.0 for 1 month on
coumadin.</t>
        </is>
      </c>
    </row>
    <row r="623">
      <c r="A623" t="inlineStr">
        <is>
          <t>47346-discharge-instructions-5-2</t>
        </is>
      </c>
      <c r="B623" t="inlineStr"/>
      <c r="C623" t="inlineStr"/>
      <c r="D623">
        <f>HYPERLINK("http://nlpdeep.cs.uic.edu:8080/proofing/t5/47346-discharge-instructions-5-2.pdf","t5/47346-discharge-instructions-5-2.pdf")</f>
        <v/>
      </c>
      <c r="E623" t="n">
        <v>118760</v>
      </c>
      <c r="F623" t="n">
        <v>47346</v>
      </c>
      <c r="G623" t="inlineStr">
        <is>
          <t>Discharge summary</t>
        </is>
      </c>
      <c r="H623" t="inlineStr">
        <is>
          <t>discharge-instructions</t>
        </is>
      </c>
      <c r="I623" t="inlineStr"/>
    </row>
    <row r="624">
      <c r="A624" t="inlineStr">
        <is>
          <t>47346-discharge-instructions-5-2</t>
        </is>
      </c>
      <c r="B624" t="inlineStr"/>
      <c r="C624" t="inlineStr"/>
      <c r="D624">
        <f>HYPERLINK("http://nlpdeep.cs.uic.edu:8080/proofing/gsii/47346-discharge-instructions-5-2.pdf","gsii/47346-discharge-instructions-5-2.pdf")</f>
        <v/>
      </c>
      <c r="E624" t="n">
        <v>118760</v>
      </c>
      <c r="F624" t="n">
        <v>47346</v>
      </c>
      <c r="G624" t="inlineStr">
        <is>
          <t>Discharge summary</t>
        </is>
      </c>
      <c r="H624" t="inlineStr">
        <is>
          <t>discharge-instructions</t>
        </is>
      </c>
      <c r="I624" t="inlineStr"/>
    </row>
    <row r="625">
      <c r="A625" t="inlineStr">
        <is>
          <t>47346-discharge-instructions-6-0</t>
        </is>
      </c>
      <c r="B625" t="inlineStr"/>
      <c r="C625" t="inlineStr"/>
      <c r="D625">
        <f>HYPERLINK("http://nlpdeep.cs.uic.edu:8080/proofing/t5/47346-discharge-instructions-6-0.pdf","t5/47346-discharge-instructions-6-0.pdf")</f>
        <v/>
      </c>
      <c r="E625" t="n">
        <v>118760</v>
      </c>
      <c r="F625" t="n">
        <v>47346</v>
      </c>
      <c r="G625" t="inlineStr">
        <is>
          <t>Discharge summary</t>
        </is>
      </c>
      <c r="H625" t="inlineStr">
        <is>
          <t>discharge-instructions</t>
        </is>
      </c>
      <c r="I625" t="inlineStr"/>
    </row>
    <row r="626">
      <c r="A626" t="inlineStr">
        <is>
          <t>47346-discharge-instructions-6-0</t>
        </is>
      </c>
      <c r="B626" t="inlineStr"/>
      <c r="C626" t="inlineStr"/>
      <c r="D626">
        <f>HYPERLINK("http://nlpdeep.cs.uic.edu:8080/proofing/gsii/47346-discharge-instructions-6-0.pdf","gsii/47346-discharge-instructions-6-0.pdf")</f>
        <v/>
      </c>
      <c r="E626" t="n">
        <v>118760</v>
      </c>
      <c r="F626" t="n">
        <v>47346</v>
      </c>
      <c r="G626" t="inlineStr">
        <is>
          <t>Discharge summary</t>
        </is>
      </c>
      <c r="H626" t="inlineStr">
        <is>
          <t>discharge-instructions</t>
        </is>
      </c>
      <c r="I626" t="inlineStr"/>
    </row>
    <row r="627">
      <c r="A627" t="inlineStr">
        <is>
          <t>47346-discharge-instructions-6-1</t>
        </is>
      </c>
      <c r="B627" t="inlineStr"/>
      <c r="C627" t="inlineStr"/>
      <c r="D627">
        <f>HYPERLINK("http://nlpdeep.cs.uic.edu:8080/proofing/t5/47346-discharge-instructions-6-1.pdf","t5/47346-discharge-instructions-6-1.pdf")</f>
        <v/>
      </c>
      <c r="E627" t="n">
        <v>118760</v>
      </c>
      <c r="F627" t="n">
        <v>47346</v>
      </c>
      <c r="G627" t="inlineStr">
        <is>
          <t>Discharge summary</t>
        </is>
      </c>
      <c r="H627" t="inlineStr">
        <is>
          <t>discharge-instructions</t>
        </is>
      </c>
      <c r="I627" t="inlineStr">
        <is>
          <t>Neurosurgery follow-up
With: Dr.</t>
        </is>
      </c>
    </row>
    <row r="628">
      <c r="A628" t="inlineStr">
        <is>
          <t>47346-discharge-instructions-6-1</t>
        </is>
      </c>
      <c r="B628" t="inlineStr"/>
      <c r="C628" t="inlineStr"/>
      <c r="D628">
        <f>HYPERLINK("http://nlpdeep.cs.uic.edu:8080/proofing/gsii/47346-discharge-instructions-6-1.pdf","gsii/47346-discharge-instructions-6-1.pdf")</f>
        <v/>
      </c>
      <c r="E628" t="n">
        <v>118760</v>
      </c>
      <c r="F628" t="n">
        <v>47346</v>
      </c>
      <c r="G628" t="inlineStr">
        <is>
          <t>Discharge summary</t>
        </is>
      </c>
      <c r="H628" t="inlineStr">
        <is>
          <t>discharge-instructions</t>
        </is>
      </c>
      <c r="I628" t="inlineStr">
        <is>
          <t>Neurosurgery follow-up
With: Dr.</t>
        </is>
      </c>
    </row>
    <row r="629">
      <c r="A629" t="inlineStr">
        <is>
          <t>47346-discharge-instructions-6-2</t>
        </is>
      </c>
      <c r="B629" t="inlineStr"/>
      <c r="C629" t="inlineStr"/>
      <c r="D629">
        <f>HYPERLINK("http://nlpdeep.cs.uic.edu:8080/proofing/t5/47346-discharge-instructions-6-2.pdf","t5/47346-discharge-instructions-6-2.pdf")</f>
        <v/>
      </c>
      <c r="E629" t="n">
        <v>118760</v>
      </c>
      <c r="F629" t="n">
        <v>47346</v>
      </c>
      <c r="G629" t="inlineStr">
        <is>
          <t>Discharge summary</t>
        </is>
      </c>
      <c r="H629" t="inlineStr">
        <is>
          <t>discharge-instructions</t>
        </is>
      </c>
      <c r="I629" t="inlineStr">
        <is>
          <t>[**Last Name (STitle) 548**]
Time: Friday [**2134-10-17**]:[**Street Address(2) 100225**]: [**Hospital3 **] Hospital, [**Location (un) 830**], [**Hospital Ward Name 23**]
Building, [**Location (un) 551**], Spine Center
Phone: [</t>
        </is>
      </c>
    </row>
    <row r="630">
      <c r="A630" t="inlineStr">
        <is>
          <t>47346-discharge-instructions-6-2</t>
        </is>
      </c>
      <c r="B630" t="inlineStr"/>
      <c r="C630" t="inlineStr"/>
      <c r="D630">
        <f>HYPERLINK("http://nlpdeep.cs.uic.edu:8080/proofing/gsii/47346-discharge-instructions-6-2.pdf","gsii/47346-discharge-instructions-6-2.pdf")</f>
        <v/>
      </c>
      <c r="E630" t="n">
        <v>118760</v>
      </c>
      <c r="F630" t="n">
        <v>47346</v>
      </c>
      <c r="G630" t="inlineStr">
        <is>
          <t>Discharge summary</t>
        </is>
      </c>
      <c r="H630" t="inlineStr">
        <is>
          <t>discharge-instructions</t>
        </is>
      </c>
      <c r="I630" t="inlineStr">
        <is>
          <t>[**Last Name (STitle) 548**]
Time: Friday [**2134-10-17**]:[**Street Address(2) 100225**]: [**Hospital3 **] Hospital, [**Location (un) 830**], [**Hospital Ward Name 23**]
Building, [**Location (un) 551**], Spine Center
Phone: [</t>
        </is>
      </c>
    </row>
    <row r="631">
      <c r="A631" t="inlineStr">
        <is>
          <t>495027-critical-care-attending-addendum-0-0</t>
        </is>
      </c>
      <c r="B631" t="inlineStr"/>
      <c r="C631" t="inlineStr"/>
      <c r="D631">
        <f>HYPERLINK("http://nlpdeep.cs.uic.edu:8080/proofing/t5/495027-critical-care-attending-addendum-0-0.pdf","t5/495027-critical-care-attending-addendum-0-0.pdf")</f>
        <v/>
      </c>
      <c r="E631" t="n">
        <v>118760</v>
      </c>
      <c r="F631" t="n">
        <v>495027</v>
      </c>
      <c r="G631" t="inlineStr">
        <is>
          <t>Consult</t>
        </is>
      </c>
      <c r="H631" t="inlineStr">
        <is>
          <t>critical-care-attending-addendum</t>
        </is>
      </c>
      <c r="I631" t="inlineStr">
        <is>
          <t>On this day I saw, examined and was physically present with the
   resident / fellow for the key portions of the services provided.</t>
        </is>
      </c>
    </row>
    <row r="632">
      <c r="A632" t="inlineStr">
        <is>
          <t>495027-critical-care-attending-addendum-0-0</t>
        </is>
      </c>
      <c r="B632" t="inlineStr"/>
      <c r="C632" t="inlineStr"/>
      <c r="D632">
        <f>HYPERLINK("http://nlpdeep.cs.uic.edu:8080/proofing/gsii/495027-critical-care-attending-addendum-0-0.pdf","gsii/495027-critical-care-attending-addendum-0-0.pdf")</f>
        <v/>
      </c>
      <c r="E632" t="n">
        <v>118760</v>
      </c>
      <c r="F632" t="n">
        <v>495027</v>
      </c>
      <c r="G632" t="inlineStr">
        <is>
          <t>Consult</t>
        </is>
      </c>
      <c r="H632" t="inlineStr">
        <is>
          <t>critical-care-attending-addendum</t>
        </is>
      </c>
      <c r="I632" t="inlineStr">
        <is>
          <t>On this day I saw, examined and was physically present with the
   resident / fellow for the key portions of the services provided.</t>
        </is>
      </c>
    </row>
    <row r="633">
      <c r="A633" t="inlineStr">
        <is>
          <t>495027-critical-care-attending-addendum-0-1</t>
        </is>
      </c>
      <c r="B633" t="inlineStr"/>
      <c r="C633" t="inlineStr"/>
      <c r="D633">
        <f>HYPERLINK("http://nlpdeep.cs.uic.edu:8080/proofing/t5/495027-critical-care-attending-addendum-0-1.pdf","t5/495027-critical-care-attending-addendum-0-1.pdf")</f>
        <v/>
      </c>
      <c r="E633" t="n">
        <v>118760</v>
      </c>
      <c r="F633" t="n">
        <v>495027</v>
      </c>
      <c r="G633" t="inlineStr">
        <is>
          <t>Consult</t>
        </is>
      </c>
      <c r="H633" t="inlineStr">
        <is>
          <t>critical-care-attending-addendum</t>
        </is>
      </c>
      <c r="I633" t="inlineStr">
        <is>
          <t>I
   agree with the above note and plans.</t>
        </is>
      </c>
    </row>
    <row r="634">
      <c r="A634" t="inlineStr">
        <is>
          <t>495027-critical-care-attending-addendum-0-1</t>
        </is>
      </c>
      <c r="B634" t="inlineStr"/>
      <c r="C634" t="inlineStr"/>
      <c r="D634">
        <f>HYPERLINK("http://nlpdeep.cs.uic.edu:8080/proofing/gsii/495027-critical-care-attending-addendum-0-1.pdf","gsii/495027-critical-care-attending-addendum-0-1.pdf")</f>
        <v/>
      </c>
      <c r="E634" t="n">
        <v>118760</v>
      </c>
      <c r="F634" t="n">
        <v>495027</v>
      </c>
      <c r="G634" t="inlineStr">
        <is>
          <t>Consult</t>
        </is>
      </c>
      <c r="H634" t="inlineStr">
        <is>
          <t>critical-care-attending-addendum</t>
        </is>
      </c>
      <c r="I634" t="inlineStr">
        <is>
          <t>I
   agree with the above note and plans.</t>
        </is>
      </c>
    </row>
    <row r="635">
      <c r="A635" t="inlineStr">
        <is>
          <t>495027-critical-care-attending-addendum-0-2</t>
        </is>
      </c>
      <c r="B635" t="inlineStr"/>
      <c r="C635" t="inlineStr"/>
      <c r="D635">
        <f>HYPERLINK("http://nlpdeep.cs.uic.edu:8080/proofing/t5/495027-critical-care-attending-addendum-0-2.pdf","t5/495027-critical-care-attending-addendum-0-2.pdf")</f>
        <v/>
      </c>
      <c r="E635" t="n">
        <v>118760</v>
      </c>
      <c r="F635" t="n">
        <v>495027</v>
      </c>
      <c r="G635" t="inlineStr">
        <is>
          <t>Consult</t>
        </is>
      </c>
      <c r="H635" t="inlineStr">
        <is>
          <t>critical-care-attending-addendum</t>
        </is>
      </c>
      <c r="I635" t="inlineStr">
        <is>
          <t xml:space="preserve">
   I would add the following remarks:
   History
   unstable wcT seen by anesthes rx mult dccv.</t>
        </is>
      </c>
    </row>
    <row r="636">
      <c r="A636" t="inlineStr">
        <is>
          <t>495027-critical-care-attending-addendum-0-2</t>
        </is>
      </c>
      <c r="B636" t="inlineStr"/>
      <c r="C636" t="inlineStr"/>
      <c r="D636">
        <f>HYPERLINK("http://nlpdeep.cs.uic.edu:8080/proofing/gsii/495027-critical-care-attending-addendum-0-2.pdf","gsii/495027-critical-care-attending-addendum-0-2.pdf")</f>
        <v/>
      </c>
      <c r="E636" t="n">
        <v>118760</v>
      </c>
      <c r="F636" t="n">
        <v>495027</v>
      </c>
      <c r="G636" t="inlineStr">
        <is>
          <t>Consult</t>
        </is>
      </c>
      <c r="H636" t="inlineStr">
        <is>
          <t>critical-care-attending-addendum</t>
        </is>
      </c>
      <c r="I636" t="inlineStr">
        <is>
          <t xml:space="preserve">
   I would add the following remarks:
   History
   unstable wcT seen by anesthes rx mult dccv.</t>
        </is>
      </c>
    </row>
    <row r="637">
      <c r="A637" t="inlineStr">
        <is>
          <t>495027-critical-care-attending-addendum-0-3</t>
        </is>
      </c>
      <c r="B637" t="inlineStr"/>
      <c r="C637" t="inlineStr"/>
      <c r="D637">
        <f>HYPERLINK("http://nlpdeep.cs.uic.edu:8080/proofing/t5/495027-critical-care-attending-addendum-0-3.pdf","t5/495027-critical-care-attending-addendum-0-3.pdf")</f>
        <v/>
      </c>
      <c r="E637" t="n">
        <v>118760</v>
      </c>
      <c r="F637" t="n">
        <v>495027</v>
      </c>
      <c r="G637" t="inlineStr">
        <is>
          <t>Consult</t>
        </is>
      </c>
      <c r="H637" t="inlineStr">
        <is>
          <t>critical-care-attending-addendum</t>
        </is>
      </c>
      <c r="I637" t="inlineStr">
        <is>
          <t>no prior clin arrhthmia.</t>
        </is>
      </c>
    </row>
    <row r="638">
      <c r="A638" t="inlineStr">
        <is>
          <t>495027-critical-care-attending-addendum-0-3</t>
        </is>
      </c>
      <c r="B638" t="inlineStr"/>
      <c r="C638" t="inlineStr"/>
      <c r="D638">
        <f>HYPERLINK("http://nlpdeep.cs.uic.edu:8080/proofing/gsii/495027-critical-care-attending-addendum-0-3.pdf","gsii/495027-critical-care-attending-addendum-0-3.pdf")</f>
        <v/>
      </c>
      <c r="E638" t="n">
        <v>118760</v>
      </c>
      <c r="F638" t="n">
        <v>495027</v>
      </c>
      <c r="G638" t="inlineStr">
        <is>
          <t>Consult</t>
        </is>
      </c>
      <c r="H638" t="inlineStr">
        <is>
          <t>critical-care-attending-addendum</t>
        </is>
      </c>
      <c r="I638" t="inlineStr">
        <is>
          <t>no prior clin arrhthmia.</t>
        </is>
      </c>
    </row>
    <row r="639">
      <c r="A639" t="inlineStr">
        <is>
          <t>495027-critical-care-attending-addendum-0-4</t>
        </is>
      </c>
      <c r="B639" t="inlineStr"/>
      <c r="C639" t="inlineStr"/>
      <c r="D639">
        <f>HYPERLINK("http://nlpdeep.cs.uic.edu:8080/proofing/t5/495027-critical-care-attending-addendum-0-4.pdf","t5/495027-critical-care-attending-addendum-0-4.pdf")</f>
        <v/>
      </c>
      <c r="E639" t="n">
        <v>118760</v>
      </c>
      <c r="F639" t="n">
        <v>495027</v>
      </c>
      <c r="G639" t="inlineStr">
        <is>
          <t>Consult</t>
        </is>
      </c>
      <c r="H639" t="inlineStr">
        <is>
          <t>critical-care-attending-addendum</t>
        </is>
      </c>
      <c r="I639" t="inlineStr">
        <is>
          <t xml:space="preserve">
   Physical Examination
   vss, alert, clear lungs.</t>
        </is>
      </c>
    </row>
    <row r="640">
      <c r="A640" t="inlineStr">
        <is>
          <t>495027-critical-care-attending-addendum-0-4</t>
        </is>
      </c>
      <c r="B640" t="inlineStr"/>
      <c r="C640" t="inlineStr"/>
      <c r="D640">
        <f>HYPERLINK("http://nlpdeep.cs.uic.edu:8080/proofing/gsii/495027-critical-care-attending-addendum-0-4.pdf","gsii/495027-critical-care-attending-addendum-0-4.pdf")</f>
        <v/>
      </c>
      <c r="E640" t="n">
        <v>118760</v>
      </c>
      <c r="F640" t="n">
        <v>495027</v>
      </c>
      <c r="G640" t="inlineStr">
        <is>
          <t>Consult</t>
        </is>
      </c>
      <c r="H640" t="inlineStr">
        <is>
          <t>critical-care-attending-addendum</t>
        </is>
      </c>
      <c r="I640" t="inlineStr">
        <is>
          <t xml:space="preserve">
   Physical Examination
   vss, alert, clear lungs.</t>
        </is>
      </c>
    </row>
    <row r="641">
      <c r="A641" t="inlineStr">
        <is>
          <t>495027-critical-care-attending-addendum-0-5</t>
        </is>
      </c>
      <c r="B641" t="inlineStr"/>
      <c r="C641" t="inlineStr"/>
      <c r="D641">
        <f>HYPERLINK("http://nlpdeep.cs.uic.edu:8080/proofing/t5/495027-critical-care-attending-addendum-0-5.pdf","t5/495027-critical-care-attending-addendum-0-5.pdf")</f>
        <v/>
      </c>
      <c r="E641" t="n">
        <v>118760</v>
      </c>
      <c r="F641" t="n">
        <v>495027</v>
      </c>
      <c r="G641" t="inlineStr">
        <is>
          <t>Consult</t>
        </is>
      </c>
      <c r="H641" t="inlineStr">
        <is>
          <t>critical-care-attending-addendum</t>
        </is>
      </c>
      <c r="I641" t="inlineStr">
        <is>
          <t>ii/vi ej murmur rad to OT A2 heard ot.incr P2
   i/vi llsb, ii/vi apex
   Medical Decision Making
   2 vpb morph on ecg.</t>
        </is>
      </c>
    </row>
    <row r="642">
      <c r="A642" t="inlineStr">
        <is>
          <t>495027-critical-care-attending-addendum-0-5</t>
        </is>
      </c>
      <c r="B642" t="inlineStr"/>
      <c r="C642" t="inlineStr"/>
      <c r="D642">
        <f>HYPERLINK("http://nlpdeep.cs.uic.edu:8080/proofing/gsii/495027-critical-care-attending-addendum-0-5.pdf","gsii/495027-critical-care-attending-addendum-0-5.pdf")</f>
        <v/>
      </c>
      <c r="E642" t="n">
        <v>118760</v>
      </c>
      <c r="F642" t="n">
        <v>495027</v>
      </c>
      <c r="G642" t="inlineStr">
        <is>
          <t>Consult</t>
        </is>
      </c>
      <c r="H642" t="inlineStr">
        <is>
          <t>critical-care-attending-addendum</t>
        </is>
      </c>
      <c r="I642" t="inlineStr">
        <is>
          <t>ii/vi ej murmur rad to OT A2 heard ot.incr P2
   i/vi llsb, ii/vi apex
   Medical Decision Making
   2 vpb morph on ecg.</t>
        </is>
      </c>
    </row>
    <row r="643">
      <c r="A643" t="inlineStr">
        <is>
          <t>495027-critical-care-attending-addendum-0-6</t>
        </is>
      </c>
      <c r="B643" t="inlineStr"/>
      <c r="C643" t="inlineStr"/>
      <c r="D643">
        <f>HYPERLINK("http://nlpdeep.cs.uic.edu:8080/proofing/t5/495027-critical-care-attending-addendum-0-6.pdf","t5/495027-critical-care-attending-addendum-0-6.pdf")</f>
        <v/>
      </c>
      <c r="E643" t="n">
        <v>118760</v>
      </c>
      <c r="F643" t="n">
        <v>495027</v>
      </c>
      <c r="G643" t="inlineStr">
        <is>
          <t>Consult</t>
        </is>
      </c>
      <c r="H643" t="inlineStr">
        <is>
          <t>critical-care-attending-addendum</t>
        </is>
      </c>
      <c r="I643" t="inlineStr">
        <is>
          <t>ca 8, ? free Ca2+, alb
   w/need for hip surgery, cover w/amio and proceed.</t>
        </is>
      </c>
    </row>
    <row r="644">
      <c r="A644" t="inlineStr">
        <is>
          <t>495027-critical-care-attending-addendum-0-6</t>
        </is>
      </c>
      <c r="B644" t="inlineStr"/>
      <c r="C644" t="inlineStr"/>
      <c r="D644">
        <f>HYPERLINK("http://nlpdeep.cs.uic.edu:8080/proofing/gsii/495027-critical-care-attending-addendum-0-6.pdf","gsii/495027-critical-care-attending-addendum-0-6.pdf")</f>
        <v/>
      </c>
      <c r="E644" t="n">
        <v>118760</v>
      </c>
      <c r="F644" t="n">
        <v>495027</v>
      </c>
      <c r="G644" t="inlineStr">
        <is>
          <t>Consult</t>
        </is>
      </c>
      <c r="H644" t="inlineStr">
        <is>
          <t>critical-care-attending-addendum</t>
        </is>
      </c>
      <c r="I644" t="inlineStr">
        <is>
          <t>ca 8, ? free Ca2+, alb
   w/need for hip surgery, cover w/amio and proceed.</t>
        </is>
      </c>
    </row>
    <row r="645">
      <c r="A645" t="inlineStr">
        <is>
          <t>495027-critical-care-attending-addendum-0-7</t>
        </is>
      </c>
      <c r="B645" t="inlineStr"/>
      <c r="C645" t="inlineStr"/>
      <c r="D645">
        <f>HYPERLINK("http://nlpdeep.cs.uic.edu:8080/proofing/t5/495027-critical-care-attending-addendum-0-7.pdf","t5/495027-critical-care-attending-addendum-0-7.pdf")</f>
        <v/>
      </c>
      <c r="E645" t="n">
        <v>118760</v>
      </c>
      <c r="F645" t="n">
        <v>495027</v>
      </c>
      <c r="G645" t="inlineStr">
        <is>
          <t>Consult</t>
        </is>
      </c>
      <c r="H645" t="inlineStr">
        <is>
          <t>critical-care-attending-addendum</t>
        </is>
      </c>
      <c r="I645" t="inlineStr">
        <is>
          <t>continue amio at
   least 24 hr post-op, if stable then d/c.</t>
        </is>
      </c>
    </row>
    <row r="646">
      <c r="A646" t="inlineStr">
        <is>
          <t>495027-critical-care-attending-addendum-0-7</t>
        </is>
      </c>
      <c r="B646" t="inlineStr"/>
      <c r="C646" t="inlineStr"/>
      <c r="D646">
        <f>HYPERLINK("http://nlpdeep.cs.uic.edu:8080/proofing/gsii/495027-critical-care-attending-addendum-0-7.pdf","gsii/495027-critical-care-attending-addendum-0-7.pdf")</f>
        <v/>
      </c>
      <c r="E646" t="n">
        <v>118760</v>
      </c>
      <c r="F646" t="n">
        <v>495027</v>
      </c>
      <c r="G646" t="inlineStr">
        <is>
          <t>Consult</t>
        </is>
      </c>
      <c r="H646" t="inlineStr">
        <is>
          <t>critical-care-attending-addendum</t>
        </is>
      </c>
      <c r="I646" t="inlineStr">
        <is>
          <t>continue amio at
   least 24 hr post-op, if stable then d/c.</t>
        </is>
      </c>
    </row>
    <row r="647">
      <c r="A647" t="inlineStr">
        <is>
          <t>495027-critical-care-attending-addendum-0-8</t>
        </is>
      </c>
      <c r="B647" t="inlineStr"/>
      <c r="C647" t="inlineStr"/>
      <c r="D647">
        <f>HYPERLINK("http://nlpdeep.cs.uic.edu:8080/proofing/t5/495027-critical-care-attending-addendum-0-8.pdf","t5/495027-critical-care-attending-addendum-0-8.pdf")</f>
        <v/>
      </c>
      <c r="E647" t="n">
        <v>118760</v>
      </c>
      <c r="F647" t="n">
        <v>495027</v>
      </c>
      <c r="G647" t="inlineStr">
        <is>
          <t>Consult</t>
        </is>
      </c>
      <c r="H647" t="inlineStr">
        <is>
          <t>critical-care-attending-addendum</t>
        </is>
      </c>
      <c r="I647" t="inlineStr">
        <is>
          <t>discussed w/dr [**Last Name (STitle) **].</t>
        </is>
      </c>
    </row>
    <row r="648">
      <c r="A648" t="inlineStr">
        <is>
          <t>495027-critical-care-attending-addendum-0-8</t>
        </is>
      </c>
      <c r="B648" t="inlineStr"/>
      <c r="C648" t="inlineStr"/>
      <c r="D648">
        <f>HYPERLINK("http://nlpdeep.cs.uic.edu:8080/proofing/gsii/495027-critical-care-attending-addendum-0-8.pdf","gsii/495027-critical-care-attending-addendum-0-8.pdf")</f>
        <v/>
      </c>
      <c r="E648" t="n">
        <v>118760</v>
      </c>
      <c r="F648" t="n">
        <v>495027</v>
      </c>
      <c r="G648" t="inlineStr">
        <is>
          <t>Consult</t>
        </is>
      </c>
      <c r="H648" t="inlineStr">
        <is>
          <t>critical-care-attending-addendum</t>
        </is>
      </c>
      <c r="I648" t="inlineStr">
        <is>
          <t>discussed w/dr [**Last Name (STitle) **].</t>
        </is>
      </c>
    </row>
    <row r="649">
      <c r="A649" t="inlineStr">
        <is>
          <t>495027-chief-complaint-0-0</t>
        </is>
      </c>
      <c r="B649" t="inlineStr"/>
      <c r="C649" t="inlineStr"/>
      <c r="D649">
        <f>HYPERLINK("http://nlpdeep.cs.uic.edu:8080/proofing/t5/495027-chief-complaint-0-0.pdf","t5/495027-chief-complaint-0-0.pdf")</f>
        <v/>
      </c>
      <c r="E649" t="n">
        <v>118760</v>
      </c>
      <c r="F649" t="n">
        <v>495027</v>
      </c>
      <c r="G649" t="inlineStr">
        <is>
          <t>Consult</t>
        </is>
      </c>
      <c r="H649" t="inlineStr">
        <is>
          <t>chief-complaint</t>
        </is>
      </c>
      <c r="I649" t="inlineStr">
        <is>
          <t>Patient is seen for consultation today at the request
   of Dr. [**Last Name (STitle) **].</t>
        </is>
      </c>
    </row>
    <row r="650">
      <c r="A650" t="inlineStr">
        <is>
          <t>495027-chief-complaint-0-0</t>
        </is>
      </c>
      <c r="B650" t="inlineStr"/>
      <c r="C650" t="inlineStr"/>
      <c r="D650">
        <f>HYPERLINK("http://nlpdeep.cs.uic.edu:8080/proofing/gsii/495027-chief-complaint-0-0.pdf","gsii/495027-chief-complaint-0-0.pdf")</f>
        <v/>
      </c>
      <c r="E650" t="n">
        <v>118760</v>
      </c>
      <c r="F650" t="n">
        <v>495027</v>
      </c>
      <c r="G650" t="inlineStr">
        <is>
          <t>Consult</t>
        </is>
      </c>
      <c r="H650" t="inlineStr">
        <is>
          <t>chief-complaint</t>
        </is>
      </c>
      <c r="I650" t="inlineStr">
        <is>
          <t>Patient is seen for consultation today at the request
   of Dr. [**Last Name (STitle) **].</t>
        </is>
      </c>
    </row>
    <row r="651">
      <c r="A651" t="inlineStr">
        <is>
          <t>495027-chief-complaint-0-1</t>
        </is>
      </c>
      <c r="B651" t="inlineStr"/>
      <c r="C651" t="inlineStr"/>
      <c r="D651">
        <f>HYPERLINK("http://nlpdeep.cs.uic.edu:8080/proofing/t5/495027-chief-complaint-0-1.pdf","t5/495027-chief-complaint-0-1.pdf")</f>
        <v/>
      </c>
      <c r="E651" t="n">
        <v>118760</v>
      </c>
      <c r="F651" t="n">
        <v>495027</v>
      </c>
      <c r="G651" t="inlineStr">
        <is>
          <t>Consult</t>
        </is>
      </c>
      <c r="H651" t="inlineStr">
        <is>
          <t>chief-complaint</t>
        </is>
      </c>
      <c r="I651" t="inlineStr">
        <is>
          <t>We are asked to give consultative advice regarding
   evaluation and management of ventricular tachycardia.</t>
        </is>
      </c>
    </row>
    <row r="652">
      <c r="A652" t="inlineStr">
        <is>
          <t>495027-chief-complaint-0-1</t>
        </is>
      </c>
      <c r="B652" t="inlineStr"/>
      <c r="C652" t="inlineStr"/>
      <c r="D652">
        <f>HYPERLINK("http://nlpdeep.cs.uic.edu:8080/proofing/gsii/495027-chief-complaint-0-1.pdf","gsii/495027-chief-complaint-0-1.pdf")</f>
        <v/>
      </c>
      <c r="E652" t="n">
        <v>118760</v>
      </c>
      <c r="F652" t="n">
        <v>495027</v>
      </c>
      <c r="G652" t="inlineStr">
        <is>
          <t>Consult</t>
        </is>
      </c>
      <c r="H652" t="inlineStr">
        <is>
          <t>chief-complaint</t>
        </is>
      </c>
      <c r="I652" t="inlineStr">
        <is>
          <t>We are asked to give consultative advice regarding
   evaluation and management of ventricular tachycardia.</t>
        </is>
      </c>
    </row>
    <row r="653">
      <c r="A653" t="inlineStr">
        <is>
          <t>495027-history-of-present-illness-0-0</t>
        </is>
      </c>
      <c r="B653" t="inlineStr"/>
      <c r="C653" t="inlineStr"/>
      <c r="D653">
        <f>HYPERLINK("http://nlpdeep.cs.uic.edu:8080/proofing/t5/495027-history-of-present-illness-0-0.pdf","t5/495027-history-of-present-illness-0-0.pdf")</f>
        <v/>
      </c>
      <c r="E653" t="n">
        <v>118760</v>
      </c>
      <c r="F653" t="n">
        <v>495027</v>
      </c>
      <c r="G653" t="inlineStr">
        <is>
          <t>Consult</t>
        </is>
      </c>
      <c r="H653" t="inlineStr">
        <is>
          <t>history-of-present-illness</t>
        </is>
      </c>
      <c r="I653" t="inlineStr">
        <is>
          <t>82 year old male with a history of CAD s/p CABG in [**2122**] (LIMA-LAD,
   SVG-OM1/3, SVG-RCA) s/p NSTEMI [**1-/2131**] with TO SVGs, TO RCA, subtot LCx,
   and 70% LMain s/p DES, diastolic CHF, pulmonary hypertension, mild
   aortic stenosis, peripheral vascular disease s/p aortobifemoral bypass,
   AAA s/p repair, ESRD on HD, h/o GI bleeding, prostate cancer, and
   possible renal cell cancer who was admitted to the medicine service on
   [**9-21**] with a right hip fracture after falling out of his wheelchair.</t>
        </is>
      </c>
    </row>
    <row r="654">
      <c r="A654" t="inlineStr">
        <is>
          <t>495027-history-of-present-illness-0-0</t>
        </is>
      </c>
      <c r="B654" t="inlineStr"/>
      <c r="C654" t="inlineStr"/>
      <c r="D654">
        <f>HYPERLINK("http://nlpdeep.cs.uic.edu:8080/proofing/gsii/495027-history-of-present-illness-0-0.pdf","gsii/495027-history-of-present-illness-0-0.pdf")</f>
        <v/>
      </c>
      <c r="E654" t="n">
        <v>118760</v>
      </c>
      <c r="F654" t="n">
        <v>495027</v>
      </c>
      <c r="G654" t="inlineStr">
        <is>
          <t>Consult</t>
        </is>
      </c>
      <c r="H654" t="inlineStr">
        <is>
          <t>history-of-present-illness</t>
        </is>
      </c>
      <c r="I654" t="inlineStr">
        <is>
          <t>82 year old male with a history of CAD s/p CABG in [**2122**] (LIMA-LAD,
   SVG-OM1/3, SVG-RCA) s/p NSTEMI [**1-/2131**] with TO SVGs, TO RCA, subtot LCx,
   and 70% LMain s/p DES, diastolic CHF, pulmonary hypertension, mild
   aortic stenosis, peripheral vascular disease s/p aortobifemoral bypass,
   AAA s/p repair, ESRD on HD, h/o GI bleeding, prostate cancer, and
   possible renal cell cancer who was admitted to the medicine service on
   [**9-21**] with a right hip fracture after falling out of his wheelchair.</t>
        </is>
      </c>
    </row>
    <row r="655">
      <c r="A655" t="inlineStr">
        <is>
          <t>495027-history-of-present-illness-0-1</t>
        </is>
      </c>
      <c r="B655" t="inlineStr"/>
      <c r="C655" t="inlineStr"/>
      <c r="D655">
        <f>HYPERLINK("http://nlpdeep.cs.uic.edu:8080/proofing/t5/495027-history-of-present-illness-0-1.pdf","t5/495027-history-of-present-illness-0-1.pdf")</f>
        <v/>
      </c>
      <c r="E655" t="n">
        <v>118760</v>
      </c>
      <c r="F655" t="n">
        <v>495027</v>
      </c>
      <c r="G655" t="inlineStr">
        <is>
          <t>Consult</t>
        </is>
      </c>
      <c r="H655" t="inlineStr">
        <is>
          <t>history-of-present-illness</t>
        </is>
      </c>
      <c r="I655" t="inlineStr">
        <is>
          <t xml:space="preserve">
   The patient was dialyzed yesterday morning and then went to the OR for
   hip fracture repair, where he was noted to have brief runs of NSVT.</t>
        </is>
      </c>
    </row>
    <row r="656">
      <c r="A656" t="inlineStr">
        <is>
          <t>495027-history-of-present-illness-0-1</t>
        </is>
      </c>
      <c r="B656" t="inlineStr"/>
      <c r="C656" t="inlineStr"/>
      <c r="D656">
        <f>HYPERLINK("http://nlpdeep.cs.uic.edu:8080/proofing/gsii/495027-history-of-present-illness-0-1.pdf","gsii/495027-history-of-present-illness-0-1.pdf")</f>
        <v/>
      </c>
      <c r="E656" t="n">
        <v>118760</v>
      </c>
      <c r="F656" t="n">
        <v>495027</v>
      </c>
      <c r="G656" t="inlineStr">
        <is>
          <t>Consult</t>
        </is>
      </c>
      <c r="H656" t="inlineStr">
        <is>
          <t>history-of-present-illness</t>
        </is>
      </c>
      <c r="I656" t="inlineStr">
        <is>
          <t xml:space="preserve">
   The patient was dialyzed yesterday morning and then went to the OR for
   hip fracture repair, where he was noted to have brief runs of NSVT.</t>
        </is>
      </c>
    </row>
    <row r="657">
      <c r="A657" t="inlineStr">
        <is>
          <t>495027-history-of-present-illness-0-2</t>
        </is>
      </c>
      <c r="B657" t="inlineStr"/>
      <c r="C657" t="inlineStr"/>
      <c r="D657">
        <f>HYPERLINK("http://nlpdeep.cs.uic.edu:8080/proofing/t5/495027-history-of-present-illness-0-2.pdf","t5/495027-history-of-present-illness-0-2.pdf")</f>
        <v/>
      </c>
      <c r="E657" t="n">
        <v>118760</v>
      </c>
      <c r="F657" t="n">
        <v>495027</v>
      </c>
      <c r="G657" t="inlineStr">
        <is>
          <t>Consult</t>
        </is>
      </c>
      <c r="H657" t="inlineStr">
        <is>
          <t>history-of-present-illness</t>
        </is>
      </c>
      <c r="I657" t="inlineStr">
        <is>
          <t xml:space="preserve">
   During arterial line placement prior to the operation, he developed
   sustained monomorphic VT (?200 bpm) and hypotension with SBP 40s.</t>
        </is>
      </c>
    </row>
    <row r="658">
      <c r="A658" t="inlineStr">
        <is>
          <t>495027-history-of-present-illness-0-2</t>
        </is>
      </c>
      <c r="B658" t="inlineStr"/>
      <c r="C658" t="inlineStr"/>
      <c r="D658">
        <f>HYPERLINK("http://nlpdeep.cs.uic.edu:8080/proofing/gsii/495027-history-of-present-illness-0-2.pdf","gsii/495027-history-of-present-illness-0-2.pdf")</f>
        <v/>
      </c>
      <c r="E658" t="n">
        <v>118760</v>
      </c>
      <c r="F658" t="n">
        <v>495027</v>
      </c>
      <c r="G658" t="inlineStr">
        <is>
          <t>Consult</t>
        </is>
      </c>
      <c r="H658" t="inlineStr">
        <is>
          <t>history-of-present-illness</t>
        </is>
      </c>
      <c r="I658" t="inlineStr">
        <is>
          <t xml:space="preserve">
   During arterial line placement prior to the operation, he developed
   sustained monomorphic VT (?200 bpm) and hypotension with SBP 40s.</t>
        </is>
      </c>
    </row>
    <row r="659">
      <c r="A659" t="inlineStr">
        <is>
          <t>495027-history-of-present-illness-0-3</t>
        </is>
      </c>
      <c r="B659" t="inlineStr"/>
      <c r="C659" t="inlineStr"/>
      <c r="D659">
        <f>HYPERLINK("http://nlpdeep.cs.uic.edu:8080/proofing/t5/495027-history-of-present-illness-0-3.pdf","t5/495027-history-of-present-illness-0-3.pdf")</f>
        <v/>
      </c>
      <c r="E659" t="n">
        <v>118760</v>
      </c>
      <c r="F659" t="n">
        <v>495027</v>
      </c>
      <c r="G659" t="inlineStr">
        <is>
          <t>Consult</t>
        </is>
      </c>
      <c r="H659" t="inlineStr">
        <is>
          <t>history-of-present-illness</t>
        </is>
      </c>
      <c r="I659" t="inlineStr">
        <is>
          <t xml:space="preserve"> He
   was shocked once back into sinus rhythm but then developed two
   additional episodes of unstable sustained monomorphic VT both
   successfully shocked.</t>
        </is>
      </c>
    </row>
    <row r="660">
      <c r="A660" t="inlineStr">
        <is>
          <t>495027-history-of-present-illness-0-3</t>
        </is>
      </c>
      <c r="B660" t="inlineStr"/>
      <c r="C660" t="inlineStr"/>
      <c r="D660">
        <f>HYPERLINK("http://nlpdeep.cs.uic.edu:8080/proofing/gsii/495027-history-of-present-illness-0-3.pdf","gsii/495027-history-of-present-illness-0-3.pdf")</f>
        <v/>
      </c>
      <c r="E660" t="n">
        <v>118760</v>
      </c>
      <c r="F660" t="n">
        <v>495027</v>
      </c>
      <c r="G660" t="inlineStr">
        <is>
          <t>Consult</t>
        </is>
      </c>
      <c r="H660" t="inlineStr">
        <is>
          <t>history-of-present-illness</t>
        </is>
      </c>
      <c r="I660" t="inlineStr">
        <is>
          <t xml:space="preserve"> He
   was shocked once back into sinus rhythm but then developed two
   additional episodes of unstable sustained monomorphic VT both
   successfully shocked.</t>
        </is>
      </c>
    </row>
    <row r="661">
      <c r="A661" t="inlineStr">
        <is>
          <t>495027-history-of-present-illness-0-4</t>
        </is>
      </c>
      <c r="B661" t="inlineStr"/>
      <c r="C661" t="inlineStr"/>
      <c r="D661">
        <f>HYPERLINK("http://nlpdeep.cs.uic.edu:8080/proofing/t5/495027-history-of-present-illness-0-4.pdf","t5/495027-history-of-present-illness-0-4.pdf")</f>
        <v/>
      </c>
      <c r="E661" t="n">
        <v>118760</v>
      </c>
      <c r="F661" t="n">
        <v>495027</v>
      </c>
      <c r="G661" t="inlineStr">
        <is>
          <t>Consult</t>
        </is>
      </c>
      <c r="H661" t="inlineStr">
        <is>
          <t>history-of-present-illness</t>
        </is>
      </c>
      <c r="I661" t="inlineStr">
        <is>
          <t xml:space="preserve"> Unfortunately the strips are not available for
   review.</t>
        </is>
      </c>
    </row>
    <row r="662">
      <c r="A662" t="inlineStr">
        <is>
          <t>495027-history-of-present-illness-0-4</t>
        </is>
      </c>
      <c r="B662" t="inlineStr"/>
      <c r="C662" t="inlineStr"/>
      <c r="D662">
        <f>HYPERLINK("http://nlpdeep.cs.uic.edu:8080/proofing/gsii/495027-history-of-present-illness-0-4.pdf","gsii/495027-history-of-present-illness-0-4.pdf")</f>
        <v/>
      </c>
      <c r="E662" t="n">
        <v>118760</v>
      </c>
      <c r="F662" t="n">
        <v>495027</v>
      </c>
      <c r="G662" t="inlineStr">
        <is>
          <t>Consult</t>
        </is>
      </c>
      <c r="H662" t="inlineStr">
        <is>
          <t>history-of-present-illness</t>
        </is>
      </c>
      <c r="I662" t="inlineStr">
        <is>
          <t xml:space="preserve"> Unfortunately the strips are not available for
   review.</t>
        </is>
      </c>
    </row>
    <row r="663">
      <c r="A663" t="inlineStr">
        <is>
          <t>495027-history-of-present-illness-0-5</t>
        </is>
      </c>
      <c r="B663" t="inlineStr"/>
      <c r="C663" t="inlineStr"/>
      <c r="D663">
        <f>HYPERLINK("http://nlpdeep.cs.uic.edu:8080/proofing/t5/495027-history-of-present-illness-0-5.pdf","t5/495027-history-of-present-illness-0-5.pdf")</f>
        <v/>
      </c>
      <c r="E663" t="n">
        <v>118760</v>
      </c>
      <c r="F663" t="n">
        <v>495027</v>
      </c>
      <c r="G663" t="inlineStr">
        <is>
          <t>Consult</t>
        </is>
      </c>
      <c r="H663" t="inlineStr">
        <is>
          <t>history-of-present-illness</t>
        </is>
      </c>
      <c r="I663" t="inlineStr">
        <is>
          <t xml:space="preserve"> He was transferred to the CCU where he was loaded with IV
   amiodarone and has had no further recurrences.</t>
        </is>
      </c>
    </row>
    <row r="664">
      <c r="A664" t="inlineStr">
        <is>
          <t>495027-history-of-present-illness-0-5</t>
        </is>
      </c>
      <c r="B664" t="inlineStr"/>
      <c r="C664" t="inlineStr"/>
      <c r="D664">
        <f>HYPERLINK("http://nlpdeep.cs.uic.edu:8080/proofing/gsii/495027-history-of-present-illness-0-5.pdf","gsii/495027-history-of-present-illness-0-5.pdf")</f>
        <v/>
      </c>
      <c r="E664" t="n">
        <v>118760</v>
      </c>
      <c r="F664" t="n">
        <v>495027</v>
      </c>
      <c r="G664" t="inlineStr">
        <is>
          <t>Consult</t>
        </is>
      </c>
      <c r="H664" t="inlineStr">
        <is>
          <t>history-of-present-illness</t>
        </is>
      </c>
      <c r="I664" t="inlineStr">
        <is>
          <t xml:space="preserve"> He was transferred to the CCU where he was loaded with IV
   amiodarone and has had no further recurrences.</t>
        </is>
      </c>
    </row>
    <row r="665">
      <c r="A665" t="inlineStr">
        <is>
          <t>495027-history-of-present-illness-0-6</t>
        </is>
      </c>
      <c r="B665" t="inlineStr"/>
      <c r="C665" t="inlineStr"/>
      <c r="D665">
        <f>HYPERLINK("http://nlpdeep.cs.uic.edu:8080/proofing/t5/495027-history-of-present-illness-0-6.pdf","t5/495027-history-of-present-illness-0-6.pdf")</f>
        <v/>
      </c>
      <c r="E665" t="n">
        <v>118760</v>
      </c>
      <c r="F665" t="n">
        <v>495027</v>
      </c>
      <c r="G665" t="inlineStr">
        <is>
          <t>Consult</t>
        </is>
      </c>
      <c r="H665" t="inlineStr">
        <is>
          <t>history-of-present-illness</t>
        </is>
      </c>
      <c r="I665" t="inlineStr">
        <is>
          <t xml:space="preserve"> We are consulted for
   evaluation and management of his ventricular tachycardia.</t>
        </is>
      </c>
    </row>
    <row r="666">
      <c r="A666" t="inlineStr">
        <is>
          <t>495027-history-of-present-illness-0-6</t>
        </is>
      </c>
      <c r="B666" t="inlineStr"/>
      <c r="C666" t="inlineStr"/>
      <c r="D666">
        <f>HYPERLINK("http://nlpdeep.cs.uic.edu:8080/proofing/gsii/495027-history-of-present-illness-0-6.pdf","gsii/495027-history-of-present-illness-0-6.pdf")</f>
        <v/>
      </c>
      <c r="E666" t="n">
        <v>118760</v>
      </c>
      <c r="F666" t="n">
        <v>495027</v>
      </c>
      <c r="G666" t="inlineStr">
        <is>
          <t>Consult</t>
        </is>
      </c>
      <c r="H666" t="inlineStr">
        <is>
          <t>history-of-present-illness</t>
        </is>
      </c>
      <c r="I666" t="inlineStr">
        <is>
          <t xml:space="preserve"> We are consulted for
   evaluation and management of his ventricular tachycardia.</t>
        </is>
      </c>
    </row>
    <row r="667">
      <c r="A667" t="inlineStr">
        <is>
          <t>495027-history-of-present-illness-0-7</t>
        </is>
      </c>
      <c r="B667" t="inlineStr"/>
      <c r="C667" t="inlineStr"/>
      <c r="D667">
        <f>HYPERLINK("http://nlpdeep.cs.uic.edu:8080/proofing/t5/495027-history-of-present-illness-0-7.pdf","t5/495027-history-of-present-illness-0-7.pdf")</f>
        <v/>
      </c>
      <c r="E667" t="n">
        <v>118760</v>
      </c>
      <c r="F667" t="n">
        <v>495027</v>
      </c>
      <c r="G667" t="inlineStr">
        <is>
          <t>Consult</t>
        </is>
      </c>
      <c r="H667" t="inlineStr">
        <is>
          <t>history-of-present-illness</t>
        </is>
      </c>
      <c r="I667" t="inlineStr">
        <is>
          <t xml:space="preserve">
   Currently the patient denies chest pain, shortness of breath,
   palpitations, or lightheadedness.</t>
        </is>
      </c>
    </row>
    <row r="668">
      <c r="A668" t="inlineStr">
        <is>
          <t>495027-history-of-present-illness-0-7</t>
        </is>
      </c>
      <c r="B668" t="inlineStr"/>
      <c r="C668" t="inlineStr"/>
      <c r="D668">
        <f>HYPERLINK("http://nlpdeep.cs.uic.edu:8080/proofing/gsii/495027-history-of-present-illness-0-7.pdf","gsii/495027-history-of-present-illness-0-7.pdf")</f>
        <v/>
      </c>
      <c r="E668" t="n">
        <v>118760</v>
      </c>
      <c r="F668" t="n">
        <v>495027</v>
      </c>
      <c r="G668" t="inlineStr">
        <is>
          <t>Consult</t>
        </is>
      </c>
      <c r="H668" t="inlineStr">
        <is>
          <t>history-of-present-illness</t>
        </is>
      </c>
      <c r="I668" t="inlineStr">
        <is>
          <t xml:space="preserve">
   Currently the patient denies chest pain, shortness of breath,
   palpitations, or lightheadedness.</t>
        </is>
      </c>
    </row>
    <row r="669">
      <c r="A669" t="inlineStr">
        <is>
          <t>495027-allergies-0-0</t>
        </is>
      </c>
      <c r="B669" t="inlineStr"/>
      <c r="C669" t="inlineStr"/>
      <c r="D669">
        <f>HYPERLINK("http://nlpdeep.cs.uic.edu:8080/proofing/t5/495027-allergies-0-0.pdf","t5/495027-allergies-0-0.pdf")</f>
        <v/>
      </c>
      <c r="E669" t="n">
        <v>118760</v>
      </c>
      <c r="F669" t="n">
        <v>495027</v>
      </c>
      <c r="G669" t="inlineStr">
        <is>
          <t>Consult</t>
        </is>
      </c>
      <c r="H669" t="inlineStr">
        <is>
          <t>allergies</t>
        </is>
      </c>
      <c r="I669" t="inlineStr">
        <is>
          <t>Vicodin (Rash) / Percocet (Rash) / Darvocet (Rash) /
   Oxycodone (Rash) / Vancomycin (Hypotension)</t>
        </is>
      </c>
    </row>
    <row r="670">
      <c r="A670" t="inlineStr">
        <is>
          <t>495027-allergies-0-0</t>
        </is>
      </c>
      <c r="B670" t="inlineStr"/>
      <c r="C670" t="inlineStr"/>
      <c r="D670">
        <f>HYPERLINK("http://nlpdeep.cs.uic.edu:8080/proofing/gsii/495027-allergies-0-0.pdf","gsii/495027-allergies-0-0.pdf")</f>
        <v/>
      </c>
      <c r="E670" t="n">
        <v>118760</v>
      </c>
      <c r="F670" t="n">
        <v>495027</v>
      </c>
      <c r="G670" t="inlineStr">
        <is>
          <t>Consult</t>
        </is>
      </c>
      <c r="H670" t="inlineStr">
        <is>
          <t>allergies</t>
        </is>
      </c>
      <c r="I670" t="inlineStr">
        <is>
          <t>Vicodin (Rash) / Percocet (Rash) / Darvocet (Rash) /
   Oxycodone (Rash) / Vancomycin (Hypotension)</t>
        </is>
      </c>
    </row>
    <row r="671">
      <c r="A671" t="inlineStr">
        <is>
          <t>495027-medication-history-0-0</t>
        </is>
      </c>
      <c r="B671" t="inlineStr"/>
      <c r="C671" t="inlineStr"/>
      <c r="D671">
        <f>HYPERLINK("http://nlpdeep.cs.uic.edu:8080/proofing/t5/495027-medication-history-0-0.pdf","t5/495027-medication-history-0-0.pdf")</f>
        <v/>
      </c>
      <c r="E671" t="n">
        <v>118760</v>
      </c>
      <c r="F671" t="n">
        <v>495027</v>
      </c>
      <c r="G671" t="inlineStr">
        <is>
          <t>Consult</t>
        </is>
      </c>
      <c r="H671" t="inlineStr">
        <is>
          <t>medication-history</t>
        </is>
      </c>
      <c r="I671" t="inlineStr">
        <is>
          <t>Ezetimibe 10 mg daily
   Celexa 20 mg daily
   Zocor 80 mg daily
   Mirtazapine 15 mg po qhs
   Citalopram 10 mg po daily
   Simethicone 80 mg po bid
   Compazine 10 mg po q8h prn
   Imodium 2 mg po q6h prn
   ASA 325 mg po daily
   Minocycline HcL 100 mg po bid
   Calcium Acetate 667 mg - 2 cap tid
   Metoprolol 25 mg po bid
   Omeprazole 20 mg po daily
   Lactobacillus 1 tab po bid
   Vitamin B complex with C
   ??</t>
        </is>
      </c>
    </row>
    <row r="672">
      <c r="A672" t="inlineStr">
        <is>
          <t>495027-medication-history-0-0</t>
        </is>
      </c>
      <c r="B672" t="inlineStr"/>
      <c r="C672" t="inlineStr"/>
      <c r="D672">
        <f>HYPERLINK("http://nlpdeep.cs.uic.edu:8080/proofing/gsii/495027-medication-history-0-0.pdf","gsii/495027-medication-history-0-0.pdf")</f>
        <v/>
      </c>
      <c r="E672" t="n">
        <v>118760</v>
      </c>
      <c r="F672" t="n">
        <v>495027</v>
      </c>
      <c r="G672" t="inlineStr">
        <is>
          <t>Consult</t>
        </is>
      </c>
      <c r="H672" t="inlineStr">
        <is>
          <t>medication-history</t>
        </is>
      </c>
      <c r="I672" t="inlineStr">
        <is>
          <t>Ezetimibe 10 mg daily
   Celexa 20 mg daily
   Zocor 80 mg daily
   Mirtazapine 15 mg po qhs
   Citalopram 10 mg po daily
   Simethicone 80 mg po bid
   Compazine 10 mg po q8h prn
   Imodium 2 mg po q6h prn
   ASA 325 mg po daily
   Minocycline HcL 100 mg po bid
   Calcium Acetate 667 mg - 2 cap tid
   Metoprolol 25 mg po bid
   Omeprazole 20 mg po daily
   Lactobacillus 1 tab po bid
   Vitamin B complex with C
   ??</t>
        </is>
      </c>
    </row>
    <row r="673">
      <c r="A673" t="inlineStr">
        <is>
          <t>495027-medication-history-0-1</t>
        </is>
      </c>
      <c r="B673" t="inlineStr"/>
      <c r="C673" t="inlineStr"/>
      <c r="D673">
        <f>HYPERLINK("http://nlpdeep.cs.uic.edu:8080/proofing/t5/495027-medication-history-0-1.pdf","t5/495027-medication-history-0-1.pdf")</f>
        <v/>
      </c>
      <c r="E673" t="n">
        <v>118760</v>
      </c>
      <c r="F673" t="n">
        <v>495027</v>
      </c>
      <c r="G673" t="inlineStr">
        <is>
          <t>Consult</t>
        </is>
      </c>
      <c r="H673" t="inlineStr">
        <is>
          <t>medication-history</t>
        </is>
      </c>
      <c r="I673" t="inlineStr">
        <is>
          <t>Plavix 75 mg po daily (not on most recent med list; may have been
   stopped after GI bleed)</t>
        </is>
      </c>
    </row>
    <row r="674">
      <c r="A674" t="inlineStr">
        <is>
          <t>495027-medication-history-0-1</t>
        </is>
      </c>
      <c r="B674" t="inlineStr"/>
      <c r="C674" t="inlineStr"/>
      <c r="D674">
        <f>HYPERLINK("http://nlpdeep.cs.uic.edu:8080/proofing/gsii/495027-medication-history-0-1.pdf","gsii/495027-medication-history-0-1.pdf")</f>
        <v/>
      </c>
      <c r="E674" t="n">
        <v>118760</v>
      </c>
      <c r="F674" t="n">
        <v>495027</v>
      </c>
      <c r="G674" t="inlineStr">
        <is>
          <t>Consult</t>
        </is>
      </c>
      <c r="H674" t="inlineStr">
        <is>
          <t>medication-history</t>
        </is>
      </c>
      <c r="I674" t="inlineStr">
        <is>
          <t>Plavix 75 mg po daily (not on most recent med list; may have been
   stopped after GI bleed)</t>
        </is>
      </c>
    </row>
    <row r="675">
      <c r="A675" t="inlineStr">
        <is>
          <t>495027-current-medications-0-0</t>
        </is>
      </c>
      <c r="B675" t="inlineStr"/>
      <c r="C675" t="inlineStr"/>
      <c r="D675">
        <f>HYPERLINK("http://nlpdeep.cs.uic.edu:8080/proofing/t5/495027-current-medications-0-0.pdf","t5/495027-current-medications-0-0.pdf")</f>
        <v/>
      </c>
      <c r="E675" t="n">
        <v>118760</v>
      </c>
      <c r="F675" t="n">
        <v>495027</v>
      </c>
      <c r="G675" t="inlineStr">
        <is>
          <t>Consult</t>
        </is>
      </c>
      <c r="H675" t="inlineStr">
        <is>
          <t>current-medications</t>
        </is>
      </c>
      <c r="I675" t="inlineStr">
        <is>
          <t>Heparin 5000 UNIT SC TID
   Metoprolol Tartrate 12.5 mg PO BID
   Acetaminophen [**Telephone/Fax (1) 179**] mg PO Q6H:PRN pain
   Minocycline 100 mg PO BID
   Amiodarone 150 mg IV ONCE
   Multivitamins W/minerals 1 TAB PO DAILY
   Amiodarone 1 mg/min IV INFUSION
   Mupirocin Cream 2% 1 Appl TP [**Hospital1 7**]
   Aspirin 325 mg PO DAILY
   Omeprazole 20 mg PO DAILY
   Calcium Acetate 1334 mg PO TID W/MEALS
   Senna 1 TAB PO BID:PRN bm
   Citalopram Hydrobromide 20 mg PO DAILY
   Simvastatin 80 mg PO DAILY
   Clobetasol Propionate 0.05% Cream 1 Appl TP [**Hospital1 7**]
   Docusate Sodium 100 mg PO BID
   Ezetimibe 10 mg PO DAILY
   traZODONE 25 mg PO ONCE M</t>
        </is>
      </c>
    </row>
    <row r="676">
      <c r="A676" t="inlineStr">
        <is>
          <t>495027-current-medications-0-0</t>
        </is>
      </c>
      <c r="B676" t="inlineStr"/>
      <c r="C676" t="inlineStr"/>
      <c r="D676">
        <f>HYPERLINK("http://nlpdeep.cs.uic.edu:8080/proofing/gsii/495027-current-medications-0-0.pdf","gsii/495027-current-medications-0-0.pdf")</f>
        <v/>
      </c>
      <c r="E676" t="n">
        <v>118760</v>
      </c>
      <c r="F676" t="n">
        <v>495027</v>
      </c>
      <c r="G676" t="inlineStr">
        <is>
          <t>Consult</t>
        </is>
      </c>
      <c r="H676" t="inlineStr">
        <is>
          <t>current-medications</t>
        </is>
      </c>
      <c r="I676" t="inlineStr">
        <is>
          <t>Heparin 5000 UNIT SC TID
   Metoprolol Tartrate 12.5 mg PO BID
   Acetaminophen [**Telephone/Fax (1) 179**] mg PO Q6H:PRN pain
   Minocycline 100 mg PO BID
   Amiodarone 150 mg IV ONCE
   Multivitamins W/minerals 1 TAB PO DAILY
   Amiodarone 1 mg/min IV INFUSION
   Mupirocin Cream 2% 1 Appl TP [**Hospital1 7**]
   Aspirin 325 mg PO DAILY
   Omeprazole 20 mg PO DAILY
   Calcium Acetate 1334 mg PO TID W/MEALS
   Senna 1 TAB PO BID:PRN bm
   Citalopram Hydrobromide 20 mg PO DAILY
   Simvastatin 80 mg PO DAILY
   Clobetasol Propionate 0.05% Cream 1 Appl TP [**Hospital1 7**]
   Docusate Sodium 100 mg PO BID
   Ezetimibe 10 mg PO DAILY
   traZODONE 25 mg PO ONCE M</t>
        </is>
      </c>
    </row>
    <row r="677">
      <c r="A677" t="inlineStr">
        <is>
          <t>495027-past-medical-history-0-0</t>
        </is>
      </c>
      <c r="B677" t="inlineStr"/>
      <c r="C677" t="inlineStr"/>
      <c r="D677">
        <f>HYPERLINK("http://nlpdeep.cs.uic.edu:8080/proofing/t5/495027-past-medical-history-0-0.pdf","t5/495027-past-medical-history-0-0.pdf")</f>
        <v/>
      </c>
      <c r="E677" t="n">
        <v>118760</v>
      </c>
      <c r="F677" t="n">
        <v>495027</v>
      </c>
      <c r="G677" t="inlineStr">
        <is>
          <t>Consult</t>
        </is>
      </c>
      <c r="H677" t="inlineStr">
        <is>
          <t>past-medical-history</t>
        </is>
      </c>
      <c r="I677" t="inlineStr">
        <is>
          <t>-CAD, s/p CABG in [**2122**] (LIMA-LAD, SVG-RCA--occluded,
   SVG-OM1/OM3--occluded), s/p NSTEMI (DES in L main) in [**2-3**]
   -AAA, s/p repair in [**2123**]
   -PVD, s/p aortobiiliac graft in [**2123**], s/p L CEA in [**2122**] followed by Dr.</t>
        </is>
      </c>
    </row>
    <row r="678">
      <c r="A678" t="inlineStr">
        <is>
          <t>495027-past-medical-history-0-0</t>
        </is>
      </c>
      <c r="B678" t="inlineStr"/>
      <c r="C678" t="inlineStr"/>
      <c r="D678">
        <f>HYPERLINK("http://nlpdeep.cs.uic.edu:8080/proofing/gsii/495027-past-medical-history-0-0.pdf","gsii/495027-past-medical-history-0-0.pdf")</f>
        <v/>
      </c>
      <c r="E678" t="n">
        <v>118760</v>
      </c>
      <c r="F678" t="n">
        <v>495027</v>
      </c>
      <c r="G678" t="inlineStr">
        <is>
          <t>Consult</t>
        </is>
      </c>
      <c r="H678" t="inlineStr">
        <is>
          <t>past-medical-history</t>
        </is>
      </c>
      <c r="I678" t="inlineStr">
        <is>
          <t>-CAD, s/p CABG in [**2122**] (LIMA-LAD, SVG-RCA--occluded,
   SVG-OM1/OM3--occluded), s/p NSTEMI (DES in L main) in [**2-3**]
   -AAA, s/p repair in [**2123**]
   -PVD, s/p aortobiiliac graft in [**2123**], s/p L CEA in [**2122**] followed by Dr.</t>
        </is>
      </c>
    </row>
    <row r="679">
      <c r="A679" t="inlineStr">
        <is>
          <t>495027-past-medical-history-0-1</t>
        </is>
      </c>
      <c r="B679" t="inlineStr"/>
      <c r="C679" t="inlineStr"/>
      <c r="D679">
        <f>HYPERLINK("http://nlpdeep.cs.uic.edu:8080/proofing/t5/495027-past-medical-history-0-1.pdf","t5/495027-past-medical-history-0-1.pdf")</f>
        <v/>
      </c>
      <c r="E679" t="n">
        <v>118760</v>
      </c>
      <c r="F679" t="n">
        <v>495027</v>
      </c>
      <c r="G679" t="inlineStr">
        <is>
          <t>Consult</t>
        </is>
      </c>
      <c r="H679" t="inlineStr">
        <is>
          <t>past-medical-history</t>
        </is>
      </c>
      <c r="I679" t="inlineStr">
        <is>
          <t xml:space="preserve">
   [**Last Name (STitle) **]
   [**Name (STitle) 6919**] with LUE AVF, on HD MWF
   -Severe cervical and lumbar spinal stenosis with near paraplegia, s/p
   anterior cervical discectomy and arthrodesis at C5-C6 and C6-C7 by Dr.</t>
        </is>
      </c>
    </row>
    <row r="680">
      <c r="A680" t="inlineStr">
        <is>
          <t>495027-past-medical-history-0-1</t>
        </is>
      </c>
      <c r="B680" t="inlineStr"/>
      <c r="C680" t="inlineStr"/>
      <c r="D680">
        <f>HYPERLINK("http://nlpdeep.cs.uic.edu:8080/proofing/gsii/495027-past-medical-history-0-1.pdf","gsii/495027-past-medical-history-0-1.pdf")</f>
        <v/>
      </c>
      <c r="E680" t="n">
        <v>118760</v>
      </c>
      <c r="F680" t="n">
        <v>495027</v>
      </c>
      <c r="G680" t="inlineStr">
        <is>
          <t>Consult</t>
        </is>
      </c>
      <c r="H680" t="inlineStr">
        <is>
          <t>past-medical-history</t>
        </is>
      </c>
      <c r="I680" t="inlineStr">
        <is>
          <t xml:space="preserve">
   [**Last Name (STitle) **]
   [**Name (STitle) 6919**] with LUE AVF, on HD MWF
   -Severe cervical and lumbar spinal stenosis with near paraplegia, s/p
   anterior cervical discectomy and arthrodesis at C5-C6 and C6-C7 by Dr.</t>
        </is>
      </c>
    </row>
    <row r="681">
      <c r="A681" t="inlineStr">
        <is>
          <t>495027-past-medical-history-0-2</t>
        </is>
      </c>
      <c r="B681" t="inlineStr"/>
      <c r="C681" t="inlineStr"/>
      <c r="D681">
        <f>HYPERLINK("http://nlpdeep.cs.uic.edu:8080/proofing/t5/495027-past-medical-history-0-2.pdf","t5/495027-past-medical-history-0-2.pdf")</f>
        <v/>
      </c>
      <c r="E681" t="n">
        <v>118760</v>
      </c>
      <c r="F681" t="n">
        <v>495027</v>
      </c>
      <c r="G681" t="inlineStr">
        <is>
          <t>Consult</t>
        </is>
      </c>
      <c r="H681" t="inlineStr">
        <is>
          <t>past-medical-history</t>
        </is>
      </c>
      <c r="I681" t="inlineStr">
        <is>
          <t xml:space="preserve">
   [**Last Name (STitle) 1836**] [**12-6**].</t>
        </is>
      </c>
    </row>
    <row r="682">
      <c r="A682" t="inlineStr">
        <is>
          <t>495027-past-medical-history-0-2</t>
        </is>
      </c>
      <c r="B682" t="inlineStr"/>
      <c r="C682" t="inlineStr"/>
      <c r="D682">
        <f>HYPERLINK("http://nlpdeep.cs.uic.edu:8080/proofing/gsii/495027-past-medical-history-0-2.pdf","gsii/495027-past-medical-history-0-2.pdf")</f>
        <v/>
      </c>
      <c r="E682" t="n">
        <v>118760</v>
      </c>
      <c r="F682" t="n">
        <v>495027</v>
      </c>
      <c r="G682" t="inlineStr">
        <is>
          <t>Consult</t>
        </is>
      </c>
      <c r="H682" t="inlineStr">
        <is>
          <t>past-medical-history</t>
        </is>
      </c>
      <c r="I682" t="inlineStr">
        <is>
          <t xml:space="preserve">
   [**Last Name (STitle) 1836**] [**12-6**].</t>
        </is>
      </c>
    </row>
    <row r="683">
      <c r="A683" t="inlineStr">
        <is>
          <t>495027-past-medical-history-0-3</t>
        </is>
      </c>
      <c r="B683" t="inlineStr"/>
      <c r="C683" t="inlineStr"/>
      <c r="D683">
        <f>HYPERLINK("http://nlpdeep.cs.uic.edu:8080/proofing/t5/495027-past-medical-history-0-3.pdf","t5/495027-past-medical-history-0-3.pdf")</f>
        <v/>
      </c>
      <c r="E683" t="n">
        <v>118760</v>
      </c>
      <c r="F683" t="n">
        <v>495027</v>
      </c>
      <c r="G683" t="inlineStr">
        <is>
          <t>Consult</t>
        </is>
      </c>
      <c r="H683" t="inlineStr">
        <is>
          <t>past-medical-history</t>
        </is>
      </c>
      <c r="I683" t="inlineStr">
        <is>
          <t xml:space="preserve">
   -Abdominal wall abscess, s/p I&amp;D, culture with Actinomyces treated with
   6 month course of ampicillin/penicillin, in [**5-5**]
   -Right renal tumor, suspicious for RCC, undergoing watchful waiting,
   followed by Dr.</t>
        </is>
      </c>
    </row>
    <row r="684">
      <c r="A684" t="inlineStr">
        <is>
          <t>495027-past-medical-history-0-3</t>
        </is>
      </c>
      <c r="B684" t="inlineStr"/>
      <c r="C684" t="inlineStr"/>
      <c r="D684">
        <f>HYPERLINK("http://nlpdeep.cs.uic.edu:8080/proofing/gsii/495027-past-medical-history-0-3.pdf","gsii/495027-past-medical-history-0-3.pdf")</f>
        <v/>
      </c>
      <c r="E684" t="n">
        <v>118760</v>
      </c>
      <c r="F684" t="n">
        <v>495027</v>
      </c>
      <c r="G684" t="inlineStr">
        <is>
          <t>Consult</t>
        </is>
      </c>
      <c r="H684" t="inlineStr">
        <is>
          <t>past-medical-history</t>
        </is>
      </c>
      <c r="I684" t="inlineStr">
        <is>
          <t xml:space="preserve">
   -Abdominal wall abscess, s/p I&amp;D, culture with Actinomyces treated with
   6 month course of ampicillin/penicillin, in [**5-5**]
   -Right renal tumor, suspicious for RCC, undergoing watchful waiting,
   followed by Dr.</t>
        </is>
      </c>
    </row>
    <row r="685">
      <c r="A685" t="inlineStr">
        <is>
          <t>495027-past-medical-history-0-4</t>
        </is>
      </c>
      <c r="B685" t="inlineStr"/>
      <c r="C685" t="inlineStr"/>
      <c r="D685">
        <f>HYPERLINK("http://nlpdeep.cs.uic.edu:8080/proofing/t5/495027-past-medical-history-0-4.pdf","t5/495027-past-medical-history-0-4.pdf")</f>
        <v/>
      </c>
      <c r="E685" t="n">
        <v>118760</v>
      </c>
      <c r="F685" t="n">
        <v>495027</v>
      </c>
      <c r="G685" t="inlineStr">
        <is>
          <t>Consult</t>
        </is>
      </c>
      <c r="H685" t="inlineStr">
        <is>
          <t>past-medical-history</t>
        </is>
      </c>
      <c r="I685" t="inlineStr">
        <is>
          <t>[**Last Name (STitle) 337**]
   [**Name (STitle) **]/o prostate cancer s/p brachytherapy
   -h/o choledocholithiasis and cholangitis s/p lap chole [**2130-3-21**]
   -GI bleed
   -Sigmoid diverticulosis
   Cardiac Risk Factors include dyslipidemia, hypertension, tobacco use.</t>
        </is>
      </c>
    </row>
    <row r="686">
      <c r="A686" t="inlineStr">
        <is>
          <t>495027-past-medical-history-0-4</t>
        </is>
      </c>
      <c r="B686" t="inlineStr"/>
      <c r="C686" t="inlineStr"/>
      <c r="D686">
        <f>HYPERLINK("http://nlpdeep.cs.uic.edu:8080/proofing/gsii/495027-past-medical-history-0-4.pdf","gsii/495027-past-medical-history-0-4.pdf")</f>
        <v/>
      </c>
      <c r="E686" t="n">
        <v>118760</v>
      </c>
      <c r="F686" t="n">
        <v>495027</v>
      </c>
      <c r="G686" t="inlineStr">
        <is>
          <t>Consult</t>
        </is>
      </c>
      <c r="H686" t="inlineStr">
        <is>
          <t>past-medical-history</t>
        </is>
      </c>
      <c r="I686" t="inlineStr">
        <is>
          <t>[**Last Name (STitle) 337**]
   [**Name (STitle) **]/o prostate cancer s/p brachytherapy
   -h/o choledocholithiasis and cholangitis s/p lap chole [**2130-3-21**]
   -GI bleed
   -Sigmoid diverticulosis
   Cardiac Risk Factors include dyslipidemia, hypertension, tobacco use.</t>
        </is>
      </c>
    </row>
    <row r="687">
      <c r="A687" t="inlineStr">
        <is>
          <t>495027-past-medical-history-0-5</t>
        </is>
      </c>
      <c r="B687" t="inlineStr"/>
      <c r="C687" t="inlineStr"/>
      <c r="D687">
        <f>HYPERLINK("http://nlpdeep.cs.uic.edu:8080/proofing/t5/495027-past-medical-history-0-5.pdf","t5/495027-past-medical-history-0-5.pdf")</f>
        <v/>
      </c>
      <c r="E687" t="n">
        <v>118760</v>
      </c>
      <c r="F687" t="n">
        <v>495027</v>
      </c>
      <c r="G687" t="inlineStr">
        <is>
          <t>Consult</t>
        </is>
      </c>
      <c r="H687" t="inlineStr">
        <is>
          <t>past-medical-history</t>
        </is>
      </c>
      <c r="I687" t="inlineStr">
        <is>
          <t xml:space="preserve">
   Cardiac History is significant for CABG in [**2122**] with anatomy as
   follows:  LIMA-LAD, SVG-RCA--occluded, SVG-OM1/OM3--occluded.</t>
        </is>
      </c>
    </row>
    <row r="688">
      <c r="A688" t="inlineStr">
        <is>
          <t>495027-past-medical-history-0-5</t>
        </is>
      </c>
      <c r="B688" t="inlineStr"/>
      <c r="C688" t="inlineStr"/>
      <c r="D688">
        <f>HYPERLINK("http://nlpdeep.cs.uic.edu:8080/proofing/gsii/495027-past-medical-history-0-5.pdf","gsii/495027-past-medical-history-0-5.pdf")</f>
        <v/>
      </c>
      <c r="E688" t="n">
        <v>118760</v>
      </c>
      <c r="F688" t="n">
        <v>495027</v>
      </c>
      <c r="G688" t="inlineStr">
        <is>
          <t>Consult</t>
        </is>
      </c>
      <c r="H688" t="inlineStr">
        <is>
          <t>past-medical-history</t>
        </is>
      </c>
      <c r="I688" t="inlineStr">
        <is>
          <t xml:space="preserve">
   Cardiac History is significant for CABG in [**2122**] with anatomy as
   follows:  LIMA-LAD, SVG-RCA--occluded, SVG-OM1/OM3--occluded.</t>
        </is>
      </c>
    </row>
    <row r="689">
      <c r="A689" t="inlineStr">
        <is>
          <t>495027-past-medical-history-0-6</t>
        </is>
      </c>
      <c r="B689" t="inlineStr"/>
      <c r="C689" t="inlineStr"/>
      <c r="D689">
        <f>HYPERLINK("http://nlpdeep.cs.uic.edu:8080/proofing/t5/495027-past-medical-history-0-6.pdf","t5/495027-past-medical-history-0-6.pdf")</f>
        <v/>
      </c>
      <c r="E689" t="n">
        <v>118760</v>
      </c>
      <c r="F689" t="n">
        <v>495027</v>
      </c>
      <c r="G689" t="inlineStr">
        <is>
          <t>Consult</t>
        </is>
      </c>
      <c r="H689" t="inlineStr">
        <is>
          <t>past-medical-history</t>
        </is>
      </c>
      <c r="I689" t="inlineStr">
        <is>
          <t xml:space="preserve">
   Percutaneous coronary intervention, in [**2130**] with anatomy as follows:
   3-vessel coronary disease, stenting of protected left main ostium with
   3.5x12mm Endeavor stent, occluded SVG grafts, patent LIMA graft (see
   details below).</t>
        </is>
      </c>
    </row>
    <row r="690">
      <c r="A690" t="inlineStr">
        <is>
          <t>495027-past-medical-history-0-6</t>
        </is>
      </c>
      <c r="B690" t="inlineStr"/>
      <c r="C690" t="inlineStr"/>
      <c r="D690">
        <f>HYPERLINK("http://nlpdeep.cs.uic.edu:8080/proofing/gsii/495027-past-medical-history-0-6.pdf","gsii/495027-past-medical-history-0-6.pdf")</f>
        <v/>
      </c>
      <c r="E690" t="n">
        <v>118760</v>
      </c>
      <c r="F690" t="n">
        <v>495027</v>
      </c>
      <c r="G690" t="inlineStr">
        <is>
          <t>Consult</t>
        </is>
      </c>
      <c r="H690" t="inlineStr">
        <is>
          <t>past-medical-history</t>
        </is>
      </c>
      <c r="I690" t="inlineStr">
        <is>
          <t xml:space="preserve">
   Percutaneous coronary intervention, in [**2130**] with anatomy as follows:
   3-vessel coronary disease, stenting of protected left main ostium with
   3.5x12mm Endeavor stent, occluded SVG grafts, patent LIMA graft (see
   details below).</t>
        </is>
      </c>
    </row>
    <row r="691">
      <c r="A691" t="inlineStr">
        <is>
          <t>495027-past-medical-history-0-7</t>
        </is>
      </c>
      <c r="B691" t="inlineStr"/>
      <c r="C691" t="inlineStr"/>
      <c r="D691">
        <f>HYPERLINK("http://nlpdeep.cs.uic.edu:8080/proofing/t5/495027-past-medical-history-0-7.pdf","t5/495027-past-medical-history-0-7.pdf")</f>
        <v/>
      </c>
      <c r="E691" t="n">
        <v>118760</v>
      </c>
      <c r="F691" t="n">
        <v>495027</v>
      </c>
      <c r="G691" t="inlineStr">
        <is>
          <t>Consult</t>
        </is>
      </c>
      <c r="H691" t="inlineStr">
        <is>
          <t>past-medical-history</t>
        </is>
      </c>
      <c r="I691" t="inlineStr">
        <is>
          <t xml:space="preserve">
   Pacemaker/ICD: none.</t>
        </is>
      </c>
    </row>
    <row r="692">
      <c r="A692" t="inlineStr">
        <is>
          <t>495027-past-medical-history-0-7</t>
        </is>
      </c>
      <c r="B692" t="inlineStr"/>
      <c r="C692" t="inlineStr"/>
      <c r="D692">
        <f>HYPERLINK("http://nlpdeep.cs.uic.edu:8080/proofing/gsii/495027-past-medical-history-0-7.pdf","gsii/495027-past-medical-history-0-7.pdf")</f>
        <v/>
      </c>
      <c r="E692" t="n">
        <v>118760</v>
      </c>
      <c r="F692" t="n">
        <v>495027</v>
      </c>
      <c r="G692" t="inlineStr">
        <is>
          <t>Consult</t>
        </is>
      </c>
      <c r="H692" t="inlineStr">
        <is>
          <t>past-medical-history</t>
        </is>
      </c>
      <c r="I692" t="inlineStr">
        <is>
          <t xml:space="preserve">
   Pacemaker/ICD: none.</t>
        </is>
      </c>
    </row>
    <row r="693">
      <c r="A693" t="inlineStr">
        <is>
          <t>495027-past-medical-history-0-8</t>
        </is>
      </c>
      <c r="B693" t="inlineStr"/>
      <c r="C693" t="inlineStr"/>
      <c r="D693">
        <f>HYPERLINK("http://nlpdeep.cs.uic.edu:8080/proofing/t5/495027-past-medical-history-0-8.pdf","t5/495027-past-medical-history-0-8.pdf")</f>
        <v/>
      </c>
      <c r="E693" t="n">
        <v>118760</v>
      </c>
      <c r="F693" t="n">
        <v>495027</v>
      </c>
      <c r="G693" t="inlineStr">
        <is>
          <t>Consult</t>
        </is>
      </c>
      <c r="H693" t="inlineStr">
        <is>
          <t>past-medical-history</t>
        </is>
      </c>
      <c r="I693" t="inlineStr">
        <is>
          <t xml:space="preserve">
   Other Past Medical History:  Per above.</t>
        </is>
      </c>
    </row>
    <row r="694">
      <c r="A694" t="inlineStr">
        <is>
          <t>495027-past-medical-history-0-8</t>
        </is>
      </c>
      <c r="B694" t="inlineStr"/>
      <c r="C694" t="inlineStr"/>
      <c r="D694">
        <f>HYPERLINK("http://nlpdeep.cs.uic.edu:8080/proofing/gsii/495027-past-medical-history-0-8.pdf","gsii/495027-past-medical-history-0-8.pdf")</f>
        <v/>
      </c>
      <c r="E694" t="n">
        <v>118760</v>
      </c>
      <c r="F694" t="n">
        <v>495027</v>
      </c>
      <c r="G694" t="inlineStr">
        <is>
          <t>Consult</t>
        </is>
      </c>
      <c r="H694" t="inlineStr">
        <is>
          <t>past-medical-history</t>
        </is>
      </c>
      <c r="I694" t="inlineStr">
        <is>
          <t xml:space="preserve">
   Other Past Medical History:  Per above.</t>
        </is>
      </c>
    </row>
    <row r="695">
      <c r="A695" t="inlineStr">
        <is>
          <t>495027-social-history-0-0</t>
        </is>
      </c>
      <c r="B695" t="inlineStr"/>
      <c r="C695" t="inlineStr"/>
      <c r="D695">
        <f>HYPERLINK("http://nlpdeep.cs.uic.edu:8080/proofing/t5/495027-social-history-0-0.pdf","t5/495027-social-history-0-0.pdf")</f>
        <v/>
      </c>
      <c r="E695" t="n">
        <v>118760</v>
      </c>
      <c r="F695" t="n">
        <v>495027</v>
      </c>
      <c r="G695" t="inlineStr">
        <is>
          <t>Consult</t>
        </is>
      </c>
      <c r="H695" t="inlineStr">
        <is>
          <t>social-history</t>
        </is>
      </c>
      <c r="I695" t="inlineStr">
        <is>
          <t>Lives at [**Location (un) 11017**] [**Hospital3 **] Residency.</t>
        </is>
      </c>
    </row>
    <row r="696">
      <c r="A696" t="inlineStr">
        <is>
          <t>495027-social-history-0-0</t>
        </is>
      </c>
      <c r="B696" t="inlineStr"/>
      <c r="C696" t="inlineStr"/>
      <c r="D696">
        <f>HYPERLINK("http://nlpdeep.cs.uic.edu:8080/proofing/gsii/495027-social-history-0-0.pdf","gsii/495027-social-history-0-0.pdf")</f>
        <v/>
      </c>
      <c r="E696" t="n">
        <v>118760</v>
      </c>
      <c r="F696" t="n">
        <v>495027</v>
      </c>
      <c r="G696" t="inlineStr">
        <is>
          <t>Consult</t>
        </is>
      </c>
      <c r="H696" t="inlineStr">
        <is>
          <t>social-history</t>
        </is>
      </c>
      <c r="I696" t="inlineStr">
        <is>
          <t>Lives at [**Location (un) 11017**] [**Hospital3 **] Residency.</t>
        </is>
      </c>
    </row>
    <row r="697">
      <c r="A697" t="inlineStr">
        <is>
          <t>495027-social-history-0-1</t>
        </is>
      </c>
      <c r="B697" t="inlineStr"/>
      <c r="C697" t="inlineStr"/>
      <c r="D697">
        <f>HYPERLINK("http://nlpdeep.cs.uic.edu:8080/proofing/t5/495027-social-history-0-1.pdf","t5/495027-social-history-0-1.pdf")</f>
        <v/>
      </c>
      <c r="E697" t="n">
        <v>118760</v>
      </c>
      <c r="F697" t="n">
        <v>495027</v>
      </c>
      <c r="G697" t="inlineStr">
        <is>
          <t>Consult</t>
        </is>
      </c>
      <c r="H697" t="inlineStr">
        <is>
          <t>social-history</t>
        </is>
      </c>
      <c r="I697" t="inlineStr">
        <is>
          <t xml:space="preserve">
   He was a manager for Metropolitan Life.</t>
        </is>
      </c>
    </row>
    <row r="698">
      <c r="A698" t="inlineStr">
        <is>
          <t>495027-social-history-0-1</t>
        </is>
      </c>
      <c r="B698" t="inlineStr"/>
      <c r="C698" t="inlineStr"/>
      <c r="D698">
        <f>HYPERLINK("http://nlpdeep.cs.uic.edu:8080/proofing/gsii/495027-social-history-0-1.pdf","gsii/495027-social-history-0-1.pdf")</f>
        <v/>
      </c>
      <c r="E698" t="n">
        <v>118760</v>
      </c>
      <c r="F698" t="n">
        <v>495027</v>
      </c>
      <c r="G698" t="inlineStr">
        <is>
          <t>Consult</t>
        </is>
      </c>
      <c r="H698" t="inlineStr">
        <is>
          <t>social-history</t>
        </is>
      </c>
      <c r="I698" t="inlineStr">
        <is>
          <t xml:space="preserve">
   He was a manager for Metropolitan Life.</t>
        </is>
      </c>
    </row>
    <row r="699">
      <c r="A699" t="inlineStr">
        <is>
          <t>495027-social-history-0-2</t>
        </is>
      </c>
      <c r="B699" t="inlineStr"/>
      <c r="C699" t="inlineStr"/>
      <c r="D699">
        <f>HYPERLINK("http://nlpdeep.cs.uic.edu:8080/proofing/t5/495027-social-history-0-2.pdf","t5/495027-social-history-0-2.pdf")</f>
        <v/>
      </c>
      <c r="E699" t="n">
        <v>118760</v>
      </c>
      <c r="F699" t="n">
        <v>495027</v>
      </c>
      <c r="G699" t="inlineStr">
        <is>
          <t>Consult</t>
        </is>
      </c>
      <c r="H699" t="inlineStr">
        <is>
          <t>social-history</t>
        </is>
      </c>
      <c r="I699" t="inlineStr">
        <is>
          <t xml:space="preserve"> Past tobacco, none since [**2120**];
   no alcohol or IVDU.  He is primarily wheelchair bound.</t>
        </is>
      </c>
    </row>
    <row r="700">
      <c r="A700" t="inlineStr">
        <is>
          <t>495027-social-history-0-2</t>
        </is>
      </c>
      <c r="B700" t="inlineStr"/>
      <c r="C700" t="inlineStr"/>
      <c r="D700">
        <f>HYPERLINK("http://nlpdeep.cs.uic.edu:8080/proofing/gsii/495027-social-history-0-2.pdf","gsii/495027-social-history-0-2.pdf")</f>
        <v/>
      </c>
      <c r="E700" t="n">
        <v>118760</v>
      </c>
      <c r="F700" t="n">
        <v>495027</v>
      </c>
      <c r="G700" t="inlineStr">
        <is>
          <t>Consult</t>
        </is>
      </c>
      <c r="H700" t="inlineStr">
        <is>
          <t>social-history</t>
        </is>
      </c>
      <c r="I700" t="inlineStr">
        <is>
          <t xml:space="preserve"> Past tobacco, none since [**2120**];
   no alcohol or IVDU.  He is primarily wheelchair bound.</t>
        </is>
      </c>
    </row>
    <row r="701">
      <c r="A701" t="inlineStr">
        <is>
          <t>495027-family-history-0-0</t>
        </is>
      </c>
      <c r="B701" t="inlineStr"/>
      <c r="C701" t="inlineStr"/>
      <c r="D701">
        <f>HYPERLINK("http://nlpdeep.cs.uic.edu:8080/proofing/t5/495027-family-history-0-0.pdf","t5/495027-family-history-0-0.pdf")</f>
        <v/>
      </c>
      <c r="E701" t="n">
        <v>118760</v>
      </c>
      <c r="F701" t="n">
        <v>495027</v>
      </c>
      <c r="G701" t="inlineStr">
        <is>
          <t>Consult</t>
        </is>
      </c>
      <c r="H701" t="inlineStr">
        <is>
          <t>family-history</t>
        </is>
      </c>
      <c r="I701" t="inlineStr">
        <is>
          <t>There is no family history of premature coronary
   artery disease or sudden death.</t>
        </is>
      </c>
    </row>
    <row r="702">
      <c r="A702" t="inlineStr">
        <is>
          <t>495027-family-history-0-0</t>
        </is>
      </c>
      <c r="B702" t="inlineStr"/>
      <c r="C702" t="inlineStr"/>
      <c r="D702">
        <f>HYPERLINK("http://nlpdeep.cs.uic.edu:8080/proofing/gsii/495027-family-history-0-0.pdf","gsii/495027-family-history-0-0.pdf")</f>
        <v/>
      </c>
      <c r="E702" t="n">
        <v>118760</v>
      </c>
      <c r="F702" t="n">
        <v>495027</v>
      </c>
      <c r="G702" t="inlineStr">
        <is>
          <t>Consult</t>
        </is>
      </c>
      <c r="H702" t="inlineStr">
        <is>
          <t>family-history</t>
        </is>
      </c>
      <c r="I702" t="inlineStr">
        <is>
          <t>There is no family history of premature coronary
   artery disease or sudden death.</t>
        </is>
      </c>
    </row>
    <row r="703">
      <c r="A703" t="inlineStr">
        <is>
          <t>495027-review-of-systems-0-0</t>
        </is>
      </c>
      <c r="B703" t="inlineStr"/>
      <c r="C703" t="inlineStr"/>
      <c r="D703">
        <f>HYPERLINK("http://nlpdeep.cs.uic.edu:8080/proofing/t5/495027-review-of-systems-0-0.pdf","t5/495027-review-of-systems-0-0.pdf")</f>
        <v/>
      </c>
      <c r="E703" t="n">
        <v>118760</v>
      </c>
      <c r="F703" t="n">
        <v>495027</v>
      </c>
      <c r="G703" t="inlineStr">
        <is>
          <t>Consult</t>
        </is>
      </c>
      <c r="H703" t="inlineStr">
        <is>
          <t>review-of-systems</t>
        </is>
      </c>
      <c r="I703" t="inlineStr">
        <is>
          <t xml:space="preserve">
   On review of systems, he denies any prior history of stroke, TIA, deep
   venous thrombosis, pulmonary embolism, bleeding at the time of surgery,
   myalgias, joint pains, cough, hemoptysis, black stools or red stools.</t>
        </is>
      </c>
    </row>
    <row r="704">
      <c r="A704" t="inlineStr">
        <is>
          <t>495027-review-of-systems-0-0</t>
        </is>
      </c>
      <c r="B704" t="inlineStr"/>
      <c r="C704" t="inlineStr"/>
      <c r="D704">
        <f>HYPERLINK("http://nlpdeep.cs.uic.edu:8080/proofing/gsii/495027-review-of-systems-0-0.pdf","gsii/495027-review-of-systems-0-0.pdf")</f>
        <v/>
      </c>
      <c r="E704" t="n">
        <v>118760</v>
      </c>
      <c r="F704" t="n">
        <v>495027</v>
      </c>
      <c r="G704" t="inlineStr">
        <is>
          <t>Consult</t>
        </is>
      </c>
      <c r="H704" t="inlineStr">
        <is>
          <t>review-of-systems</t>
        </is>
      </c>
      <c r="I704" t="inlineStr">
        <is>
          <t xml:space="preserve">
   On review of systems, he denies any prior history of stroke, TIA, deep
   venous thrombosis, pulmonary embolism, bleeding at the time of surgery,
   myalgias, joint pains, cough, hemoptysis, black stools or red stools.</t>
        </is>
      </c>
    </row>
    <row r="705">
      <c r="A705" t="inlineStr">
        <is>
          <t>495027-review-of-systems-0-1</t>
        </is>
      </c>
      <c r="B705" t="inlineStr"/>
      <c r="C705" t="inlineStr"/>
      <c r="D705">
        <f>HYPERLINK("http://nlpdeep.cs.uic.edu:8080/proofing/t5/495027-review-of-systems-0-1.pdf","t5/495027-review-of-systems-0-1.pdf")</f>
        <v/>
      </c>
      <c r="E705" t="n">
        <v>118760</v>
      </c>
      <c r="F705" t="n">
        <v>495027</v>
      </c>
      <c r="G705" t="inlineStr">
        <is>
          <t>Consult</t>
        </is>
      </c>
      <c r="H705" t="inlineStr">
        <is>
          <t>review-of-systems</t>
        </is>
      </c>
      <c r="I705" t="inlineStr">
        <is>
          <t xml:space="preserve">
   He denies recent fevers, chills or rigors.</t>
        </is>
      </c>
    </row>
    <row r="706">
      <c r="A706" t="inlineStr">
        <is>
          <t>495027-review-of-systems-0-1</t>
        </is>
      </c>
      <c r="B706" t="inlineStr"/>
      <c r="C706" t="inlineStr"/>
      <c r="D706">
        <f>HYPERLINK("http://nlpdeep.cs.uic.edu:8080/proofing/gsii/495027-review-of-systems-0-1.pdf","gsii/495027-review-of-systems-0-1.pdf")</f>
        <v/>
      </c>
      <c r="E706" t="n">
        <v>118760</v>
      </c>
      <c r="F706" t="n">
        <v>495027</v>
      </c>
      <c r="G706" t="inlineStr">
        <is>
          <t>Consult</t>
        </is>
      </c>
      <c r="H706" t="inlineStr">
        <is>
          <t>review-of-systems</t>
        </is>
      </c>
      <c r="I706" t="inlineStr">
        <is>
          <t xml:space="preserve">
   He denies recent fevers, chills or rigors.</t>
        </is>
      </c>
    </row>
    <row r="707">
      <c r="A707" t="inlineStr">
        <is>
          <t>495027-review-of-systems-0-2</t>
        </is>
      </c>
      <c r="B707" t="inlineStr"/>
      <c r="C707" t="inlineStr"/>
      <c r="D707">
        <f>HYPERLINK("http://nlpdeep.cs.uic.edu:8080/proofing/t5/495027-review-of-systems-0-2.pdf","t5/495027-review-of-systems-0-2.pdf")</f>
        <v/>
      </c>
      <c r="E707" t="n">
        <v>118760</v>
      </c>
      <c r="F707" t="n">
        <v>495027</v>
      </c>
      <c r="G707" t="inlineStr">
        <is>
          <t>Consult</t>
        </is>
      </c>
      <c r="H707" t="inlineStr">
        <is>
          <t>review-of-systems</t>
        </is>
      </c>
      <c r="I707" t="inlineStr">
        <is>
          <t>He denies exertional buttock
   or calf pain.</t>
        </is>
      </c>
    </row>
    <row r="708">
      <c r="A708" t="inlineStr">
        <is>
          <t>495027-review-of-systems-0-2</t>
        </is>
      </c>
      <c r="B708" t="inlineStr"/>
      <c r="C708" t="inlineStr"/>
      <c r="D708">
        <f>HYPERLINK("http://nlpdeep.cs.uic.edu:8080/proofing/gsii/495027-review-of-systems-0-2.pdf","gsii/495027-review-of-systems-0-2.pdf")</f>
        <v/>
      </c>
      <c r="E708" t="n">
        <v>118760</v>
      </c>
      <c r="F708" t="n">
        <v>495027</v>
      </c>
      <c r="G708" t="inlineStr">
        <is>
          <t>Consult</t>
        </is>
      </c>
      <c r="H708" t="inlineStr">
        <is>
          <t>review-of-systems</t>
        </is>
      </c>
      <c r="I708" t="inlineStr">
        <is>
          <t>He denies exertional buttock
   or calf pain.</t>
        </is>
      </c>
    </row>
    <row r="709">
      <c r="A709" t="inlineStr">
        <is>
          <t>495027-review-of-systems-0-3</t>
        </is>
      </c>
      <c r="B709" t="inlineStr"/>
      <c r="C709" t="inlineStr"/>
      <c r="D709">
        <f>HYPERLINK("http://nlpdeep.cs.uic.edu:8080/proofing/t5/495027-review-of-systems-0-3.pdf","t5/495027-review-of-systems-0-3.pdf")</f>
        <v/>
      </c>
      <c r="E709" t="n">
        <v>118760</v>
      </c>
      <c r="F709" t="n">
        <v>495027</v>
      </c>
      <c r="G709" t="inlineStr">
        <is>
          <t>Consult</t>
        </is>
      </c>
      <c r="H709" t="inlineStr">
        <is>
          <t>review-of-systems</t>
        </is>
      </c>
      <c r="I709" t="inlineStr">
        <is>
          <t xml:space="preserve"> All of the other review of systems were negative.</t>
        </is>
      </c>
    </row>
    <row r="710">
      <c r="A710" t="inlineStr">
        <is>
          <t>495027-review-of-systems-0-3</t>
        </is>
      </c>
      <c r="B710" t="inlineStr"/>
      <c r="C710" t="inlineStr"/>
      <c r="D710">
        <f>HYPERLINK("http://nlpdeep.cs.uic.edu:8080/proofing/gsii/495027-review-of-systems-0-3.pdf","gsii/495027-review-of-systems-0-3.pdf")</f>
        <v/>
      </c>
      <c r="E710" t="n">
        <v>118760</v>
      </c>
      <c r="F710" t="n">
        <v>495027</v>
      </c>
      <c r="G710" t="inlineStr">
        <is>
          <t>Consult</t>
        </is>
      </c>
      <c r="H710" t="inlineStr">
        <is>
          <t>review-of-systems</t>
        </is>
      </c>
      <c r="I710" t="inlineStr">
        <is>
          <t xml:space="preserve"> All of the other review of systems were negative.</t>
        </is>
      </c>
    </row>
    <row r="711">
      <c r="A711" t="inlineStr">
        <is>
          <t>495027-review-of-systems-0-4</t>
        </is>
      </c>
      <c r="B711" t="inlineStr"/>
      <c r="C711" t="inlineStr"/>
      <c r="D711">
        <f>HYPERLINK("http://nlpdeep.cs.uic.edu:8080/proofing/t5/495027-review-of-systems-0-4.pdf","t5/495027-review-of-systems-0-4.pdf")</f>
        <v/>
      </c>
      <c r="E711" t="n">
        <v>118760</v>
      </c>
      <c r="F711" t="n">
        <v>495027</v>
      </c>
      <c r="G711" t="inlineStr">
        <is>
          <t>Consult</t>
        </is>
      </c>
      <c r="H711" t="inlineStr">
        <is>
          <t>review-of-systems</t>
        </is>
      </c>
      <c r="I711" t="inlineStr">
        <is>
          <t xml:space="preserve">
   Cardiac review of systems is notable for absence of chest pain, dyspnea
   on exertion, paroxysmal nocturnal dyspnea, orthopnea, ankle edema,
   palpitations, syncope or presyncope.</t>
        </is>
      </c>
    </row>
    <row r="712">
      <c r="A712" t="inlineStr">
        <is>
          <t>495027-review-of-systems-0-4</t>
        </is>
      </c>
      <c r="B712" t="inlineStr"/>
      <c r="C712" t="inlineStr"/>
      <c r="D712">
        <f>HYPERLINK("http://nlpdeep.cs.uic.edu:8080/proofing/gsii/495027-review-of-systems-0-4.pdf","gsii/495027-review-of-systems-0-4.pdf")</f>
        <v/>
      </c>
      <c r="E712" t="n">
        <v>118760</v>
      </c>
      <c r="F712" t="n">
        <v>495027</v>
      </c>
      <c r="G712" t="inlineStr">
        <is>
          <t>Consult</t>
        </is>
      </c>
      <c r="H712" t="inlineStr">
        <is>
          <t>review-of-systems</t>
        </is>
      </c>
      <c r="I712" t="inlineStr">
        <is>
          <t xml:space="preserve">
   Cardiac review of systems is notable for absence of chest pain, dyspnea
   on exertion, paroxysmal nocturnal dyspnea, orthopnea, ankle edema,
   palpitations, syncope or presyncope.</t>
        </is>
      </c>
    </row>
    <row r="713">
      <c r="A713" t="inlineStr">
        <is>
          <t>495027-physical-examination-0-0</t>
        </is>
      </c>
      <c r="B713" t="inlineStr"/>
      <c r="C713" t="inlineStr"/>
      <c r="D713">
        <f>HYPERLINK("http://nlpdeep.cs.uic.edu:8080/proofing/t5/495027-physical-examination-0-0.pdf","t5/495027-physical-examination-0-0.pdf")</f>
        <v/>
      </c>
      <c r="E713" t="n">
        <v>118760</v>
      </c>
      <c r="F713" t="n">
        <v>495027</v>
      </c>
      <c r="G713" t="inlineStr">
        <is>
          <t>Consult</t>
        </is>
      </c>
      <c r="H713" t="inlineStr">
        <is>
          <t>physical-examination</t>
        </is>
      </c>
      <c r="I713" t="inlineStr">
        <is>
          <t>Vitals: T: 97.6 degrees Fahrenheit, BP: 141/53 mmHg supine, HR 71 bpm,
   RR 14 bpm, O2: 100 % on 2L NC.</t>
        </is>
      </c>
    </row>
    <row r="714">
      <c r="A714" t="inlineStr">
        <is>
          <t>495027-physical-examination-0-0</t>
        </is>
      </c>
      <c r="B714" t="inlineStr"/>
      <c r="C714" t="inlineStr"/>
      <c r="D714">
        <f>HYPERLINK("http://nlpdeep.cs.uic.edu:8080/proofing/gsii/495027-physical-examination-0-0.pdf","gsii/495027-physical-examination-0-0.pdf")</f>
        <v/>
      </c>
      <c r="E714" t="n">
        <v>118760</v>
      </c>
      <c r="F714" t="n">
        <v>495027</v>
      </c>
      <c r="G714" t="inlineStr">
        <is>
          <t>Consult</t>
        </is>
      </c>
      <c r="H714" t="inlineStr">
        <is>
          <t>physical-examination</t>
        </is>
      </c>
      <c r="I714" t="inlineStr">
        <is>
          <t>Vitals: T: 97.6 degrees Fahrenheit, BP: 141/53 mmHg supine, HR 71 bpm,
   RR 14 bpm, O2: 100 % on 2L NC.</t>
        </is>
      </c>
    </row>
    <row r="715">
      <c r="A715" t="inlineStr">
        <is>
          <t>495027-physical-examination-0-1</t>
        </is>
      </c>
      <c r="B715" t="inlineStr"/>
      <c r="C715" t="inlineStr"/>
      <c r="D715">
        <f>HYPERLINK("http://nlpdeep.cs.uic.edu:8080/proofing/t5/495027-physical-examination-0-1.pdf","t5/495027-physical-examination-0-1.pdf")</f>
        <v/>
      </c>
      <c r="E715" t="n">
        <v>118760</v>
      </c>
      <c r="F715" t="n">
        <v>495027</v>
      </c>
      <c r="G715" t="inlineStr">
        <is>
          <t>Consult</t>
        </is>
      </c>
      <c r="H715" t="inlineStr">
        <is>
          <t>physical-examination</t>
        </is>
      </c>
      <c r="I715" t="inlineStr">
        <is>
          <t xml:space="preserve">
   Gen: No apparent distress, lying in bed.</t>
        </is>
      </c>
    </row>
    <row r="716">
      <c r="A716" t="inlineStr">
        <is>
          <t>495027-physical-examination-0-1</t>
        </is>
      </c>
      <c r="B716" t="inlineStr"/>
      <c r="C716" t="inlineStr"/>
      <c r="D716">
        <f>HYPERLINK("http://nlpdeep.cs.uic.edu:8080/proofing/gsii/495027-physical-examination-0-1.pdf","gsii/495027-physical-examination-0-1.pdf")</f>
        <v/>
      </c>
      <c r="E716" t="n">
        <v>118760</v>
      </c>
      <c r="F716" t="n">
        <v>495027</v>
      </c>
      <c r="G716" t="inlineStr">
        <is>
          <t>Consult</t>
        </is>
      </c>
      <c r="H716" t="inlineStr">
        <is>
          <t>physical-examination</t>
        </is>
      </c>
      <c r="I716" t="inlineStr">
        <is>
          <t xml:space="preserve">
   Gen: No apparent distress, lying in bed.</t>
        </is>
      </c>
    </row>
    <row r="717">
      <c r="A717" t="inlineStr">
        <is>
          <t>495027-physical-examination-0-2</t>
        </is>
      </c>
      <c r="B717" t="inlineStr"/>
      <c r="C717" t="inlineStr"/>
      <c r="D717">
        <f>HYPERLINK("http://nlpdeep.cs.uic.edu:8080/proofing/t5/495027-physical-examination-0-2.pdf","t5/495027-physical-examination-0-2.pdf")</f>
        <v/>
      </c>
      <c r="E717" t="n">
        <v>118760</v>
      </c>
      <c r="F717" t="n">
        <v>495027</v>
      </c>
      <c r="G717" t="inlineStr">
        <is>
          <t>Consult</t>
        </is>
      </c>
      <c r="H717" t="inlineStr">
        <is>
          <t>physical-examination</t>
        </is>
      </c>
      <c r="I717" t="inlineStr">
        <is>
          <t xml:space="preserve">
   HEENT: No conjunctival pallor.</t>
        </is>
      </c>
    </row>
    <row r="718">
      <c r="A718" t="inlineStr">
        <is>
          <t>495027-physical-examination-0-2</t>
        </is>
      </c>
      <c r="B718" t="inlineStr"/>
      <c r="C718" t="inlineStr"/>
      <c r="D718">
        <f>HYPERLINK("http://nlpdeep.cs.uic.edu:8080/proofing/gsii/495027-physical-examination-0-2.pdf","gsii/495027-physical-examination-0-2.pdf")</f>
        <v/>
      </c>
      <c r="E718" t="n">
        <v>118760</v>
      </c>
      <c r="F718" t="n">
        <v>495027</v>
      </c>
      <c r="G718" t="inlineStr">
        <is>
          <t>Consult</t>
        </is>
      </c>
      <c r="H718" t="inlineStr">
        <is>
          <t>physical-examination</t>
        </is>
      </c>
      <c r="I718" t="inlineStr">
        <is>
          <t xml:space="preserve">
   HEENT: No conjunctival pallor.</t>
        </is>
      </c>
    </row>
    <row r="719">
      <c r="A719" t="inlineStr">
        <is>
          <t>495027-physical-examination-0-3</t>
        </is>
      </c>
      <c r="B719" t="inlineStr"/>
      <c r="C719" t="inlineStr"/>
      <c r="D719">
        <f>HYPERLINK("http://nlpdeep.cs.uic.edu:8080/proofing/t5/495027-physical-examination-0-3.pdf","t5/495027-physical-examination-0-3.pdf")</f>
        <v/>
      </c>
      <c r="E719" t="n">
        <v>118760</v>
      </c>
      <c r="F719" t="n">
        <v>495027</v>
      </c>
      <c r="G719" t="inlineStr">
        <is>
          <t>Consult</t>
        </is>
      </c>
      <c r="H719" t="inlineStr">
        <is>
          <t>physical-examination</t>
        </is>
      </c>
      <c r="I719" t="inlineStr">
        <is>
          <t>No icterus.</t>
        </is>
      </c>
    </row>
    <row r="720">
      <c r="A720" t="inlineStr">
        <is>
          <t>495027-physical-examination-0-3</t>
        </is>
      </c>
      <c r="B720" t="inlineStr"/>
      <c r="C720" t="inlineStr"/>
      <c r="D720">
        <f>HYPERLINK("http://nlpdeep.cs.uic.edu:8080/proofing/gsii/495027-physical-examination-0-3.pdf","gsii/495027-physical-examination-0-3.pdf")</f>
        <v/>
      </c>
      <c r="E720" t="n">
        <v>118760</v>
      </c>
      <c r="F720" t="n">
        <v>495027</v>
      </c>
      <c r="G720" t="inlineStr">
        <is>
          <t>Consult</t>
        </is>
      </c>
      <c r="H720" t="inlineStr">
        <is>
          <t>physical-examination</t>
        </is>
      </c>
      <c r="I720" t="inlineStr">
        <is>
          <t>No icterus.</t>
        </is>
      </c>
    </row>
    <row r="721">
      <c r="A721" t="inlineStr">
        <is>
          <t>495027-physical-examination-0-4</t>
        </is>
      </c>
      <c r="B721" t="inlineStr"/>
      <c r="C721" t="inlineStr"/>
      <c r="D721">
        <f>HYPERLINK("http://nlpdeep.cs.uic.edu:8080/proofing/t5/495027-physical-examination-0-4.pdf","t5/495027-physical-examination-0-4.pdf")</f>
        <v/>
      </c>
      <c r="E721" t="n">
        <v>118760</v>
      </c>
      <c r="F721" t="n">
        <v>495027</v>
      </c>
      <c r="G721" t="inlineStr">
        <is>
          <t>Consult</t>
        </is>
      </c>
      <c r="H721" t="inlineStr">
        <is>
          <t>physical-examination</t>
        </is>
      </c>
      <c r="I721" t="inlineStr">
        <is>
          <t>MMM.</t>
        </is>
      </c>
    </row>
    <row r="722">
      <c r="A722" t="inlineStr">
        <is>
          <t>495027-physical-examination-0-4</t>
        </is>
      </c>
      <c r="B722" t="inlineStr"/>
      <c r="C722" t="inlineStr"/>
      <c r="D722">
        <f>HYPERLINK("http://nlpdeep.cs.uic.edu:8080/proofing/gsii/495027-physical-examination-0-4.pdf","gsii/495027-physical-examination-0-4.pdf")</f>
        <v/>
      </c>
      <c r="E722" t="n">
        <v>118760</v>
      </c>
      <c r="F722" t="n">
        <v>495027</v>
      </c>
      <c r="G722" t="inlineStr">
        <is>
          <t>Consult</t>
        </is>
      </c>
      <c r="H722" t="inlineStr">
        <is>
          <t>physical-examination</t>
        </is>
      </c>
      <c r="I722" t="inlineStr">
        <is>
          <t>MMM.</t>
        </is>
      </c>
    </row>
    <row r="723">
      <c r="A723" t="inlineStr">
        <is>
          <t>495027-physical-examination-0-5</t>
        </is>
      </c>
      <c r="B723" t="inlineStr"/>
      <c r="C723" t="inlineStr"/>
      <c r="D723">
        <f>HYPERLINK("http://nlpdeep.cs.uic.edu:8080/proofing/t5/495027-physical-examination-0-5.pdf","t5/495027-physical-examination-0-5.pdf")</f>
        <v/>
      </c>
      <c r="E723" t="n">
        <v>118760</v>
      </c>
      <c r="F723" t="n">
        <v>495027</v>
      </c>
      <c r="G723" t="inlineStr">
        <is>
          <t>Consult</t>
        </is>
      </c>
      <c r="H723" t="inlineStr">
        <is>
          <t>physical-examination</t>
        </is>
      </c>
      <c r="I723" t="inlineStr">
        <is>
          <t>OP clear.</t>
        </is>
      </c>
    </row>
    <row r="724">
      <c r="A724" t="inlineStr">
        <is>
          <t>495027-physical-examination-0-5</t>
        </is>
      </c>
      <c r="B724" t="inlineStr"/>
      <c r="C724" t="inlineStr"/>
      <c r="D724">
        <f>HYPERLINK("http://nlpdeep.cs.uic.edu:8080/proofing/gsii/495027-physical-examination-0-5.pdf","gsii/495027-physical-examination-0-5.pdf")</f>
        <v/>
      </c>
      <c r="E724" t="n">
        <v>118760</v>
      </c>
      <c r="F724" t="n">
        <v>495027</v>
      </c>
      <c r="G724" t="inlineStr">
        <is>
          <t>Consult</t>
        </is>
      </c>
      <c r="H724" t="inlineStr">
        <is>
          <t>physical-examination</t>
        </is>
      </c>
      <c r="I724" t="inlineStr">
        <is>
          <t>OP clear.</t>
        </is>
      </c>
    </row>
    <row r="725">
      <c r="A725" t="inlineStr">
        <is>
          <t>495027-physical-examination-0-6</t>
        </is>
      </c>
      <c r="B725" t="inlineStr"/>
      <c r="C725" t="inlineStr"/>
      <c r="D725">
        <f>HYPERLINK("http://nlpdeep.cs.uic.edu:8080/proofing/t5/495027-physical-examination-0-6.pdf","t5/495027-physical-examination-0-6.pdf")</f>
        <v/>
      </c>
      <c r="E725" t="n">
        <v>118760</v>
      </c>
      <c r="F725" t="n">
        <v>495027</v>
      </c>
      <c r="G725" t="inlineStr">
        <is>
          <t>Consult</t>
        </is>
      </c>
      <c r="H725" t="inlineStr">
        <is>
          <t>physical-examination</t>
        </is>
      </c>
      <c r="I725" t="inlineStr">
        <is>
          <t xml:space="preserve">
   NECK: Supple, No LAD.</t>
        </is>
      </c>
    </row>
    <row r="726">
      <c r="A726" t="inlineStr">
        <is>
          <t>495027-physical-examination-0-6</t>
        </is>
      </c>
      <c r="B726" t="inlineStr"/>
      <c r="C726" t="inlineStr"/>
      <c r="D726">
        <f>HYPERLINK("http://nlpdeep.cs.uic.edu:8080/proofing/gsii/495027-physical-examination-0-6.pdf","gsii/495027-physical-examination-0-6.pdf")</f>
        <v/>
      </c>
      <c r="E726" t="n">
        <v>118760</v>
      </c>
      <c r="F726" t="n">
        <v>495027</v>
      </c>
      <c r="G726" t="inlineStr">
        <is>
          <t>Consult</t>
        </is>
      </c>
      <c r="H726" t="inlineStr">
        <is>
          <t>physical-examination</t>
        </is>
      </c>
      <c r="I726" t="inlineStr">
        <is>
          <t xml:space="preserve">
   NECK: Supple, No LAD.</t>
        </is>
      </c>
    </row>
    <row r="727">
      <c r="A727" t="inlineStr">
        <is>
          <t>495027-physical-examination-0-7</t>
        </is>
      </c>
      <c r="B727" t="inlineStr"/>
      <c r="C727" t="inlineStr"/>
      <c r="D727">
        <f>HYPERLINK("http://nlpdeep.cs.uic.edu:8080/proofing/t5/495027-physical-examination-0-7.pdf","t5/495027-physical-examination-0-7.pdf")</f>
        <v/>
      </c>
      <c r="E727" t="n">
        <v>118760</v>
      </c>
      <c r="F727" t="n">
        <v>495027</v>
      </c>
      <c r="G727" t="inlineStr">
        <is>
          <t>Consult</t>
        </is>
      </c>
      <c r="H727" t="inlineStr">
        <is>
          <t>physical-examination</t>
        </is>
      </c>
      <c r="I727" t="inlineStr">
        <is>
          <t>JVP normal.</t>
        </is>
      </c>
    </row>
    <row r="728">
      <c r="A728" t="inlineStr">
        <is>
          <t>495027-physical-examination-0-7</t>
        </is>
      </c>
      <c r="B728" t="inlineStr"/>
      <c r="C728" t="inlineStr"/>
      <c r="D728">
        <f>HYPERLINK("http://nlpdeep.cs.uic.edu:8080/proofing/gsii/495027-physical-examination-0-7.pdf","gsii/495027-physical-examination-0-7.pdf")</f>
        <v/>
      </c>
      <c r="E728" t="n">
        <v>118760</v>
      </c>
      <c r="F728" t="n">
        <v>495027</v>
      </c>
      <c r="G728" t="inlineStr">
        <is>
          <t>Consult</t>
        </is>
      </c>
      <c r="H728" t="inlineStr">
        <is>
          <t>physical-examination</t>
        </is>
      </c>
      <c r="I728" t="inlineStr">
        <is>
          <t>JVP normal.</t>
        </is>
      </c>
    </row>
    <row r="729">
      <c r="A729" t="inlineStr">
        <is>
          <t>495027-physical-examination-0-8</t>
        </is>
      </c>
      <c r="B729" t="inlineStr"/>
      <c r="C729" t="inlineStr"/>
      <c r="D729">
        <f>HYPERLINK("http://nlpdeep.cs.uic.edu:8080/proofing/t5/495027-physical-examination-0-8.pdf","t5/495027-physical-examination-0-8.pdf")</f>
        <v/>
      </c>
      <c r="E729" t="n">
        <v>118760</v>
      </c>
      <c r="F729" t="n">
        <v>495027</v>
      </c>
      <c r="G729" t="inlineStr">
        <is>
          <t>Consult</t>
        </is>
      </c>
      <c r="H729" t="inlineStr">
        <is>
          <t>physical-examination</t>
        </is>
      </c>
      <c r="I729" t="inlineStr">
        <is>
          <t>Normal carotid upstroke without
   bruits.</t>
        </is>
      </c>
    </row>
    <row r="730">
      <c r="A730" t="inlineStr">
        <is>
          <t>495027-physical-examination-0-8</t>
        </is>
      </c>
      <c r="B730" t="inlineStr"/>
      <c r="C730" t="inlineStr"/>
      <c r="D730">
        <f>HYPERLINK("http://nlpdeep.cs.uic.edu:8080/proofing/gsii/495027-physical-examination-0-8.pdf","gsii/495027-physical-examination-0-8.pdf")</f>
        <v/>
      </c>
      <c r="E730" t="n">
        <v>118760</v>
      </c>
      <c r="F730" t="n">
        <v>495027</v>
      </c>
      <c r="G730" t="inlineStr">
        <is>
          <t>Consult</t>
        </is>
      </c>
      <c r="H730" t="inlineStr">
        <is>
          <t>physical-examination</t>
        </is>
      </c>
      <c r="I730" t="inlineStr">
        <is>
          <t>Normal carotid upstroke without
   bruits.</t>
        </is>
      </c>
    </row>
    <row r="731">
      <c r="A731" t="inlineStr">
        <is>
          <t>495027-physical-examination-0-9</t>
        </is>
      </c>
      <c r="B731" t="inlineStr"/>
      <c r="C731" t="inlineStr"/>
      <c r="D731">
        <f>HYPERLINK("http://nlpdeep.cs.uic.edu:8080/proofing/t5/495027-physical-examination-0-9.pdf","t5/495027-physical-examination-0-9.pdf")</f>
        <v/>
      </c>
      <c r="E731" t="n">
        <v>118760</v>
      </c>
      <c r="F731" t="n">
        <v>495027</v>
      </c>
      <c r="G731" t="inlineStr">
        <is>
          <t>Consult</t>
        </is>
      </c>
      <c r="H731" t="inlineStr">
        <is>
          <t>physical-examination</t>
        </is>
      </c>
      <c r="I731" t="inlineStr">
        <is>
          <t>No thyromegaly.</t>
        </is>
      </c>
    </row>
    <row r="732">
      <c r="A732" t="inlineStr">
        <is>
          <t>495027-physical-examination-0-9</t>
        </is>
      </c>
      <c r="B732" t="inlineStr"/>
      <c r="C732" t="inlineStr"/>
      <c r="D732">
        <f>HYPERLINK("http://nlpdeep.cs.uic.edu:8080/proofing/gsii/495027-physical-examination-0-9.pdf","gsii/495027-physical-examination-0-9.pdf")</f>
        <v/>
      </c>
      <c r="E732" t="n">
        <v>118760</v>
      </c>
      <c r="F732" t="n">
        <v>495027</v>
      </c>
      <c r="G732" t="inlineStr">
        <is>
          <t>Consult</t>
        </is>
      </c>
      <c r="H732" t="inlineStr">
        <is>
          <t>physical-examination</t>
        </is>
      </c>
      <c r="I732" t="inlineStr">
        <is>
          <t>No thyromegaly.</t>
        </is>
      </c>
    </row>
    <row r="733">
      <c r="A733" t="inlineStr">
        <is>
          <t>495027-physical-examination-0-10</t>
        </is>
      </c>
      <c r="B733" t="inlineStr"/>
      <c r="C733" t="inlineStr"/>
      <c r="D733">
        <f>HYPERLINK("http://nlpdeep.cs.uic.edu:8080/proofing/t5/495027-physical-examination-0-10.pdf","t5/495027-physical-examination-0-10.pdf")</f>
        <v/>
      </c>
      <c r="E733" t="n">
        <v>118760</v>
      </c>
      <c r="F733" t="n">
        <v>495027</v>
      </c>
      <c r="G733" t="inlineStr">
        <is>
          <t>Consult</t>
        </is>
      </c>
      <c r="H733" t="inlineStr">
        <is>
          <t>physical-examination</t>
        </is>
      </c>
      <c r="I733" t="inlineStr">
        <is>
          <t xml:space="preserve">
   CV: PMI in 5th intercostal space, mid clavicular line.</t>
        </is>
      </c>
    </row>
    <row r="734">
      <c r="A734" t="inlineStr">
        <is>
          <t>495027-physical-examination-0-10</t>
        </is>
      </c>
      <c r="B734" t="inlineStr"/>
      <c r="C734" t="inlineStr"/>
      <c r="D734">
        <f>HYPERLINK("http://nlpdeep.cs.uic.edu:8080/proofing/gsii/495027-physical-examination-0-10.pdf","gsii/495027-physical-examination-0-10.pdf")</f>
        <v/>
      </c>
      <c r="E734" t="n">
        <v>118760</v>
      </c>
      <c r="F734" t="n">
        <v>495027</v>
      </c>
      <c r="G734" t="inlineStr">
        <is>
          <t>Consult</t>
        </is>
      </c>
      <c r="H734" t="inlineStr">
        <is>
          <t>physical-examination</t>
        </is>
      </c>
      <c r="I734" t="inlineStr">
        <is>
          <t xml:space="preserve">
   CV: PMI in 5th intercostal space, mid clavicular line.</t>
        </is>
      </c>
    </row>
    <row r="735">
      <c r="A735" t="inlineStr">
        <is>
          <t>495027-physical-examination-0-11</t>
        </is>
      </c>
      <c r="B735" t="inlineStr"/>
      <c r="C735" t="inlineStr"/>
      <c r="D735">
        <f>HYPERLINK("http://nlpdeep.cs.uic.edu:8080/proofing/t5/495027-physical-examination-0-11.pdf","t5/495027-physical-examination-0-11.pdf")</f>
        <v/>
      </c>
      <c r="E735" t="n">
        <v>118760</v>
      </c>
      <c r="F735" t="n">
        <v>495027</v>
      </c>
      <c r="G735" t="inlineStr">
        <is>
          <t>Consult</t>
        </is>
      </c>
      <c r="H735" t="inlineStr">
        <is>
          <t>physical-examination</t>
        </is>
      </c>
      <c r="I735" t="inlineStr">
        <is>
          <t>RRR.</t>
        </is>
      </c>
    </row>
    <row r="736">
      <c r="A736" t="inlineStr">
        <is>
          <t>495027-physical-examination-0-11</t>
        </is>
      </c>
      <c r="B736" t="inlineStr"/>
      <c r="C736" t="inlineStr"/>
      <c r="D736">
        <f>HYPERLINK("http://nlpdeep.cs.uic.edu:8080/proofing/gsii/495027-physical-examination-0-11.pdf","gsii/495027-physical-examination-0-11.pdf")</f>
        <v/>
      </c>
      <c r="E736" t="n">
        <v>118760</v>
      </c>
      <c r="F736" t="n">
        <v>495027</v>
      </c>
      <c r="G736" t="inlineStr">
        <is>
          <t>Consult</t>
        </is>
      </c>
      <c r="H736" t="inlineStr">
        <is>
          <t>physical-examination</t>
        </is>
      </c>
      <c r="I736" t="inlineStr">
        <is>
          <t>RRR.</t>
        </is>
      </c>
    </row>
    <row r="737">
      <c r="A737" t="inlineStr">
        <is>
          <t>495027-physical-examination-0-12</t>
        </is>
      </c>
      <c r="B737" t="inlineStr"/>
      <c r="C737" t="inlineStr"/>
      <c r="D737">
        <f>HYPERLINK("http://nlpdeep.cs.uic.edu:8080/proofing/t5/495027-physical-examination-0-12.pdf","t5/495027-physical-examination-0-12.pdf")</f>
        <v/>
      </c>
      <c r="E737" t="n">
        <v>118760</v>
      </c>
      <c r="F737" t="n">
        <v>495027</v>
      </c>
      <c r="G737" t="inlineStr">
        <is>
          <t>Consult</t>
        </is>
      </c>
      <c r="H737" t="inlineStr">
        <is>
          <t>physical-examination</t>
        </is>
      </c>
      <c r="I737" t="inlineStr">
        <is>
          <t>nl S1, S2.</t>
        </is>
      </c>
    </row>
    <row r="738">
      <c r="A738" t="inlineStr">
        <is>
          <t>495027-physical-examination-0-12</t>
        </is>
      </c>
      <c r="B738" t="inlineStr"/>
      <c r="C738" t="inlineStr"/>
      <c r="D738">
        <f>HYPERLINK("http://nlpdeep.cs.uic.edu:8080/proofing/gsii/495027-physical-examination-0-12.pdf","gsii/495027-physical-examination-0-12.pdf")</f>
        <v/>
      </c>
      <c r="E738" t="n">
        <v>118760</v>
      </c>
      <c r="F738" t="n">
        <v>495027</v>
      </c>
      <c r="G738" t="inlineStr">
        <is>
          <t>Consult</t>
        </is>
      </c>
      <c r="H738" t="inlineStr">
        <is>
          <t>physical-examination</t>
        </is>
      </c>
      <c r="I738" t="inlineStr">
        <is>
          <t>nl S1, S2.</t>
        </is>
      </c>
    </row>
    <row r="739">
      <c r="A739" t="inlineStr">
        <is>
          <t>495027-physical-examination-0-13</t>
        </is>
      </c>
      <c r="B739" t="inlineStr"/>
      <c r="C739" t="inlineStr"/>
      <c r="D739">
        <f>HYPERLINK("http://nlpdeep.cs.uic.edu:8080/proofing/t5/495027-physical-examination-0-13.pdf","t5/495027-physical-examination-0-13.pdf")</f>
        <v/>
      </c>
      <c r="E739" t="n">
        <v>118760</v>
      </c>
      <c r="F739" t="n">
        <v>495027</v>
      </c>
      <c r="G739" t="inlineStr">
        <is>
          <t>Consult</t>
        </is>
      </c>
      <c r="H739" t="inlineStr">
        <is>
          <t>physical-examination</t>
        </is>
      </c>
      <c r="I739" t="inlineStr">
        <is>
          <t xml:space="preserve">
   Systolic murmur across the precordium without radiation.</t>
        </is>
      </c>
    </row>
    <row r="740">
      <c r="A740" t="inlineStr">
        <is>
          <t>495027-physical-examination-0-13</t>
        </is>
      </c>
      <c r="B740" t="inlineStr"/>
      <c r="C740" t="inlineStr"/>
      <c r="D740">
        <f>HYPERLINK("http://nlpdeep.cs.uic.edu:8080/proofing/gsii/495027-physical-examination-0-13.pdf","gsii/495027-physical-examination-0-13.pdf")</f>
        <v/>
      </c>
      <c r="E740" t="n">
        <v>118760</v>
      </c>
      <c r="F740" t="n">
        <v>495027</v>
      </c>
      <c r="G740" t="inlineStr">
        <is>
          <t>Consult</t>
        </is>
      </c>
      <c r="H740" t="inlineStr">
        <is>
          <t>physical-examination</t>
        </is>
      </c>
      <c r="I740" t="inlineStr">
        <is>
          <t xml:space="preserve">
   Systolic murmur across the precordium without radiation.</t>
        </is>
      </c>
    </row>
    <row r="741">
      <c r="A741" t="inlineStr">
        <is>
          <t>495027-physical-examination-0-14</t>
        </is>
      </c>
      <c r="B741" t="inlineStr"/>
      <c r="C741" t="inlineStr"/>
      <c r="D741">
        <f>HYPERLINK("http://nlpdeep.cs.uic.edu:8080/proofing/t5/495027-physical-examination-0-14.pdf","t5/495027-physical-examination-0-14.pdf")</f>
        <v/>
      </c>
      <c r="E741" t="n">
        <v>118760</v>
      </c>
      <c r="F741" t="n">
        <v>495027</v>
      </c>
      <c r="G741" t="inlineStr">
        <is>
          <t>Consult</t>
        </is>
      </c>
      <c r="H741" t="inlineStr">
        <is>
          <t>physical-examination</t>
        </is>
      </c>
      <c r="I741" t="inlineStr">
        <is>
          <t>No rubs,
   clicks, or gallops.</t>
        </is>
      </c>
    </row>
    <row r="742">
      <c r="A742" t="inlineStr">
        <is>
          <t>495027-physical-examination-0-14</t>
        </is>
      </c>
      <c r="B742" t="inlineStr"/>
      <c r="C742" t="inlineStr"/>
      <c r="D742">
        <f>HYPERLINK("http://nlpdeep.cs.uic.edu:8080/proofing/gsii/495027-physical-examination-0-14.pdf","gsii/495027-physical-examination-0-14.pdf")</f>
        <v/>
      </c>
      <c r="E742" t="n">
        <v>118760</v>
      </c>
      <c r="F742" t="n">
        <v>495027</v>
      </c>
      <c r="G742" t="inlineStr">
        <is>
          <t>Consult</t>
        </is>
      </c>
      <c r="H742" t="inlineStr">
        <is>
          <t>physical-examination</t>
        </is>
      </c>
      <c r="I742" t="inlineStr">
        <is>
          <t>No rubs,
   clicks, or gallops.</t>
        </is>
      </c>
    </row>
    <row r="743">
      <c r="A743" t="inlineStr">
        <is>
          <t>495027-physical-examination-0-15</t>
        </is>
      </c>
      <c r="B743" t="inlineStr"/>
      <c r="C743" t="inlineStr"/>
      <c r="D743">
        <f>HYPERLINK("http://nlpdeep.cs.uic.edu:8080/proofing/t5/495027-physical-examination-0-15.pdf","t5/495027-physical-examination-0-15.pdf")</f>
        <v/>
      </c>
      <c r="E743" t="n">
        <v>118760</v>
      </c>
      <c r="F743" t="n">
        <v>495027</v>
      </c>
      <c r="G743" t="inlineStr">
        <is>
          <t>Consult</t>
        </is>
      </c>
      <c r="H743" t="inlineStr">
        <is>
          <t>physical-examination</t>
        </is>
      </c>
      <c r="I743" t="inlineStr">
        <is>
          <t xml:space="preserve">
   LUNGS: CTAB.</t>
        </is>
      </c>
    </row>
    <row r="744">
      <c r="A744" t="inlineStr">
        <is>
          <t>495027-physical-examination-0-15</t>
        </is>
      </c>
      <c r="B744" t="inlineStr"/>
      <c r="C744" t="inlineStr"/>
      <c r="D744">
        <f>HYPERLINK("http://nlpdeep.cs.uic.edu:8080/proofing/gsii/495027-physical-examination-0-15.pdf","gsii/495027-physical-examination-0-15.pdf")</f>
        <v/>
      </c>
      <c r="E744" t="n">
        <v>118760</v>
      </c>
      <c r="F744" t="n">
        <v>495027</v>
      </c>
      <c r="G744" t="inlineStr">
        <is>
          <t>Consult</t>
        </is>
      </c>
      <c r="H744" t="inlineStr">
        <is>
          <t>physical-examination</t>
        </is>
      </c>
      <c r="I744" t="inlineStr">
        <is>
          <t xml:space="preserve">
   LUNGS: CTAB.</t>
        </is>
      </c>
    </row>
    <row r="745">
      <c r="A745" t="inlineStr">
        <is>
          <t>495027-physical-examination-0-16</t>
        </is>
      </c>
      <c r="B745" t="inlineStr"/>
      <c r="C745" t="inlineStr"/>
      <c r="D745">
        <f>HYPERLINK("http://nlpdeep.cs.uic.edu:8080/proofing/t5/495027-physical-examination-0-16.pdf","t5/495027-physical-examination-0-16.pdf")</f>
        <v/>
      </c>
      <c r="E745" t="n">
        <v>118760</v>
      </c>
      <c r="F745" t="n">
        <v>495027</v>
      </c>
      <c r="G745" t="inlineStr">
        <is>
          <t>Consult</t>
        </is>
      </c>
      <c r="H745" t="inlineStr">
        <is>
          <t>physical-examination</t>
        </is>
      </c>
      <c r="I745" t="inlineStr">
        <is>
          <t>No wheezes, rales, or rhonchi.</t>
        </is>
      </c>
    </row>
    <row r="746">
      <c r="A746" t="inlineStr">
        <is>
          <t>495027-physical-examination-0-16</t>
        </is>
      </c>
      <c r="B746" t="inlineStr"/>
      <c r="C746" t="inlineStr"/>
      <c r="D746">
        <f>HYPERLINK("http://nlpdeep.cs.uic.edu:8080/proofing/gsii/495027-physical-examination-0-16.pdf","gsii/495027-physical-examination-0-16.pdf")</f>
        <v/>
      </c>
      <c r="E746" t="n">
        <v>118760</v>
      </c>
      <c r="F746" t="n">
        <v>495027</v>
      </c>
      <c r="G746" t="inlineStr">
        <is>
          <t>Consult</t>
        </is>
      </c>
      <c r="H746" t="inlineStr">
        <is>
          <t>physical-examination</t>
        </is>
      </c>
      <c r="I746" t="inlineStr">
        <is>
          <t>No wheezes, rales, or rhonchi.</t>
        </is>
      </c>
    </row>
    <row r="747">
      <c r="A747" t="inlineStr">
        <is>
          <t>495027-physical-examination-0-17</t>
        </is>
      </c>
      <c r="B747" t="inlineStr"/>
      <c r="C747" t="inlineStr"/>
      <c r="D747">
        <f>HYPERLINK("http://nlpdeep.cs.uic.edu:8080/proofing/t5/495027-physical-examination-0-17.pdf","t5/495027-physical-examination-0-17.pdf")</f>
        <v/>
      </c>
      <c r="E747" t="n">
        <v>118760</v>
      </c>
      <c r="F747" t="n">
        <v>495027</v>
      </c>
      <c r="G747" t="inlineStr">
        <is>
          <t>Consult</t>
        </is>
      </c>
      <c r="H747" t="inlineStr">
        <is>
          <t>physical-examination</t>
        </is>
      </c>
      <c r="I747" t="inlineStr">
        <is>
          <t xml:space="preserve">
   ABD: NABS.</t>
        </is>
      </c>
    </row>
    <row r="748">
      <c r="A748" t="inlineStr">
        <is>
          <t>495027-physical-examination-0-17</t>
        </is>
      </c>
      <c r="B748" t="inlineStr"/>
      <c r="C748" t="inlineStr"/>
      <c r="D748">
        <f>HYPERLINK("http://nlpdeep.cs.uic.edu:8080/proofing/gsii/495027-physical-examination-0-17.pdf","gsii/495027-physical-examination-0-17.pdf")</f>
        <v/>
      </c>
      <c r="E748" t="n">
        <v>118760</v>
      </c>
      <c r="F748" t="n">
        <v>495027</v>
      </c>
      <c r="G748" t="inlineStr">
        <is>
          <t>Consult</t>
        </is>
      </c>
      <c r="H748" t="inlineStr">
        <is>
          <t>physical-examination</t>
        </is>
      </c>
      <c r="I748" t="inlineStr">
        <is>
          <t xml:space="preserve">
   ABD: NABS.</t>
        </is>
      </c>
    </row>
    <row r="749">
      <c r="A749" t="inlineStr">
        <is>
          <t>495027-physical-examination-0-18</t>
        </is>
      </c>
      <c r="B749" t="inlineStr"/>
      <c r="C749" t="inlineStr"/>
      <c r="D749">
        <f>HYPERLINK("http://nlpdeep.cs.uic.edu:8080/proofing/t5/495027-physical-examination-0-18.pdf","t5/495027-physical-examination-0-18.pdf")</f>
        <v/>
      </c>
      <c r="E749" t="n">
        <v>118760</v>
      </c>
      <c r="F749" t="n">
        <v>495027</v>
      </c>
      <c r="G749" t="inlineStr">
        <is>
          <t>Consult</t>
        </is>
      </c>
      <c r="H749" t="inlineStr">
        <is>
          <t>physical-examination</t>
        </is>
      </c>
      <c r="I749" t="inlineStr">
        <is>
          <t>Soft, NT, ND.</t>
        </is>
      </c>
    </row>
    <row r="750">
      <c r="A750" t="inlineStr">
        <is>
          <t>495027-physical-examination-0-18</t>
        </is>
      </c>
      <c r="B750" t="inlineStr"/>
      <c r="C750" t="inlineStr"/>
      <c r="D750">
        <f>HYPERLINK("http://nlpdeep.cs.uic.edu:8080/proofing/gsii/495027-physical-examination-0-18.pdf","gsii/495027-physical-examination-0-18.pdf")</f>
        <v/>
      </c>
      <c r="E750" t="n">
        <v>118760</v>
      </c>
      <c r="F750" t="n">
        <v>495027</v>
      </c>
      <c r="G750" t="inlineStr">
        <is>
          <t>Consult</t>
        </is>
      </c>
      <c r="H750" t="inlineStr">
        <is>
          <t>physical-examination</t>
        </is>
      </c>
      <c r="I750" t="inlineStr">
        <is>
          <t>Soft, NT, ND.</t>
        </is>
      </c>
    </row>
    <row r="751">
      <c r="A751" t="inlineStr">
        <is>
          <t>495027-physical-examination-0-19</t>
        </is>
      </c>
      <c r="B751" t="inlineStr"/>
      <c r="C751" t="inlineStr"/>
      <c r="D751">
        <f>HYPERLINK("http://nlpdeep.cs.uic.edu:8080/proofing/t5/495027-physical-examination-0-19.pdf","t5/495027-physical-examination-0-19.pdf")</f>
        <v/>
      </c>
      <c r="E751" t="n">
        <v>118760</v>
      </c>
      <c r="F751" t="n">
        <v>495027</v>
      </c>
      <c r="G751" t="inlineStr">
        <is>
          <t>Consult</t>
        </is>
      </c>
      <c r="H751" t="inlineStr">
        <is>
          <t>physical-examination</t>
        </is>
      </c>
      <c r="I751" t="inlineStr">
        <is>
          <t xml:space="preserve"> No HSM.</t>
        </is>
      </c>
    </row>
    <row r="752">
      <c r="A752" t="inlineStr">
        <is>
          <t>495027-physical-examination-0-19</t>
        </is>
      </c>
      <c r="B752" t="inlineStr"/>
      <c r="C752" t="inlineStr"/>
      <c r="D752">
        <f>HYPERLINK("http://nlpdeep.cs.uic.edu:8080/proofing/gsii/495027-physical-examination-0-19.pdf","gsii/495027-physical-examination-0-19.pdf")</f>
        <v/>
      </c>
      <c r="E752" t="n">
        <v>118760</v>
      </c>
      <c r="F752" t="n">
        <v>495027</v>
      </c>
      <c r="G752" t="inlineStr">
        <is>
          <t>Consult</t>
        </is>
      </c>
      <c r="H752" t="inlineStr">
        <is>
          <t>physical-examination</t>
        </is>
      </c>
      <c r="I752" t="inlineStr">
        <is>
          <t xml:space="preserve"> No HSM.</t>
        </is>
      </c>
    </row>
    <row r="753">
      <c r="A753" t="inlineStr">
        <is>
          <t>495027-physical-examination-0-20</t>
        </is>
      </c>
      <c r="B753" t="inlineStr"/>
      <c r="C753" t="inlineStr"/>
      <c r="D753">
        <f>HYPERLINK("http://nlpdeep.cs.uic.edu:8080/proofing/t5/495027-physical-examination-0-20.pdf","t5/495027-physical-examination-0-20.pdf")</f>
        <v/>
      </c>
      <c r="E753" t="n">
        <v>118760</v>
      </c>
      <c r="F753" t="n">
        <v>495027</v>
      </c>
      <c r="G753" t="inlineStr">
        <is>
          <t>Consult</t>
        </is>
      </c>
      <c r="H753" t="inlineStr">
        <is>
          <t>physical-examination</t>
        </is>
      </c>
      <c r="I753" t="inlineStr">
        <is>
          <t>Abdominal aorta was not enlarged by
   palpation.</t>
        </is>
      </c>
    </row>
    <row r="754">
      <c r="A754" t="inlineStr">
        <is>
          <t>495027-physical-examination-0-20</t>
        </is>
      </c>
      <c r="B754" t="inlineStr"/>
      <c r="C754" t="inlineStr"/>
      <c r="D754">
        <f>HYPERLINK("http://nlpdeep.cs.uic.edu:8080/proofing/gsii/495027-physical-examination-0-20.pdf","gsii/495027-physical-examination-0-20.pdf")</f>
        <v/>
      </c>
      <c r="E754" t="n">
        <v>118760</v>
      </c>
      <c r="F754" t="n">
        <v>495027</v>
      </c>
      <c r="G754" t="inlineStr">
        <is>
          <t>Consult</t>
        </is>
      </c>
      <c r="H754" t="inlineStr">
        <is>
          <t>physical-examination</t>
        </is>
      </c>
      <c r="I754" t="inlineStr">
        <is>
          <t>Abdominal aorta was not enlarged by
   palpation.</t>
        </is>
      </c>
    </row>
    <row r="755">
      <c r="A755" t="inlineStr">
        <is>
          <t>495027-physical-examination-0-21</t>
        </is>
      </c>
      <c r="B755" t="inlineStr"/>
      <c r="C755" t="inlineStr"/>
      <c r="D755">
        <f>HYPERLINK("http://nlpdeep.cs.uic.edu:8080/proofing/t5/495027-physical-examination-0-21.pdf","t5/495027-physical-examination-0-21.pdf")</f>
        <v/>
      </c>
      <c r="E755" t="n">
        <v>118760</v>
      </c>
      <c r="F755" t="n">
        <v>495027</v>
      </c>
      <c r="G755" t="inlineStr">
        <is>
          <t>Consult</t>
        </is>
      </c>
      <c r="H755" t="inlineStr">
        <is>
          <t>physical-examination</t>
        </is>
      </c>
      <c r="I755" t="inlineStr">
        <is>
          <t>No abdominal bruits.</t>
        </is>
      </c>
    </row>
    <row r="756">
      <c r="A756" t="inlineStr">
        <is>
          <t>495027-physical-examination-0-21</t>
        </is>
      </c>
      <c r="B756" t="inlineStr"/>
      <c r="C756" t="inlineStr"/>
      <c r="D756">
        <f>HYPERLINK("http://nlpdeep.cs.uic.edu:8080/proofing/gsii/495027-physical-examination-0-21.pdf","gsii/495027-physical-examination-0-21.pdf")</f>
        <v/>
      </c>
      <c r="E756" t="n">
        <v>118760</v>
      </c>
      <c r="F756" t="n">
        <v>495027</v>
      </c>
      <c r="G756" t="inlineStr">
        <is>
          <t>Consult</t>
        </is>
      </c>
      <c r="H756" t="inlineStr">
        <is>
          <t>physical-examination</t>
        </is>
      </c>
      <c r="I756" t="inlineStr">
        <is>
          <t>No abdominal bruits.</t>
        </is>
      </c>
    </row>
    <row r="757">
      <c r="A757" t="inlineStr">
        <is>
          <t>495027-physical-examination-0-22</t>
        </is>
      </c>
      <c r="B757" t="inlineStr"/>
      <c r="C757" t="inlineStr"/>
      <c r="D757">
        <f>HYPERLINK("http://nlpdeep.cs.uic.edu:8080/proofing/t5/495027-physical-examination-0-22.pdf","t5/495027-physical-examination-0-22.pdf")</f>
        <v/>
      </c>
      <c r="E757" t="n">
        <v>118760</v>
      </c>
      <c r="F757" t="n">
        <v>495027</v>
      </c>
      <c r="G757" t="inlineStr">
        <is>
          <t>Consult</t>
        </is>
      </c>
      <c r="H757" t="inlineStr">
        <is>
          <t>physical-examination</t>
        </is>
      </c>
      <c r="I757" t="inlineStr">
        <is>
          <t xml:space="preserve">
   EXT: Cool extremities.</t>
        </is>
      </c>
    </row>
    <row r="758">
      <c r="A758" t="inlineStr">
        <is>
          <t>495027-physical-examination-0-22</t>
        </is>
      </c>
      <c r="B758" t="inlineStr"/>
      <c r="C758" t="inlineStr"/>
      <c r="D758">
        <f>HYPERLINK("http://nlpdeep.cs.uic.edu:8080/proofing/gsii/495027-physical-examination-0-22.pdf","gsii/495027-physical-examination-0-22.pdf")</f>
        <v/>
      </c>
      <c r="E758" t="n">
        <v>118760</v>
      </c>
      <c r="F758" t="n">
        <v>495027</v>
      </c>
      <c r="G758" t="inlineStr">
        <is>
          <t>Consult</t>
        </is>
      </c>
      <c r="H758" t="inlineStr">
        <is>
          <t>physical-examination</t>
        </is>
      </c>
      <c r="I758" t="inlineStr">
        <is>
          <t xml:space="preserve">
   EXT: Cool extremities.</t>
        </is>
      </c>
    </row>
    <row r="759">
      <c r="A759" t="inlineStr">
        <is>
          <t>495027-physical-examination-0-23</t>
        </is>
      </c>
      <c r="B759" t="inlineStr"/>
      <c r="C759" t="inlineStr"/>
      <c r="D759">
        <f>HYPERLINK("http://nlpdeep.cs.uic.edu:8080/proofing/t5/495027-physical-examination-0-23.pdf","t5/495027-physical-examination-0-23.pdf")</f>
        <v/>
      </c>
      <c r="E759" t="n">
        <v>118760</v>
      </c>
      <c r="F759" t="n">
        <v>495027</v>
      </c>
      <c r="G759" t="inlineStr">
        <is>
          <t>Consult</t>
        </is>
      </c>
      <c r="H759" t="inlineStr">
        <is>
          <t>physical-examination</t>
        </is>
      </c>
      <c r="I759" t="inlineStr">
        <is>
          <t>Normal capillary refill.</t>
        </is>
      </c>
    </row>
    <row r="760">
      <c r="A760" t="inlineStr">
        <is>
          <t>495027-physical-examination-0-23</t>
        </is>
      </c>
      <c r="B760" t="inlineStr"/>
      <c r="C760" t="inlineStr"/>
      <c r="D760">
        <f>HYPERLINK("http://nlpdeep.cs.uic.edu:8080/proofing/gsii/495027-physical-examination-0-23.pdf","gsii/495027-physical-examination-0-23.pdf")</f>
        <v/>
      </c>
      <c r="E760" t="n">
        <v>118760</v>
      </c>
      <c r="F760" t="n">
        <v>495027</v>
      </c>
      <c r="G760" t="inlineStr">
        <is>
          <t>Consult</t>
        </is>
      </c>
      <c r="H760" t="inlineStr">
        <is>
          <t>physical-examination</t>
        </is>
      </c>
      <c r="I760" t="inlineStr">
        <is>
          <t>Normal capillary refill.</t>
        </is>
      </c>
    </row>
    <row r="761">
      <c r="A761" t="inlineStr">
        <is>
          <t>495027-physical-examination-0-24</t>
        </is>
      </c>
      <c r="B761" t="inlineStr"/>
      <c r="C761" t="inlineStr"/>
      <c r="D761">
        <f>HYPERLINK("http://nlpdeep.cs.uic.edu:8080/proofing/t5/495027-physical-examination-0-24.pdf","t5/495027-physical-examination-0-24.pdf")</f>
        <v/>
      </c>
      <c r="E761" t="n">
        <v>118760</v>
      </c>
      <c r="F761" t="n">
        <v>495027</v>
      </c>
      <c r="G761" t="inlineStr">
        <is>
          <t>Consult</t>
        </is>
      </c>
      <c r="H761" t="inlineStr">
        <is>
          <t>physical-examination</t>
        </is>
      </c>
      <c r="I761" t="inlineStr">
        <is>
          <t>NO CCE.</t>
        </is>
      </c>
    </row>
    <row r="762">
      <c r="A762" t="inlineStr">
        <is>
          <t>495027-physical-examination-0-24</t>
        </is>
      </c>
      <c r="B762" t="inlineStr"/>
      <c r="C762" t="inlineStr"/>
      <c r="D762">
        <f>HYPERLINK("http://nlpdeep.cs.uic.edu:8080/proofing/gsii/495027-physical-examination-0-24.pdf","gsii/495027-physical-examination-0-24.pdf")</f>
        <v/>
      </c>
      <c r="E762" t="n">
        <v>118760</v>
      </c>
      <c r="F762" t="n">
        <v>495027</v>
      </c>
      <c r="G762" t="inlineStr">
        <is>
          <t>Consult</t>
        </is>
      </c>
      <c r="H762" t="inlineStr">
        <is>
          <t>physical-examination</t>
        </is>
      </c>
      <c r="I762" t="inlineStr">
        <is>
          <t>NO CCE.</t>
        </is>
      </c>
    </row>
    <row r="763">
      <c r="A763" t="inlineStr">
        <is>
          <t>495027-physical-examination-0-25</t>
        </is>
      </c>
      <c r="B763" t="inlineStr"/>
      <c r="C763" t="inlineStr"/>
      <c r="D763">
        <f>HYPERLINK("http://nlpdeep.cs.uic.edu:8080/proofing/t5/495027-physical-examination-0-25.pdf","t5/495027-physical-examination-0-25.pdf")</f>
        <v/>
      </c>
      <c r="E763" t="n">
        <v>118760</v>
      </c>
      <c r="F763" t="n">
        <v>495027</v>
      </c>
      <c r="G763" t="inlineStr">
        <is>
          <t>Consult</t>
        </is>
      </c>
      <c r="H763" t="inlineStr">
        <is>
          <t>physical-examination</t>
        </is>
      </c>
      <c r="I763" t="inlineStr">
        <is>
          <t>Full distal
   pulses bilaterally.</t>
        </is>
      </c>
    </row>
    <row r="764">
      <c r="A764" t="inlineStr">
        <is>
          <t>495027-physical-examination-0-25</t>
        </is>
      </c>
      <c r="B764" t="inlineStr"/>
      <c r="C764" t="inlineStr"/>
      <c r="D764">
        <f>HYPERLINK("http://nlpdeep.cs.uic.edu:8080/proofing/gsii/495027-physical-examination-0-25.pdf","gsii/495027-physical-examination-0-25.pdf")</f>
        <v/>
      </c>
      <c r="E764" t="n">
        <v>118760</v>
      </c>
      <c r="F764" t="n">
        <v>495027</v>
      </c>
      <c r="G764" t="inlineStr">
        <is>
          <t>Consult</t>
        </is>
      </c>
      <c r="H764" t="inlineStr">
        <is>
          <t>physical-examination</t>
        </is>
      </c>
      <c r="I764" t="inlineStr">
        <is>
          <t>Full distal
   pulses bilaterally.</t>
        </is>
      </c>
    </row>
    <row r="765">
      <c r="A765" t="inlineStr">
        <is>
          <t>495027-physical-examination-0-26</t>
        </is>
      </c>
      <c r="B765" t="inlineStr"/>
      <c r="C765" t="inlineStr"/>
      <c r="D765">
        <f>HYPERLINK("http://nlpdeep.cs.uic.edu:8080/proofing/t5/495027-physical-examination-0-26.pdf","t5/495027-physical-examination-0-26.pdf")</f>
        <v/>
      </c>
      <c r="E765" t="n">
        <v>118760</v>
      </c>
      <c r="F765" t="n">
        <v>495027</v>
      </c>
      <c r="G765" t="inlineStr">
        <is>
          <t>Consult</t>
        </is>
      </c>
      <c r="H765" t="inlineStr">
        <is>
          <t>physical-examination</t>
        </is>
      </c>
      <c r="I765" t="inlineStr">
        <is>
          <t>No femoral bruits.</t>
        </is>
      </c>
    </row>
    <row r="766">
      <c r="A766" t="inlineStr">
        <is>
          <t>495027-physical-examination-0-26</t>
        </is>
      </c>
      <c r="B766" t="inlineStr"/>
      <c r="C766" t="inlineStr"/>
      <c r="D766">
        <f>HYPERLINK("http://nlpdeep.cs.uic.edu:8080/proofing/gsii/495027-physical-examination-0-26.pdf","gsii/495027-physical-examination-0-26.pdf")</f>
        <v/>
      </c>
      <c r="E766" t="n">
        <v>118760</v>
      </c>
      <c r="F766" t="n">
        <v>495027</v>
      </c>
      <c r="G766" t="inlineStr">
        <is>
          <t>Consult</t>
        </is>
      </c>
      <c r="H766" t="inlineStr">
        <is>
          <t>physical-examination</t>
        </is>
      </c>
      <c r="I766" t="inlineStr">
        <is>
          <t>No femoral bruits.</t>
        </is>
      </c>
    </row>
    <row r="767">
      <c r="A767" t="inlineStr">
        <is>
          <t>495027-physical-examination-0-27</t>
        </is>
      </c>
      <c r="B767" t="inlineStr"/>
      <c r="C767" t="inlineStr"/>
      <c r="D767">
        <f>HYPERLINK("http://nlpdeep.cs.uic.edu:8080/proofing/t5/495027-physical-examination-0-27.pdf","t5/495027-physical-examination-0-27.pdf")</f>
        <v/>
      </c>
      <c r="E767" t="n">
        <v>118760</v>
      </c>
      <c r="F767" t="n">
        <v>495027</v>
      </c>
      <c r="G767" t="inlineStr">
        <is>
          <t>Consult</t>
        </is>
      </c>
      <c r="H767" t="inlineStr">
        <is>
          <t>physical-examination</t>
        </is>
      </c>
      <c r="I767" t="inlineStr">
        <is>
          <t xml:space="preserve">
   SKIN: No rashes/lesions, ecchymoses.</t>
        </is>
      </c>
    </row>
    <row r="768">
      <c r="A768" t="inlineStr">
        <is>
          <t>495027-physical-examination-0-27</t>
        </is>
      </c>
      <c r="B768" t="inlineStr"/>
      <c r="C768" t="inlineStr"/>
      <c r="D768">
        <f>HYPERLINK("http://nlpdeep.cs.uic.edu:8080/proofing/gsii/495027-physical-examination-0-27.pdf","gsii/495027-physical-examination-0-27.pdf")</f>
        <v/>
      </c>
      <c r="E768" t="n">
        <v>118760</v>
      </c>
      <c r="F768" t="n">
        <v>495027</v>
      </c>
      <c r="G768" t="inlineStr">
        <is>
          <t>Consult</t>
        </is>
      </c>
      <c r="H768" t="inlineStr">
        <is>
          <t>physical-examination</t>
        </is>
      </c>
      <c r="I768" t="inlineStr">
        <is>
          <t xml:space="preserve">
   SKIN: No rashes/lesions, ecchymoses.</t>
        </is>
      </c>
    </row>
    <row r="769">
      <c r="A769" t="inlineStr">
        <is>
          <t>495027-physical-examination-0-28</t>
        </is>
      </c>
      <c r="B769" t="inlineStr"/>
      <c r="C769" t="inlineStr"/>
      <c r="D769">
        <f>HYPERLINK("http://nlpdeep.cs.uic.edu:8080/proofing/t5/495027-physical-examination-0-28.pdf","t5/495027-physical-examination-0-28.pdf")</f>
        <v/>
      </c>
      <c r="E769" t="n">
        <v>118760</v>
      </c>
      <c r="F769" t="n">
        <v>495027</v>
      </c>
      <c r="G769" t="inlineStr">
        <is>
          <t>Consult</t>
        </is>
      </c>
      <c r="H769" t="inlineStr">
        <is>
          <t>physical-examination</t>
        </is>
      </c>
      <c r="I769" t="inlineStr">
        <is>
          <t xml:space="preserve">
   NEURO: A&amp;Ox3.</t>
        </is>
      </c>
    </row>
    <row r="770">
      <c r="A770" t="inlineStr">
        <is>
          <t>495027-physical-examination-0-28</t>
        </is>
      </c>
      <c r="B770" t="inlineStr"/>
      <c r="C770" t="inlineStr"/>
      <c r="D770">
        <f>HYPERLINK("http://nlpdeep.cs.uic.edu:8080/proofing/gsii/495027-physical-examination-0-28.pdf","gsii/495027-physical-examination-0-28.pdf")</f>
        <v/>
      </c>
      <c r="E770" t="n">
        <v>118760</v>
      </c>
      <c r="F770" t="n">
        <v>495027</v>
      </c>
      <c r="G770" t="inlineStr">
        <is>
          <t>Consult</t>
        </is>
      </c>
      <c r="H770" t="inlineStr">
        <is>
          <t>physical-examination</t>
        </is>
      </c>
      <c r="I770" t="inlineStr">
        <is>
          <t xml:space="preserve">
   NEURO: A&amp;Ox3.</t>
        </is>
      </c>
    </row>
    <row r="771">
      <c r="A771" t="inlineStr">
        <is>
          <t>495027-physical-examination-0-29</t>
        </is>
      </c>
      <c r="B771" t="inlineStr"/>
      <c r="C771" t="inlineStr"/>
      <c r="D771">
        <f>HYPERLINK("http://nlpdeep.cs.uic.edu:8080/proofing/t5/495027-physical-examination-0-29.pdf","t5/495027-physical-examination-0-29.pdf")</f>
        <v/>
      </c>
      <c r="E771" t="n">
        <v>118760</v>
      </c>
      <c r="F771" t="n">
        <v>495027</v>
      </c>
      <c r="G771" t="inlineStr">
        <is>
          <t>Consult</t>
        </is>
      </c>
      <c r="H771" t="inlineStr">
        <is>
          <t>physical-examination</t>
        </is>
      </c>
      <c r="I771" t="inlineStr">
        <is>
          <t>CN 2-12 grossly intact.</t>
        </is>
      </c>
    </row>
    <row r="772">
      <c r="A772" t="inlineStr">
        <is>
          <t>495027-physical-examination-0-29</t>
        </is>
      </c>
      <c r="B772" t="inlineStr"/>
      <c r="C772" t="inlineStr"/>
      <c r="D772">
        <f>HYPERLINK("http://nlpdeep.cs.uic.edu:8080/proofing/gsii/495027-physical-examination-0-29.pdf","gsii/495027-physical-examination-0-29.pdf")</f>
        <v/>
      </c>
      <c r="E772" t="n">
        <v>118760</v>
      </c>
      <c r="F772" t="n">
        <v>495027</v>
      </c>
      <c r="G772" t="inlineStr">
        <is>
          <t>Consult</t>
        </is>
      </c>
      <c r="H772" t="inlineStr">
        <is>
          <t>physical-examination</t>
        </is>
      </c>
      <c r="I772" t="inlineStr">
        <is>
          <t>CN 2-12 grossly intact.</t>
        </is>
      </c>
    </row>
    <row r="773">
      <c r="A773" t="inlineStr">
        <is>
          <t>495027-physical-examination-0-30</t>
        </is>
      </c>
      <c r="B773" t="inlineStr"/>
      <c r="C773" t="inlineStr"/>
      <c r="D773">
        <f>HYPERLINK("http://nlpdeep.cs.uic.edu:8080/proofing/t5/495027-physical-examination-0-30.pdf","t5/495027-physical-examination-0-30.pdf")</f>
        <v/>
      </c>
      <c r="E773" t="n">
        <v>118760</v>
      </c>
      <c r="F773" t="n">
        <v>495027</v>
      </c>
      <c r="G773" t="inlineStr">
        <is>
          <t>Consult</t>
        </is>
      </c>
      <c r="H773" t="inlineStr">
        <is>
          <t>physical-examination</t>
        </is>
      </c>
      <c r="I773" t="inlineStr">
        <is>
          <t>Preserved sensation throughout.</t>
        </is>
      </c>
    </row>
    <row r="774">
      <c r="A774" t="inlineStr">
        <is>
          <t>495027-physical-examination-0-30</t>
        </is>
      </c>
      <c r="B774" t="inlineStr"/>
      <c r="C774" t="inlineStr"/>
      <c r="D774">
        <f>HYPERLINK("http://nlpdeep.cs.uic.edu:8080/proofing/gsii/495027-physical-examination-0-30.pdf","gsii/495027-physical-examination-0-30.pdf")</f>
        <v/>
      </c>
      <c r="E774" t="n">
        <v>118760</v>
      </c>
      <c r="F774" t="n">
        <v>495027</v>
      </c>
      <c r="G774" t="inlineStr">
        <is>
          <t>Consult</t>
        </is>
      </c>
      <c r="H774" t="inlineStr">
        <is>
          <t>physical-examination</t>
        </is>
      </c>
      <c r="I774" t="inlineStr">
        <is>
          <t>Preserved sensation throughout.</t>
        </is>
      </c>
    </row>
    <row r="775">
      <c r="A775" t="inlineStr">
        <is>
          <t>495027-physical-examination-0-31</t>
        </is>
      </c>
      <c r="B775" t="inlineStr"/>
      <c r="C775" t="inlineStr"/>
      <c r="D775">
        <f>HYPERLINK("http://nlpdeep.cs.uic.edu:8080/proofing/t5/495027-physical-examination-0-31.pdf","t5/495027-physical-examination-0-31.pdf")</f>
        <v/>
      </c>
      <c r="E775" t="n">
        <v>118760</v>
      </c>
      <c r="F775" t="n">
        <v>495027</v>
      </c>
      <c r="G775" t="inlineStr">
        <is>
          <t>Consult</t>
        </is>
      </c>
      <c r="H775" t="inlineStr">
        <is>
          <t>physical-examination</t>
        </is>
      </c>
      <c r="I775" t="inlineStr">
        <is>
          <t xml:space="preserve">
   5/5 strength throughout.</t>
        </is>
      </c>
    </row>
    <row r="776">
      <c r="A776" t="inlineStr">
        <is>
          <t>495027-physical-examination-0-31</t>
        </is>
      </c>
      <c r="B776" t="inlineStr"/>
      <c r="C776" t="inlineStr"/>
      <c r="D776">
        <f>HYPERLINK("http://nlpdeep.cs.uic.edu:8080/proofing/gsii/495027-physical-examination-0-31.pdf","gsii/495027-physical-examination-0-31.pdf")</f>
        <v/>
      </c>
      <c r="E776" t="n">
        <v>118760</v>
      </c>
      <c r="F776" t="n">
        <v>495027</v>
      </c>
      <c r="G776" t="inlineStr">
        <is>
          <t>Consult</t>
        </is>
      </c>
      <c r="H776" t="inlineStr">
        <is>
          <t>physical-examination</t>
        </is>
      </c>
      <c r="I776" t="inlineStr">
        <is>
          <t xml:space="preserve">
   5/5 strength throughout.</t>
        </is>
      </c>
    </row>
    <row r="777">
      <c r="A777" t="inlineStr">
        <is>
          <t>495027-physical-examination-0-32</t>
        </is>
      </c>
      <c r="B777" t="inlineStr"/>
      <c r="C777" t="inlineStr"/>
      <c r="D777">
        <f>HYPERLINK("http://nlpdeep.cs.uic.edu:8080/proofing/t5/495027-physical-examination-0-32.pdf","t5/495027-physical-examination-0-32.pdf")</f>
        <v/>
      </c>
      <c r="E777" t="n">
        <v>118760</v>
      </c>
      <c r="F777" t="n">
        <v>495027</v>
      </c>
      <c r="G777" t="inlineStr">
        <is>
          <t>Consult</t>
        </is>
      </c>
      <c r="H777" t="inlineStr">
        <is>
          <t>physical-examination</t>
        </is>
      </c>
      <c r="I777" t="inlineStr">
        <is>
          <t>[**11-30**]+ reflexes, equal BL.</t>
        </is>
      </c>
    </row>
    <row r="778">
      <c r="A778" t="inlineStr">
        <is>
          <t>495027-physical-examination-0-32</t>
        </is>
      </c>
      <c r="B778" t="inlineStr"/>
      <c r="C778" t="inlineStr"/>
      <c r="D778">
        <f>HYPERLINK("http://nlpdeep.cs.uic.edu:8080/proofing/gsii/495027-physical-examination-0-32.pdf","gsii/495027-physical-examination-0-32.pdf")</f>
        <v/>
      </c>
      <c r="E778" t="n">
        <v>118760</v>
      </c>
      <c r="F778" t="n">
        <v>495027</v>
      </c>
      <c r="G778" t="inlineStr">
        <is>
          <t>Consult</t>
        </is>
      </c>
      <c r="H778" t="inlineStr">
        <is>
          <t>physical-examination</t>
        </is>
      </c>
      <c r="I778" t="inlineStr">
        <is>
          <t>[**11-30**]+ reflexes, equal BL.</t>
        </is>
      </c>
    </row>
    <row r="779">
      <c r="A779" t="inlineStr">
        <is>
          <t>495027-physical-examination-0-33</t>
        </is>
      </c>
      <c r="B779" t="inlineStr"/>
      <c r="C779" t="inlineStr"/>
      <c r="D779">
        <f>HYPERLINK("http://nlpdeep.cs.uic.edu:8080/proofing/t5/495027-physical-examination-0-33.pdf","t5/495027-physical-examination-0-33.pdf")</f>
        <v/>
      </c>
      <c r="E779" t="n">
        <v>118760</v>
      </c>
      <c r="F779" t="n">
        <v>495027</v>
      </c>
      <c r="G779" t="inlineStr">
        <is>
          <t>Consult</t>
        </is>
      </c>
      <c r="H779" t="inlineStr">
        <is>
          <t>physical-examination</t>
        </is>
      </c>
      <c r="I779" t="inlineStr">
        <is>
          <t>Normal coordination.</t>
        </is>
      </c>
    </row>
    <row r="780">
      <c r="A780" t="inlineStr">
        <is>
          <t>495027-physical-examination-0-33</t>
        </is>
      </c>
      <c r="B780" t="inlineStr"/>
      <c r="C780" t="inlineStr"/>
      <c r="D780">
        <f>HYPERLINK("http://nlpdeep.cs.uic.edu:8080/proofing/gsii/495027-physical-examination-0-33.pdf","gsii/495027-physical-examination-0-33.pdf")</f>
        <v/>
      </c>
      <c r="E780" t="n">
        <v>118760</v>
      </c>
      <c r="F780" t="n">
        <v>495027</v>
      </c>
      <c r="G780" t="inlineStr">
        <is>
          <t>Consult</t>
        </is>
      </c>
      <c r="H780" t="inlineStr">
        <is>
          <t>physical-examination</t>
        </is>
      </c>
      <c r="I780" t="inlineStr">
        <is>
          <t>Normal coordination.</t>
        </is>
      </c>
    </row>
    <row r="781">
      <c r="A781" t="inlineStr">
        <is>
          <t>495027-physical-examination-0-34</t>
        </is>
      </c>
      <c r="B781" t="inlineStr"/>
      <c r="C781" t="inlineStr"/>
      <c r="D781">
        <f>HYPERLINK("http://nlpdeep.cs.uic.edu:8080/proofing/t5/495027-physical-examination-0-34.pdf","t5/495027-physical-examination-0-34.pdf")</f>
        <v/>
      </c>
      <c r="E781" t="n">
        <v>118760</v>
      </c>
      <c r="F781" t="n">
        <v>495027</v>
      </c>
      <c r="G781" t="inlineStr">
        <is>
          <t>Consult</t>
        </is>
      </c>
      <c r="H781" t="inlineStr">
        <is>
          <t>physical-examination</t>
        </is>
      </c>
      <c r="I781" t="inlineStr">
        <is>
          <t xml:space="preserve">
   Gait assessment deferred.</t>
        </is>
      </c>
    </row>
    <row r="782">
      <c r="A782" t="inlineStr">
        <is>
          <t>495027-physical-examination-0-34</t>
        </is>
      </c>
      <c r="B782" t="inlineStr"/>
      <c r="C782" t="inlineStr"/>
      <c r="D782">
        <f>HYPERLINK("http://nlpdeep.cs.uic.edu:8080/proofing/gsii/495027-physical-examination-0-34.pdf","gsii/495027-physical-examination-0-34.pdf")</f>
        <v/>
      </c>
      <c r="E782" t="n">
        <v>118760</v>
      </c>
      <c r="F782" t="n">
        <v>495027</v>
      </c>
      <c r="G782" t="inlineStr">
        <is>
          <t>Consult</t>
        </is>
      </c>
      <c r="H782" t="inlineStr">
        <is>
          <t>physical-examination</t>
        </is>
      </c>
      <c r="I782" t="inlineStr">
        <is>
          <t xml:space="preserve">
   Gait assessment deferred.</t>
        </is>
      </c>
    </row>
    <row r="783">
      <c r="A783" t="inlineStr">
        <is>
          <t>495027-physical-examination-0-35</t>
        </is>
      </c>
      <c r="B783" t="inlineStr"/>
      <c r="C783" t="inlineStr"/>
      <c r="D783">
        <f>HYPERLINK("http://nlpdeep.cs.uic.edu:8080/proofing/t5/495027-physical-examination-0-35.pdf","t5/495027-physical-examination-0-35.pdf")</f>
        <v/>
      </c>
      <c r="E783" t="n">
        <v>118760</v>
      </c>
      <c r="F783" t="n">
        <v>495027</v>
      </c>
      <c r="G783" t="inlineStr">
        <is>
          <t>Consult</t>
        </is>
      </c>
      <c r="H783" t="inlineStr">
        <is>
          <t>physical-examination</t>
        </is>
      </c>
      <c r="I783" t="inlineStr">
        <is>
          <t xml:space="preserve">
   PSYCH: Mood and affect were appropriate.</t>
        </is>
      </c>
    </row>
    <row r="784">
      <c r="A784" t="inlineStr">
        <is>
          <t>495027-physical-examination-0-35</t>
        </is>
      </c>
      <c r="B784" t="inlineStr"/>
      <c r="C784" t="inlineStr"/>
      <c r="D784">
        <f>HYPERLINK("http://nlpdeep.cs.uic.edu:8080/proofing/gsii/495027-physical-examination-0-35.pdf","gsii/495027-physical-examination-0-35.pdf")</f>
        <v/>
      </c>
      <c r="E784" t="n">
        <v>118760</v>
      </c>
      <c r="F784" t="n">
        <v>495027</v>
      </c>
      <c r="G784" t="inlineStr">
        <is>
          <t>Consult</t>
        </is>
      </c>
      <c r="H784" t="inlineStr">
        <is>
          <t>physical-examination</t>
        </is>
      </c>
      <c r="I784" t="inlineStr">
        <is>
          <t xml:space="preserve">
   PSYCH: Mood and affect were appropriate.</t>
        </is>
      </c>
    </row>
    <row r="785">
      <c r="A785" t="inlineStr">
        <is>
          <t>495027-labs-imaging-0-0</t>
        </is>
      </c>
      <c r="B785" t="inlineStr"/>
      <c r="C785" t="inlineStr"/>
      <c r="D785">
        <f>HYPERLINK("http://nlpdeep.cs.uic.edu:8080/proofing/t5/495027-labs-imaging-0-0.pdf","t5/495027-labs-imaging-0-0.pdf")</f>
        <v/>
      </c>
      <c r="E785" t="n">
        <v>118760</v>
      </c>
      <c r="F785" t="n">
        <v>495027</v>
      </c>
      <c r="G785" t="inlineStr">
        <is>
          <t>Consult</t>
        </is>
      </c>
      <c r="H785" t="inlineStr">
        <is>
          <t>labs-imaging</t>
        </is>
      </c>
      <c r="I785" t="inlineStr">
        <is>
          <t xml:space="preserve">
   EKG demonstrated sinus rhythm 85 bpm with prolonged QT most notable in
   lateral precordial leads, normal PR interval, LAD with Q-waves in III
   and aVf,  LVH and LAA, TWI in I/aVL/V5-6 and &lt;1mm downsloping ST
   depressions.</t>
        </is>
      </c>
    </row>
    <row r="786">
      <c r="A786" t="inlineStr">
        <is>
          <t>495027-labs-imaging-0-0</t>
        </is>
      </c>
      <c r="B786" t="inlineStr"/>
      <c r="C786" t="inlineStr"/>
      <c r="D786">
        <f>HYPERLINK("http://nlpdeep.cs.uic.edu:8080/proofing/gsii/495027-labs-imaging-0-0.pdf","gsii/495027-labs-imaging-0-0.pdf")</f>
        <v/>
      </c>
      <c r="E786" t="n">
        <v>118760</v>
      </c>
      <c r="F786" t="n">
        <v>495027</v>
      </c>
      <c r="G786" t="inlineStr">
        <is>
          <t>Consult</t>
        </is>
      </c>
      <c r="H786" t="inlineStr">
        <is>
          <t>labs-imaging</t>
        </is>
      </c>
      <c r="I786" t="inlineStr">
        <is>
          <t xml:space="preserve">
   EKG demonstrated sinus rhythm 85 bpm with prolonged QT most notable in
   lateral precordial leads, normal PR interval, LAD with Q-waves in III
   and aVf,  LVH and LAA, TWI in I/aVL/V5-6 and &lt;1mm downsloping ST
   depressions.</t>
        </is>
      </c>
    </row>
    <row r="787">
      <c r="A787" t="inlineStr">
        <is>
          <t>495027-labs-imaging-0-1</t>
        </is>
      </c>
      <c r="B787" t="inlineStr"/>
      <c r="C787" t="inlineStr"/>
      <c r="D787">
        <f>HYPERLINK("http://nlpdeep.cs.uic.edu:8080/proofing/t5/495027-labs-imaging-0-1.pdf","t5/495027-labs-imaging-0-1.pdf")</f>
        <v/>
      </c>
      <c r="E787" t="n">
        <v>118760</v>
      </c>
      <c r="F787" t="n">
        <v>495027</v>
      </c>
      <c r="G787" t="inlineStr">
        <is>
          <t>Consult</t>
        </is>
      </c>
      <c r="H787" t="inlineStr">
        <is>
          <t>labs-imaging</t>
        </is>
      </c>
      <c r="I787" t="inlineStr">
        <is>
          <t xml:space="preserve"> Compared to prior [**2132-5-15**], the ST-T changes are new but
   otherwise findings are similar.</t>
        </is>
      </c>
    </row>
    <row r="788">
      <c r="A788" t="inlineStr">
        <is>
          <t>495027-labs-imaging-0-1</t>
        </is>
      </c>
      <c r="B788" t="inlineStr"/>
      <c r="C788" t="inlineStr"/>
      <c r="D788">
        <f>HYPERLINK("http://nlpdeep.cs.uic.edu:8080/proofing/gsii/495027-labs-imaging-0-1.pdf","gsii/495027-labs-imaging-0-1.pdf")</f>
        <v/>
      </c>
      <c r="E788" t="n">
        <v>118760</v>
      </c>
      <c r="F788" t="n">
        <v>495027</v>
      </c>
      <c r="G788" t="inlineStr">
        <is>
          <t>Consult</t>
        </is>
      </c>
      <c r="H788" t="inlineStr">
        <is>
          <t>labs-imaging</t>
        </is>
      </c>
      <c r="I788" t="inlineStr">
        <is>
          <t xml:space="preserve"> Compared to prior [**2132-5-15**], the ST-T changes are new but
   otherwise findings are similar.</t>
        </is>
      </c>
    </row>
    <row r="789">
      <c r="A789" t="inlineStr">
        <is>
          <t>495027-labs-imaging-0-2</t>
        </is>
      </c>
      <c r="B789" t="inlineStr"/>
      <c r="C789" t="inlineStr"/>
      <c r="D789">
        <f>HYPERLINK("http://nlpdeep.cs.uic.edu:8080/proofing/t5/495027-labs-imaging-0-2.pdf","t5/495027-labs-imaging-0-2.pdf")</f>
        <v/>
      </c>
      <c r="E789" t="n">
        <v>118760</v>
      </c>
      <c r="F789" t="n">
        <v>495027</v>
      </c>
      <c r="G789" t="inlineStr">
        <is>
          <t>Consult</t>
        </is>
      </c>
      <c r="H789" t="inlineStr">
        <is>
          <t>labs-imaging</t>
        </is>
      </c>
      <c r="I789" t="inlineStr">
        <is>
          <t xml:space="preserve">
   TELEMETRY:  Sinus with occasional ventricular couplets.</t>
        </is>
      </c>
    </row>
    <row r="790">
      <c r="A790" t="inlineStr">
        <is>
          <t>495027-labs-imaging-0-2</t>
        </is>
      </c>
      <c r="B790" t="inlineStr"/>
      <c r="C790" t="inlineStr"/>
      <c r="D790">
        <f>HYPERLINK("http://nlpdeep.cs.uic.edu:8080/proofing/gsii/495027-labs-imaging-0-2.pdf","gsii/495027-labs-imaging-0-2.pdf")</f>
        <v/>
      </c>
      <c r="E790" t="n">
        <v>118760</v>
      </c>
      <c r="F790" t="n">
        <v>495027</v>
      </c>
      <c r="G790" t="inlineStr">
        <is>
          <t>Consult</t>
        </is>
      </c>
      <c r="H790" t="inlineStr">
        <is>
          <t>labs-imaging</t>
        </is>
      </c>
      <c r="I790" t="inlineStr">
        <is>
          <t xml:space="preserve">
   TELEMETRY:  Sinus with occasional ventricular couplets.</t>
        </is>
      </c>
    </row>
    <row r="791">
      <c r="A791" t="inlineStr">
        <is>
          <t>495027-labs-imaging-0-3</t>
        </is>
      </c>
      <c r="B791" t="inlineStr"/>
      <c r="C791" t="inlineStr"/>
      <c r="D791">
        <f>HYPERLINK("http://nlpdeep.cs.uic.edu:8080/proofing/t5/495027-labs-imaging-0-3.pdf","t5/495027-labs-imaging-0-3.pdf")</f>
        <v/>
      </c>
      <c r="E791" t="n">
        <v>118760</v>
      </c>
      <c r="F791" t="n">
        <v>495027</v>
      </c>
      <c r="G791" t="inlineStr">
        <is>
          <t>Consult</t>
        </is>
      </c>
      <c r="H791" t="inlineStr">
        <is>
          <t>labs-imaging</t>
        </is>
      </c>
      <c r="I791" t="inlineStr">
        <is>
          <t xml:space="preserve">
   2D-ECHOCARDIOGRAM performed on [**2130-12-15**] demonstrated:
   EF &gt; 60%.</t>
        </is>
      </c>
    </row>
    <row r="792">
      <c r="A792" t="inlineStr">
        <is>
          <t>495027-labs-imaging-0-3</t>
        </is>
      </c>
      <c r="B792" t="inlineStr"/>
      <c r="C792" t="inlineStr"/>
      <c r="D792">
        <f>HYPERLINK("http://nlpdeep.cs.uic.edu:8080/proofing/gsii/495027-labs-imaging-0-3.pdf","gsii/495027-labs-imaging-0-3.pdf")</f>
        <v/>
      </c>
      <c r="E792" t="n">
        <v>118760</v>
      </c>
      <c r="F792" t="n">
        <v>495027</v>
      </c>
      <c r="G792" t="inlineStr">
        <is>
          <t>Consult</t>
        </is>
      </c>
      <c r="H792" t="inlineStr">
        <is>
          <t>labs-imaging</t>
        </is>
      </c>
      <c r="I792" t="inlineStr">
        <is>
          <t xml:space="preserve">
   2D-ECHOCARDIOGRAM performed on [**2130-12-15**] demonstrated:
   EF &gt; 60%.</t>
        </is>
      </c>
    </row>
    <row r="793">
      <c r="A793" t="inlineStr">
        <is>
          <t>495027-labs-imaging-0-4</t>
        </is>
      </c>
      <c r="B793" t="inlineStr"/>
      <c r="C793" t="inlineStr"/>
      <c r="D793">
        <f>HYPERLINK("http://nlpdeep.cs.uic.edu:8080/proofing/t5/495027-labs-imaging-0-4.pdf","t5/495027-labs-imaging-0-4.pdf")</f>
        <v/>
      </c>
      <c r="E793" t="n">
        <v>118760</v>
      </c>
      <c r="F793" t="n">
        <v>495027</v>
      </c>
      <c r="G793" t="inlineStr">
        <is>
          <t>Consult</t>
        </is>
      </c>
      <c r="H793" t="inlineStr">
        <is>
          <t>labs-imaging</t>
        </is>
      </c>
      <c r="I793" t="inlineStr">
        <is>
          <t xml:space="preserve"> The left atrium is elongated.</t>
        </is>
      </c>
    </row>
    <row r="794">
      <c r="A794" t="inlineStr">
        <is>
          <t>495027-labs-imaging-0-4</t>
        </is>
      </c>
      <c r="B794" t="inlineStr"/>
      <c r="C794" t="inlineStr"/>
      <c r="D794">
        <f>HYPERLINK("http://nlpdeep.cs.uic.edu:8080/proofing/gsii/495027-labs-imaging-0-4.pdf","gsii/495027-labs-imaging-0-4.pdf")</f>
        <v/>
      </c>
      <c r="E794" t="n">
        <v>118760</v>
      </c>
      <c r="F794" t="n">
        <v>495027</v>
      </c>
      <c r="G794" t="inlineStr">
        <is>
          <t>Consult</t>
        </is>
      </c>
      <c r="H794" t="inlineStr">
        <is>
          <t>labs-imaging</t>
        </is>
      </c>
      <c r="I794" t="inlineStr">
        <is>
          <t xml:space="preserve"> The left atrium is elongated.</t>
        </is>
      </c>
    </row>
    <row r="795">
      <c r="A795" t="inlineStr">
        <is>
          <t>495027-labs-imaging-0-5</t>
        </is>
      </c>
      <c r="B795" t="inlineStr"/>
      <c r="C795" t="inlineStr"/>
      <c r="D795">
        <f>HYPERLINK("http://nlpdeep.cs.uic.edu:8080/proofing/t5/495027-labs-imaging-0-5.pdf","t5/495027-labs-imaging-0-5.pdf")</f>
        <v/>
      </c>
      <c r="E795" t="n">
        <v>118760</v>
      </c>
      <c r="F795" t="n">
        <v>495027</v>
      </c>
      <c r="G795" t="inlineStr">
        <is>
          <t>Consult</t>
        </is>
      </c>
      <c r="H795" t="inlineStr">
        <is>
          <t>labs-imaging</t>
        </is>
      </c>
      <c r="I795" t="inlineStr">
        <is>
          <t>The estimated right atrial
   pressure is 10-20mmHg.</t>
        </is>
      </c>
    </row>
    <row r="796">
      <c r="A796" t="inlineStr">
        <is>
          <t>495027-labs-imaging-0-5</t>
        </is>
      </c>
      <c r="B796" t="inlineStr"/>
      <c r="C796" t="inlineStr"/>
      <c r="D796">
        <f>HYPERLINK("http://nlpdeep.cs.uic.edu:8080/proofing/gsii/495027-labs-imaging-0-5.pdf","gsii/495027-labs-imaging-0-5.pdf")</f>
        <v/>
      </c>
      <c r="E796" t="n">
        <v>118760</v>
      </c>
      <c r="F796" t="n">
        <v>495027</v>
      </c>
      <c r="G796" t="inlineStr">
        <is>
          <t>Consult</t>
        </is>
      </c>
      <c r="H796" t="inlineStr">
        <is>
          <t>labs-imaging</t>
        </is>
      </c>
      <c r="I796" t="inlineStr">
        <is>
          <t>The estimated right atrial
   pressure is 10-20mmHg.</t>
        </is>
      </c>
    </row>
    <row r="797">
      <c r="A797" t="inlineStr">
        <is>
          <t>495027-labs-imaging-0-6</t>
        </is>
      </c>
      <c r="B797" t="inlineStr"/>
      <c r="C797" t="inlineStr"/>
      <c r="D797">
        <f>HYPERLINK("http://nlpdeep.cs.uic.edu:8080/proofing/t5/495027-labs-imaging-0-6.pdf","t5/495027-labs-imaging-0-6.pdf")</f>
        <v/>
      </c>
      <c r="E797" t="n">
        <v>118760</v>
      </c>
      <c r="F797" t="n">
        <v>495027</v>
      </c>
      <c r="G797" t="inlineStr">
        <is>
          <t>Consult</t>
        </is>
      </c>
      <c r="H797" t="inlineStr">
        <is>
          <t>labs-imaging</t>
        </is>
      </c>
      <c r="I797" t="inlineStr">
        <is>
          <t>There is mild symmetric left ventricular
   hypertrophy with normal cavity size.</t>
        </is>
      </c>
    </row>
    <row r="798">
      <c r="A798" t="inlineStr">
        <is>
          <t>495027-labs-imaging-0-6</t>
        </is>
      </c>
      <c r="B798" t="inlineStr"/>
      <c r="C798" t="inlineStr"/>
      <c r="D798">
        <f>HYPERLINK("http://nlpdeep.cs.uic.edu:8080/proofing/gsii/495027-labs-imaging-0-6.pdf","gsii/495027-labs-imaging-0-6.pdf")</f>
        <v/>
      </c>
      <c r="E798" t="n">
        <v>118760</v>
      </c>
      <c r="F798" t="n">
        <v>495027</v>
      </c>
      <c r="G798" t="inlineStr">
        <is>
          <t>Consult</t>
        </is>
      </c>
      <c r="H798" t="inlineStr">
        <is>
          <t>labs-imaging</t>
        </is>
      </c>
      <c r="I798" t="inlineStr">
        <is>
          <t>There is mild symmetric left ventricular
   hypertrophy with normal cavity size.</t>
        </is>
      </c>
    </row>
    <row r="799">
      <c r="A799" t="inlineStr">
        <is>
          <t>495027-labs-imaging-0-7</t>
        </is>
      </c>
      <c r="B799" t="inlineStr"/>
      <c r="C799" t="inlineStr"/>
      <c r="D799">
        <f>HYPERLINK("http://nlpdeep.cs.uic.edu:8080/proofing/t5/495027-labs-imaging-0-7.pdf","t5/495027-labs-imaging-0-7.pdf")</f>
        <v/>
      </c>
      <c r="E799" t="n">
        <v>118760</v>
      </c>
      <c r="F799" t="n">
        <v>495027</v>
      </c>
      <c r="G799" t="inlineStr">
        <is>
          <t>Consult</t>
        </is>
      </c>
      <c r="H799" t="inlineStr">
        <is>
          <t>labs-imaging</t>
        </is>
      </c>
      <c r="I799" t="inlineStr">
        <is>
          <t>Tissue Doppler imaging suggests an
   increased left ventricular filling pressure (PCWP&gt;18mmHg).</t>
        </is>
      </c>
    </row>
    <row r="800">
      <c r="A800" t="inlineStr">
        <is>
          <t>495027-labs-imaging-0-7</t>
        </is>
      </c>
      <c r="B800" t="inlineStr"/>
      <c r="C800" t="inlineStr"/>
      <c r="D800">
        <f>HYPERLINK("http://nlpdeep.cs.uic.edu:8080/proofing/gsii/495027-labs-imaging-0-7.pdf","gsii/495027-labs-imaging-0-7.pdf")</f>
        <v/>
      </c>
      <c r="E800" t="n">
        <v>118760</v>
      </c>
      <c r="F800" t="n">
        <v>495027</v>
      </c>
      <c r="G800" t="inlineStr">
        <is>
          <t>Consult</t>
        </is>
      </c>
      <c r="H800" t="inlineStr">
        <is>
          <t>labs-imaging</t>
        </is>
      </c>
      <c r="I800" t="inlineStr">
        <is>
          <t>Tissue Doppler imaging suggests an
   increased left ventricular filling pressure (PCWP&gt;18mmHg).</t>
        </is>
      </c>
    </row>
    <row r="801">
      <c r="A801" t="inlineStr">
        <is>
          <t>495027-labs-imaging-0-8</t>
        </is>
      </c>
      <c r="B801" t="inlineStr"/>
      <c r="C801" t="inlineStr"/>
      <c r="D801">
        <f>HYPERLINK("http://nlpdeep.cs.uic.edu:8080/proofing/t5/495027-labs-imaging-0-8.pdf","t5/495027-labs-imaging-0-8.pdf")</f>
        <v/>
      </c>
      <c r="E801" t="n">
        <v>118760</v>
      </c>
      <c r="F801" t="n">
        <v>495027</v>
      </c>
      <c r="G801" t="inlineStr">
        <is>
          <t>Consult</t>
        </is>
      </c>
      <c r="H801" t="inlineStr">
        <is>
          <t>labs-imaging</t>
        </is>
      </c>
      <c r="I801" t="inlineStr">
        <is>
          <t>The right
   ventricular cavity is mildly dilated with normal free wall
   contractility.</t>
        </is>
      </c>
    </row>
    <row r="802">
      <c r="A802" t="inlineStr">
        <is>
          <t>495027-labs-imaging-0-8</t>
        </is>
      </c>
      <c r="B802" t="inlineStr"/>
      <c r="C802" t="inlineStr"/>
      <c r="D802">
        <f>HYPERLINK("http://nlpdeep.cs.uic.edu:8080/proofing/gsii/495027-labs-imaging-0-8.pdf","gsii/495027-labs-imaging-0-8.pdf")</f>
        <v/>
      </c>
      <c r="E802" t="n">
        <v>118760</v>
      </c>
      <c r="F802" t="n">
        <v>495027</v>
      </c>
      <c r="G802" t="inlineStr">
        <is>
          <t>Consult</t>
        </is>
      </c>
      <c r="H802" t="inlineStr">
        <is>
          <t>labs-imaging</t>
        </is>
      </c>
      <c r="I802" t="inlineStr">
        <is>
          <t>The right
   ventricular cavity is mildly dilated with normal free wall
   contractility.</t>
        </is>
      </c>
    </row>
    <row r="803">
      <c r="A803" t="inlineStr">
        <is>
          <t>495027-labs-imaging-0-9</t>
        </is>
      </c>
      <c r="B803" t="inlineStr"/>
      <c r="C803" t="inlineStr"/>
      <c r="D803">
        <f>HYPERLINK("http://nlpdeep.cs.uic.edu:8080/proofing/t5/495027-labs-imaging-0-9.pdf","t5/495027-labs-imaging-0-9.pdf")</f>
        <v/>
      </c>
      <c r="E803" t="n">
        <v>118760</v>
      </c>
      <c r="F803" t="n">
        <v>495027</v>
      </c>
      <c r="G803" t="inlineStr">
        <is>
          <t>Consult</t>
        </is>
      </c>
      <c r="H803" t="inlineStr">
        <is>
          <t>labs-imaging</t>
        </is>
      </c>
      <c r="I803" t="inlineStr">
        <is>
          <t>The aortic valve leaflets (3) are mildly thickened.</t>
        </is>
      </c>
    </row>
    <row r="804">
      <c r="A804" t="inlineStr">
        <is>
          <t>495027-labs-imaging-0-9</t>
        </is>
      </c>
      <c r="B804" t="inlineStr"/>
      <c r="C804" t="inlineStr"/>
      <c r="D804">
        <f>HYPERLINK("http://nlpdeep.cs.uic.edu:8080/proofing/gsii/495027-labs-imaging-0-9.pdf","gsii/495027-labs-imaging-0-9.pdf")</f>
        <v/>
      </c>
      <c r="E804" t="n">
        <v>118760</v>
      </c>
      <c r="F804" t="n">
        <v>495027</v>
      </c>
      <c r="G804" t="inlineStr">
        <is>
          <t>Consult</t>
        </is>
      </c>
      <c r="H804" t="inlineStr">
        <is>
          <t>labs-imaging</t>
        </is>
      </c>
      <c r="I804" t="inlineStr">
        <is>
          <t>The aortic valve leaflets (3) are mildly thickened.</t>
        </is>
      </c>
    </row>
    <row r="805">
      <c r="A805" t="inlineStr">
        <is>
          <t>495027-labs-imaging-0-10</t>
        </is>
      </c>
      <c r="B805" t="inlineStr"/>
      <c r="C805" t="inlineStr"/>
      <c r="D805">
        <f>HYPERLINK("http://nlpdeep.cs.uic.edu:8080/proofing/t5/495027-labs-imaging-0-10.pdf","t5/495027-labs-imaging-0-10.pdf")</f>
        <v/>
      </c>
      <c r="E805" t="n">
        <v>118760</v>
      </c>
      <c r="F805" t="n">
        <v>495027</v>
      </c>
      <c r="G805" t="inlineStr">
        <is>
          <t>Consult</t>
        </is>
      </c>
      <c r="H805" t="inlineStr">
        <is>
          <t>labs-imaging</t>
        </is>
      </c>
      <c r="I805" t="inlineStr">
        <is>
          <t xml:space="preserve">
   There is mild aortic valve stenosis (area 1.2-1.9cm2).</t>
        </is>
      </c>
    </row>
    <row r="806">
      <c r="A806" t="inlineStr">
        <is>
          <t>495027-labs-imaging-0-10</t>
        </is>
      </c>
      <c r="B806" t="inlineStr"/>
      <c r="C806" t="inlineStr"/>
      <c r="D806">
        <f>HYPERLINK("http://nlpdeep.cs.uic.edu:8080/proofing/gsii/495027-labs-imaging-0-10.pdf","gsii/495027-labs-imaging-0-10.pdf")</f>
        <v/>
      </c>
      <c r="E806" t="n">
        <v>118760</v>
      </c>
      <c r="F806" t="n">
        <v>495027</v>
      </c>
      <c r="G806" t="inlineStr">
        <is>
          <t>Consult</t>
        </is>
      </c>
      <c r="H806" t="inlineStr">
        <is>
          <t>labs-imaging</t>
        </is>
      </c>
      <c r="I806" t="inlineStr">
        <is>
          <t xml:space="preserve">
   There is mild aortic valve stenosis (area 1.2-1.9cm2).</t>
        </is>
      </c>
    </row>
    <row r="807">
      <c r="A807" t="inlineStr">
        <is>
          <t>495027-labs-imaging-0-11</t>
        </is>
      </c>
      <c r="B807" t="inlineStr"/>
      <c r="C807" t="inlineStr"/>
      <c r="D807">
        <f>HYPERLINK("http://nlpdeep.cs.uic.edu:8080/proofing/t5/495027-labs-imaging-0-11.pdf","t5/495027-labs-imaging-0-11.pdf")</f>
        <v/>
      </c>
      <c r="E807" t="n">
        <v>118760</v>
      </c>
      <c r="F807" t="n">
        <v>495027</v>
      </c>
      <c r="G807" t="inlineStr">
        <is>
          <t>Consult</t>
        </is>
      </c>
      <c r="H807" t="inlineStr">
        <is>
          <t>labs-imaging</t>
        </is>
      </c>
      <c r="I807" t="inlineStr">
        <is>
          <t>No aortic
   regurgitation is seen.</t>
        </is>
      </c>
    </row>
    <row r="808">
      <c r="A808" t="inlineStr">
        <is>
          <t>495027-labs-imaging-0-11</t>
        </is>
      </c>
      <c r="B808" t="inlineStr"/>
      <c r="C808" t="inlineStr"/>
      <c r="D808">
        <f>HYPERLINK("http://nlpdeep.cs.uic.edu:8080/proofing/gsii/495027-labs-imaging-0-11.pdf","gsii/495027-labs-imaging-0-11.pdf")</f>
        <v/>
      </c>
      <c r="E808" t="n">
        <v>118760</v>
      </c>
      <c r="F808" t="n">
        <v>495027</v>
      </c>
      <c r="G808" t="inlineStr">
        <is>
          <t>Consult</t>
        </is>
      </c>
      <c r="H808" t="inlineStr">
        <is>
          <t>labs-imaging</t>
        </is>
      </c>
      <c r="I808" t="inlineStr">
        <is>
          <t>No aortic
   regurgitation is seen.</t>
        </is>
      </c>
    </row>
    <row r="809">
      <c r="A809" t="inlineStr">
        <is>
          <t>495027-labs-imaging-0-12</t>
        </is>
      </c>
      <c r="B809" t="inlineStr"/>
      <c r="C809" t="inlineStr"/>
      <c r="D809">
        <f>HYPERLINK("http://nlpdeep.cs.uic.edu:8080/proofing/t5/495027-labs-imaging-0-12.pdf","t5/495027-labs-imaging-0-12.pdf")</f>
        <v/>
      </c>
      <c r="E809" t="n">
        <v>118760</v>
      </c>
      <c r="F809" t="n">
        <v>495027</v>
      </c>
      <c r="G809" t="inlineStr">
        <is>
          <t>Consult</t>
        </is>
      </c>
      <c r="H809" t="inlineStr">
        <is>
          <t>labs-imaging</t>
        </is>
      </c>
      <c r="I809" t="inlineStr">
        <is>
          <t>The mitral valve leaflets are mildly thickened.</t>
        </is>
      </c>
    </row>
    <row r="810">
      <c r="A810" t="inlineStr">
        <is>
          <t>495027-labs-imaging-0-12</t>
        </is>
      </c>
      <c r="B810" t="inlineStr"/>
      <c r="C810" t="inlineStr"/>
      <c r="D810">
        <f>HYPERLINK("http://nlpdeep.cs.uic.edu:8080/proofing/gsii/495027-labs-imaging-0-12.pdf","gsii/495027-labs-imaging-0-12.pdf")</f>
        <v/>
      </c>
      <c r="E810" t="n">
        <v>118760</v>
      </c>
      <c r="F810" t="n">
        <v>495027</v>
      </c>
      <c r="G810" t="inlineStr">
        <is>
          <t>Consult</t>
        </is>
      </c>
      <c r="H810" t="inlineStr">
        <is>
          <t>labs-imaging</t>
        </is>
      </c>
      <c r="I810" t="inlineStr">
        <is>
          <t>The mitral valve leaflets are mildly thickened.</t>
        </is>
      </c>
    </row>
    <row r="811">
      <c r="A811" t="inlineStr">
        <is>
          <t>495027-labs-imaging-0-13</t>
        </is>
      </c>
      <c r="B811" t="inlineStr"/>
      <c r="C811" t="inlineStr"/>
      <c r="D811">
        <f>HYPERLINK("http://nlpdeep.cs.uic.edu:8080/proofing/t5/495027-labs-imaging-0-13.pdf","t5/495027-labs-imaging-0-13.pdf")</f>
        <v/>
      </c>
      <c r="E811" t="n">
        <v>118760</v>
      </c>
      <c r="F811" t="n">
        <v>495027</v>
      </c>
      <c r="G811" t="inlineStr">
        <is>
          <t>Consult</t>
        </is>
      </c>
      <c r="H811" t="inlineStr">
        <is>
          <t>labs-imaging</t>
        </is>
      </c>
      <c r="I811" t="inlineStr">
        <is>
          <t xml:space="preserve">
   Mild (1+) mitral regurgitation is seen. [Due to acoustic shadowing, the
   severity of mitral regurgitation may be significantly UNDERestimated.]
   There is moderate pulmonary artery systolic hypertension.</t>
        </is>
      </c>
    </row>
    <row r="812">
      <c r="A812" t="inlineStr">
        <is>
          <t>495027-labs-imaging-0-13</t>
        </is>
      </c>
      <c r="B812" t="inlineStr"/>
      <c r="C812" t="inlineStr"/>
      <c r="D812">
        <f>HYPERLINK("http://nlpdeep.cs.uic.edu:8080/proofing/gsii/495027-labs-imaging-0-13.pdf","gsii/495027-labs-imaging-0-13.pdf")</f>
        <v/>
      </c>
      <c r="E812" t="n">
        <v>118760</v>
      </c>
      <c r="F812" t="n">
        <v>495027</v>
      </c>
      <c r="G812" t="inlineStr">
        <is>
          <t>Consult</t>
        </is>
      </c>
      <c r="H812" t="inlineStr">
        <is>
          <t>labs-imaging</t>
        </is>
      </c>
      <c r="I812" t="inlineStr">
        <is>
          <t xml:space="preserve">
   Mild (1+) mitral regurgitation is seen. [Due to acoustic shadowing, the
   severity of mitral regurgitation may be significantly UNDERestimated.]
   There is moderate pulmonary artery systolic hypertension.</t>
        </is>
      </c>
    </row>
    <row r="813">
      <c r="A813" t="inlineStr">
        <is>
          <t>495027-labs-imaging-0-14</t>
        </is>
      </c>
      <c r="B813" t="inlineStr"/>
      <c r="C813" t="inlineStr"/>
      <c r="D813">
        <f>HYPERLINK("http://nlpdeep.cs.uic.edu:8080/proofing/t5/495027-labs-imaging-0-14.pdf","t5/495027-labs-imaging-0-14.pdf")</f>
        <v/>
      </c>
      <c r="E813" t="n">
        <v>118760</v>
      </c>
      <c r="F813" t="n">
        <v>495027</v>
      </c>
      <c r="G813" t="inlineStr">
        <is>
          <t>Consult</t>
        </is>
      </c>
      <c r="H813" t="inlineStr">
        <is>
          <t>labs-imaging</t>
        </is>
      </c>
      <c r="I813" t="inlineStr">
        <is>
          <t>Mild pulmonic
   regurgitation is seen.</t>
        </is>
      </c>
    </row>
    <row r="814">
      <c r="A814" t="inlineStr">
        <is>
          <t>495027-labs-imaging-0-14</t>
        </is>
      </c>
      <c r="B814" t="inlineStr"/>
      <c r="C814" t="inlineStr"/>
      <c r="D814">
        <f>HYPERLINK("http://nlpdeep.cs.uic.edu:8080/proofing/gsii/495027-labs-imaging-0-14.pdf","gsii/495027-labs-imaging-0-14.pdf")</f>
        <v/>
      </c>
      <c r="E814" t="n">
        <v>118760</v>
      </c>
      <c r="F814" t="n">
        <v>495027</v>
      </c>
      <c r="G814" t="inlineStr">
        <is>
          <t>Consult</t>
        </is>
      </c>
      <c r="H814" t="inlineStr">
        <is>
          <t>labs-imaging</t>
        </is>
      </c>
      <c r="I814" t="inlineStr">
        <is>
          <t>Mild pulmonic
   regurgitation is seen.</t>
        </is>
      </c>
    </row>
    <row r="815">
      <c r="A815" t="inlineStr">
        <is>
          <t>495027-labs-imaging-0-15</t>
        </is>
      </c>
      <c r="B815" t="inlineStr"/>
      <c r="C815" t="inlineStr"/>
      <c r="D815">
        <f>HYPERLINK("http://nlpdeep.cs.uic.edu:8080/proofing/t5/495027-labs-imaging-0-15.pdf","t5/495027-labs-imaging-0-15.pdf")</f>
        <v/>
      </c>
      <c r="E815" t="n">
        <v>118760</v>
      </c>
      <c r="F815" t="n">
        <v>495027</v>
      </c>
      <c r="G815" t="inlineStr">
        <is>
          <t>Consult</t>
        </is>
      </c>
      <c r="H815" t="inlineStr">
        <is>
          <t>labs-imaging</t>
        </is>
      </c>
      <c r="I815" t="inlineStr">
        <is>
          <t>There is a trivial/physiologic pericardial
   effusion.</t>
        </is>
      </c>
    </row>
    <row r="816">
      <c r="A816" t="inlineStr">
        <is>
          <t>495027-labs-imaging-0-15</t>
        </is>
      </c>
      <c r="B816" t="inlineStr"/>
      <c r="C816" t="inlineStr"/>
      <c r="D816">
        <f>HYPERLINK("http://nlpdeep.cs.uic.edu:8080/proofing/gsii/495027-labs-imaging-0-15.pdf","gsii/495027-labs-imaging-0-15.pdf")</f>
        <v/>
      </c>
      <c r="E816" t="n">
        <v>118760</v>
      </c>
      <c r="F816" t="n">
        <v>495027</v>
      </c>
      <c r="G816" t="inlineStr">
        <is>
          <t>Consult</t>
        </is>
      </c>
      <c r="H816" t="inlineStr">
        <is>
          <t>labs-imaging</t>
        </is>
      </c>
      <c r="I816" t="inlineStr">
        <is>
          <t>There is a trivial/physiologic pericardial
   effusion.</t>
        </is>
      </c>
    </row>
    <row r="817">
      <c r="A817" t="inlineStr">
        <is>
          <t>495027-labs-imaging-0-16</t>
        </is>
      </c>
      <c r="B817" t="inlineStr"/>
      <c r="C817" t="inlineStr"/>
      <c r="D817">
        <f>HYPERLINK("http://nlpdeep.cs.uic.edu:8080/proofing/t5/495027-labs-imaging-0-16.pdf","t5/495027-labs-imaging-0-16.pdf")</f>
        <v/>
      </c>
      <c r="E817" t="n">
        <v>118760</v>
      </c>
      <c r="F817" t="n">
        <v>495027</v>
      </c>
      <c r="G817" t="inlineStr">
        <is>
          <t>Consult</t>
        </is>
      </c>
      <c r="H817" t="inlineStr">
        <is>
          <t>labs-imaging</t>
        </is>
      </c>
      <c r="I817" t="inlineStr">
        <is>
          <t xml:space="preserve"> Compared with the prior study (images reviewed) of [**2130-12-1**],
   minimal aortic stenosis is present.</t>
        </is>
      </c>
    </row>
    <row r="818">
      <c r="A818" t="inlineStr">
        <is>
          <t>495027-labs-imaging-0-16</t>
        </is>
      </c>
      <c r="B818" t="inlineStr"/>
      <c r="C818" t="inlineStr"/>
      <c r="D818">
        <f>HYPERLINK("http://nlpdeep.cs.uic.edu:8080/proofing/gsii/495027-labs-imaging-0-16.pdf","gsii/495027-labs-imaging-0-16.pdf")</f>
        <v/>
      </c>
      <c r="E818" t="n">
        <v>118760</v>
      </c>
      <c r="F818" t="n">
        <v>495027</v>
      </c>
      <c r="G818" t="inlineStr">
        <is>
          <t>Consult</t>
        </is>
      </c>
      <c r="H818" t="inlineStr">
        <is>
          <t>labs-imaging</t>
        </is>
      </c>
      <c r="I818" t="inlineStr">
        <is>
          <t xml:space="preserve"> Compared with the prior study (images reviewed) of [**2130-12-1**],
   minimal aortic stenosis is present.</t>
        </is>
      </c>
    </row>
    <row r="819">
      <c r="A819" t="inlineStr">
        <is>
          <t>495027-labs-imaging-0-17</t>
        </is>
      </c>
      <c r="B819" t="inlineStr"/>
      <c r="C819" t="inlineStr"/>
      <c r="D819">
        <f>HYPERLINK("http://nlpdeep.cs.uic.edu:8080/proofing/t5/495027-labs-imaging-0-17.pdf","t5/495027-labs-imaging-0-17.pdf")</f>
        <v/>
      </c>
      <c r="E819" t="n">
        <v>118760</v>
      </c>
      <c r="F819" t="n">
        <v>495027</v>
      </c>
      <c r="G819" t="inlineStr">
        <is>
          <t>Consult</t>
        </is>
      </c>
      <c r="H819" t="inlineStr">
        <is>
          <t>labs-imaging</t>
        </is>
      </c>
      <c r="I819" t="inlineStr">
        <is>
          <t xml:space="preserve">
   ETT performed on [**2130-3-20**] demonstrated:
   The patient exercised for 8 minutes of [**Initials (NamePattern4) **] [**Last Name (NamePattern4) 10270**] protocol (~5 METS) and
   stopped for fatigue.</t>
        </is>
      </c>
    </row>
    <row r="820">
      <c r="A820" t="inlineStr">
        <is>
          <t>495027-labs-imaging-0-17</t>
        </is>
      </c>
      <c r="B820" t="inlineStr"/>
      <c r="C820" t="inlineStr"/>
      <c r="D820">
        <f>HYPERLINK("http://nlpdeep.cs.uic.edu:8080/proofing/gsii/495027-labs-imaging-0-17.pdf","gsii/495027-labs-imaging-0-17.pdf")</f>
        <v/>
      </c>
      <c r="E820" t="n">
        <v>118760</v>
      </c>
      <c r="F820" t="n">
        <v>495027</v>
      </c>
      <c r="G820" t="inlineStr">
        <is>
          <t>Consult</t>
        </is>
      </c>
      <c r="H820" t="inlineStr">
        <is>
          <t>labs-imaging</t>
        </is>
      </c>
      <c r="I820" t="inlineStr">
        <is>
          <t xml:space="preserve">
   ETT performed on [**2130-3-20**] demonstrated:
   The patient exercised for 8 minutes of [**Initials (NamePattern4) **] [**Last Name (NamePattern4) 10270**] protocol (~5 METS) and
   stopped for fatigue.</t>
        </is>
      </c>
    </row>
    <row r="821">
      <c r="A821" t="inlineStr">
        <is>
          <t>495027-labs-imaging-0-18</t>
        </is>
      </c>
      <c r="B821" t="inlineStr"/>
      <c r="C821" t="inlineStr"/>
      <c r="D821">
        <f>HYPERLINK("http://nlpdeep.cs.uic.edu:8080/proofing/t5/495027-labs-imaging-0-18.pdf","t5/495027-labs-imaging-0-18.pdf")</f>
        <v/>
      </c>
      <c r="E821" t="n">
        <v>118760</v>
      </c>
      <c r="F821" t="n">
        <v>495027</v>
      </c>
      <c r="G821" t="inlineStr">
        <is>
          <t>Consult</t>
        </is>
      </c>
      <c r="H821" t="inlineStr">
        <is>
          <t>labs-imaging</t>
        </is>
      </c>
      <c r="I821" t="inlineStr">
        <is>
          <t>This represents a fair physical working capacity
   for his age.</t>
        </is>
      </c>
    </row>
    <row r="822">
      <c r="A822" t="inlineStr">
        <is>
          <t>495027-labs-imaging-0-18</t>
        </is>
      </c>
      <c r="B822" t="inlineStr"/>
      <c r="C822" t="inlineStr"/>
      <c r="D822">
        <f>HYPERLINK("http://nlpdeep.cs.uic.edu:8080/proofing/gsii/495027-labs-imaging-0-18.pdf","gsii/495027-labs-imaging-0-18.pdf")</f>
        <v/>
      </c>
      <c r="E822" t="n">
        <v>118760</v>
      </c>
      <c r="F822" t="n">
        <v>495027</v>
      </c>
      <c r="G822" t="inlineStr">
        <is>
          <t>Consult</t>
        </is>
      </c>
      <c r="H822" t="inlineStr">
        <is>
          <t>labs-imaging</t>
        </is>
      </c>
      <c r="I822" t="inlineStr">
        <is>
          <t>This represents a fair physical working capacity
   for his age.</t>
        </is>
      </c>
    </row>
    <row r="823">
      <c r="A823" t="inlineStr">
        <is>
          <t>495027-labs-imaging-0-19</t>
        </is>
      </c>
      <c r="B823" t="inlineStr"/>
      <c r="C823" t="inlineStr"/>
      <c r="D823">
        <f>HYPERLINK("http://nlpdeep.cs.uic.edu:8080/proofing/t5/495027-labs-imaging-0-19.pdf","t5/495027-labs-imaging-0-19.pdf")</f>
        <v/>
      </c>
      <c r="E823" t="n">
        <v>118760</v>
      </c>
      <c r="F823" t="n">
        <v>495027</v>
      </c>
      <c r="G823" t="inlineStr">
        <is>
          <t>Consult</t>
        </is>
      </c>
      <c r="H823" t="inlineStr">
        <is>
          <t>labs-imaging</t>
        </is>
      </c>
      <c r="I823" t="inlineStr">
        <is>
          <t>No arm, neck, back or chest discomfort was reported by the
   patient throughout the study.</t>
        </is>
      </c>
    </row>
    <row r="824">
      <c r="A824" t="inlineStr">
        <is>
          <t>495027-labs-imaging-0-19</t>
        </is>
      </c>
      <c r="B824" t="inlineStr"/>
      <c r="C824" t="inlineStr"/>
      <c r="D824">
        <f>HYPERLINK("http://nlpdeep.cs.uic.edu:8080/proofing/gsii/495027-labs-imaging-0-19.pdf","gsii/495027-labs-imaging-0-19.pdf")</f>
        <v/>
      </c>
      <c r="E824" t="n">
        <v>118760</v>
      </c>
      <c r="F824" t="n">
        <v>495027</v>
      </c>
      <c r="G824" t="inlineStr">
        <is>
          <t>Consult</t>
        </is>
      </c>
      <c r="H824" t="inlineStr">
        <is>
          <t>labs-imaging</t>
        </is>
      </c>
      <c r="I824" t="inlineStr">
        <is>
          <t>No arm, neck, back or chest discomfort was reported by the
   patient throughout the study.</t>
        </is>
      </c>
    </row>
    <row r="825">
      <c r="A825" t="inlineStr">
        <is>
          <t>495027-labs-imaging-0-20</t>
        </is>
      </c>
      <c r="B825" t="inlineStr"/>
      <c r="C825" t="inlineStr"/>
      <c r="D825">
        <f>HYPERLINK("http://nlpdeep.cs.uic.edu:8080/proofing/t5/495027-labs-imaging-0-20.pdf","t5/495027-labs-imaging-0-20.pdf")</f>
        <v/>
      </c>
      <c r="E825" t="n">
        <v>118760</v>
      </c>
      <c r="F825" t="n">
        <v>495027</v>
      </c>
      <c r="G825" t="inlineStr">
        <is>
          <t>Consult</t>
        </is>
      </c>
      <c r="H825" t="inlineStr">
        <is>
          <t>labs-imaging</t>
        </is>
      </c>
      <c r="I825" t="inlineStr">
        <is>
          <t>At
   peak exercise, there was 0.5-1 mm horizontal ST segment depression in
   V5-6.</t>
        </is>
      </c>
    </row>
    <row r="826">
      <c r="A826" t="inlineStr">
        <is>
          <t>495027-labs-imaging-0-20</t>
        </is>
      </c>
      <c r="B826" t="inlineStr"/>
      <c r="C826" t="inlineStr"/>
      <c r="D826">
        <f>HYPERLINK("http://nlpdeep.cs.uic.edu:8080/proofing/gsii/495027-labs-imaging-0-20.pdf","gsii/495027-labs-imaging-0-20.pdf")</f>
        <v/>
      </c>
      <c r="E826" t="n">
        <v>118760</v>
      </c>
      <c r="F826" t="n">
        <v>495027</v>
      </c>
      <c r="G826" t="inlineStr">
        <is>
          <t>Consult</t>
        </is>
      </c>
      <c r="H826" t="inlineStr">
        <is>
          <t>labs-imaging</t>
        </is>
      </c>
      <c r="I826" t="inlineStr">
        <is>
          <t>At
   peak exercise, there was 0.5-1 mm horizontal ST segment depression in
   V5-6.</t>
        </is>
      </c>
    </row>
    <row r="827">
      <c r="A827" t="inlineStr">
        <is>
          <t>495027-labs-imaging-0-21</t>
        </is>
      </c>
      <c r="B827" t="inlineStr"/>
      <c r="C827" t="inlineStr"/>
      <c r="D827">
        <f>HYPERLINK("http://nlpdeep.cs.uic.edu:8080/proofing/t5/495027-labs-imaging-0-21.pdf","t5/495027-labs-imaging-0-21.pdf")</f>
        <v/>
      </c>
      <c r="E827" t="n">
        <v>118760</v>
      </c>
      <c r="F827" t="n">
        <v>495027</v>
      </c>
      <c r="G827" t="inlineStr">
        <is>
          <t>Consult</t>
        </is>
      </c>
      <c r="H827" t="inlineStr">
        <is>
          <t>labs-imaging</t>
        </is>
      </c>
      <c r="I827" t="inlineStr">
        <is>
          <t>These changes resolved with rest by minute 4 of recovery.</t>
        </is>
      </c>
    </row>
    <row r="828">
      <c r="A828" t="inlineStr">
        <is>
          <t>495027-labs-imaging-0-21</t>
        </is>
      </c>
      <c r="B828" t="inlineStr"/>
      <c r="C828" t="inlineStr"/>
      <c r="D828">
        <f>HYPERLINK("http://nlpdeep.cs.uic.edu:8080/proofing/gsii/495027-labs-imaging-0-21.pdf","gsii/495027-labs-imaging-0-21.pdf")</f>
        <v/>
      </c>
      <c r="E828" t="n">
        <v>118760</v>
      </c>
      <c r="F828" t="n">
        <v>495027</v>
      </c>
      <c r="G828" t="inlineStr">
        <is>
          <t>Consult</t>
        </is>
      </c>
      <c r="H828" t="inlineStr">
        <is>
          <t>labs-imaging</t>
        </is>
      </c>
      <c r="I828" t="inlineStr">
        <is>
          <t>These changes resolved with rest by minute 4 of recovery.</t>
        </is>
      </c>
    </row>
    <row r="829">
      <c r="A829" t="inlineStr">
        <is>
          <t>495027-labs-imaging-0-22</t>
        </is>
      </c>
      <c r="B829" t="inlineStr"/>
      <c r="C829" t="inlineStr"/>
      <c r="D829">
        <f>HYPERLINK("http://nlpdeep.cs.uic.edu:8080/proofing/t5/495027-labs-imaging-0-22.pdf","t5/495027-labs-imaging-0-22.pdf")</f>
        <v/>
      </c>
      <c r="E829" t="n">
        <v>118760</v>
      </c>
      <c r="F829" t="n">
        <v>495027</v>
      </c>
      <c r="G829" t="inlineStr">
        <is>
          <t>Consult</t>
        </is>
      </c>
      <c r="H829" t="inlineStr">
        <is>
          <t>labs-imaging</t>
        </is>
      </c>
      <c r="I829" t="inlineStr">
        <is>
          <t>The
   rhythm was sinus with occasional isolated apbs and vpbs.</t>
        </is>
      </c>
    </row>
    <row r="830">
      <c r="A830" t="inlineStr">
        <is>
          <t>495027-labs-imaging-0-22</t>
        </is>
      </c>
      <c r="B830" t="inlineStr"/>
      <c r="C830" t="inlineStr"/>
      <c r="D830">
        <f>HYPERLINK("http://nlpdeep.cs.uic.edu:8080/proofing/gsii/495027-labs-imaging-0-22.pdf","gsii/495027-labs-imaging-0-22.pdf")</f>
        <v/>
      </c>
      <c r="E830" t="n">
        <v>118760</v>
      </c>
      <c r="F830" t="n">
        <v>495027</v>
      </c>
      <c r="G830" t="inlineStr">
        <is>
          <t>Consult</t>
        </is>
      </c>
      <c r="H830" t="inlineStr">
        <is>
          <t>labs-imaging</t>
        </is>
      </c>
      <c r="I830" t="inlineStr">
        <is>
          <t>The
   rhythm was sinus with occasional isolated apbs and vpbs.</t>
        </is>
      </c>
    </row>
    <row r="831">
      <c r="A831" t="inlineStr">
        <is>
          <t>495027-labs-imaging-0-23</t>
        </is>
      </c>
      <c r="B831" t="inlineStr"/>
      <c r="C831" t="inlineStr"/>
      <c r="D831">
        <f>HYPERLINK("http://nlpdeep.cs.uic.edu:8080/proofing/t5/495027-labs-imaging-0-23.pdf","t5/495027-labs-imaging-0-23.pdf")</f>
        <v/>
      </c>
      <c r="E831" t="n">
        <v>118760</v>
      </c>
      <c r="F831" t="n">
        <v>495027</v>
      </c>
      <c r="G831" t="inlineStr">
        <is>
          <t>Consult</t>
        </is>
      </c>
      <c r="H831" t="inlineStr">
        <is>
          <t>labs-imaging</t>
        </is>
      </c>
      <c r="I831" t="inlineStr">
        <is>
          <t>Resting
   hypertension with a slight increase in systolic BP with exercise.</t>
        </is>
      </c>
    </row>
    <row r="832">
      <c r="A832" t="inlineStr">
        <is>
          <t>495027-labs-imaging-0-23</t>
        </is>
      </c>
      <c r="B832" t="inlineStr"/>
      <c r="C832" t="inlineStr"/>
      <c r="D832">
        <f>HYPERLINK("http://nlpdeep.cs.uic.edu:8080/proofing/gsii/495027-labs-imaging-0-23.pdf","gsii/495027-labs-imaging-0-23.pdf")</f>
        <v/>
      </c>
      <c r="E832" t="n">
        <v>118760</v>
      </c>
      <c r="F832" t="n">
        <v>495027</v>
      </c>
      <c r="G832" t="inlineStr">
        <is>
          <t>Consult</t>
        </is>
      </c>
      <c r="H832" t="inlineStr">
        <is>
          <t>labs-imaging</t>
        </is>
      </c>
      <c r="I832" t="inlineStr">
        <is>
          <t>Resting
   hypertension with a slight increase in systolic BP with exercise.</t>
        </is>
      </c>
    </row>
    <row r="833">
      <c r="A833" t="inlineStr">
        <is>
          <t>495027-labs-imaging-0-24</t>
        </is>
      </c>
      <c r="B833" t="inlineStr"/>
      <c r="C833" t="inlineStr"/>
      <c r="D833">
        <f>HYPERLINK("http://nlpdeep.cs.uic.edu:8080/proofing/t5/495027-labs-imaging-0-24.pdf","t5/495027-labs-imaging-0-24.pdf")</f>
        <v/>
      </c>
      <c r="E833" t="n">
        <v>118760</v>
      </c>
      <c r="F833" t="n">
        <v>495027</v>
      </c>
      <c r="G833" t="inlineStr">
        <is>
          <t>Consult</t>
        </is>
      </c>
      <c r="H833" t="inlineStr">
        <is>
          <t>labs-imaging</t>
        </is>
      </c>
      <c r="I833" t="inlineStr">
        <is>
          <t xml:space="preserve">
   IMPRESSION: Borderline ischemic EKG changes in the absence of angina at
   the achieved level of exercise.</t>
        </is>
      </c>
    </row>
    <row r="834">
      <c r="A834" t="inlineStr">
        <is>
          <t>495027-labs-imaging-0-24</t>
        </is>
      </c>
      <c r="B834" t="inlineStr"/>
      <c r="C834" t="inlineStr"/>
      <c r="D834">
        <f>HYPERLINK("http://nlpdeep.cs.uic.edu:8080/proofing/gsii/495027-labs-imaging-0-24.pdf","gsii/495027-labs-imaging-0-24.pdf")</f>
        <v/>
      </c>
      <c r="E834" t="n">
        <v>118760</v>
      </c>
      <c r="F834" t="n">
        <v>495027</v>
      </c>
      <c r="G834" t="inlineStr">
        <is>
          <t>Consult</t>
        </is>
      </c>
      <c r="H834" t="inlineStr">
        <is>
          <t>labs-imaging</t>
        </is>
      </c>
      <c r="I834" t="inlineStr">
        <is>
          <t xml:space="preserve">
   IMPRESSION: Borderline ischemic EKG changes in the absence of angina at
   the achieved level of exercise.</t>
        </is>
      </c>
    </row>
    <row r="835">
      <c r="A835" t="inlineStr">
        <is>
          <t>495027-labs-imaging-0-25</t>
        </is>
      </c>
      <c r="B835" t="inlineStr"/>
      <c r="C835" t="inlineStr"/>
      <c r="D835">
        <f>HYPERLINK("http://nlpdeep.cs.uic.edu:8080/proofing/t5/495027-labs-imaging-0-25.pdf","t5/495027-labs-imaging-0-25.pdf")</f>
        <v/>
      </c>
      <c r="E835" t="n">
        <v>118760</v>
      </c>
      <c r="F835" t="n">
        <v>495027</v>
      </c>
      <c r="G835" t="inlineStr">
        <is>
          <t>Consult</t>
        </is>
      </c>
      <c r="H835" t="inlineStr">
        <is>
          <t>labs-imaging</t>
        </is>
      </c>
      <c r="I835" t="inlineStr">
        <is>
          <t>Nuclear report demonstrated: 1.</t>
        </is>
      </c>
    </row>
    <row r="836">
      <c r="A836" t="inlineStr">
        <is>
          <t>495027-labs-imaging-0-25</t>
        </is>
      </c>
      <c r="B836" t="inlineStr"/>
      <c r="C836" t="inlineStr"/>
      <c r="D836">
        <f>HYPERLINK("http://nlpdeep.cs.uic.edu:8080/proofing/gsii/495027-labs-imaging-0-25.pdf","gsii/495027-labs-imaging-0-25.pdf")</f>
        <v/>
      </c>
      <c r="E836" t="n">
        <v>118760</v>
      </c>
      <c r="F836" t="n">
        <v>495027</v>
      </c>
      <c r="G836" t="inlineStr">
        <is>
          <t>Consult</t>
        </is>
      </c>
      <c r="H836" t="inlineStr">
        <is>
          <t>labs-imaging</t>
        </is>
      </c>
      <c r="I836" t="inlineStr">
        <is>
          <t>Nuclear report demonstrated: 1.</t>
        </is>
      </c>
    </row>
    <row r="837">
      <c r="A837" t="inlineStr">
        <is>
          <t>495027-labs-imaging-0-26</t>
        </is>
      </c>
      <c r="B837" t="inlineStr"/>
      <c r="C837" t="inlineStr"/>
      <c r="D837">
        <f>HYPERLINK("http://nlpdeep.cs.uic.edu:8080/proofing/t5/495027-labs-imaging-0-26.pdf","t5/495027-labs-imaging-0-26.pdf")</f>
        <v/>
      </c>
      <c r="E837" t="n">
        <v>118760</v>
      </c>
      <c r="F837" t="n">
        <v>495027</v>
      </c>
      <c r="G837" t="inlineStr">
        <is>
          <t>Consult</t>
        </is>
      </c>
      <c r="H837" t="inlineStr">
        <is>
          <t>labs-imaging</t>
        </is>
      </c>
      <c r="I837" t="inlineStr">
        <is>
          <t xml:space="preserve">
   Predominantly fixed, moderate perfusion defect in the inferior wall,
   which was present but partially reversible on [**2124-3-7**].</t>
        </is>
      </c>
    </row>
    <row r="838">
      <c r="A838" t="inlineStr">
        <is>
          <t>495027-labs-imaging-0-26</t>
        </is>
      </c>
      <c r="B838" t="inlineStr"/>
      <c r="C838" t="inlineStr"/>
      <c r="D838">
        <f>HYPERLINK("http://nlpdeep.cs.uic.edu:8080/proofing/gsii/495027-labs-imaging-0-26.pdf","gsii/495027-labs-imaging-0-26.pdf")</f>
        <v/>
      </c>
      <c r="E838" t="n">
        <v>118760</v>
      </c>
      <c r="F838" t="n">
        <v>495027</v>
      </c>
      <c r="G838" t="inlineStr">
        <is>
          <t>Consult</t>
        </is>
      </c>
      <c r="H838" t="inlineStr">
        <is>
          <t>labs-imaging</t>
        </is>
      </c>
      <c r="I838" t="inlineStr">
        <is>
          <t xml:space="preserve">
   Predominantly fixed, moderate perfusion defect in the inferior wall,
   which was present but partially reversible on [**2124-3-7**].</t>
        </is>
      </c>
    </row>
    <row r="839">
      <c r="A839" t="inlineStr">
        <is>
          <t>495027-labs-imaging-0-27</t>
        </is>
      </c>
      <c r="B839" t="inlineStr"/>
      <c r="C839" t="inlineStr"/>
      <c r="D839">
        <f>HYPERLINK("http://nlpdeep.cs.uic.edu:8080/proofing/t5/495027-labs-imaging-0-27.pdf","t5/495027-labs-imaging-0-27.pdf")</f>
        <v/>
      </c>
      <c r="E839" t="n">
        <v>118760</v>
      </c>
      <c r="F839" t="n">
        <v>495027</v>
      </c>
      <c r="G839" t="inlineStr">
        <is>
          <t>Consult</t>
        </is>
      </c>
      <c r="H839" t="inlineStr">
        <is>
          <t>labs-imaging</t>
        </is>
      </c>
      <c r="I839" t="inlineStr">
        <is>
          <t>Dilatation of
   the left ventricular cavity on both stress and rest images, slightly
   increased since [**2124-3-7**].</t>
        </is>
      </c>
    </row>
    <row r="840">
      <c r="A840" t="inlineStr">
        <is>
          <t>495027-labs-imaging-0-27</t>
        </is>
      </c>
      <c r="B840" t="inlineStr"/>
      <c r="C840" t="inlineStr"/>
      <c r="D840">
        <f>HYPERLINK("http://nlpdeep.cs.uic.edu:8080/proofing/gsii/495027-labs-imaging-0-27.pdf","gsii/495027-labs-imaging-0-27.pdf")</f>
        <v/>
      </c>
      <c r="E840" t="n">
        <v>118760</v>
      </c>
      <c r="F840" t="n">
        <v>495027</v>
      </c>
      <c r="G840" t="inlineStr">
        <is>
          <t>Consult</t>
        </is>
      </c>
      <c r="H840" t="inlineStr">
        <is>
          <t>labs-imaging</t>
        </is>
      </c>
      <c r="I840" t="inlineStr">
        <is>
          <t>Dilatation of
   the left ventricular cavity on both stress and rest images, slightly
   increased since [**2124-3-7**].</t>
        </is>
      </c>
    </row>
    <row r="841">
      <c r="A841" t="inlineStr">
        <is>
          <t>495027-labs-imaging-0-28</t>
        </is>
      </c>
      <c r="B841" t="inlineStr"/>
      <c r="C841" t="inlineStr"/>
      <c r="D841">
        <f>HYPERLINK("http://nlpdeep.cs.uic.edu:8080/proofing/t5/495027-labs-imaging-0-28.pdf","t5/495027-labs-imaging-0-28.pdf")</f>
        <v/>
      </c>
      <c r="E841" t="n">
        <v>118760</v>
      </c>
      <c r="F841" t="n">
        <v>495027</v>
      </c>
      <c r="G841" t="inlineStr">
        <is>
          <t>Consult</t>
        </is>
      </c>
      <c r="H841" t="inlineStr">
        <is>
          <t>labs-imaging</t>
        </is>
      </c>
      <c r="I841" t="inlineStr">
        <is>
          <t xml:space="preserve">
   EF 52%.</t>
        </is>
      </c>
    </row>
    <row r="842">
      <c r="A842" t="inlineStr">
        <is>
          <t>495027-labs-imaging-0-28</t>
        </is>
      </c>
      <c r="B842" t="inlineStr"/>
      <c r="C842" t="inlineStr"/>
      <c r="D842">
        <f>HYPERLINK("http://nlpdeep.cs.uic.edu:8080/proofing/gsii/495027-labs-imaging-0-28.pdf","gsii/495027-labs-imaging-0-28.pdf")</f>
        <v/>
      </c>
      <c r="E842" t="n">
        <v>118760</v>
      </c>
      <c r="F842" t="n">
        <v>495027</v>
      </c>
      <c r="G842" t="inlineStr">
        <is>
          <t>Consult</t>
        </is>
      </c>
      <c r="H842" t="inlineStr">
        <is>
          <t>labs-imaging</t>
        </is>
      </c>
      <c r="I842" t="inlineStr">
        <is>
          <t xml:space="preserve">
   EF 52%.</t>
        </is>
      </c>
    </row>
    <row r="843">
      <c r="A843" t="inlineStr">
        <is>
          <t>495027-labs-imaging-0-29</t>
        </is>
      </c>
      <c r="B843" t="inlineStr"/>
      <c r="C843" t="inlineStr"/>
      <c r="D843">
        <f>HYPERLINK("http://nlpdeep.cs.uic.edu:8080/proofing/t5/495027-labs-imaging-0-29.pdf","t5/495027-labs-imaging-0-29.pdf")</f>
        <v/>
      </c>
      <c r="E843" t="n">
        <v>118760</v>
      </c>
      <c r="F843" t="n">
        <v>495027</v>
      </c>
      <c r="G843" t="inlineStr">
        <is>
          <t>Consult</t>
        </is>
      </c>
      <c r="H843" t="inlineStr">
        <is>
          <t>labs-imaging</t>
        </is>
      </c>
      <c r="I843" t="inlineStr">
        <is>
          <t xml:space="preserve">
   CARDIAC CATH performed on [**2131-2-12**] demonstrated:
   1.</t>
        </is>
      </c>
    </row>
    <row r="844">
      <c r="A844" t="inlineStr">
        <is>
          <t>495027-labs-imaging-0-29</t>
        </is>
      </c>
      <c r="B844" t="inlineStr"/>
      <c r="C844" t="inlineStr"/>
      <c r="D844">
        <f>HYPERLINK("http://nlpdeep.cs.uic.edu:8080/proofing/gsii/495027-labs-imaging-0-29.pdf","gsii/495027-labs-imaging-0-29.pdf")</f>
        <v/>
      </c>
      <c r="E844" t="n">
        <v>118760</v>
      </c>
      <c r="F844" t="n">
        <v>495027</v>
      </c>
      <c r="G844" t="inlineStr">
        <is>
          <t>Consult</t>
        </is>
      </c>
      <c r="H844" t="inlineStr">
        <is>
          <t>labs-imaging</t>
        </is>
      </c>
      <c r="I844" t="inlineStr">
        <is>
          <t xml:space="preserve">
   CARDIAC CATH performed on [**2131-2-12**] demonstrated:
   1.</t>
        </is>
      </c>
    </row>
    <row r="845">
      <c r="A845" t="inlineStr">
        <is>
          <t>495027-labs-imaging-0-30</t>
        </is>
      </c>
      <c r="B845" t="inlineStr"/>
      <c r="C845" t="inlineStr"/>
      <c r="D845">
        <f>HYPERLINK("http://nlpdeep.cs.uic.edu:8080/proofing/t5/495027-labs-imaging-0-30.pdf","t5/495027-labs-imaging-0-30.pdf")</f>
        <v/>
      </c>
      <c r="E845" t="n">
        <v>118760</v>
      </c>
      <c r="F845" t="n">
        <v>495027</v>
      </c>
      <c r="G845" t="inlineStr">
        <is>
          <t>Consult</t>
        </is>
      </c>
      <c r="H845" t="inlineStr">
        <is>
          <t>labs-imaging</t>
        </is>
      </c>
      <c r="I845" t="inlineStr">
        <is>
          <t>Coronary angiography of this right dominant system revealed a 70%
   stenosis at the origin of the LMCA.</t>
        </is>
      </c>
    </row>
    <row r="846">
      <c r="A846" t="inlineStr">
        <is>
          <t>495027-labs-imaging-0-30</t>
        </is>
      </c>
      <c r="B846" t="inlineStr"/>
      <c r="C846" t="inlineStr"/>
      <c r="D846">
        <f>HYPERLINK("http://nlpdeep.cs.uic.edu:8080/proofing/gsii/495027-labs-imaging-0-30.pdf","gsii/495027-labs-imaging-0-30.pdf")</f>
        <v/>
      </c>
      <c r="E846" t="n">
        <v>118760</v>
      </c>
      <c r="F846" t="n">
        <v>495027</v>
      </c>
      <c r="G846" t="inlineStr">
        <is>
          <t>Consult</t>
        </is>
      </c>
      <c r="H846" t="inlineStr">
        <is>
          <t>labs-imaging</t>
        </is>
      </c>
      <c r="I846" t="inlineStr">
        <is>
          <t>Coronary angiography of this right dominant system revealed a 70%
   stenosis at the origin of the LMCA.</t>
        </is>
      </c>
    </row>
    <row r="847">
      <c r="A847" t="inlineStr">
        <is>
          <t>495027-labs-imaging-0-31</t>
        </is>
      </c>
      <c r="B847" t="inlineStr"/>
      <c r="C847" t="inlineStr"/>
      <c r="D847">
        <f>HYPERLINK("http://nlpdeep.cs.uic.edu:8080/proofing/t5/495027-labs-imaging-0-31.pdf","t5/495027-labs-imaging-0-31.pdf")</f>
        <v/>
      </c>
      <c r="E847" t="n">
        <v>118760</v>
      </c>
      <c r="F847" t="n">
        <v>495027</v>
      </c>
      <c r="G847" t="inlineStr">
        <is>
          <t>Consult</t>
        </is>
      </c>
      <c r="H847" t="inlineStr">
        <is>
          <t>labs-imaging</t>
        </is>
      </c>
      <c r="I847" t="inlineStr">
        <is>
          <t>The LAD had competitive flow
   distally with a patent LIMA and had a large D1 without critical
   lesions.</t>
        </is>
      </c>
    </row>
    <row r="848">
      <c r="A848" t="inlineStr">
        <is>
          <t>495027-labs-imaging-0-31</t>
        </is>
      </c>
      <c r="B848" t="inlineStr"/>
      <c r="C848" t="inlineStr"/>
      <c r="D848">
        <f>HYPERLINK("http://nlpdeep.cs.uic.edu:8080/proofing/gsii/495027-labs-imaging-0-31.pdf","gsii/495027-labs-imaging-0-31.pdf")</f>
        <v/>
      </c>
      <c r="E848" t="n">
        <v>118760</v>
      </c>
      <c r="F848" t="n">
        <v>495027</v>
      </c>
      <c r="G848" t="inlineStr">
        <is>
          <t>Consult</t>
        </is>
      </c>
      <c r="H848" t="inlineStr">
        <is>
          <t>labs-imaging</t>
        </is>
      </c>
      <c r="I848" t="inlineStr">
        <is>
          <t>The LAD had competitive flow
   distally with a patent LIMA and had a large D1 without critical
   lesions.</t>
        </is>
      </c>
    </row>
    <row r="849">
      <c r="A849" t="inlineStr">
        <is>
          <t>495027-labs-imaging-0-32</t>
        </is>
      </c>
      <c r="B849" t="inlineStr"/>
      <c r="C849" t="inlineStr"/>
      <c r="D849">
        <f>HYPERLINK("http://nlpdeep.cs.uic.edu:8080/proofing/t5/495027-labs-imaging-0-32.pdf","t5/495027-labs-imaging-0-32.pdf")</f>
        <v/>
      </c>
      <c r="E849" t="n">
        <v>118760</v>
      </c>
      <c r="F849" t="n">
        <v>495027</v>
      </c>
      <c r="G849" t="inlineStr">
        <is>
          <t>Consult</t>
        </is>
      </c>
      <c r="H849" t="inlineStr">
        <is>
          <t>labs-imaging</t>
        </is>
      </c>
      <c r="I849" t="inlineStr">
        <is>
          <t>The LCX was a non-dominant vessel with a sub-total occlusion
   of the AV groove vessel.</t>
        </is>
      </c>
    </row>
    <row r="850">
      <c r="A850" t="inlineStr">
        <is>
          <t>495027-labs-imaging-0-32</t>
        </is>
      </c>
      <c r="B850" t="inlineStr"/>
      <c r="C850" t="inlineStr"/>
      <c r="D850">
        <f>HYPERLINK("http://nlpdeep.cs.uic.edu:8080/proofing/gsii/495027-labs-imaging-0-32.pdf","gsii/495027-labs-imaging-0-32.pdf")</f>
        <v/>
      </c>
      <c r="E850" t="n">
        <v>118760</v>
      </c>
      <c r="F850" t="n">
        <v>495027</v>
      </c>
      <c r="G850" t="inlineStr">
        <is>
          <t>Consult</t>
        </is>
      </c>
      <c r="H850" t="inlineStr">
        <is>
          <t>labs-imaging</t>
        </is>
      </c>
      <c r="I850" t="inlineStr">
        <is>
          <t>The LCX was a non-dominant vessel with a sub-total occlusion
   of the AV groove vessel.</t>
        </is>
      </c>
    </row>
    <row r="851">
      <c r="A851" t="inlineStr">
        <is>
          <t>495027-labs-imaging-0-33</t>
        </is>
      </c>
      <c r="B851" t="inlineStr"/>
      <c r="C851" t="inlineStr"/>
      <c r="D851">
        <f>HYPERLINK("http://nlpdeep.cs.uic.edu:8080/proofing/t5/495027-labs-imaging-0-33.pdf","t5/495027-labs-imaging-0-33.pdf")</f>
        <v/>
      </c>
      <c r="E851" t="n">
        <v>118760</v>
      </c>
      <c r="F851" t="n">
        <v>495027</v>
      </c>
      <c r="G851" t="inlineStr">
        <is>
          <t>Consult</t>
        </is>
      </c>
      <c r="H851" t="inlineStr">
        <is>
          <t>labs-imaging</t>
        </is>
      </c>
      <c r="I851" t="inlineStr">
        <is>
          <t>The RCA was the dominant vessel but totally
   occluded proximally.</t>
        </is>
      </c>
    </row>
    <row r="852">
      <c r="A852" t="inlineStr">
        <is>
          <t>495027-labs-imaging-0-33</t>
        </is>
      </c>
      <c r="B852" t="inlineStr"/>
      <c r="C852" t="inlineStr"/>
      <c r="D852">
        <f>HYPERLINK("http://nlpdeep.cs.uic.edu:8080/proofing/gsii/495027-labs-imaging-0-33.pdf","gsii/495027-labs-imaging-0-33.pdf")</f>
        <v/>
      </c>
      <c r="E852" t="n">
        <v>118760</v>
      </c>
      <c r="F852" t="n">
        <v>495027</v>
      </c>
      <c r="G852" t="inlineStr">
        <is>
          <t>Consult</t>
        </is>
      </c>
      <c r="H852" t="inlineStr">
        <is>
          <t>labs-imaging</t>
        </is>
      </c>
      <c r="I852" t="inlineStr">
        <is>
          <t>The RCA was the dominant vessel but totally
   occluded proximally.</t>
        </is>
      </c>
    </row>
    <row r="853">
      <c r="A853" t="inlineStr">
        <is>
          <t>495027-labs-imaging-0-34</t>
        </is>
      </c>
      <c r="B853" t="inlineStr"/>
      <c r="C853" t="inlineStr"/>
      <c r="D853">
        <f>HYPERLINK("http://nlpdeep.cs.uic.edu:8080/proofing/t5/495027-labs-imaging-0-34.pdf","t5/495027-labs-imaging-0-34.pdf")</f>
        <v/>
      </c>
      <c r="E853" t="n">
        <v>118760</v>
      </c>
      <c r="F853" t="n">
        <v>495027</v>
      </c>
      <c r="G853" t="inlineStr">
        <is>
          <t>Consult</t>
        </is>
      </c>
      <c r="H853" t="inlineStr">
        <is>
          <t>labs-imaging</t>
        </is>
      </c>
      <c r="I853" t="inlineStr">
        <is>
          <t>Arterial conduit arteriography revealed a patent LIMA-LAD, occluded
   SVG-OM1/3 proximally and occluded SVG-RCA proximally.</t>
        </is>
      </c>
    </row>
    <row r="854">
      <c r="A854" t="inlineStr">
        <is>
          <t>495027-labs-imaging-0-34</t>
        </is>
      </c>
      <c r="B854" t="inlineStr"/>
      <c r="C854" t="inlineStr"/>
      <c r="D854">
        <f>HYPERLINK("http://nlpdeep.cs.uic.edu:8080/proofing/gsii/495027-labs-imaging-0-34.pdf","gsii/495027-labs-imaging-0-34.pdf")</f>
        <v/>
      </c>
      <c r="E854" t="n">
        <v>118760</v>
      </c>
      <c r="F854" t="n">
        <v>495027</v>
      </c>
      <c r="G854" t="inlineStr">
        <is>
          <t>Consult</t>
        </is>
      </c>
      <c r="H854" t="inlineStr">
        <is>
          <t>labs-imaging</t>
        </is>
      </c>
      <c r="I854" t="inlineStr">
        <is>
          <t>Arterial conduit arteriography revealed a patent LIMA-LAD, occluded
   SVG-OM1/3 proximally and occluded SVG-RCA proximally.</t>
        </is>
      </c>
    </row>
    <row r="855">
      <c r="A855" t="inlineStr">
        <is>
          <t>495027-labs-imaging-0-35</t>
        </is>
      </c>
      <c r="B855" t="inlineStr"/>
      <c r="C855" t="inlineStr"/>
      <c r="D855">
        <f>HYPERLINK("http://nlpdeep.cs.uic.edu:8080/proofing/t5/495027-labs-imaging-0-35.pdf","t5/495027-labs-imaging-0-35.pdf")</f>
        <v/>
      </c>
      <c r="E855" t="n">
        <v>118760</v>
      </c>
      <c r="F855" t="n">
        <v>495027</v>
      </c>
      <c r="G855" t="inlineStr">
        <is>
          <t>Consult</t>
        </is>
      </c>
      <c r="H855" t="inlineStr">
        <is>
          <t>labs-imaging</t>
        </is>
      </c>
      <c r="I855" t="inlineStr">
        <is>
          <t>Resting
   hemodynamics revealed normal systemic arterial pressures with an SBP of
   124 mm Hg and a mildly elevated LVEDP of 24 mm Hg consistent with mild
   diastolic dysfunction.</t>
        </is>
      </c>
    </row>
    <row r="856">
      <c r="A856" t="inlineStr">
        <is>
          <t>495027-labs-imaging-0-35</t>
        </is>
      </c>
      <c r="B856" t="inlineStr"/>
      <c r="C856" t="inlineStr"/>
      <c r="D856">
        <f>HYPERLINK("http://nlpdeep.cs.uic.edu:8080/proofing/gsii/495027-labs-imaging-0-35.pdf","gsii/495027-labs-imaging-0-35.pdf")</f>
        <v/>
      </c>
      <c r="E856" t="n">
        <v>118760</v>
      </c>
      <c r="F856" t="n">
        <v>495027</v>
      </c>
      <c r="G856" t="inlineStr">
        <is>
          <t>Consult</t>
        </is>
      </c>
      <c r="H856" t="inlineStr">
        <is>
          <t>labs-imaging</t>
        </is>
      </c>
      <c r="I856" t="inlineStr">
        <is>
          <t>Resting
   hemodynamics revealed normal systemic arterial pressures with an SBP of
   124 mm Hg and a mildly elevated LVEDP of 24 mm Hg consistent with mild
   diastolic dysfunction.</t>
        </is>
      </c>
    </row>
    <row r="857">
      <c r="A857" t="inlineStr">
        <is>
          <t>495027-labs-imaging-0-36</t>
        </is>
      </c>
      <c r="B857" t="inlineStr"/>
      <c r="C857" t="inlineStr"/>
      <c r="D857">
        <f>HYPERLINK("http://nlpdeep.cs.uic.edu:8080/proofing/t5/495027-labs-imaging-0-36.pdf","t5/495027-labs-imaging-0-36.pdf")</f>
        <v/>
      </c>
      <c r="E857" t="n">
        <v>118760</v>
      </c>
      <c r="F857" t="n">
        <v>495027</v>
      </c>
      <c r="G857" t="inlineStr">
        <is>
          <t>Consult</t>
        </is>
      </c>
      <c r="H857" t="inlineStr">
        <is>
          <t>labs-imaging</t>
        </is>
      </c>
      <c r="I857" t="inlineStr">
        <is>
          <t xml:space="preserve"> Stenting of protected left main ostium with 3.5x12mm Endeavor stent
   post-dilated to 3.75.</t>
        </is>
      </c>
    </row>
    <row r="858">
      <c r="A858" t="inlineStr">
        <is>
          <t>495027-labs-imaging-0-36</t>
        </is>
      </c>
      <c r="B858" t="inlineStr"/>
      <c r="C858" t="inlineStr"/>
      <c r="D858">
        <f>HYPERLINK("http://nlpdeep.cs.uic.edu:8080/proofing/gsii/495027-labs-imaging-0-36.pdf","gsii/495027-labs-imaging-0-36.pdf")</f>
        <v/>
      </c>
      <c r="E858" t="n">
        <v>118760</v>
      </c>
      <c r="F858" t="n">
        <v>495027</v>
      </c>
      <c r="G858" t="inlineStr">
        <is>
          <t>Consult</t>
        </is>
      </c>
      <c r="H858" t="inlineStr">
        <is>
          <t>labs-imaging</t>
        </is>
      </c>
      <c r="I858" t="inlineStr">
        <is>
          <t xml:space="preserve"> Stenting of protected left main ostium with 3.5x12mm Endeavor stent
   post-dilated to 3.75.</t>
        </is>
      </c>
    </row>
    <row r="859">
      <c r="A859" t="inlineStr">
        <is>
          <t>495027-labs-imaging-0-37</t>
        </is>
      </c>
      <c r="B859" t="inlineStr"/>
      <c r="C859" t="inlineStr"/>
      <c r="D859">
        <f>HYPERLINK("http://nlpdeep.cs.uic.edu:8080/proofing/t5/495027-labs-imaging-0-37.pdf","t5/495027-labs-imaging-0-37.pdf")</f>
        <v/>
      </c>
      <c r="E859" t="n">
        <v>118760</v>
      </c>
      <c r="F859" t="n">
        <v>495027</v>
      </c>
      <c r="G859" t="inlineStr">
        <is>
          <t>Consult</t>
        </is>
      </c>
      <c r="H859" t="inlineStr">
        <is>
          <t>labs-imaging</t>
        </is>
      </c>
      <c r="I859" t="inlineStr">
        <is>
          <t>Final angiography with no complications.</t>
        </is>
      </c>
    </row>
    <row r="860">
      <c r="A860" t="inlineStr">
        <is>
          <t>495027-labs-imaging-0-37</t>
        </is>
      </c>
      <c r="B860" t="inlineStr"/>
      <c r="C860" t="inlineStr"/>
      <c r="D860">
        <f>HYPERLINK("http://nlpdeep.cs.uic.edu:8080/proofing/gsii/495027-labs-imaging-0-37.pdf","gsii/495027-labs-imaging-0-37.pdf")</f>
        <v/>
      </c>
      <c r="E860" t="n">
        <v>118760</v>
      </c>
      <c r="F860" t="n">
        <v>495027</v>
      </c>
      <c r="G860" t="inlineStr">
        <is>
          <t>Consult</t>
        </is>
      </c>
      <c r="H860" t="inlineStr">
        <is>
          <t>labs-imaging</t>
        </is>
      </c>
      <c r="I860" t="inlineStr">
        <is>
          <t>Final angiography with no complications.</t>
        </is>
      </c>
    </row>
    <row r="861">
      <c r="A861" t="inlineStr">
        <is>
          <t>495027-labs-imaging-0-38</t>
        </is>
      </c>
      <c r="B861" t="inlineStr"/>
      <c r="C861" t="inlineStr"/>
      <c r="D861">
        <f>HYPERLINK("http://nlpdeep.cs.uic.edu:8080/proofing/t5/495027-labs-imaging-0-38.pdf","t5/495027-labs-imaging-0-38.pdf")</f>
        <v/>
      </c>
      <c r="E861" t="n">
        <v>118760</v>
      </c>
      <c r="F861" t="n">
        <v>495027</v>
      </c>
      <c r="G861" t="inlineStr">
        <is>
          <t>Consult</t>
        </is>
      </c>
      <c r="H861" t="inlineStr">
        <is>
          <t>labs-imaging</t>
        </is>
      </c>
      <c r="I861" t="inlineStr">
        <is>
          <t xml:space="preserve">
   FINAL DIAGNOSIS:
   1.</t>
        </is>
      </c>
    </row>
    <row r="862">
      <c r="A862" t="inlineStr">
        <is>
          <t>495027-labs-imaging-0-38</t>
        </is>
      </c>
      <c r="B862" t="inlineStr"/>
      <c r="C862" t="inlineStr"/>
      <c r="D862">
        <f>HYPERLINK("http://nlpdeep.cs.uic.edu:8080/proofing/gsii/495027-labs-imaging-0-38.pdf","gsii/495027-labs-imaging-0-38.pdf")</f>
        <v/>
      </c>
      <c r="E862" t="n">
        <v>118760</v>
      </c>
      <c r="F862" t="n">
        <v>495027</v>
      </c>
      <c r="G862" t="inlineStr">
        <is>
          <t>Consult</t>
        </is>
      </c>
      <c r="H862" t="inlineStr">
        <is>
          <t>labs-imaging</t>
        </is>
      </c>
      <c r="I862" t="inlineStr">
        <is>
          <t xml:space="preserve">
   FINAL DIAGNOSIS:
   1.</t>
        </is>
      </c>
    </row>
    <row r="863">
      <c r="A863" t="inlineStr">
        <is>
          <t>495027-labs-imaging-0-39</t>
        </is>
      </c>
      <c r="B863" t="inlineStr"/>
      <c r="C863" t="inlineStr"/>
      <c r="D863">
        <f>HYPERLINK("http://nlpdeep.cs.uic.edu:8080/proofing/t5/495027-labs-imaging-0-39.pdf","t5/495027-labs-imaging-0-39.pdf")</f>
        <v/>
      </c>
      <c r="E863" t="n">
        <v>118760</v>
      </c>
      <c r="F863" t="n">
        <v>495027</v>
      </c>
      <c r="G863" t="inlineStr">
        <is>
          <t>Consult</t>
        </is>
      </c>
      <c r="H863" t="inlineStr">
        <is>
          <t>labs-imaging</t>
        </is>
      </c>
      <c r="I863" t="inlineStr">
        <is>
          <t>Three vessel coronary disease
   2.</t>
        </is>
      </c>
    </row>
    <row r="864">
      <c r="A864" t="inlineStr">
        <is>
          <t>495027-labs-imaging-0-39</t>
        </is>
      </c>
      <c r="B864" t="inlineStr"/>
      <c r="C864" t="inlineStr"/>
      <c r="D864">
        <f>HYPERLINK("http://nlpdeep.cs.uic.edu:8080/proofing/gsii/495027-labs-imaging-0-39.pdf","gsii/495027-labs-imaging-0-39.pdf")</f>
        <v/>
      </c>
      <c r="E864" t="n">
        <v>118760</v>
      </c>
      <c r="F864" t="n">
        <v>495027</v>
      </c>
      <c r="G864" t="inlineStr">
        <is>
          <t>Consult</t>
        </is>
      </c>
      <c r="H864" t="inlineStr">
        <is>
          <t>labs-imaging</t>
        </is>
      </c>
      <c r="I864" t="inlineStr">
        <is>
          <t>Three vessel coronary disease
   2.</t>
        </is>
      </c>
    </row>
    <row r="865">
      <c r="A865" t="inlineStr">
        <is>
          <t>495027-labs-imaging-0-40</t>
        </is>
      </c>
      <c r="B865" t="inlineStr"/>
      <c r="C865" t="inlineStr"/>
      <c r="D865">
        <f>HYPERLINK("http://nlpdeep.cs.uic.edu:8080/proofing/t5/495027-labs-imaging-0-40.pdf","t5/495027-labs-imaging-0-40.pdf")</f>
        <v/>
      </c>
      <c r="E865" t="n">
        <v>118760</v>
      </c>
      <c r="F865" t="n">
        <v>495027</v>
      </c>
      <c r="G865" t="inlineStr">
        <is>
          <t>Consult</t>
        </is>
      </c>
      <c r="H865" t="inlineStr">
        <is>
          <t>labs-imaging</t>
        </is>
      </c>
      <c r="I865" t="inlineStr">
        <is>
          <t>Patent LIMA-LAD, occluded SVG-RCA, occluded SVG-OM1/OM3
   3.</t>
        </is>
      </c>
    </row>
    <row r="866">
      <c r="A866" t="inlineStr">
        <is>
          <t>495027-labs-imaging-0-40</t>
        </is>
      </c>
      <c r="B866" t="inlineStr"/>
      <c r="C866" t="inlineStr"/>
      <c r="D866">
        <f>HYPERLINK("http://nlpdeep.cs.uic.edu:8080/proofing/gsii/495027-labs-imaging-0-40.pdf","gsii/495027-labs-imaging-0-40.pdf")</f>
        <v/>
      </c>
      <c r="E866" t="n">
        <v>118760</v>
      </c>
      <c r="F866" t="n">
        <v>495027</v>
      </c>
      <c r="G866" t="inlineStr">
        <is>
          <t>Consult</t>
        </is>
      </c>
      <c r="H866" t="inlineStr">
        <is>
          <t>labs-imaging</t>
        </is>
      </c>
      <c r="I866" t="inlineStr">
        <is>
          <t>Patent LIMA-LAD, occluded SVG-RCA, occluded SVG-OM1/OM3
   3.</t>
        </is>
      </c>
    </row>
    <row r="867">
      <c r="A867" t="inlineStr">
        <is>
          <t>495027-labs-imaging-0-41</t>
        </is>
      </c>
      <c r="B867" t="inlineStr"/>
      <c r="C867" t="inlineStr"/>
      <c r="D867">
        <f>HYPERLINK("http://nlpdeep.cs.uic.edu:8080/proofing/t5/495027-labs-imaging-0-41.pdf","t5/495027-labs-imaging-0-41.pdf")</f>
        <v/>
      </c>
      <c r="E867" t="n">
        <v>118760</v>
      </c>
      <c r="F867" t="n">
        <v>495027</v>
      </c>
      <c r="G867" t="inlineStr">
        <is>
          <t>Consult</t>
        </is>
      </c>
      <c r="H867" t="inlineStr">
        <is>
          <t>labs-imaging</t>
        </is>
      </c>
      <c r="I867" t="inlineStr">
        <is>
          <t>Stenting of left main with DES.</t>
        </is>
      </c>
    </row>
    <row r="868">
      <c r="A868" t="inlineStr">
        <is>
          <t>495027-labs-imaging-0-41</t>
        </is>
      </c>
      <c r="B868" t="inlineStr"/>
      <c r="C868" t="inlineStr"/>
      <c r="D868">
        <f>HYPERLINK("http://nlpdeep.cs.uic.edu:8080/proofing/gsii/495027-labs-imaging-0-41.pdf","gsii/495027-labs-imaging-0-41.pdf")</f>
        <v/>
      </c>
      <c r="E868" t="n">
        <v>118760</v>
      </c>
      <c r="F868" t="n">
        <v>495027</v>
      </c>
      <c r="G868" t="inlineStr">
        <is>
          <t>Consult</t>
        </is>
      </c>
      <c r="H868" t="inlineStr">
        <is>
          <t>labs-imaging</t>
        </is>
      </c>
      <c r="I868" t="inlineStr">
        <is>
          <t>Stenting of left main with DES.</t>
        </is>
      </c>
    </row>
    <row r="869">
      <c r="A869" t="inlineStr">
        <is>
          <t>495027-labs-imaging-0-42</t>
        </is>
      </c>
      <c r="B869" t="inlineStr"/>
      <c r="C869" t="inlineStr"/>
      <c r="D869">
        <f>HYPERLINK("http://nlpdeep.cs.uic.edu:8080/proofing/t5/495027-labs-imaging-0-42.pdf","t5/495027-labs-imaging-0-42.pdf")</f>
        <v/>
      </c>
      <c r="E869" t="n">
        <v>118760</v>
      </c>
      <c r="F869" t="n">
        <v>495027</v>
      </c>
      <c r="G869" t="inlineStr">
        <is>
          <t>Consult</t>
        </is>
      </c>
      <c r="H869" t="inlineStr">
        <is>
          <t>labs-imaging</t>
        </is>
      </c>
      <c r="I869" t="inlineStr">
        <is>
          <t xml:space="preserve">
   HEMODYNAMICS: none.</t>
        </is>
      </c>
    </row>
    <row r="870">
      <c r="A870" t="inlineStr">
        <is>
          <t>495027-labs-imaging-0-42</t>
        </is>
      </c>
      <c r="B870" t="inlineStr"/>
      <c r="C870" t="inlineStr"/>
      <c r="D870">
        <f>HYPERLINK("http://nlpdeep.cs.uic.edu:8080/proofing/gsii/495027-labs-imaging-0-42.pdf","gsii/495027-labs-imaging-0-42.pdf")</f>
        <v/>
      </c>
      <c r="E870" t="n">
        <v>118760</v>
      </c>
      <c r="F870" t="n">
        <v>495027</v>
      </c>
      <c r="G870" t="inlineStr">
        <is>
          <t>Consult</t>
        </is>
      </c>
      <c r="H870" t="inlineStr">
        <is>
          <t>labs-imaging</t>
        </is>
      </c>
      <c r="I870" t="inlineStr">
        <is>
          <t xml:space="preserve">
   HEMODYNAMICS: none.</t>
        </is>
      </c>
    </row>
    <row r="871">
      <c r="A871" t="inlineStr">
        <is>
          <t>495027-labs-imaging-0-43</t>
        </is>
      </c>
      <c r="B871" t="inlineStr"/>
      <c r="C871" t="inlineStr"/>
      <c r="D871">
        <f>HYPERLINK("http://nlpdeep.cs.uic.edu:8080/proofing/t5/495027-labs-imaging-0-43.pdf","t5/495027-labs-imaging-0-43.pdf")</f>
        <v/>
      </c>
      <c r="E871" t="n">
        <v>118760</v>
      </c>
      <c r="F871" t="n">
        <v>495027</v>
      </c>
      <c r="G871" t="inlineStr">
        <is>
          <t>Consult</t>
        </is>
      </c>
      <c r="H871" t="inlineStr">
        <is>
          <t>labs-imaging</t>
        </is>
      </c>
      <c r="I871" t="inlineStr">
        <is>
          <t xml:space="preserve">
   OTHER TESTING:
   LABORATORY DATA:
   142   98     52
   ---|-------|------&lt; 100               9.3 &gt;------&lt; 152
   4.2   30     6.3                            39.3
   Ca 8.0     Mg 2.2     Phos 8.2
   CK 59 -&gt; 58    MB not done
   TnT 0.26 -&gt; 0.28  (baseline TnT 0.15-0.20)
   PTT 34.6     INR 1.2
   CXR ([**2132-9-21**]):  Redemonstration of cardiomegaly and otherwise no acute
   intrathoracic process.</t>
        </is>
      </c>
    </row>
    <row r="872">
      <c r="A872" t="inlineStr">
        <is>
          <t>495027-labs-imaging-0-43</t>
        </is>
      </c>
      <c r="B872" t="inlineStr"/>
      <c r="C872" t="inlineStr"/>
      <c r="D872">
        <f>HYPERLINK("http://nlpdeep.cs.uic.edu:8080/proofing/gsii/495027-labs-imaging-0-43.pdf","gsii/495027-labs-imaging-0-43.pdf")</f>
        <v/>
      </c>
      <c r="E872" t="n">
        <v>118760</v>
      </c>
      <c r="F872" t="n">
        <v>495027</v>
      </c>
      <c r="G872" t="inlineStr">
        <is>
          <t>Consult</t>
        </is>
      </c>
      <c r="H872" t="inlineStr">
        <is>
          <t>labs-imaging</t>
        </is>
      </c>
      <c r="I872" t="inlineStr">
        <is>
          <t xml:space="preserve">
   OTHER TESTING:
   LABORATORY DATA:
   142   98     52
   ---|-------|------&lt; 100               9.3 &gt;------&lt; 152
   4.2   30     6.3                            39.3
   Ca 8.0     Mg 2.2     Phos 8.2
   CK 59 -&gt; 58    MB not done
   TnT 0.26 -&gt; 0.28  (baseline TnT 0.15-0.20)
   PTT 34.6     INR 1.2
   CXR ([**2132-9-21**]):  Redemonstration of cardiomegaly and otherwise no acute
   intrathoracic process.</t>
        </is>
      </c>
    </row>
    <row r="873">
      <c r="A873" t="inlineStr">
        <is>
          <t>495027-labs-imaging-0-44</t>
        </is>
      </c>
      <c r="B873" t="inlineStr"/>
      <c r="C873" t="inlineStr"/>
      <c r="D873">
        <f>HYPERLINK("http://nlpdeep.cs.uic.edu:8080/proofing/t5/495027-labs-imaging-0-44.pdf","t5/495027-labs-imaging-0-44.pdf")</f>
        <v/>
      </c>
      <c r="E873" t="n">
        <v>118760</v>
      </c>
      <c r="F873" t="n">
        <v>495027</v>
      </c>
      <c r="G873" t="inlineStr">
        <is>
          <t>Consult</t>
        </is>
      </c>
      <c r="H873" t="inlineStr">
        <is>
          <t>labs-imaging</t>
        </is>
      </c>
      <c r="I873" t="inlineStr">
        <is>
          <t xml:space="preserve">
   HIP XRAY ([**2132-9-21**]):
   1.</t>
        </is>
      </c>
    </row>
    <row r="874">
      <c r="A874" t="inlineStr">
        <is>
          <t>495027-labs-imaging-0-44</t>
        </is>
      </c>
      <c r="B874" t="inlineStr"/>
      <c r="C874" t="inlineStr"/>
      <c r="D874">
        <f>HYPERLINK("http://nlpdeep.cs.uic.edu:8080/proofing/gsii/495027-labs-imaging-0-44.pdf","gsii/495027-labs-imaging-0-44.pdf")</f>
        <v/>
      </c>
      <c r="E874" t="n">
        <v>118760</v>
      </c>
      <c r="F874" t="n">
        <v>495027</v>
      </c>
      <c r="G874" t="inlineStr">
        <is>
          <t>Consult</t>
        </is>
      </c>
      <c r="H874" t="inlineStr">
        <is>
          <t>labs-imaging</t>
        </is>
      </c>
      <c r="I874" t="inlineStr">
        <is>
          <t xml:space="preserve">
   HIP XRAY ([**2132-9-21**]):
   1.</t>
        </is>
      </c>
    </row>
    <row r="875">
      <c r="A875" t="inlineStr">
        <is>
          <t>495027-labs-imaging-0-45</t>
        </is>
      </c>
      <c r="B875" t="inlineStr"/>
      <c r="C875" t="inlineStr"/>
      <c r="D875">
        <f>HYPERLINK("http://nlpdeep.cs.uic.edu:8080/proofing/t5/495027-labs-imaging-0-45.pdf","t5/495027-labs-imaging-0-45.pdf")</f>
        <v/>
      </c>
      <c r="E875" t="n">
        <v>118760</v>
      </c>
      <c r="F875" t="n">
        <v>495027</v>
      </c>
      <c r="G875" t="inlineStr">
        <is>
          <t>Consult</t>
        </is>
      </c>
      <c r="H875" t="inlineStr">
        <is>
          <t>labs-imaging</t>
        </is>
      </c>
      <c r="I875" t="inlineStr">
        <is>
          <t>Faint lucency at the right hip suggesting intertrochanteric
   fracture.</t>
        </is>
      </c>
    </row>
    <row r="876">
      <c r="A876" t="inlineStr">
        <is>
          <t>495027-labs-imaging-0-45</t>
        </is>
      </c>
      <c r="B876" t="inlineStr"/>
      <c r="C876" t="inlineStr"/>
      <c r="D876">
        <f>HYPERLINK("http://nlpdeep.cs.uic.edu:8080/proofing/gsii/495027-labs-imaging-0-45.pdf","gsii/495027-labs-imaging-0-45.pdf")</f>
        <v/>
      </c>
      <c r="E876" t="n">
        <v>118760</v>
      </c>
      <c r="F876" t="n">
        <v>495027</v>
      </c>
      <c r="G876" t="inlineStr">
        <is>
          <t>Consult</t>
        </is>
      </c>
      <c r="H876" t="inlineStr">
        <is>
          <t>labs-imaging</t>
        </is>
      </c>
      <c r="I876" t="inlineStr">
        <is>
          <t>Faint lucency at the right hip suggesting intertrochanteric
   fracture.</t>
        </is>
      </c>
    </row>
    <row r="877">
      <c r="A877" t="inlineStr">
        <is>
          <t>495027-labs-imaging-0-46</t>
        </is>
      </c>
      <c r="B877" t="inlineStr"/>
      <c r="C877" t="inlineStr"/>
      <c r="D877">
        <f>HYPERLINK("http://nlpdeep.cs.uic.edu:8080/proofing/t5/495027-labs-imaging-0-46.pdf","t5/495027-labs-imaging-0-46.pdf")</f>
        <v/>
      </c>
      <c r="E877" t="n">
        <v>118760</v>
      </c>
      <c r="F877" t="n">
        <v>495027</v>
      </c>
      <c r="G877" t="inlineStr">
        <is>
          <t>Consult</t>
        </is>
      </c>
      <c r="H877" t="inlineStr">
        <is>
          <t>labs-imaging</t>
        </is>
      </c>
      <c r="I877" t="inlineStr">
        <is>
          <t>Extensive degenerative change.</t>
        </is>
      </c>
    </row>
    <row r="878">
      <c r="A878" t="inlineStr">
        <is>
          <t>495027-labs-imaging-0-46</t>
        </is>
      </c>
      <c r="B878" t="inlineStr"/>
      <c r="C878" t="inlineStr"/>
      <c r="D878">
        <f>HYPERLINK("http://nlpdeep.cs.uic.edu:8080/proofing/gsii/495027-labs-imaging-0-46.pdf","gsii/495027-labs-imaging-0-46.pdf")</f>
        <v/>
      </c>
      <c r="E878" t="n">
        <v>118760</v>
      </c>
      <c r="F878" t="n">
        <v>495027</v>
      </c>
      <c r="G878" t="inlineStr">
        <is>
          <t>Consult</t>
        </is>
      </c>
      <c r="H878" t="inlineStr">
        <is>
          <t>labs-imaging</t>
        </is>
      </c>
      <c r="I878" t="inlineStr">
        <is>
          <t>Extensive degenerative change.</t>
        </is>
      </c>
    </row>
    <row r="879">
      <c r="A879" t="inlineStr">
        <is>
          <t>495027-labs-imaging-0-47</t>
        </is>
      </c>
      <c r="B879" t="inlineStr"/>
      <c r="C879" t="inlineStr"/>
      <c r="D879">
        <f>HYPERLINK("http://nlpdeep.cs.uic.edu:8080/proofing/t5/495027-labs-imaging-0-47.pdf","t5/495027-labs-imaging-0-47.pdf")</f>
        <v/>
      </c>
      <c r="E879" t="n">
        <v>118760</v>
      </c>
      <c r="F879" t="n">
        <v>495027</v>
      </c>
      <c r="G879" t="inlineStr">
        <is>
          <t>Consult</t>
        </is>
      </c>
      <c r="H879" t="inlineStr">
        <is>
          <t>labs-imaging</t>
        </is>
      </c>
      <c r="I879" t="inlineStr">
        <is>
          <t>Atherosclerotic disease.</t>
        </is>
      </c>
    </row>
    <row r="880">
      <c r="A880" t="inlineStr">
        <is>
          <t>495027-labs-imaging-0-47</t>
        </is>
      </c>
      <c r="B880" t="inlineStr"/>
      <c r="C880" t="inlineStr"/>
      <c r="D880">
        <f>HYPERLINK("http://nlpdeep.cs.uic.edu:8080/proofing/gsii/495027-labs-imaging-0-47.pdf","gsii/495027-labs-imaging-0-47.pdf")</f>
        <v/>
      </c>
      <c r="E880" t="n">
        <v>118760</v>
      </c>
      <c r="F880" t="n">
        <v>495027</v>
      </c>
      <c r="G880" t="inlineStr">
        <is>
          <t>Consult</t>
        </is>
      </c>
      <c r="H880" t="inlineStr">
        <is>
          <t>labs-imaging</t>
        </is>
      </c>
      <c r="I880" t="inlineStr">
        <is>
          <t>Atherosclerotic disease.</t>
        </is>
      </c>
    </row>
    <row r="881">
      <c r="A881" t="inlineStr">
        <is>
          <t>495027-labs-imaging-0-48</t>
        </is>
      </c>
      <c r="B881" t="inlineStr"/>
      <c r="C881" t="inlineStr"/>
      <c r="D881">
        <f>HYPERLINK("http://nlpdeep.cs.uic.edu:8080/proofing/t5/495027-labs-imaging-0-48.pdf","t5/495027-labs-imaging-0-48.pdf")</f>
        <v/>
      </c>
      <c r="E881" t="n">
        <v>118760</v>
      </c>
      <c r="F881" t="n">
        <v>495027</v>
      </c>
      <c r="G881" t="inlineStr">
        <is>
          <t>Consult</t>
        </is>
      </c>
      <c r="H881" t="inlineStr">
        <is>
          <t>labs-imaging</t>
        </is>
      </c>
      <c r="I881" t="inlineStr">
        <is>
          <t xml:space="preserve">
   CT HEAD WITHOUT CONTRAST ([**2132-9-21**]):  No acute intracranial process.</t>
        </is>
      </c>
    </row>
    <row r="882">
      <c r="A882" t="inlineStr">
        <is>
          <t>495027-labs-imaging-0-48</t>
        </is>
      </c>
      <c r="B882" t="inlineStr"/>
      <c r="C882" t="inlineStr"/>
      <c r="D882">
        <f>HYPERLINK("http://nlpdeep.cs.uic.edu:8080/proofing/gsii/495027-labs-imaging-0-48.pdf","gsii/495027-labs-imaging-0-48.pdf")</f>
        <v/>
      </c>
      <c r="E882" t="n">
        <v>118760</v>
      </c>
      <c r="F882" t="n">
        <v>495027</v>
      </c>
      <c r="G882" t="inlineStr">
        <is>
          <t>Consult</t>
        </is>
      </c>
      <c r="H882" t="inlineStr">
        <is>
          <t>labs-imaging</t>
        </is>
      </c>
      <c r="I882" t="inlineStr">
        <is>
          <t xml:space="preserve">
   CT HEAD WITHOUT CONTRAST ([**2132-9-21**]):  No acute intracranial process.</t>
        </is>
      </c>
    </row>
    <row r="883">
      <c r="A883" t="inlineStr">
        <is>
          <t>495027-labs-imaging-0-49</t>
        </is>
      </c>
      <c r="B883" t="inlineStr"/>
      <c r="C883" t="inlineStr"/>
      <c r="D883">
        <f>HYPERLINK("http://nlpdeep.cs.uic.edu:8080/proofing/t5/495027-labs-imaging-0-49.pdf","t5/495027-labs-imaging-0-49.pdf")</f>
        <v/>
      </c>
      <c r="E883" t="n">
        <v>118760</v>
      </c>
      <c r="F883" t="n">
        <v>495027</v>
      </c>
      <c r="G883" t="inlineStr">
        <is>
          <t>Consult</t>
        </is>
      </c>
      <c r="H883" t="inlineStr">
        <is>
          <t>labs-imaging</t>
        </is>
      </c>
      <c r="I883" t="inlineStr">
        <is>
          <t xml:space="preserve">
   Right frontal lobe hypodensity likely reflects previous infarction, age
   indeterminate, absent comparison studies.</t>
        </is>
      </c>
    </row>
    <row r="884">
      <c r="A884" t="inlineStr">
        <is>
          <t>495027-labs-imaging-0-49</t>
        </is>
      </c>
      <c r="B884" t="inlineStr"/>
      <c r="C884" t="inlineStr"/>
      <c r="D884">
        <f>HYPERLINK("http://nlpdeep.cs.uic.edu:8080/proofing/gsii/495027-labs-imaging-0-49.pdf","gsii/495027-labs-imaging-0-49.pdf")</f>
        <v/>
      </c>
      <c r="E884" t="n">
        <v>118760</v>
      </c>
      <c r="F884" t="n">
        <v>495027</v>
      </c>
      <c r="G884" t="inlineStr">
        <is>
          <t>Consult</t>
        </is>
      </c>
      <c r="H884" t="inlineStr">
        <is>
          <t>labs-imaging</t>
        </is>
      </c>
      <c r="I884" t="inlineStr">
        <is>
          <t xml:space="preserve">
   Right frontal lobe hypodensity likely reflects previous infarction, age
   indeterminate, absent comparison studies.</t>
        </is>
      </c>
    </row>
    <row r="885">
      <c r="A885" t="inlineStr">
        <is>
          <t>495027-assessment-and-plan-0-0</t>
        </is>
      </c>
      <c r="B885" t="inlineStr"/>
      <c r="C885" t="inlineStr"/>
      <c r="D885">
        <f>HYPERLINK("http://nlpdeep.cs.uic.edu:8080/proofing/t5/495027-assessment-and-plan-0-0.pdf","t5/495027-assessment-and-plan-0-0.pdf")</f>
        <v/>
      </c>
      <c r="E885" t="n">
        <v>118760</v>
      </c>
      <c r="F885" t="n">
        <v>495027</v>
      </c>
      <c r="G885" t="inlineStr">
        <is>
          <t>Consult</t>
        </is>
      </c>
      <c r="H885" t="inlineStr">
        <is>
          <t>assessment-and-plan</t>
        </is>
      </c>
      <c r="I885" t="inlineStr">
        <is>
          <t>82 year old male with a history of CAD s/p CABG in [**2122**] (LIMA-LAD,
   SVG-OM1/3, SVG-RCA) s/p NSTEMI [**1-/2131**] with TO SVGs, TO RCA, subtot LCx,
   and 70% LMain s/p DES, diastolic CHF, pulmonary hypertension, mild
   aortic stenosis, peripheral vascular disease s/p aortobifemoral bypass,
   AAA s/p repair, ESRD on HD, h/o GI bleeding, prostate cancer, and
   possible renal cell cancer presented with hip fracture following
   mechanical fall and developed unstable VT pre-operatively requiring
   multiple shocks.</t>
        </is>
      </c>
    </row>
    <row r="886">
      <c r="A886" t="inlineStr">
        <is>
          <t>495027-assessment-and-plan-0-0</t>
        </is>
      </c>
      <c r="B886" t="inlineStr"/>
      <c r="C886" t="inlineStr"/>
      <c r="D886">
        <f>HYPERLINK("http://nlpdeep.cs.uic.edu:8080/proofing/gsii/495027-assessment-and-plan-0-0.pdf","gsii/495027-assessment-and-plan-0-0.pdf")</f>
        <v/>
      </c>
      <c r="E886" t="n">
        <v>118760</v>
      </c>
      <c r="F886" t="n">
        <v>495027</v>
      </c>
      <c r="G886" t="inlineStr">
        <is>
          <t>Consult</t>
        </is>
      </c>
      <c r="H886" t="inlineStr">
        <is>
          <t>assessment-and-plan</t>
        </is>
      </c>
      <c r="I886" t="inlineStr">
        <is>
          <t>82 year old male with a history of CAD s/p CABG in [**2122**] (LIMA-LAD,
   SVG-OM1/3, SVG-RCA) s/p NSTEMI [**1-/2131**] with TO SVGs, TO RCA, subtot LCx,
   and 70% LMain s/p DES, diastolic CHF, pulmonary hypertension, mild
   aortic stenosis, peripheral vascular disease s/p aortobifemoral bypass,
   AAA s/p repair, ESRD on HD, h/o GI bleeding, prostate cancer, and
   possible renal cell cancer presented with hip fracture following
   mechanical fall and developed unstable VT pre-operatively requiring
   multiple shocks.</t>
        </is>
      </c>
    </row>
    <row r="887">
      <c r="A887" t="inlineStr">
        <is>
          <t>495027-assessment-and-plan-0-1</t>
        </is>
      </c>
      <c r="B887" t="inlineStr"/>
      <c r="C887" t="inlineStr"/>
      <c r="D887">
        <f>HYPERLINK("http://nlpdeep.cs.uic.edu:8080/proofing/t5/495027-assessment-and-plan-0-1.pdf","t5/495027-assessment-and-plan-0-1.pdf")</f>
        <v/>
      </c>
      <c r="E887" t="n">
        <v>118760</v>
      </c>
      <c r="F887" t="n">
        <v>495027</v>
      </c>
      <c r="G887" t="inlineStr">
        <is>
          <t>Consult</t>
        </is>
      </c>
      <c r="H887" t="inlineStr">
        <is>
          <t>assessment-and-plan</t>
        </is>
      </c>
      <c r="I887" t="inlineStr">
        <is>
          <t xml:space="preserve"> Per anesthesia the VT was monomorphic, however
   unfortunately no strips were printed of the events and therefore the
   primary data is not available for review.</t>
        </is>
      </c>
    </row>
    <row r="888">
      <c r="A888" t="inlineStr">
        <is>
          <t>495027-assessment-and-plan-0-1</t>
        </is>
      </c>
      <c r="B888" t="inlineStr"/>
      <c r="C888" t="inlineStr"/>
      <c r="D888">
        <f>HYPERLINK("http://nlpdeep.cs.uic.edu:8080/proofing/gsii/495027-assessment-and-plan-0-1.pdf","gsii/495027-assessment-and-plan-0-1.pdf")</f>
        <v/>
      </c>
      <c r="E888" t="n">
        <v>118760</v>
      </c>
      <c r="F888" t="n">
        <v>495027</v>
      </c>
      <c r="G888" t="inlineStr">
        <is>
          <t>Consult</t>
        </is>
      </c>
      <c r="H888" t="inlineStr">
        <is>
          <t>assessment-and-plan</t>
        </is>
      </c>
      <c r="I888" t="inlineStr">
        <is>
          <t xml:space="preserve"> Per anesthesia the VT was monomorphic, however
   unfortunately no strips were printed of the events and therefore the
   primary data is not available for review.</t>
        </is>
      </c>
    </row>
    <row r="889">
      <c r="A889" t="inlineStr">
        <is>
          <t>495027-assessment-and-plan-0-2</t>
        </is>
      </c>
      <c r="B889" t="inlineStr"/>
      <c r="C889" t="inlineStr"/>
      <c r="D889">
        <f>HYPERLINK("http://nlpdeep.cs.uic.edu:8080/proofing/t5/495027-assessment-and-plan-0-2.pdf","t5/495027-assessment-and-plan-0-2.pdf")</f>
        <v/>
      </c>
      <c r="E889" t="n">
        <v>118760</v>
      </c>
      <c r="F889" t="n">
        <v>495027</v>
      </c>
      <c r="G889" t="inlineStr">
        <is>
          <t>Consult</t>
        </is>
      </c>
      <c r="H889" t="inlineStr">
        <is>
          <t>assessment-and-plan</t>
        </is>
      </c>
      <c r="I889" t="inlineStr">
        <is>
          <t xml:space="preserve"> Since initiation of
   amiodarone he has had no further sustained ventricular arrhythmias.</t>
        </is>
      </c>
    </row>
    <row r="890">
      <c r="A890" t="inlineStr">
        <is>
          <t>495027-assessment-and-plan-0-2</t>
        </is>
      </c>
      <c r="B890" t="inlineStr"/>
      <c r="C890" t="inlineStr"/>
      <c r="D890">
        <f>HYPERLINK("http://nlpdeep.cs.uic.edu:8080/proofing/gsii/495027-assessment-and-plan-0-2.pdf","gsii/495027-assessment-and-plan-0-2.pdf")</f>
        <v/>
      </c>
      <c r="E890" t="n">
        <v>118760</v>
      </c>
      <c r="F890" t="n">
        <v>495027</v>
      </c>
      <c r="G890" t="inlineStr">
        <is>
          <t>Consult</t>
        </is>
      </c>
      <c r="H890" t="inlineStr">
        <is>
          <t>assessment-and-plan</t>
        </is>
      </c>
      <c r="I890" t="inlineStr">
        <is>
          <t xml:space="preserve"> Since initiation of
   amiodarone he has had no further sustained ventricular arrhythmias.</t>
        </is>
      </c>
    </row>
    <row r="891">
      <c r="A891" t="inlineStr">
        <is>
          <t>495027-assessment-and-plan-0-3</t>
        </is>
      </c>
      <c r="B891" t="inlineStr"/>
      <c r="C891" t="inlineStr"/>
      <c r="D891">
        <f>HYPERLINK("http://nlpdeep.cs.uic.edu:8080/proofing/t5/495027-assessment-and-plan-0-3.pdf","t5/495027-assessment-and-plan-0-3.pdf")</f>
        <v/>
      </c>
      <c r="E891" t="n">
        <v>118760</v>
      </c>
      <c r="F891" t="n">
        <v>495027</v>
      </c>
      <c r="G891" t="inlineStr">
        <is>
          <t>Consult</t>
        </is>
      </c>
      <c r="H891" t="inlineStr">
        <is>
          <t>assessment-and-plan</t>
        </is>
      </c>
      <c r="I891" t="inlineStr">
        <is>
          <t xml:space="preserve">
   Likely the cause of his VT was related to hemodynamic shifts following
   induction of general anesthesia.</t>
        </is>
      </c>
    </row>
    <row r="892">
      <c r="A892" t="inlineStr">
        <is>
          <t>495027-assessment-and-plan-0-3</t>
        </is>
      </c>
      <c r="B892" t="inlineStr"/>
      <c r="C892" t="inlineStr"/>
      <c r="D892">
        <f>HYPERLINK("http://nlpdeep.cs.uic.edu:8080/proofing/gsii/495027-assessment-and-plan-0-3.pdf","gsii/495027-assessment-and-plan-0-3.pdf")</f>
        <v/>
      </c>
      <c r="E892" t="n">
        <v>118760</v>
      </c>
      <c r="F892" t="n">
        <v>495027</v>
      </c>
      <c r="G892" t="inlineStr">
        <is>
          <t>Consult</t>
        </is>
      </c>
      <c r="H892" t="inlineStr">
        <is>
          <t>assessment-and-plan</t>
        </is>
      </c>
      <c r="I892" t="inlineStr">
        <is>
          <t xml:space="preserve">
   Likely the cause of his VT was related to hemodynamic shifts following
   induction of general anesthesia.</t>
        </is>
      </c>
    </row>
    <row r="893">
      <c r="A893" t="inlineStr">
        <is>
          <t>495027-assessment-and-plan-0-4</t>
        </is>
      </c>
      <c r="B893" t="inlineStr"/>
      <c r="C893" t="inlineStr"/>
      <c r="D893">
        <f>HYPERLINK("http://nlpdeep.cs.uic.edu:8080/proofing/t5/495027-assessment-and-plan-0-4.pdf","t5/495027-assessment-and-plan-0-4.pdf")</f>
        <v/>
      </c>
      <c r="E893" t="n">
        <v>118760</v>
      </c>
      <c r="F893" t="n">
        <v>495027</v>
      </c>
      <c r="G893" t="inlineStr">
        <is>
          <t>Consult</t>
        </is>
      </c>
      <c r="H893" t="inlineStr">
        <is>
          <t>assessment-and-plan</t>
        </is>
      </c>
      <c r="I893" t="inlineStr">
        <is>
          <t xml:space="preserve"> There is no current evidence of new
   myocardial infarction.</t>
        </is>
      </c>
    </row>
    <row r="894">
      <c r="A894" t="inlineStr">
        <is>
          <t>495027-assessment-and-plan-0-4</t>
        </is>
      </c>
      <c r="B894" t="inlineStr"/>
      <c r="C894" t="inlineStr"/>
      <c r="D894">
        <f>HYPERLINK("http://nlpdeep.cs.uic.edu:8080/proofing/gsii/495027-assessment-and-plan-0-4.pdf","gsii/495027-assessment-and-plan-0-4.pdf")</f>
        <v/>
      </c>
      <c r="E894" t="n">
        <v>118760</v>
      </c>
      <c r="F894" t="n">
        <v>495027</v>
      </c>
      <c r="G894" t="inlineStr">
        <is>
          <t>Consult</t>
        </is>
      </c>
      <c r="H894" t="inlineStr">
        <is>
          <t>assessment-and-plan</t>
        </is>
      </c>
      <c r="I894" t="inlineStr">
        <is>
          <t xml:space="preserve"> There is no current evidence of new
   myocardial infarction.</t>
        </is>
      </c>
    </row>
    <row r="895">
      <c r="A895" t="inlineStr">
        <is>
          <t>495027-assessment-and-plan-0-5</t>
        </is>
      </c>
      <c r="B895" t="inlineStr"/>
      <c r="C895" t="inlineStr"/>
      <c r="D895">
        <f>HYPERLINK("http://nlpdeep.cs.uic.edu:8080/proofing/t5/495027-assessment-and-plan-0-5.pdf","t5/495027-assessment-and-plan-0-5.pdf")</f>
        <v/>
      </c>
      <c r="E895" t="n">
        <v>118760</v>
      </c>
      <c r="F895" t="n">
        <v>495027</v>
      </c>
      <c r="G895" t="inlineStr">
        <is>
          <t>Consult</t>
        </is>
      </c>
      <c r="H895" t="inlineStr">
        <is>
          <t>assessment-and-plan</t>
        </is>
      </c>
      <c r="I895" t="inlineStr">
        <is>
          <t xml:space="preserve"> Echocardiogram is pending to assess left
   ventricular function, which was preserved in [**2130**].</t>
        </is>
      </c>
    </row>
    <row r="896">
      <c r="A896" t="inlineStr">
        <is>
          <t>495027-assessment-and-plan-0-5</t>
        </is>
      </c>
      <c r="B896" t="inlineStr"/>
      <c r="C896" t="inlineStr"/>
      <c r="D896">
        <f>HYPERLINK("http://nlpdeep.cs.uic.edu:8080/proofing/gsii/495027-assessment-and-plan-0-5.pdf","gsii/495027-assessment-and-plan-0-5.pdf")</f>
        <v/>
      </c>
      <c r="E896" t="n">
        <v>118760</v>
      </c>
      <c r="F896" t="n">
        <v>495027</v>
      </c>
      <c r="G896" t="inlineStr">
        <is>
          <t>Consult</t>
        </is>
      </c>
      <c r="H896" t="inlineStr">
        <is>
          <t>assessment-and-plan</t>
        </is>
      </c>
      <c r="I896" t="inlineStr">
        <is>
          <t xml:space="preserve"> Echocardiogram is pending to assess left
   ventricular function, which was preserved in [**2130**].</t>
        </is>
      </c>
    </row>
    <row r="897">
      <c r="A897" t="inlineStr">
        <is>
          <t>495027-assessment-and-plan-0-6</t>
        </is>
      </c>
      <c r="B897" t="inlineStr"/>
      <c r="C897" t="inlineStr"/>
      <c r="D897">
        <f>HYPERLINK("http://nlpdeep.cs.uic.edu:8080/proofing/t5/495027-assessment-and-plan-0-6.pdf","t5/495027-assessment-and-plan-0-6.pdf")</f>
        <v/>
      </c>
      <c r="E897" t="n">
        <v>118760</v>
      </c>
      <c r="F897" t="n">
        <v>495027</v>
      </c>
      <c r="G897" t="inlineStr">
        <is>
          <t>Consult</t>
        </is>
      </c>
      <c r="H897" t="inlineStr">
        <is>
          <t>assessment-and-plan</t>
        </is>
      </c>
      <c r="I897" t="inlineStr">
        <is>
          <t xml:space="preserve"> Would not recommend
   ICD at this time, but continue amiodarone for now peri-operatively and
   will discuss further management including utility of EP study with
   attending.</t>
        </is>
      </c>
    </row>
    <row r="898">
      <c r="A898" t="inlineStr">
        <is>
          <t>495027-assessment-and-plan-0-6</t>
        </is>
      </c>
      <c r="B898" t="inlineStr"/>
      <c r="C898" t="inlineStr"/>
      <c r="D898">
        <f>HYPERLINK("http://nlpdeep.cs.uic.edu:8080/proofing/gsii/495027-assessment-and-plan-0-6.pdf","gsii/495027-assessment-and-plan-0-6.pdf")</f>
        <v/>
      </c>
      <c r="E898" t="n">
        <v>118760</v>
      </c>
      <c r="F898" t="n">
        <v>495027</v>
      </c>
      <c r="G898" t="inlineStr">
        <is>
          <t>Consult</t>
        </is>
      </c>
      <c r="H898" t="inlineStr">
        <is>
          <t>assessment-and-plan</t>
        </is>
      </c>
      <c r="I898" t="inlineStr">
        <is>
          <t xml:space="preserve"> Would not recommend
   ICD at this time, but continue amiodarone for now peri-operatively and
   will discuss further management including utility of EP study with
   attending.</t>
        </is>
      </c>
    </row>
    <row r="899">
      <c r="A899" t="inlineStr">
        <is>
          <t>495027-assessment-and-plan-0-7</t>
        </is>
      </c>
      <c r="B899" t="inlineStr"/>
      <c r="C899" t="inlineStr"/>
      <c r="D899">
        <f>HYPERLINK("http://nlpdeep.cs.uic.edu:8080/proofing/t5/495027-assessment-and-plan-0-7.pdf","t5/495027-assessment-and-plan-0-7.pdf")</f>
        <v/>
      </c>
      <c r="E899" t="n">
        <v>118760</v>
      </c>
      <c r="F899" t="n">
        <v>495027</v>
      </c>
      <c r="G899" t="inlineStr">
        <is>
          <t>Consult</t>
        </is>
      </c>
      <c r="H899" t="inlineStr">
        <is>
          <t>assessment-and-plan</t>
        </is>
      </c>
      <c r="I899" t="inlineStr">
        <is>
          <t xml:space="preserve">
   This patient was seen, discussed and evaluated with Dr.</t>
        </is>
      </c>
    </row>
    <row r="900">
      <c r="A900" t="inlineStr">
        <is>
          <t>495027-assessment-and-plan-0-7</t>
        </is>
      </c>
      <c r="B900" t="inlineStr"/>
      <c r="C900" t="inlineStr"/>
      <c r="D900">
        <f>HYPERLINK("http://nlpdeep.cs.uic.edu:8080/proofing/gsii/495027-assessment-and-plan-0-7.pdf","gsii/495027-assessment-and-plan-0-7.pdf")</f>
        <v/>
      </c>
      <c r="E900" t="n">
        <v>118760</v>
      </c>
      <c r="F900" t="n">
        <v>495027</v>
      </c>
      <c r="G900" t="inlineStr">
        <is>
          <t>Consult</t>
        </is>
      </c>
      <c r="H900" t="inlineStr">
        <is>
          <t>assessment-and-plan</t>
        </is>
      </c>
      <c r="I900" t="inlineStr">
        <is>
          <t xml:space="preserve">
   This patient was seen, discussed and evaluated with Dr.</t>
        </is>
      </c>
    </row>
    <row r="901">
      <c r="A901" t="inlineStr">
        <is>
          <t>495027-assessment-and-plan-0-8</t>
        </is>
      </c>
      <c r="B901" t="inlineStr"/>
      <c r="C901" t="inlineStr"/>
      <c r="D901">
        <f>HYPERLINK("http://nlpdeep.cs.uic.edu:8080/proofing/t5/495027-assessment-and-plan-0-8.pdf","t5/495027-assessment-and-plan-0-8.pdf")</f>
        <v/>
      </c>
      <c r="E901" t="n">
        <v>118760</v>
      </c>
      <c r="F901" t="n">
        <v>495027</v>
      </c>
      <c r="G901" t="inlineStr">
        <is>
          <t>Consult</t>
        </is>
      </c>
      <c r="H901" t="inlineStr">
        <is>
          <t>assessment-and-plan</t>
        </is>
      </c>
      <c r="I901" t="inlineStr">
        <is>
          <t>[**Last Name (STitle) 5550**].</t>
        </is>
      </c>
    </row>
    <row r="902">
      <c r="A902" t="inlineStr">
        <is>
          <t>495027-assessment-and-plan-0-8</t>
        </is>
      </c>
      <c r="B902" t="inlineStr"/>
      <c r="C902" t="inlineStr"/>
      <c r="D902">
        <f>HYPERLINK("http://nlpdeep.cs.uic.edu:8080/proofing/gsii/495027-assessment-and-plan-0-8.pdf","gsii/495027-assessment-and-plan-0-8.pdf")</f>
        <v/>
      </c>
      <c r="E902" t="n">
        <v>118760</v>
      </c>
      <c r="F902" t="n">
        <v>495027</v>
      </c>
      <c r="G902" t="inlineStr">
        <is>
          <t>Consult</t>
        </is>
      </c>
      <c r="H902" t="inlineStr">
        <is>
          <t>assessment-and-plan</t>
        </is>
      </c>
      <c r="I902" t="inlineStr">
        <is>
          <t>[**Last Name (STitle) 5550**].</t>
        </is>
      </c>
    </row>
    <row r="903">
      <c r="A903" t="inlineStr">
        <is>
          <t>495027-assessment-and-plan-0-9</t>
        </is>
      </c>
      <c r="B903" t="inlineStr"/>
      <c r="C903" t="inlineStr"/>
      <c r="D903">
        <f>HYPERLINK("http://nlpdeep.cs.uic.edu:8080/proofing/t5/495027-assessment-and-plan-0-9.pdf","t5/495027-assessment-and-plan-0-9.pdf")</f>
        <v/>
      </c>
      <c r="E903" t="n">
        <v>118760</v>
      </c>
      <c r="F903" t="n">
        <v>495027</v>
      </c>
      <c r="G903" t="inlineStr">
        <is>
          <t>Consult</t>
        </is>
      </c>
      <c r="H903" t="inlineStr">
        <is>
          <t>assessment-and-plan</t>
        </is>
      </c>
      <c r="I903" t="inlineStr">
        <is>
          <t xml:space="preserve">
   Please see his note in the inpatient medical record for additional
   comments.</t>
        </is>
      </c>
    </row>
    <row r="904">
      <c r="A904" t="inlineStr">
        <is>
          <t>495027-assessment-and-plan-0-9</t>
        </is>
      </c>
      <c r="B904" t="inlineStr"/>
      <c r="C904" t="inlineStr"/>
      <c r="D904">
        <f>HYPERLINK("http://nlpdeep.cs.uic.edu:8080/proofing/gsii/495027-assessment-and-plan-0-9.pdf","gsii/495027-assessment-and-plan-0-9.pdf")</f>
        <v/>
      </c>
      <c r="E904" t="n">
        <v>118760</v>
      </c>
      <c r="F904" t="n">
        <v>495027</v>
      </c>
      <c r="G904" t="inlineStr">
        <is>
          <t>Consult</t>
        </is>
      </c>
      <c r="H904" t="inlineStr">
        <is>
          <t>assessment-and-plan</t>
        </is>
      </c>
      <c r="I904" t="inlineStr">
        <is>
          <t xml:space="preserve">
   Please see his note in the inpatient medical record for additional
   comments.</t>
        </is>
      </c>
    </row>
    <row r="905">
      <c r="A905" t="inlineStr">
        <is>
          <t>522568-chief-complaint-0-0</t>
        </is>
      </c>
      <c r="B905" t="inlineStr"/>
      <c r="C905" t="inlineStr"/>
      <c r="D905">
        <f>HYPERLINK("http://nlpdeep.cs.uic.edu:8080/proofing/t5/522568-chief-complaint-0-0.pdf","t5/522568-chief-complaint-0-0.pdf")</f>
        <v/>
      </c>
      <c r="E905" t="n">
        <v>120842</v>
      </c>
      <c r="F905" t="n">
        <v>522568</v>
      </c>
      <c r="G905" t="inlineStr">
        <is>
          <t>Physician</t>
        </is>
      </c>
      <c r="H905" t="inlineStr">
        <is>
          <t>chief-complaint</t>
        </is>
      </c>
      <c r="I905" t="inlineStr">
        <is>
          <t>respiratory d</t>
        </is>
      </c>
    </row>
    <row r="906">
      <c r="A906" t="inlineStr">
        <is>
          <t>522568-chief-complaint-0-0</t>
        </is>
      </c>
      <c r="B906" t="inlineStr"/>
      <c r="C906" t="inlineStr"/>
      <c r="D906">
        <f>HYPERLINK("http://nlpdeep.cs.uic.edu:8080/proofing/gsii/522568-chief-complaint-0-0.pdf","gsii/522568-chief-complaint-0-0.pdf")</f>
        <v/>
      </c>
      <c r="E906" t="n">
        <v>120842</v>
      </c>
      <c r="F906" t="n">
        <v>522568</v>
      </c>
      <c r="G906" t="inlineStr">
        <is>
          <t>Physician</t>
        </is>
      </c>
      <c r="H906" t="inlineStr">
        <is>
          <t>chief-complaint</t>
        </is>
      </c>
      <c r="I906" t="inlineStr">
        <is>
          <t>respiratory d</t>
        </is>
      </c>
    </row>
    <row r="907">
      <c r="A907" t="inlineStr">
        <is>
          <t>522568-addendum-0-0</t>
        </is>
      </c>
      <c r="B907" t="inlineStr"/>
      <c r="C907" t="inlineStr"/>
      <c r="D907">
        <f>HYPERLINK("http://nlpdeep.cs.uic.edu:8080/proofing/t5/522568-addendum-0-0.pdf","t5/522568-addendum-0-0.pdf")</f>
        <v/>
      </c>
      <c r="E907" t="n">
        <v>120842</v>
      </c>
      <c r="F907" t="n">
        <v>522568</v>
      </c>
      <c r="G907" t="inlineStr">
        <is>
          <t>Physician</t>
        </is>
      </c>
      <c r="H907" t="inlineStr">
        <is>
          <t>addendum</t>
        </is>
      </c>
      <c r="I907" t="inlineStr">
        <is>
          <t>I saw and examined the patient, and was physically present with the ICU
   Resident for key portions of the services provided.</t>
        </is>
      </c>
    </row>
    <row r="908">
      <c r="A908" t="inlineStr">
        <is>
          <t>522568-addendum-0-0</t>
        </is>
      </c>
      <c r="B908" t="inlineStr"/>
      <c r="C908" t="inlineStr"/>
      <c r="D908">
        <f>HYPERLINK("http://nlpdeep.cs.uic.edu:8080/proofing/gsii/522568-addendum-0-0.pdf","gsii/522568-addendum-0-0.pdf")</f>
        <v/>
      </c>
      <c r="E908" t="n">
        <v>120842</v>
      </c>
      <c r="F908" t="n">
        <v>522568</v>
      </c>
      <c r="G908" t="inlineStr">
        <is>
          <t>Physician</t>
        </is>
      </c>
      <c r="H908" t="inlineStr">
        <is>
          <t>addendum</t>
        </is>
      </c>
      <c r="I908" t="inlineStr">
        <is>
          <t>I saw and examined the patient, and was physically present with the ICU
   Resident for key portions of the services provided.</t>
        </is>
      </c>
    </row>
    <row r="909">
      <c r="A909" t="inlineStr">
        <is>
          <t>522568-addendum-0-1</t>
        </is>
      </c>
      <c r="B909" t="inlineStr"/>
      <c r="C909" t="inlineStr"/>
      <c r="D909">
        <f>HYPERLINK("http://nlpdeep.cs.uic.edu:8080/proofing/t5/522568-addendum-0-1.pdf","t5/522568-addendum-0-1.pdf")</f>
        <v/>
      </c>
      <c r="E909" t="n">
        <v>120842</v>
      </c>
      <c r="F909" t="n">
        <v>522568</v>
      </c>
      <c r="G909" t="inlineStr">
        <is>
          <t>Physician</t>
        </is>
      </c>
      <c r="H909" t="inlineStr">
        <is>
          <t>addendum</t>
        </is>
      </c>
      <c r="I909" t="inlineStr">
        <is>
          <t xml:space="preserve"> I agree with his /
   her note above, including assessment and plan.</t>
        </is>
      </c>
    </row>
    <row r="910">
      <c r="A910" t="inlineStr">
        <is>
          <t>522568-addendum-0-1</t>
        </is>
      </c>
      <c r="B910" t="inlineStr"/>
      <c r="C910" t="inlineStr"/>
      <c r="D910">
        <f>HYPERLINK("http://nlpdeep.cs.uic.edu:8080/proofing/gsii/522568-addendum-0-1.pdf","gsii/522568-addendum-0-1.pdf")</f>
        <v/>
      </c>
      <c r="E910" t="n">
        <v>120842</v>
      </c>
      <c r="F910" t="n">
        <v>522568</v>
      </c>
      <c r="G910" t="inlineStr">
        <is>
          <t>Physician</t>
        </is>
      </c>
      <c r="H910" t="inlineStr">
        <is>
          <t>addendum</t>
        </is>
      </c>
      <c r="I910" t="inlineStr">
        <is>
          <t xml:space="preserve"> I agree with his /
   her note above, including assessment and plan.</t>
        </is>
      </c>
    </row>
    <row r="911">
      <c r="A911" t="inlineStr">
        <is>
          <t>522568-history-of-present-illness-0-0</t>
        </is>
      </c>
      <c r="B911" t="inlineStr"/>
      <c r="C911" t="inlineStr"/>
      <c r="D911">
        <f>HYPERLINK("http://nlpdeep.cs.uic.edu:8080/proofing/t5/522568-history-of-present-illness-0-0.pdf","t5/522568-history-of-present-illness-0-0.pdf")</f>
        <v/>
      </c>
      <c r="E911" t="n">
        <v>120842</v>
      </c>
      <c r="F911" t="n">
        <v>522568</v>
      </c>
      <c r="G911" t="inlineStr">
        <is>
          <t>Physician</t>
        </is>
      </c>
      <c r="H911" t="inlineStr">
        <is>
          <t>history-of-present-illness</t>
        </is>
      </c>
      <c r="I911" t="inlineStr">
        <is>
          <t>73 yo women with respiratory distress likely secondary to COPD.</t>
        </is>
      </c>
    </row>
    <row r="912">
      <c r="A912" t="inlineStr">
        <is>
          <t>522568-history-of-present-illness-0-0</t>
        </is>
      </c>
      <c r="B912" t="inlineStr"/>
      <c r="C912" t="inlineStr"/>
      <c r="D912">
        <f>HYPERLINK("http://nlpdeep.cs.uic.edu:8080/proofing/gsii/522568-history-of-present-illness-0-0.pdf","gsii/522568-history-of-present-illness-0-0.pdf")</f>
        <v/>
      </c>
      <c r="E912" t="n">
        <v>120842</v>
      </c>
      <c r="F912" t="n">
        <v>522568</v>
      </c>
      <c r="G912" t="inlineStr">
        <is>
          <t>Physician</t>
        </is>
      </c>
      <c r="H912" t="inlineStr">
        <is>
          <t>history-of-present-illness</t>
        </is>
      </c>
      <c r="I912" t="inlineStr">
        <is>
          <t>73 yo women with respiratory distress likely secondary to COPD.</t>
        </is>
      </c>
    </row>
    <row r="913">
      <c r="A913" t="inlineStr">
        <is>
          <t>522568-history-of-present-illness-0-1</t>
        </is>
      </c>
      <c r="B913" t="inlineStr"/>
      <c r="C913" t="inlineStr"/>
      <c r="D913">
        <f>HYPERLINK("http://nlpdeep.cs.uic.edu:8080/proofing/t5/522568-history-of-present-illness-0-1.pdf","t5/522568-history-of-present-illness-0-1.pdf")</f>
        <v/>
      </c>
      <c r="E913" t="n">
        <v>120842</v>
      </c>
      <c r="F913" t="n">
        <v>522568</v>
      </c>
      <c r="G913" t="inlineStr">
        <is>
          <t>Physician</t>
        </is>
      </c>
      <c r="H913" t="inlineStr">
        <is>
          <t>history-of-present-illness</t>
        </is>
      </c>
      <c r="I913" t="inlineStr">
        <is>
          <t xml:space="preserve">
   admited from ED with acute desaturation.</t>
        </is>
      </c>
    </row>
    <row r="914">
      <c r="A914" t="inlineStr">
        <is>
          <t>522568-history-of-present-illness-0-1</t>
        </is>
      </c>
      <c r="B914" t="inlineStr"/>
      <c r="C914" t="inlineStr"/>
      <c r="D914">
        <f>HYPERLINK("http://nlpdeep.cs.uic.edu:8080/proofing/gsii/522568-history-of-present-illness-0-1.pdf","gsii/522568-history-of-present-illness-0-1.pdf")</f>
        <v/>
      </c>
      <c r="E914" t="n">
        <v>120842</v>
      </c>
      <c r="F914" t="n">
        <v>522568</v>
      </c>
      <c r="G914" t="inlineStr">
        <is>
          <t>Physician</t>
        </is>
      </c>
      <c r="H914" t="inlineStr">
        <is>
          <t>history-of-present-illness</t>
        </is>
      </c>
      <c r="I914" t="inlineStr">
        <is>
          <t xml:space="preserve">
   admited from ED with acute desaturation.</t>
        </is>
      </c>
    </row>
    <row r="915">
      <c r="A915" t="inlineStr">
        <is>
          <t>522568-allergies-0-0</t>
        </is>
      </c>
      <c r="B915" t="inlineStr"/>
      <c r="C915" t="inlineStr"/>
      <c r="D915">
        <f>HYPERLINK("http://nlpdeep.cs.uic.edu:8080/proofing/t5/522568-allergies-0-0.pdf","t5/522568-allergies-0-0.pdf")</f>
        <v/>
      </c>
      <c r="E915" t="n">
        <v>120842</v>
      </c>
      <c r="F915" t="n">
        <v>522568</v>
      </c>
      <c r="G915" t="inlineStr">
        <is>
          <t>Physician</t>
        </is>
      </c>
      <c r="H915" t="inlineStr">
        <is>
          <t>allergies</t>
        </is>
      </c>
      <c r="I915" t="inlineStr">
        <is>
          <t>Hayfever (Nasal) (Homeopathic Drugs)
   Cough; s</t>
        </is>
      </c>
    </row>
    <row r="916">
      <c r="A916" t="inlineStr">
        <is>
          <t>522568-allergies-0-0</t>
        </is>
      </c>
      <c r="B916" t="inlineStr"/>
      <c r="C916" t="inlineStr"/>
      <c r="D916">
        <f>HYPERLINK("http://nlpdeep.cs.uic.edu:8080/proofing/gsii/522568-allergies-0-0.pdf","gsii/522568-allergies-0-0.pdf")</f>
        <v/>
      </c>
      <c r="E916" t="n">
        <v>120842</v>
      </c>
      <c r="F916" t="n">
        <v>522568</v>
      </c>
      <c r="G916" t="inlineStr">
        <is>
          <t>Physician</t>
        </is>
      </c>
      <c r="H916" t="inlineStr">
        <is>
          <t>allergies</t>
        </is>
      </c>
      <c r="I916" t="inlineStr">
        <is>
          <t>Hayfever (Nasal) (Homeopathic Drugs)
   Cough; s</t>
        </is>
      </c>
    </row>
    <row r="917">
      <c r="A917" t="inlineStr">
        <is>
          <t>522568-other-medications-0-0</t>
        </is>
      </c>
      <c r="B917" t="inlineStr"/>
      <c r="C917" t="inlineStr"/>
      <c r="D917">
        <f>HYPERLINK("http://nlpdeep.cs.uic.edu:8080/proofing/t5/522568-other-medications-0-0.pdf","t5/522568-other-medications-0-0.pdf")</f>
        <v/>
      </c>
      <c r="E917" t="n">
        <v>120842</v>
      </c>
      <c r="F917" t="n">
        <v>522568</v>
      </c>
      <c r="G917" t="inlineStr">
        <is>
          <t>Physician</t>
        </is>
      </c>
      <c r="H917" t="inlineStr">
        <is>
          <t>other-medications</t>
        </is>
      </c>
      <c r="I917" t="inlineStr">
        <is>
          <t>Other medications:
   heparin
   atrovent/albuterol
   omeprazaole
   medrol 80mg IV q8h
   Fe
   MVI
   simvastatin
   SSI
   prozac
   c</t>
        </is>
      </c>
    </row>
    <row r="918">
      <c r="A918" t="inlineStr">
        <is>
          <t>522568-other-medications-0-0</t>
        </is>
      </c>
      <c r="B918" t="inlineStr"/>
      <c r="C918" t="inlineStr"/>
      <c r="D918">
        <f>HYPERLINK("http://nlpdeep.cs.uic.edu:8080/proofing/gsii/522568-other-medications-0-0.pdf","gsii/522568-other-medications-0-0.pdf")</f>
        <v/>
      </c>
      <c r="E918" t="n">
        <v>120842</v>
      </c>
      <c r="F918" t="n">
        <v>522568</v>
      </c>
      <c r="G918" t="inlineStr">
        <is>
          <t>Physician</t>
        </is>
      </c>
      <c r="H918" t="inlineStr">
        <is>
          <t>other-medications</t>
        </is>
      </c>
      <c r="I918" t="inlineStr">
        <is>
          <t>Other medications:
   heparin
   atrovent/albuterol
   omeprazaole
   medrol 80mg IV q8h
   Fe
   MVI
   simvastatin
   SSI
   prozac
   c</t>
        </is>
      </c>
    </row>
    <row r="919">
      <c r="A919" t="inlineStr">
        <is>
          <t>522568-past-medical-history-0-0</t>
        </is>
      </c>
      <c r="B919" t="inlineStr"/>
      <c r="C919" t="inlineStr"/>
      <c r="D919">
        <f>HYPERLINK("http://nlpdeep.cs.uic.edu:8080/proofing/t5/522568-past-medical-history-0-0.pdf","t5/522568-past-medical-history-0-0.pdf")</f>
        <v/>
      </c>
      <c r="E919" t="n">
        <v>120842</v>
      </c>
      <c r="F919" t="n">
        <v>522568</v>
      </c>
      <c r="G919" t="inlineStr">
        <is>
          <t>Physician</t>
        </is>
      </c>
      <c r="H919" t="inlineStr">
        <is>
          <t>past-medical-history</t>
        </is>
      </c>
      <c r="I919" t="inlineStr">
        <is>
          <t>PMH, SH, FH and ROS are unchanged from Admission except where noted
   above and below
   Review of systems is unchanged from admission except as noted b</t>
        </is>
      </c>
    </row>
    <row r="920">
      <c r="A920" t="inlineStr">
        <is>
          <t>522568-past-medical-history-0-0</t>
        </is>
      </c>
      <c r="B920" t="inlineStr"/>
      <c r="C920" t="inlineStr"/>
      <c r="D920">
        <f>HYPERLINK("http://nlpdeep.cs.uic.edu:8080/proofing/gsii/522568-past-medical-history-0-0.pdf","gsii/522568-past-medical-history-0-0.pdf")</f>
        <v/>
      </c>
      <c r="E920" t="n">
        <v>120842</v>
      </c>
      <c r="F920" t="n">
        <v>522568</v>
      </c>
      <c r="G920" t="inlineStr">
        <is>
          <t>Physician</t>
        </is>
      </c>
      <c r="H920" t="inlineStr">
        <is>
          <t>past-medical-history</t>
        </is>
      </c>
      <c r="I920" t="inlineStr">
        <is>
          <t>PMH, SH, FH and ROS are unchanged from Admission except where noted
   above and below
   Review of systems is unchanged from admission except as noted b</t>
        </is>
      </c>
    </row>
    <row r="921">
      <c r="A921" t="inlineStr">
        <is>
          <t>522568-review-of-systems-0-0</t>
        </is>
      </c>
      <c r="B921" t="inlineStr"/>
      <c r="C921" t="inlineStr"/>
      <c r="D921">
        <f>HYPERLINK("http://nlpdeep.cs.uic.edu:8080/proofing/t5/522568-review-of-systems-0-0.pdf","t5/522568-review-of-systems-0-0.pdf")</f>
        <v/>
      </c>
      <c r="E921" t="n">
        <v>120842</v>
      </c>
      <c r="F921" t="n">
        <v>522568</v>
      </c>
      <c r="G921" t="inlineStr">
        <is>
          <t>Physician</t>
        </is>
      </c>
      <c r="H921" t="inlineStr">
        <is>
          <t>review-of-systems</t>
        </is>
      </c>
      <c r="I921" t="inlineStr">
        <is>
          <t>Cardiovascular: No(t) Chest pain, Tachycardia
   Respiratory: Cough, No(t) Dyspnea, No(t) Wheeze
   Gastrointestinal: No(t) Abdominal pain
   Genitourinary: No(t) Dysuria
   Musculoskeletal: No(t) Joint p</t>
        </is>
      </c>
    </row>
    <row r="922">
      <c r="A922" t="inlineStr">
        <is>
          <t>522568-review-of-systems-0-0</t>
        </is>
      </c>
      <c r="B922" t="inlineStr"/>
      <c r="C922" t="inlineStr"/>
      <c r="D922">
        <f>HYPERLINK("http://nlpdeep.cs.uic.edu:8080/proofing/gsii/522568-review-of-systems-0-0.pdf","gsii/522568-review-of-systems-0-0.pdf")</f>
        <v/>
      </c>
      <c r="E922" t="n">
        <v>120842</v>
      </c>
      <c r="F922" t="n">
        <v>522568</v>
      </c>
      <c r="G922" t="inlineStr">
        <is>
          <t>Physician</t>
        </is>
      </c>
      <c r="H922" t="inlineStr">
        <is>
          <t>review-of-systems</t>
        </is>
      </c>
      <c r="I922" t="inlineStr">
        <is>
          <t>Cardiovascular: No(t) Chest pain, Tachycardia
   Respiratory: Cough, No(t) Dyspnea, No(t) Wheeze
   Gastrointestinal: No(t) Abdominal pain
   Genitourinary: No(t) Dysuria
   Musculoskeletal: No(t) Joint p</t>
        </is>
      </c>
    </row>
    <row r="923">
      <c r="A923" t="inlineStr">
        <is>
          <t>522568-flowsheet-data-vitals-0-0</t>
        </is>
      </c>
      <c r="B923" t="inlineStr"/>
      <c r="C923" t="inlineStr"/>
      <c r="D923">
        <f>HYPERLINK("http://nlpdeep.cs.uic.edu:8080/proofing/t5/522568-flowsheet-data-vitals-0-0.pdf","t5/522568-flowsheet-data-vitals-0-0.pdf")</f>
        <v/>
      </c>
      <c r="E923" t="n">
        <v>120842</v>
      </c>
      <c r="F923" t="n">
        <v>522568</v>
      </c>
      <c r="G923" t="inlineStr">
        <is>
          <t>Physician</t>
        </is>
      </c>
      <c r="H923" t="inlineStr">
        <is>
          <t>flowsheet-data-vitals</t>
        </is>
      </c>
      <c r="I923" t="inlineStr">
        <is>
          <t>Vital signs
   Hemodynamic monitoring
   Fluid balance
                                                                  24 hours
                                                               Since [**55**] AM
   Tmax: 36.9
C (98.4
   Tcurrent: 36
C (96.8
   HR: 60 (57 - 90) bpm
   BP: 167/74(96) {130/58(76) - 167/80(100)} mmHg
   RR: 16 (15 - 24) insp/min
   SpO2: 97%
   Heart rhythm: SR (Sinus Rhythm)
   Height: 24 Inch
             Total In:
                                                                  2,290 mL
                                                                     98 mL
   PO:
                                                                    150 mL
             TF:
   IVF:
                                                                     90 mL
                                                                     98 mL
   Blood products:
   Total out:
                                                                  2,050 mL
                                                                  1,060 mL
   Urine:
                                                                  1,200 mL
                                                                  1,060 mL
   NG:
   Stool:
   Drains:
   Balance:
                                                                    240 mL
                                                                   -962 mL
   Respiratory support
   O2 Delivery Device: Aerosol-cool, Face tent
   SpO2: 97%
   ABG: ///32/</t>
        </is>
      </c>
    </row>
    <row r="924">
      <c r="A924" t="inlineStr">
        <is>
          <t>522568-flowsheet-data-vitals-0-0</t>
        </is>
      </c>
      <c r="B924" t="inlineStr"/>
      <c r="C924" t="inlineStr"/>
      <c r="D924">
        <f>HYPERLINK("http://nlpdeep.cs.uic.edu:8080/proofing/gsii/522568-flowsheet-data-vitals-0-0.pdf","gsii/522568-flowsheet-data-vitals-0-0.pdf")</f>
        <v/>
      </c>
      <c r="E924" t="n">
        <v>120842</v>
      </c>
      <c r="F924" t="n">
        <v>522568</v>
      </c>
      <c r="G924" t="inlineStr">
        <is>
          <t>Physician</t>
        </is>
      </c>
      <c r="H924" t="inlineStr">
        <is>
          <t>flowsheet-data-vitals</t>
        </is>
      </c>
      <c r="I924" t="inlineStr">
        <is>
          <t>Vital signs
   Hemodynamic monitoring
   Fluid balance
                                                                  24 hours
                                                               Since [**55**] AM
   Tmax: 36.9
C (98.4
   Tcurrent: 36
C (96.8
   HR: 60 (57 - 90) bpm
   BP: 167/74(96) {130/58(76) - 167/80(100)} mmHg
   RR: 16 (15 - 24) insp/min
   SpO2: 97%
   Heart rhythm: SR (Sinus Rhythm)
   Height: 24 Inch
             Total In:
                                                                  2,290 mL
                                                                     98 mL
   PO:
                                                                    150 mL
             TF:
   IVF:
                                                                     90 mL
                                                                     98 mL
   Blood products:
   Total out:
                                                                  2,050 mL
                                                                  1,060 mL
   Urine:
                                                                  1,200 mL
                                                                  1,060 mL
   NG:
   Stool:
   Drains:
   Balance:
                                                                    240 mL
                                                                   -962 mL
   Respiratory support
   O2 Delivery Device: Aerosol-cool, Face tent
   SpO2: 97%
   ABG: ///32/</t>
        </is>
      </c>
    </row>
    <row r="925">
      <c r="A925" t="inlineStr">
        <is>
          <t>522568-physical-examination-0-0</t>
        </is>
      </c>
      <c r="B925" t="inlineStr"/>
      <c r="C925" t="inlineStr"/>
      <c r="D925">
        <f>HYPERLINK("http://nlpdeep.cs.uic.edu:8080/proofing/t5/522568-physical-examination-0-0.pdf","t5/522568-physical-examination-0-0.pdf")</f>
        <v/>
      </c>
      <c r="E925" t="n">
        <v>120842</v>
      </c>
      <c r="F925" t="n">
        <v>522568</v>
      </c>
      <c r="G925" t="inlineStr">
        <is>
          <t>Physician</t>
        </is>
      </c>
      <c r="H925" t="inlineStr">
        <is>
          <t>physical-examination</t>
        </is>
      </c>
      <c r="I925" t="inlineStr">
        <is>
          <t>General Appearance: Well nourished, No acute distress
   Eyes / Conjunctiva: PERRL
   Head, Ears, Nose, Throat: Normocephalic
   Lymphatic: No(t) Cervical WNL
   Cardiovascular: (S1: Normal), (S2: Normal)
   Peripheral Vascular: (Right radial pulse: Not assessed), (Left radial
   pulse: Not assessed), (Right DP pulse: Present), (Left DP pulse:
   Present)
   Respiratory / Chest: (Breath Sounds: Clear : )
   Abdominal: Soft, Non-tender, Bowel sounds present
   Extremities: Right lower extremity edema: Absent, Left lower extremity
   edema: Trace
   Skin:  Warm, No(t) Rash:
   Neurologic: Attentive, Follows simple commands, Responds to: Verbal
   stimuli, Movement: Not assessed, Tone: Not a</t>
        </is>
      </c>
    </row>
    <row r="926">
      <c r="A926" t="inlineStr">
        <is>
          <t>522568-physical-examination-0-0</t>
        </is>
      </c>
      <c r="B926" t="inlineStr"/>
      <c r="C926" t="inlineStr"/>
      <c r="D926">
        <f>HYPERLINK("http://nlpdeep.cs.uic.edu:8080/proofing/gsii/522568-physical-examination-0-0.pdf","gsii/522568-physical-examination-0-0.pdf")</f>
        <v/>
      </c>
      <c r="E926" t="n">
        <v>120842</v>
      </c>
      <c r="F926" t="n">
        <v>522568</v>
      </c>
      <c r="G926" t="inlineStr">
        <is>
          <t>Physician</t>
        </is>
      </c>
      <c r="H926" t="inlineStr">
        <is>
          <t>physical-examination</t>
        </is>
      </c>
      <c r="I926" t="inlineStr">
        <is>
          <t>General Appearance: Well nourished, No acute distress
   Eyes / Conjunctiva: PERRL
   Head, Ears, Nose, Throat: Normocephalic
   Lymphatic: No(t) Cervical WNL
   Cardiovascular: (S1: Normal), (S2: Normal)
   Peripheral Vascular: (Right radial pulse: Not assessed), (Left radial
   pulse: Not assessed), (Right DP pulse: Present), (Left DP pulse:
   Present)
   Respiratory / Chest: (Breath Sounds: Clear : )
   Abdominal: Soft, Non-tender, Bowel sounds present
   Extremities: Right lower extremity edema: Absent, Left lower extremity
   edema: Trace
   Skin:  Warm, No(t) Rash:
   Neurologic: Attentive, Follows simple commands, Responds to: Verbal
   stimuli, Movement: Not assessed, Tone: Not a</t>
        </is>
      </c>
    </row>
    <row r="927">
      <c r="A927" t="inlineStr">
        <is>
          <t>522568-assessment-and-plan-0-0</t>
        </is>
      </c>
      <c r="B927" t="inlineStr"/>
      <c r="C927" t="inlineStr"/>
      <c r="D927">
        <f>HYPERLINK("http://nlpdeep.cs.uic.edu:8080/proofing/t5/522568-assessment-and-plan-0-0.pdf","t5/522568-assessment-and-plan-0-0.pdf")</f>
        <v/>
      </c>
      <c r="E927" t="n">
        <v>120842</v>
      </c>
      <c r="F927" t="n">
        <v>522568</v>
      </c>
      <c r="G927" t="inlineStr">
        <is>
          <t>Physician</t>
        </is>
      </c>
      <c r="H927" t="inlineStr">
        <is>
          <t>assessment-and-plan</t>
        </is>
      </c>
      <c r="I927" t="inlineStr">
        <is>
          <t>Respiratory distress:  COPD exacerbation.</t>
        </is>
      </c>
    </row>
    <row r="928">
      <c r="A928" t="inlineStr">
        <is>
          <t>522568-assessment-and-plan-0-0</t>
        </is>
      </c>
      <c r="B928" t="inlineStr"/>
      <c r="C928" t="inlineStr"/>
      <c r="D928">
        <f>HYPERLINK("http://nlpdeep.cs.uic.edu:8080/proofing/gsii/522568-assessment-and-plan-0-0.pdf","gsii/522568-assessment-and-plan-0-0.pdf")</f>
        <v/>
      </c>
      <c r="E928" t="n">
        <v>120842</v>
      </c>
      <c r="F928" t="n">
        <v>522568</v>
      </c>
      <c r="G928" t="inlineStr">
        <is>
          <t>Physician</t>
        </is>
      </c>
      <c r="H928" t="inlineStr">
        <is>
          <t>assessment-and-plan</t>
        </is>
      </c>
      <c r="I928" t="inlineStr">
        <is>
          <t>Respiratory distress:  COPD exacerbation.</t>
        </is>
      </c>
    </row>
    <row r="929">
      <c r="A929" t="inlineStr">
        <is>
          <t>522568-assessment-and-plan-0-1</t>
        </is>
      </c>
      <c r="B929" t="inlineStr"/>
      <c r="C929" t="inlineStr"/>
      <c r="D929">
        <f>HYPERLINK("http://nlpdeep.cs.uic.edu:8080/proofing/t5/522568-assessment-and-plan-0-1.pdf","t5/522568-assessment-and-plan-0-1.pdf")</f>
        <v/>
      </c>
      <c r="E929" t="n">
        <v>120842</v>
      </c>
      <c r="F929" t="n">
        <v>522568</v>
      </c>
      <c r="G929" t="inlineStr">
        <is>
          <t>Physician</t>
        </is>
      </c>
      <c r="H929" t="inlineStr">
        <is>
          <t>assessment-and-plan</t>
        </is>
      </c>
      <c r="I929" t="inlineStr">
        <is>
          <t xml:space="preserve"> continue steroids and nebs.</t>
        </is>
      </c>
    </row>
    <row r="930">
      <c r="A930" t="inlineStr">
        <is>
          <t>522568-assessment-and-plan-0-1</t>
        </is>
      </c>
      <c r="B930" t="inlineStr"/>
      <c r="C930" t="inlineStr"/>
      <c r="D930">
        <f>HYPERLINK("http://nlpdeep.cs.uic.edu:8080/proofing/gsii/522568-assessment-and-plan-0-1.pdf","gsii/522568-assessment-and-plan-0-1.pdf")</f>
        <v/>
      </c>
      <c r="E930" t="n">
        <v>120842</v>
      </c>
      <c r="F930" t="n">
        <v>522568</v>
      </c>
      <c r="G930" t="inlineStr">
        <is>
          <t>Physician</t>
        </is>
      </c>
      <c r="H930" t="inlineStr">
        <is>
          <t>assessment-and-plan</t>
        </is>
      </c>
      <c r="I930" t="inlineStr">
        <is>
          <t xml:space="preserve"> continue steroids and nebs.</t>
        </is>
      </c>
    </row>
    <row r="931">
      <c r="A931" t="inlineStr">
        <is>
          <t>522568-assessment-and-plan-0-2</t>
        </is>
      </c>
      <c r="B931" t="inlineStr"/>
      <c r="C931" t="inlineStr"/>
      <c r="D931">
        <f>HYPERLINK("http://nlpdeep.cs.uic.edu:8080/proofing/t5/522568-assessment-and-plan-0-2.pdf","t5/522568-assessment-and-plan-0-2.pdf")</f>
        <v/>
      </c>
      <c r="E931" t="n">
        <v>120842</v>
      </c>
      <c r="F931" t="n">
        <v>522568</v>
      </c>
      <c r="G931" t="inlineStr">
        <is>
          <t>Physician</t>
        </is>
      </c>
      <c r="H931" t="inlineStr">
        <is>
          <t>assessment-and-plan</t>
        </is>
      </c>
      <c r="I931" t="inlineStr">
        <is>
          <t xml:space="preserve">
   diastolic CHF:  Seems euvolemic.</t>
        </is>
      </c>
    </row>
    <row r="932">
      <c r="A932" t="inlineStr">
        <is>
          <t>522568-assessment-and-plan-0-2</t>
        </is>
      </c>
      <c r="B932" t="inlineStr"/>
      <c r="C932" t="inlineStr"/>
      <c r="D932">
        <f>HYPERLINK("http://nlpdeep.cs.uic.edu:8080/proofing/gsii/522568-assessment-and-plan-0-2.pdf","gsii/522568-assessment-and-plan-0-2.pdf")</f>
        <v/>
      </c>
      <c r="E932" t="n">
        <v>120842</v>
      </c>
      <c r="F932" t="n">
        <v>522568</v>
      </c>
      <c r="G932" t="inlineStr">
        <is>
          <t>Physician</t>
        </is>
      </c>
      <c r="H932" t="inlineStr">
        <is>
          <t>assessment-and-plan</t>
        </is>
      </c>
      <c r="I932" t="inlineStr">
        <is>
          <t xml:space="preserve">
   diastolic CHF:  Seems euvolemic.</t>
        </is>
      </c>
    </row>
    <row r="933">
      <c r="A933" t="inlineStr">
        <is>
          <t>522568-assessment-and-plan-0-3</t>
        </is>
      </c>
      <c r="B933" t="inlineStr"/>
      <c r="C933" t="inlineStr"/>
      <c r="D933">
        <f>HYPERLINK("http://nlpdeep.cs.uic.edu:8080/proofing/t5/522568-assessment-and-plan-0-3.pdf","t5/522568-assessment-and-plan-0-3.pdf")</f>
        <v/>
      </c>
      <c r="E933" t="n">
        <v>120842</v>
      </c>
      <c r="F933" t="n">
        <v>522568</v>
      </c>
      <c r="G933" t="inlineStr">
        <is>
          <t>Physician</t>
        </is>
      </c>
      <c r="H933" t="inlineStr">
        <is>
          <t>assessment-and-plan</t>
        </is>
      </c>
      <c r="I933" t="inlineStr">
        <is>
          <t xml:space="preserve"> add HCTZ as she is hypertensive, but
   not in distress.</t>
        </is>
      </c>
    </row>
    <row r="934">
      <c r="A934" t="inlineStr">
        <is>
          <t>522568-assessment-and-plan-0-3</t>
        </is>
      </c>
      <c r="B934" t="inlineStr"/>
      <c r="C934" t="inlineStr"/>
      <c r="D934">
        <f>HYPERLINK("http://nlpdeep.cs.uic.edu:8080/proofing/gsii/522568-assessment-and-plan-0-3.pdf","gsii/522568-assessment-and-plan-0-3.pdf")</f>
        <v/>
      </c>
      <c r="E934" t="n">
        <v>120842</v>
      </c>
      <c r="F934" t="n">
        <v>522568</v>
      </c>
      <c r="G934" t="inlineStr">
        <is>
          <t>Physician</t>
        </is>
      </c>
      <c r="H934" t="inlineStr">
        <is>
          <t>assessment-and-plan</t>
        </is>
      </c>
      <c r="I934" t="inlineStr">
        <is>
          <t xml:space="preserve"> add HCTZ as she is hypertensive, but
   not in distress.</t>
        </is>
      </c>
    </row>
    <row r="935">
      <c r="A935" t="inlineStr">
        <is>
          <t>522568-assessment-and-plan-0-4</t>
        </is>
      </c>
      <c r="B935" t="inlineStr"/>
      <c r="C935" t="inlineStr"/>
      <c r="D935">
        <f>HYPERLINK("http://nlpdeep.cs.uic.edu:8080/proofing/t5/522568-assessment-and-plan-0-4.pdf","t5/522568-assessment-and-plan-0-4.pdf")</f>
        <v/>
      </c>
      <c r="E935" t="n">
        <v>120842</v>
      </c>
      <c r="F935" t="n">
        <v>522568</v>
      </c>
      <c r="G935" t="inlineStr">
        <is>
          <t>Physician</t>
        </is>
      </c>
      <c r="H935" t="inlineStr">
        <is>
          <t>assessment-and-plan</t>
        </is>
      </c>
      <c r="I935" t="inlineStr">
        <is>
          <t xml:space="preserve">
   tachycardia:  SVT this morning broke in its own.</t>
        </is>
      </c>
    </row>
    <row r="936">
      <c r="A936" t="inlineStr">
        <is>
          <t>522568-assessment-and-plan-0-4</t>
        </is>
      </c>
      <c r="B936" t="inlineStr"/>
      <c r="C936" t="inlineStr"/>
      <c r="D936">
        <f>HYPERLINK("http://nlpdeep.cs.uic.edu:8080/proofing/gsii/522568-assessment-and-plan-0-4.pdf","gsii/522568-assessment-and-plan-0-4.pdf")</f>
        <v/>
      </c>
      <c r="E936" t="n">
        <v>120842</v>
      </c>
      <c r="F936" t="n">
        <v>522568</v>
      </c>
      <c r="G936" t="inlineStr">
        <is>
          <t>Physician</t>
        </is>
      </c>
      <c r="H936" t="inlineStr">
        <is>
          <t>assessment-and-plan</t>
        </is>
      </c>
      <c r="I936" t="inlineStr">
        <is>
          <t xml:space="preserve">
   tachycardia:  SVT this morning broke in its own.</t>
        </is>
      </c>
    </row>
    <row r="937">
      <c r="A937" t="inlineStr">
        <is>
          <t>522568-assessment-and-plan-0-5</t>
        </is>
      </c>
      <c r="B937" t="inlineStr"/>
      <c r="C937" t="inlineStr"/>
      <c r="D937">
        <f>HYPERLINK("http://nlpdeep.cs.uic.edu:8080/proofing/t5/522568-assessment-and-plan-0-5.pdf","t5/522568-assessment-and-plan-0-5.pdf")</f>
        <v/>
      </c>
      <c r="E937" t="n">
        <v>120842</v>
      </c>
      <c r="F937" t="n">
        <v>522568</v>
      </c>
      <c r="G937" t="inlineStr">
        <is>
          <t>Physician</t>
        </is>
      </c>
      <c r="H937" t="inlineStr">
        <is>
          <t>assessment-and-plan</t>
        </is>
      </c>
      <c r="I937" t="inlineStr">
        <is>
          <t xml:space="preserve"> Likely due to
   nebulizers and COPD exacerbation atrial hyperactivity.</t>
        </is>
      </c>
    </row>
    <row r="938">
      <c r="A938" t="inlineStr">
        <is>
          <t>522568-assessment-and-plan-0-5</t>
        </is>
      </c>
      <c r="B938" t="inlineStr"/>
      <c r="C938" t="inlineStr"/>
      <c r="D938">
        <f>HYPERLINK("http://nlpdeep.cs.uic.edu:8080/proofing/gsii/522568-assessment-and-plan-0-5.pdf","gsii/522568-assessment-and-plan-0-5.pdf")</f>
        <v/>
      </c>
      <c r="E938" t="n">
        <v>120842</v>
      </c>
      <c r="F938" t="n">
        <v>522568</v>
      </c>
      <c r="G938" t="inlineStr">
        <is>
          <t>Physician</t>
        </is>
      </c>
      <c r="H938" t="inlineStr">
        <is>
          <t>assessment-and-plan</t>
        </is>
      </c>
      <c r="I938" t="inlineStr">
        <is>
          <t xml:space="preserve"> Likely due to
   nebulizers and COPD exacerbation atrial hyperactivity.</t>
        </is>
      </c>
    </row>
    <row r="939">
      <c r="A939" t="inlineStr">
        <is>
          <t>522568-assessment-and-plan-0-6</t>
        </is>
      </c>
      <c r="B939" t="inlineStr"/>
      <c r="C939" t="inlineStr"/>
      <c r="D939">
        <f>HYPERLINK("http://nlpdeep.cs.uic.edu:8080/proofing/t5/522568-assessment-and-plan-0-6.pdf","t5/522568-assessment-and-plan-0-6.pdf")</f>
        <v/>
      </c>
      <c r="E939" t="n">
        <v>120842</v>
      </c>
      <c r="F939" t="n">
        <v>522568</v>
      </c>
      <c r="G939" t="inlineStr">
        <is>
          <t>Physician</t>
        </is>
      </c>
      <c r="H939" t="inlineStr">
        <is>
          <t>assessment-and-plan</t>
        </is>
      </c>
      <c r="I939" t="inlineStr">
        <is>
          <t>ICU Care
   Nutrition:
   Glycemic Control:
   Lines:
   18 Gauge - [**2153-4-6**] 03:00 PM
   20 Gauge - [**2153-4-6**] 03:00 PM
   Prophylaxis:
   DVT: SQ UF Heparin
   Stress ulcer: PPI
   VAP:
   Comments:
   Communication:  Comments:</t>
        </is>
      </c>
    </row>
    <row r="940">
      <c r="A940" t="inlineStr">
        <is>
          <t>522568-assessment-and-plan-0-6</t>
        </is>
      </c>
      <c r="B940" t="inlineStr"/>
      <c r="C940" t="inlineStr"/>
      <c r="D940">
        <f>HYPERLINK("http://nlpdeep.cs.uic.edu:8080/proofing/gsii/522568-assessment-and-plan-0-6.pdf","gsii/522568-assessment-and-plan-0-6.pdf")</f>
        <v/>
      </c>
      <c r="E940" t="n">
        <v>120842</v>
      </c>
      <c r="F940" t="n">
        <v>522568</v>
      </c>
      <c r="G940" t="inlineStr">
        <is>
          <t>Physician</t>
        </is>
      </c>
      <c r="H940" t="inlineStr">
        <is>
          <t>assessment-and-plan</t>
        </is>
      </c>
      <c r="I940" t="inlineStr">
        <is>
          <t>ICU Care
   Nutrition:
   Glycemic Control:
   Lines:
   18 Gauge - [**2153-4-6**] 03:00 PM
   20 Gauge - [**2153-4-6**] 03:00 PM
   Prophylaxis:
   DVT: SQ UF Heparin
   Stress ulcer: PPI
   VAP:
   Comments:
   Communication:  Comments:</t>
        </is>
      </c>
    </row>
    <row r="941">
      <c r="A941" t="inlineStr">
        <is>
          <t>522568-code-status-0-0</t>
        </is>
      </c>
      <c r="B941" t="inlineStr"/>
      <c r="C941" t="inlineStr"/>
      <c r="D941">
        <f>HYPERLINK("http://nlpdeep.cs.uic.edu:8080/proofing/t5/522568-code-status-0-0.pdf","t5/522568-code-status-0-0.pdf")</f>
        <v/>
      </c>
      <c r="E941" t="n">
        <v>120842</v>
      </c>
      <c r="F941" t="n">
        <v>522568</v>
      </c>
      <c r="G941" t="inlineStr">
        <is>
          <t>Physician</t>
        </is>
      </c>
      <c r="H941" t="inlineStr">
        <is>
          <t>code-status</t>
        </is>
      </c>
      <c r="I941" t="inlineStr">
        <is>
          <t>Full c</t>
        </is>
      </c>
    </row>
    <row r="942">
      <c r="A942" t="inlineStr">
        <is>
          <t>522568-code-status-0-0</t>
        </is>
      </c>
      <c r="B942" t="inlineStr"/>
      <c r="C942" t="inlineStr"/>
      <c r="D942">
        <f>HYPERLINK("http://nlpdeep.cs.uic.edu:8080/proofing/gsii/522568-code-status-0-0.pdf","gsii/522568-code-status-0-0.pdf")</f>
        <v/>
      </c>
      <c r="E942" t="n">
        <v>120842</v>
      </c>
      <c r="F942" t="n">
        <v>522568</v>
      </c>
      <c r="G942" t="inlineStr">
        <is>
          <t>Physician</t>
        </is>
      </c>
      <c r="H942" t="inlineStr">
        <is>
          <t>code-status</t>
        </is>
      </c>
      <c r="I942" t="inlineStr">
        <is>
          <t>Full c</t>
        </is>
      </c>
    </row>
    <row r="943">
      <c r="A943" t="inlineStr">
        <is>
          <t>522568-disposition-0-0</t>
        </is>
      </c>
      <c r="B943" t="inlineStr"/>
      <c r="C943" t="inlineStr"/>
      <c r="D943">
        <f>HYPERLINK("http://nlpdeep.cs.uic.edu:8080/proofing/t5/522568-disposition-0-0.pdf","t5/522568-disposition-0-0.pdf")</f>
        <v/>
      </c>
      <c r="E943" t="n">
        <v>120842</v>
      </c>
      <c r="F943" t="n">
        <v>522568</v>
      </c>
      <c r="G943" t="inlineStr">
        <is>
          <t>Physician</t>
        </is>
      </c>
      <c r="H943" t="inlineStr">
        <is>
          <t>disposition</t>
        </is>
      </c>
      <c r="I943" t="inlineStr">
        <is>
          <t>:I</t>
        </is>
      </c>
    </row>
    <row r="944">
      <c r="A944" t="inlineStr">
        <is>
          <t>522568-disposition-0-0</t>
        </is>
      </c>
      <c r="B944" t="inlineStr"/>
      <c r="C944" t="inlineStr"/>
      <c r="D944">
        <f>HYPERLINK("http://nlpdeep.cs.uic.edu:8080/proofing/gsii/522568-disposition-0-0.pdf","gsii/522568-disposition-0-0.pdf")</f>
        <v/>
      </c>
      <c r="E944" t="n">
        <v>120842</v>
      </c>
      <c r="F944" t="n">
        <v>522568</v>
      </c>
      <c r="G944" t="inlineStr">
        <is>
          <t>Physician</t>
        </is>
      </c>
      <c r="H944" t="inlineStr">
        <is>
          <t>disposition</t>
        </is>
      </c>
      <c r="I944" t="inlineStr">
        <is>
          <t>:I</t>
        </is>
      </c>
    </row>
    <row r="945">
      <c r="A945" t="inlineStr">
        <is>
          <t>523070-critical-care-attending-addendum-0-0</t>
        </is>
      </c>
      <c r="B945" t="inlineStr"/>
      <c r="C945" t="inlineStr"/>
      <c r="D945">
        <f>HYPERLINK("http://nlpdeep.cs.uic.edu:8080/proofing/t5/523070-critical-care-attending-addendum-0-0.pdf","t5/523070-critical-care-attending-addendum-0-0.pdf")</f>
        <v/>
      </c>
      <c r="E945" t="n">
        <v>120842</v>
      </c>
      <c r="F945" t="n">
        <v>523070</v>
      </c>
      <c r="G945" t="inlineStr">
        <is>
          <t>Physician</t>
        </is>
      </c>
      <c r="H945" t="inlineStr">
        <is>
          <t>critical-care-attending-addendum</t>
        </is>
      </c>
      <c r="I945" t="inlineStr">
        <is>
          <t>I saw and examined Ms.</t>
        </is>
      </c>
    </row>
    <row r="946">
      <c r="A946" t="inlineStr">
        <is>
          <t>523070-critical-care-attending-addendum-0-0</t>
        </is>
      </c>
      <c r="B946" t="inlineStr"/>
      <c r="C946" t="inlineStr"/>
      <c r="D946">
        <f>HYPERLINK("http://nlpdeep.cs.uic.edu:8080/proofing/gsii/523070-critical-care-attending-addendum-0-0.pdf","gsii/523070-critical-care-attending-addendum-0-0.pdf")</f>
        <v/>
      </c>
      <c r="E946" t="n">
        <v>120842</v>
      </c>
      <c r="F946" t="n">
        <v>523070</v>
      </c>
      <c r="G946" t="inlineStr">
        <is>
          <t>Physician</t>
        </is>
      </c>
      <c r="H946" t="inlineStr">
        <is>
          <t>critical-care-attending-addendum</t>
        </is>
      </c>
      <c r="I946" t="inlineStr">
        <is>
          <t>I saw and examined Ms.</t>
        </is>
      </c>
    </row>
    <row r="947">
      <c r="A947" t="inlineStr">
        <is>
          <t>523070-critical-care-attending-addendum-0-1</t>
        </is>
      </c>
      <c r="B947" t="inlineStr"/>
      <c r="C947" t="inlineStr"/>
      <c r="D947">
        <f>HYPERLINK("http://nlpdeep.cs.uic.edu:8080/proofing/t5/523070-critical-care-attending-addendum-0-1.pdf","t5/523070-critical-care-attending-addendum-0-1.pdf")</f>
        <v/>
      </c>
      <c r="E947" t="n">
        <v>120842</v>
      </c>
      <c r="F947" t="n">
        <v>523070</v>
      </c>
      <c r="G947" t="inlineStr">
        <is>
          <t>Physician</t>
        </is>
      </c>
      <c r="H947" t="inlineStr">
        <is>
          <t>critical-care-attending-addendum</t>
        </is>
      </c>
      <c r="I947" t="inlineStr">
        <is>
          <t>[**Known lastname 13659**] with the ICU team, whose note from today
   reflects my input.</t>
        </is>
      </c>
    </row>
    <row r="948">
      <c r="A948" t="inlineStr">
        <is>
          <t>523070-critical-care-attending-addendum-0-1</t>
        </is>
      </c>
      <c r="B948" t="inlineStr"/>
      <c r="C948" t="inlineStr"/>
      <c r="D948">
        <f>HYPERLINK("http://nlpdeep.cs.uic.edu:8080/proofing/gsii/523070-critical-care-attending-addendum-0-1.pdf","gsii/523070-critical-care-attending-addendum-0-1.pdf")</f>
        <v/>
      </c>
      <c r="E948" t="n">
        <v>120842</v>
      </c>
      <c r="F948" t="n">
        <v>523070</v>
      </c>
      <c r="G948" t="inlineStr">
        <is>
          <t>Physician</t>
        </is>
      </c>
      <c r="H948" t="inlineStr">
        <is>
          <t>critical-care-attending-addendum</t>
        </is>
      </c>
      <c r="I948" t="inlineStr">
        <is>
          <t>[**Known lastname 13659**] with the ICU team, whose note from today
   reflects my input.</t>
        </is>
      </c>
    </row>
    <row r="949">
      <c r="A949" t="inlineStr">
        <is>
          <t>523070-critical-care-attending-addendum-0-2</t>
        </is>
      </c>
      <c r="B949" t="inlineStr"/>
      <c r="C949" t="inlineStr"/>
      <c r="D949">
        <f>HYPERLINK("http://nlpdeep.cs.uic.edu:8080/proofing/t5/523070-critical-care-attending-addendum-0-2.pdf","t5/523070-critical-care-attending-addendum-0-2.pdf")</f>
        <v/>
      </c>
      <c r="E949" t="n">
        <v>120842</v>
      </c>
      <c r="F949" t="n">
        <v>523070</v>
      </c>
      <c r="G949" t="inlineStr">
        <is>
          <t>Physician</t>
        </is>
      </c>
      <c r="H949" t="inlineStr">
        <is>
          <t>critical-care-attending-addendum</t>
        </is>
      </c>
      <c r="I949" t="inlineStr">
        <is>
          <t xml:space="preserve"> I would add/emphasize that this 73 y/o woman was
   admitted to the ICU last week for respiratory distress and hypoxemia,
   on a background history of emphysema (mild by spirometry, but very low
   DLCO and on home O2).</t>
        </is>
      </c>
    </row>
    <row r="950">
      <c r="A950" t="inlineStr">
        <is>
          <t>523070-critical-care-attending-addendum-0-2</t>
        </is>
      </c>
      <c r="B950" t="inlineStr"/>
      <c r="C950" t="inlineStr"/>
      <c r="D950">
        <f>HYPERLINK("http://nlpdeep.cs.uic.edu:8080/proofing/gsii/523070-critical-care-attending-addendum-0-2.pdf","gsii/523070-critical-care-attending-addendum-0-2.pdf")</f>
        <v/>
      </c>
      <c r="E950" t="n">
        <v>120842</v>
      </c>
      <c r="F950" t="n">
        <v>523070</v>
      </c>
      <c r="G950" t="inlineStr">
        <is>
          <t>Physician</t>
        </is>
      </c>
      <c r="H950" t="inlineStr">
        <is>
          <t>critical-care-attending-addendum</t>
        </is>
      </c>
      <c r="I950" t="inlineStr">
        <is>
          <t xml:space="preserve"> I would add/emphasize that this 73 y/o woman was
   admitted to the ICU last week for respiratory distress and hypoxemia,
   on a background history of emphysema (mild by spirometry, but very low
   DLCO and on home O2).</t>
        </is>
      </c>
    </row>
    <row r="951">
      <c r="A951" t="inlineStr">
        <is>
          <t>523070-critical-care-attending-addendum-0-3</t>
        </is>
      </c>
      <c r="B951" t="inlineStr"/>
      <c r="C951" t="inlineStr"/>
      <c r="D951">
        <f>HYPERLINK("http://nlpdeep.cs.uic.edu:8080/proofing/t5/523070-critical-care-attending-addendum-0-3.pdf","t5/523070-critical-care-attending-addendum-0-3.pdf")</f>
        <v/>
      </c>
      <c r="E951" t="n">
        <v>120842</v>
      </c>
      <c r="F951" t="n">
        <v>523070</v>
      </c>
      <c r="G951" t="inlineStr">
        <is>
          <t>Physician</t>
        </is>
      </c>
      <c r="H951" t="inlineStr">
        <is>
          <t>critical-care-attending-addendum</t>
        </is>
      </c>
      <c r="I951" t="inlineStr">
        <is>
          <t xml:space="preserve"> Had knee replacement done recently then subacute
   worsening.</t>
        </is>
      </c>
    </row>
    <row r="952">
      <c r="A952" t="inlineStr">
        <is>
          <t>523070-critical-care-attending-addendum-0-3</t>
        </is>
      </c>
      <c r="B952" t="inlineStr"/>
      <c r="C952" t="inlineStr"/>
      <c r="D952">
        <f>HYPERLINK("http://nlpdeep.cs.uic.edu:8080/proofing/gsii/523070-critical-care-attending-addendum-0-3.pdf","gsii/523070-critical-care-attending-addendum-0-3.pdf")</f>
        <v/>
      </c>
      <c r="E952" t="n">
        <v>120842</v>
      </c>
      <c r="F952" t="n">
        <v>523070</v>
      </c>
      <c r="G952" t="inlineStr">
        <is>
          <t>Physician</t>
        </is>
      </c>
      <c r="H952" t="inlineStr">
        <is>
          <t>critical-care-attending-addendum</t>
        </is>
      </c>
      <c r="I952" t="inlineStr">
        <is>
          <t xml:space="preserve"> Had knee replacement done recently then subacute
   worsening.</t>
        </is>
      </c>
    </row>
    <row r="953">
      <c r="A953" t="inlineStr">
        <is>
          <t>523070-critical-care-attending-addendum-0-4</t>
        </is>
      </c>
      <c r="B953" t="inlineStr"/>
      <c r="C953" t="inlineStr"/>
      <c r="D953">
        <f>HYPERLINK("http://nlpdeep.cs.uic.edu:8080/proofing/t5/523070-critical-care-attending-addendum-0-4.pdf","t5/523070-critical-care-attending-addendum-0-4.pdf")</f>
        <v/>
      </c>
      <c r="E953" t="n">
        <v>120842</v>
      </c>
      <c r="F953" t="n">
        <v>523070</v>
      </c>
      <c r="G953" t="inlineStr">
        <is>
          <t>Physician</t>
        </is>
      </c>
      <c r="H953" t="inlineStr">
        <is>
          <t>critical-care-attending-addendum</t>
        </is>
      </c>
      <c r="I953" t="inlineStr">
        <is>
          <t xml:space="preserve"> Negative CTA on [**3-25**].</t>
        </is>
      </c>
    </row>
    <row r="954">
      <c r="A954" t="inlineStr">
        <is>
          <t>523070-critical-care-attending-addendum-0-4</t>
        </is>
      </c>
      <c r="B954" t="inlineStr"/>
      <c r="C954" t="inlineStr"/>
      <c r="D954">
        <f>HYPERLINK("http://nlpdeep.cs.uic.edu:8080/proofing/gsii/523070-critical-care-attending-addendum-0-4.pdf","gsii/523070-critical-care-attending-addendum-0-4.pdf")</f>
        <v/>
      </c>
      <c r="E954" t="n">
        <v>120842</v>
      </c>
      <c r="F954" t="n">
        <v>523070</v>
      </c>
      <c r="G954" t="inlineStr">
        <is>
          <t>Physician</t>
        </is>
      </c>
      <c r="H954" t="inlineStr">
        <is>
          <t>critical-care-attending-addendum</t>
        </is>
      </c>
      <c r="I954" t="inlineStr">
        <is>
          <t xml:space="preserve"> Negative CTA on [**3-25**].</t>
        </is>
      </c>
    </row>
    <row r="955">
      <c r="A955" t="inlineStr">
        <is>
          <t>523070-critical-care-attending-addendum-0-5</t>
        </is>
      </c>
      <c r="B955" t="inlineStr"/>
      <c r="C955" t="inlineStr"/>
      <c r="D955">
        <f>HYPERLINK("http://nlpdeep.cs.uic.edu:8080/proofing/t5/523070-critical-care-attending-addendum-0-5.pdf","t5/523070-critical-care-attending-addendum-0-5.pdf")</f>
        <v/>
      </c>
      <c r="E955" t="n">
        <v>120842</v>
      </c>
      <c r="F955" t="n">
        <v>523070</v>
      </c>
      <c r="G955" t="inlineStr">
        <is>
          <t>Physician</t>
        </is>
      </c>
      <c r="H955" t="inlineStr">
        <is>
          <t>critical-care-attending-addendum</t>
        </is>
      </c>
      <c r="I955" t="inlineStr">
        <is>
          <t xml:space="preserve"> In the ED, she was initially 90% on
   nasal cannula but had reportedly had episode of severe hypoxemia while
   moving stretchers.</t>
        </is>
      </c>
    </row>
    <row r="956">
      <c r="A956" t="inlineStr">
        <is>
          <t>523070-critical-care-attending-addendum-0-5</t>
        </is>
      </c>
      <c r="B956" t="inlineStr"/>
      <c r="C956" t="inlineStr"/>
      <c r="D956">
        <f>HYPERLINK("http://nlpdeep.cs.uic.edu:8080/proofing/gsii/523070-critical-care-attending-addendum-0-5.pdf","gsii/523070-critical-care-attending-addendum-0-5.pdf")</f>
        <v/>
      </c>
      <c r="E956" t="n">
        <v>120842</v>
      </c>
      <c r="F956" t="n">
        <v>523070</v>
      </c>
      <c r="G956" t="inlineStr">
        <is>
          <t>Physician</t>
        </is>
      </c>
      <c r="H956" t="inlineStr">
        <is>
          <t>critical-care-attending-addendum</t>
        </is>
      </c>
      <c r="I956" t="inlineStr">
        <is>
          <t xml:space="preserve"> In the ED, she was initially 90% on
   nasal cannula but had reportedly had episode of severe hypoxemia while
   moving stretchers.</t>
        </is>
      </c>
    </row>
    <row r="957">
      <c r="A957" t="inlineStr">
        <is>
          <t>523070-critical-care-attending-addendum-0-6</t>
        </is>
      </c>
      <c r="B957" t="inlineStr"/>
      <c r="C957" t="inlineStr"/>
      <c r="D957">
        <f>HYPERLINK("http://nlpdeep.cs.uic.edu:8080/proofing/t5/523070-critical-care-attending-addendum-0-6.pdf","t5/523070-critical-care-attending-addendum-0-6.pdf")</f>
        <v/>
      </c>
      <c r="E957" t="n">
        <v>120842</v>
      </c>
      <c r="F957" t="n">
        <v>523070</v>
      </c>
      <c r="G957" t="inlineStr">
        <is>
          <t>Physician</t>
        </is>
      </c>
      <c r="H957" t="inlineStr">
        <is>
          <t>critical-care-attending-addendum</t>
        </is>
      </c>
      <c r="I957" t="inlineStr">
        <is>
          <t xml:space="preserve"> She was called out of the ICU on [**4-7**] but developed
   tachycardia felt to be SVT on the floor.</t>
        </is>
      </c>
    </row>
    <row r="958">
      <c r="A958" t="inlineStr">
        <is>
          <t>523070-critical-care-attending-addendum-0-6</t>
        </is>
      </c>
      <c r="B958" t="inlineStr"/>
      <c r="C958" t="inlineStr"/>
      <c r="D958">
        <f>HYPERLINK("http://nlpdeep.cs.uic.edu:8080/proofing/gsii/523070-critical-care-attending-addendum-0-6.pdf","gsii/523070-critical-care-attending-addendum-0-6.pdf")</f>
        <v/>
      </c>
      <c r="E958" t="n">
        <v>120842</v>
      </c>
      <c r="F958" t="n">
        <v>523070</v>
      </c>
      <c r="G958" t="inlineStr">
        <is>
          <t>Physician</t>
        </is>
      </c>
      <c r="H958" t="inlineStr">
        <is>
          <t>critical-care-attending-addendum</t>
        </is>
      </c>
      <c r="I958" t="inlineStr">
        <is>
          <t xml:space="preserve"> She was called out of the ICU on [**4-7**] but developed
   tachycardia felt to be SVT on the floor.</t>
        </is>
      </c>
    </row>
    <row r="959">
      <c r="A959" t="inlineStr">
        <is>
          <t>523070-critical-care-attending-addendum-0-7</t>
        </is>
      </c>
      <c r="B959" t="inlineStr"/>
      <c r="C959" t="inlineStr"/>
      <c r="D959">
        <f>HYPERLINK("http://nlpdeep.cs.uic.edu:8080/proofing/t5/523070-critical-care-attending-addendum-0-7.pdf","t5/523070-critical-care-attending-addendum-0-7.pdf")</f>
        <v/>
      </c>
      <c r="E959" t="n">
        <v>120842</v>
      </c>
      <c r="F959" t="n">
        <v>523070</v>
      </c>
      <c r="G959" t="inlineStr">
        <is>
          <t>Physician</t>
        </is>
      </c>
      <c r="H959" t="inlineStr">
        <is>
          <t>critical-care-attending-addendum</t>
        </is>
      </c>
      <c r="I959" t="inlineStr">
        <is>
          <t xml:space="preserve"> It was uncontrolled with
   diltiazem and she returned to the ICU with that and respiratory
   distress.</t>
        </is>
      </c>
    </row>
    <row r="960">
      <c r="A960" t="inlineStr">
        <is>
          <t>523070-critical-care-attending-addendum-0-7</t>
        </is>
      </c>
      <c r="B960" t="inlineStr"/>
      <c r="C960" t="inlineStr"/>
      <c r="D960">
        <f>HYPERLINK("http://nlpdeep.cs.uic.edu:8080/proofing/gsii/523070-critical-care-attending-addendum-0-7.pdf","gsii/523070-critical-care-attending-addendum-0-7.pdf")</f>
        <v/>
      </c>
      <c r="E960" t="n">
        <v>120842</v>
      </c>
      <c r="F960" t="n">
        <v>523070</v>
      </c>
      <c r="G960" t="inlineStr">
        <is>
          <t>Physician</t>
        </is>
      </c>
      <c r="H960" t="inlineStr">
        <is>
          <t>critical-care-attending-addendum</t>
        </is>
      </c>
      <c r="I960" t="inlineStr">
        <is>
          <t xml:space="preserve"> It was uncontrolled with
   diltiazem and she returned to the ICU with that and respiratory
   distress.</t>
        </is>
      </c>
    </row>
    <row r="961">
      <c r="A961" t="inlineStr">
        <is>
          <t>523070-critical-care-attending-addendum-0-8</t>
        </is>
      </c>
      <c r="B961" t="inlineStr"/>
      <c r="C961" t="inlineStr"/>
      <c r="D961">
        <f>HYPERLINK("http://nlpdeep.cs.uic.edu:8080/proofing/t5/523070-critical-care-attending-addendum-0-8.pdf","t5/523070-critical-care-attending-addendum-0-8.pdf")</f>
        <v/>
      </c>
      <c r="E961" t="n">
        <v>120842</v>
      </c>
      <c r="F961" t="n">
        <v>523070</v>
      </c>
      <c r="G961" t="inlineStr">
        <is>
          <t>Physician</t>
        </is>
      </c>
      <c r="H961" t="inlineStr">
        <is>
          <t>critical-care-attending-addendum</t>
        </is>
      </c>
      <c r="I961" t="inlineStr">
        <is>
          <t xml:space="preserve">
   Prior history, medications, social history, etc.</t>
        </is>
      </c>
    </row>
    <row r="962">
      <c r="A962" t="inlineStr">
        <is>
          <t>523070-critical-care-attending-addendum-0-8</t>
        </is>
      </c>
      <c r="B962" t="inlineStr"/>
      <c r="C962" t="inlineStr"/>
      <c r="D962">
        <f>HYPERLINK("http://nlpdeep.cs.uic.edu:8080/proofing/gsii/523070-critical-care-attending-addendum-0-8.pdf","gsii/523070-critical-care-attending-addendum-0-8.pdf")</f>
        <v/>
      </c>
      <c r="E962" t="n">
        <v>120842</v>
      </c>
      <c r="F962" t="n">
        <v>523070</v>
      </c>
      <c r="G962" t="inlineStr">
        <is>
          <t>Physician</t>
        </is>
      </c>
      <c r="H962" t="inlineStr">
        <is>
          <t>critical-care-attending-addendum</t>
        </is>
      </c>
      <c r="I962" t="inlineStr">
        <is>
          <t xml:space="preserve">
   Prior history, medications, social history, etc.</t>
        </is>
      </c>
    </row>
    <row r="963">
      <c r="A963" t="inlineStr">
        <is>
          <t>523070-critical-care-attending-addendum-0-9</t>
        </is>
      </c>
      <c r="B963" t="inlineStr"/>
      <c r="C963" t="inlineStr"/>
      <c r="D963">
        <f>HYPERLINK("http://nlpdeep.cs.uic.edu:8080/proofing/t5/523070-critical-care-attending-addendum-0-9.pdf","t5/523070-critical-care-attending-addendum-0-9.pdf")</f>
        <v/>
      </c>
      <c r="E963" t="n">
        <v>120842</v>
      </c>
      <c r="F963" t="n">
        <v>523070</v>
      </c>
      <c r="G963" t="inlineStr">
        <is>
          <t>Physician</t>
        </is>
      </c>
      <c r="H963" t="inlineStr">
        <is>
          <t>critical-care-attending-addendum</t>
        </is>
      </c>
      <c r="I963" t="inlineStr">
        <is>
          <t>as documented in ICU
   notes
   On exam she is comfortable.</t>
        </is>
      </c>
    </row>
    <row r="964">
      <c r="A964" t="inlineStr">
        <is>
          <t>523070-critical-care-attending-addendum-0-9</t>
        </is>
      </c>
      <c r="B964" t="inlineStr"/>
      <c r="C964" t="inlineStr"/>
      <c r="D964">
        <f>HYPERLINK("http://nlpdeep.cs.uic.edu:8080/proofing/gsii/523070-critical-care-attending-addendum-0-9.pdf","gsii/523070-critical-care-attending-addendum-0-9.pdf")</f>
        <v/>
      </c>
      <c r="E964" t="n">
        <v>120842</v>
      </c>
      <c r="F964" t="n">
        <v>523070</v>
      </c>
      <c r="G964" t="inlineStr">
        <is>
          <t>Physician</t>
        </is>
      </c>
      <c r="H964" t="inlineStr">
        <is>
          <t>critical-care-attending-addendum</t>
        </is>
      </c>
      <c r="I964" t="inlineStr">
        <is>
          <t>as documented in ICU
   notes
   On exam she is comfortable.</t>
        </is>
      </c>
    </row>
    <row r="965">
      <c r="A965" t="inlineStr">
        <is>
          <t>523070-critical-care-attending-addendum-0-10</t>
        </is>
      </c>
      <c r="B965" t="inlineStr"/>
      <c r="C965" t="inlineStr"/>
      <c r="D965">
        <f>HYPERLINK("http://nlpdeep.cs.uic.edu:8080/proofing/t5/523070-critical-care-attending-addendum-0-10.pdf","t5/523070-critical-care-attending-addendum-0-10.pdf")</f>
        <v/>
      </c>
      <c r="E965" t="n">
        <v>120842</v>
      </c>
      <c r="F965" t="n">
        <v>523070</v>
      </c>
      <c r="G965" t="inlineStr">
        <is>
          <t>Physician</t>
        </is>
      </c>
      <c r="H965" t="inlineStr">
        <is>
          <t>critical-care-attending-addendum</t>
        </is>
      </c>
      <c r="I965" t="inlineStr">
        <is>
          <t xml:space="preserve">
   Afebrile.</t>
        </is>
      </c>
    </row>
    <row r="966">
      <c r="A966" t="inlineStr">
        <is>
          <t>523070-critical-care-attending-addendum-0-10</t>
        </is>
      </c>
      <c r="B966" t="inlineStr"/>
      <c r="C966" t="inlineStr"/>
      <c r="D966">
        <f>HYPERLINK("http://nlpdeep.cs.uic.edu:8080/proofing/gsii/523070-critical-care-attending-addendum-0-10.pdf","gsii/523070-critical-care-attending-addendum-0-10.pdf")</f>
        <v/>
      </c>
      <c r="E966" t="n">
        <v>120842</v>
      </c>
      <c r="F966" t="n">
        <v>523070</v>
      </c>
      <c r="G966" t="inlineStr">
        <is>
          <t>Physician</t>
        </is>
      </c>
      <c r="H966" t="inlineStr">
        <is>
          <t>critical-care-attending-addendum</t>
        </is>
      </c>
      <c r="I966" t="inlineStr">
        <is>
          <t xml:space="preserve">
   Afebrile.</t>
        </is>
      </c>
    </row>
    <row r="967">
      <c r="A967" t="inlineStr">
        <is>
          <t>523070-critical-care-attending-addendum-0-11</t>
        </is>
      </c>
      <c r="B967" t="inlineStr"/>
      <c r="C967" t="inlineStr"/>
      <c r="D967">
        <f>HYPERLINK("http://nlpdeep.cs.uic.edu:8080/proofing/t5/523070-critical-care-attending-addendum-0-11.pdf","t5/523070-critical-care-attending-addendum-0-11.pdf")</f>
        <v/>
      </c>
      <c r="E967" t="n">
        <v>120842</v>
      </c>
      <c r="F967" t="n">
        <v>523070</v>
      </c>
      <c r="G967" t="inlineStr">
        <is>
          <t>Physician</t>
        </is>
      </c>
      <c r="H967" t="inlineStr">
        <is>
          <t>critical-care-attending-addendum</t>
        </is>
      </c>
      <c r="I967" t="inlineStr">
        <is>
          <t xml:space="preserve"> Nasal cannula.</t>
        </is>
      </c>
    </row>
    <row r="968">
      <c r="A968" t="inlineStr">
        <is>
          <t>523070-critical-care-attending-addendum-0-11</t>
        </is>
      </c>
      <c r="B968" t="inlineStr"/>
      <c r="C968" t="inlineStr"/>
      <c r="D968">
        <f>HYPERLINK("http://nlpdeep.cs.uic.edu:8080/proofing/gsii/523070-critical-care-attending-addendum-0-11.pdf","gsii/523070-critical-care-attending-addendum-0-11.pdf")</f>
        <v/>
      </c>
      <c r="E968" t="n">
        <v>120842</v>
      </c>
      <c r="F968" t="n">
        <v>523070</v>
      </c>
      <c r="G968" t="inlineStr">
        <is>
          <t>Physician</t>
        </is>
      </c>
      <c r="H968" t="inlineStr">
        <is>
          <t>critical-care-attending-addendum</t>
        </is>
      </c>
      <c r="I968" t="inlineStr">
        <is>
          <t xml:space="preserve"> Nasal cannula.</t>
        </is>
      </c>
    </row>
    <row r="969">
      <c r="A969" t="inlineStr">
        <is>
          <t>523070-critical-care-attending-addendum-0-12</t>
        </is>
      </c>
      <c r="B969" t="inlineStr"/>
      <c r="C969" t="inlineStr"/>
      <c r="D969">
        <f>HYPERLINK("http://nlpdeep.cs.uic.edu:8080/proofing/t5/523070-critical-care-attending-addendum-0-12.pdf","t5/523070-critical-care-attending-addendum-0-12.pdf")</f>
        <v/>
      </c>
      <c r="E969" t="n">
        <v>120842</v>
      </c>
      <c r="F969" t="n">
        <v>523070</v>
      </c>
      <c r="G969" t="inlineStr">
        <is>
          <t>Physician</t>
        </is>
      </c>
      <c r="H969" t="inlineStr">
        <is>
          <t>critical-care-attending-addendum</t>
        </is>
      </c>
      <c r="I969" t="inlineStr">
        <is>
          <t xml:space="preserve">
   No retractions
   Still with substantive expiratory wheezes
   Regular heart
   Soft abdomen with multiple WHSS
   Knee with well-healed incision
   No edema.</t>
        </is>
      </c>
    </row>
    <row r="970">
      <c r="A970" t="inlineStr">
        <is>
          <t>523070-critical-care-attending-addendum-0-12</t>
        </is>
      </c>
      <c r="B970" t="inlineStr"/>
      <c r="C970" t="inlineStr"/>
      <c r="D970">
        <f>HYPERLINK("http://nlpdeep.cs.uic.edu:8080/proofing/gsii/523070-critical-care-attending-addendum-0-12.pdf","gsii/523070-critical-care-attending-addendum-0-12.pdf")</f>
        <v/>
      </c>
      <c r="E970" t="n">
        <v>120842</v>
      </c>
      <c r="F970" t="n">
        <v>523070</v>
      </c>
      <c r="G970" t="inlineStr">
        <is>
          <t>Physician</t>
        </is>
      </c>
      <c r="H970" t="inlineStr">
        <is>
          <t>critical-care-attending-addendum</t>
        </is>
      </c>
      <c r="I970" t="inlineStr">
        <is>
          <t xml:space="preserve">
   No retractions
   Still with substantive expiratory wheezes
   Regular heart
   Soft abdomen with multiple WHSS
   Knee with well-healed incision
   No edema.</t>
        </is>
      </c>
    </row>
    <row r="971">
      <c r="A971" t="inlineStr">
        <is>
          <t>523070-critical-care-attending-addendum-0-13</t>
        </is>
      </c>
      <c r="B971" t="inlineStr"/>
      <c r="C971" t="inlineStr"/>
      <c r="D971">
        <f>HYPERLINK("http://nlpdeep.cs.uic.edu:8080/proofing/t5/523070-critical-care-attending-addendum-0-13.pdf","t5/523070-critical-care-attending-addendum-0-13.pdf")</f>
        <v/>
      </c>
      <c r="E971" t="n">
        <v>120842</v>
      </c>
      <c r="F971" t="n">
        <v>523070</v>
      </c>
      <c r="G971" t="inlineStr">
        <is>
          <t>Physician</t>
        </is>
      </c>
      <c r="H971" t="inlineStr">
        <is>
          <t>critical-care-attending-addendum</t>
        </is>
      </c>
      <c r="I971" t="inlineStr">
        <is>
          <t xml:space="preserve"> Warm skin.</t>
        </is>
      </c>
    </row>
    <row r="972">
      <c r="A972" t="inlineStr">
        <is>
          <t>523070-critical-care-attending-addendum-0-13</t>
        </is>
      </c>
      <c r="B972" t="inlineStr"/>
      <c r="C972" t="inlineStr"/>
      <c r="D972">
        <f>HYPERLINK("http://nlpdeep.cs.uic.edu:8080/proofing/gsii/523070-critical-care-attending-addendum-0-13.pdf","gsii/523070-critical-care-attending-addendum-0-13.pdf")</f>
        <v/>
      </c>
      <c r="E972" t="n">
        <v>120842</v>
      </c>
      <c r="F972" t="n">
        <v>523070</v>
      </c>
      <c r="G972" t="inlineStr">
        <is>
          <t>Physician</t>
        </is>
      </c>
      <c r="H972" t="inlineStr">
        <is>
          <t>critical-care-attending-addendum</t>
        </is>
      </c>
      <c r="I972" t="inlineStr">
        <is>
          <t xml:space="preserve"> Warm skin.</t>
        </is>
      </c>
    </row>
    <row r="973">
      <c r="A973" t="inlineStr">
        <is>
          <t>523070-critical-care-attending-addendum-0-14</t>
        </is>
      </c>
      <c r="B973" t="inlineStr"/>
      <c r="C973" t="inlineStr"/>
      <c r="D973">
        <f>HYPERLINK("http://nlpdeep.cs.uic.edu:8080/proofing/t5/523070-critical-care-attending-addendum-0-14.pdf","t5/523070-critical-care-attending-addendum-0-14.pdf")</f>
        <v/>
      </c>
      <c r="E973" t="n">
        <v>120842</v>
      </c>
      <c r="F973" t="n">
        <v>523070</v>
      </c>
      <c r="G973" t="inlineStr">
        <is>
          <t>Physician</t>
        </is>
      </c>
      <c r="H973" t="inlineStr">
        <is>
          <t>critical-care-attending-addendum</t>
        </is>
      </c>
      <c r="I973" t="inlineStr">
        <is>
          <t xml:space="preserve">
   Labs, meds, and imaging reviewed.</t>
        </is>
      </c>
    </row>
    <row r="974">
      <c r="A974" t="inlineStr">
        <is>
          <t>523070-critical-care-attending-addendum-0-14</t>
        </is>
      </c>
      <c r="B974" t="inlineStr"/>
      <c r="C974" t="inlineStr"/>
      <c r="D974">
        <f>HYPERLINK("http://nlpdeep.cs.uic.edu:8080/proofing/gsii/523070-critical-care-attending-addendum-0-14.pdf","gsii/523070-critical-care-attending-addendum-0-14.pdf")</f>
        <v/>
      </c>
      <c r="E974" t="n">
        <v>120842</v>
      </c>
      <c r="F974" t="n">
        <v>523070</v>
      </c>
      <c r="G974" t="inlineStr">
        <is>
          <t>Physician</t>
        </is>
      </c>
      <c r="H974" t="inlineStr">
        <is>
          <t>critical-care-attending-addendum</t>
        </is>
      </c>
      <c r="I974" t="inlineStr">
        <is>
          <t xml:space="preserve">
   Labs, meds, and imaging reviewed.</t>
        </is>
      </c>
    </row>
    <row r="975">
      <c r="A975" t="inlineStr">
        <is>
          <t>523070-critical-care-attending-addendum-0-15</t>
        </is>
      </c>
      <c r="B975" t="inlineStr"/>
      <c r="C975" t="inlineStr"/>
      <c r="D975">
        <f>HYPERLINK("http://nlpdeep.cs.uic.edu:8080/proofing/t5/523070-critical-care-attending-addendum-0-15.pdf","t5/523070-critical-care-attending-addendum-0-15.pdf")</f>
        <v/>
      </c>
      <c r="E975" t="n">
        <v>120842</v>
      </c>
      <c r="F975" t="n">
        <v>523070</v>
      </c>
      <c r="G975" t="inlineStr">
        <is>
          <t>Physician</t>
        </is>
      </c>
      <c r="H975" t="inlineStr">
        <is>
          <t>critical-care-attending-addendum</t>
        </is>
      </c>
      <c r="I975" t="inlineStr">
        <is>
          <t xml:space="preserve">
   Assessment and Plan
   73-year-old woman with respiratory distress, hypoxemia, and
   intermittent SVT.</t>
        </is>
      </c>
    </row>
    <row r="976">
      <c r="A976" t="inlineStr">
        <is>
          <t>523070-critical-care-attending-addendum-0-15</t>
        </is>
      </c>
      <c r="B976" t="inlineStr"/>
      <c r="C976" t="inlineStr"/>
      <c r="D976">
        <f>HYPERLINK("http://nlpdeep.cs.uic.edu:8080/proofing/gsii/523070-critical-care-attending-addendum-0-15.pdf","gsii/523070-critical-care-attending-addendum-0-15.pdf")</f>
        <v/>
      </c>
      <c r="E976" t="n">
        <v>120842</v>
      </c>
      <c r="F976" t="n">
        <v>523070</v>
      </c>
      <c r="G976" t="inlineStr">
        <is>
          <t>Physician</t>
        </is>
      </c>
      <c r="H976" t="inlineStr">
        <is>
          <t>critical-care-attending-addendum</t>
        </is>
      </c>
      <c r="I976" t="inlineStr">
        <is>
          <t xml:space="preserve">
   Assessment and Plan
   73-year-old woman with respiratory distress, hypoxemia, and
   intermittent SVT.</t>
        </is>
      </c>
    </row>
    <row r="977">
      <c r="A977" t="inlineStr">
        <is>
          <t>523070-critical-care-attending-addendum-0-16</t>
        </is>
      </c>
      <c r="B977" t="inlineStr"/>
      <c r="C977" t="inlineStr"/>
      <c r="D977">
        <f>HYPERLINK("http://nlpdeep.cs.uic.edu:8080/proofing/t5/523070-critical-care-attending-addendum-0-16.pdf","t5/523070-critical-care-attending-addendum-0-16.pdf")</f>
        <v/>
      </c>
      <c r="E977" t="n">
        <v>120842</v>
      </c>
      <c r="F977" t="n">
        <v>523070</v>
      </c>
      <c r="G977" t="inlineStr">
        <is>
          <t>Physician</t>
        </is>
      </c>
      <c r="H977" t="inlineStr">
        <is>
          <t>critical-care-attending-addendum</t>
        </is>
      </c>
      <c r="I977" t="inlineStr">
        <is>
          <t xml:space="preserve"> Although the differential diagnosis is broad, acute
   exacerbation of COPD seems most likely.</t>
        </is>
      </c>
    </row>
    <row r="978">
      <c r="A978" t="inlineStr">
        <is>
          <t>523070-critical-care-attending-addendum-0-16</t>
        </is>
      </c>
      <c r="B978" t="inlineStr"/>
      <c r="C978" t="inlineStr"/>
      <c r="D978">
        <f>HYPERLINK("http://nlpdeep.cs.uic.edu:8080/proofing/gsii/523070-critical-care-attending-addendum-0-16.pdf","gsii/523070-critical-care-attending-addendum-0-16.pdf")</f>
        <v/>
      </c>
      <c r="E978" t="n">
        <v>120842</v>
      </c>
      <c r="F978" t="n">
        <v>523070</v>
      </c>
      <c r="G978" t="inlineStr">
        <is>
          <t>Physician</t>
        </is>
      </c>
      <c r="H978" t="inlineStr">
        <is>
          <t>critical-care-attending-addendum</t>
        </is>
      </c>
      <c r="I978" t="inlineStr">
        <is>
          <t xml:space="preserve"> Although the differential diagnosis is broad, acute
   exacerbation of COPD seems most likely.</t>
        </is>
      </c>
    </row>
    <row r="979">
      <c r="A979" t="inlineStr">
        <is>
          <t>523070-critical-care-attending-addendum-0-17</t>
        </is>
      </c>
      <c r="B979" t="inlineStr"/>
      <c r="C979" t="inlineStr"/>
      <c r="D979">
        <f>HYPERLINK("http://nlpdeep.cs.uic.edu:8080/proofing/t5/523070-critical-care-attending-addendum-0-17.pdf","t5/523070-critical-care-attending-addendum-0-17.pdf")</f>
        <v/>
      </c>
      <c r="E979" t="n">
        <v>120842</v>
      </c>
      <c r="F979" t="n">
        <v>523070</v>
      </c>
      <c r="G979" t="inlineStr">
        <is>
          <t>Physician</t>
        </is>
      </c>
      <c r="H979" t="inlineStr">
        <is>
          <t>critical-care-attending-addendum</t>
        </is>
      </c>
      <c r="I979" t="inlineStr">
        <is>
          <t xml:space="preserve"> Her episode of intermittent
   hypoxemia could be related to a PFO, as moving from stretcher to
   stretcher usually causes a Valsalva maneuver.</t>
        </is>
      </c>
    </row>
    <row r="980">
      <c r="A980" t="inlineStr">
        <is>
          <t>523070-critical-care-attending-addendum-0-17</t>
        </is>
      </c>
      <c r="B980" t="inlineStr"/>
      <c r="C980" t="inlineStr"/>
      <c r="D980">
        <f>HYPERLINK("http://nlpdeep.cs.uic.edu:8080/proofing/gsii/523070-critical-care-attending-addendum-0-17.pdf","gsii/523070-critical-care-attending-addendum-0-17.pdf")</f>
        <v/>
      </c>
      <c r="E980" t="n">
        <v>120842</v>
      </c>
      <c r="F980" t="n">
        <v>523070</v>
      </c>
      <c r="G980" t="inlineStr">
        <is>
          <t>Physician</t>
        </is>
      </c>
      <c r="H980" t="inlineStr">
        <is>
          <t>critical-care-attending-addendum</t>
        </is>
      </c>
      <c r="I980" t="inlineStr">
        <is>
          <t xml:space="preserve"> Her episode of intermittent
   hypoxemia could be related to a PFO, as moving from stretcher to
   stretcher usually causes a Valsalva maneuver.</t>
        </is>
      </c>
    </row>
    <row r="981">
      <c r="A981" t="inlineStr">
        <is>
          <t>523070-critical-care-attending-addendum-0-18</t>
        </is>
      </c>
      <c r="B981" t="inlineStr"/>
      <c r="C981" t="inlineStr"/>
      <c r="D981">
        <f>HYPERLINK("http://nlpdeep.cs.uic.edu:8080/proofing/t5/523070-critical-care-attending-addendum-0-18.pdf","t5/523070-critical-care-attending-addendum-0-18.pdf")</f>
        <v/>
      </c>
      <c r="E981" t="n">
        <v>120842</v>
      </c>
      <c r="F981" t="n">
        <v>523070</v>
      </c>
      <c r="G981" t="inlineStr">
        <is>
          <t>Physician</t>
        </is>
      </c>
      <c r="H981" t="inlineStr">
        <is>
          <t>critical-care-attending-addendum</t>
        </is>
      </c>
      <c r="I981" t="inlineStr">
        <is>
          <t xml:space="preserve">
   COPD exacerbation
   - steroids
   - bronchodilators.</t>
        </is>
      </c>
    </row>
    <row r="982">
      <c r="A982" t="inlineStr">
        <is>
          <t>523070-critical-care-attending-addendum-0-18</t>
        </is>
      </c>
      <c r="B982" t="inlineStr"/>
      <c r="C982" t="inlineStr"/>
      <c r="D982">
        <f>HYPERLINK("http://nlpdeep.cs.uic.edu:8080/proofing/gsii/523070-critical-care-attending-addendum-0-18.pdf","gsii/523070-critical-care-attending-addendum-0-18.pdf")</f>
        <v/>
      </c>
      <c r="E982" t="n">
        <v>120842</v>
      </c>
      <c r="F982" t="n">
        <v>523070</v>
      </c>
      <c r="G982" t="inlineStr">
        <is>
          <t>Physician</t>
        </is>
      </c>
      <c r="H982" t="inlineStr">
        <is>
          <t>critical-care-attending-addendum</t>
        </is>
      </c>
      <c r="I982" t="inlineStr">
        <is>
          <t xml:space="preserve">
   COPD exacerbation
   - steroids
   - bronchodilators.</t>
        </is>
      </c>
    </row>
    <row r="983">
      <c r="A983" t="inlineStr">
        <is>
          <t>523070-critical-care-attending-addendum-0-19</t>
        </is>
      </c>
      <c r="B983" t="inlineStr"/>
      <c r="C983" t="inlineStr"/>
      <c r="D983">
        <f>HYPERLINK("http://nlpdeep.cs.uic.edu:8080/proofing/t5/523070-critical-care-attending-addendum-0-19.pdf","t5/523070-critical-care-attending-addendum-0-19.pdf")</f>
        <v/>
      </c>
      <c r="E983" t="n">
        <v>120842</v>
      </c>
      <c r="F983" t="n">
        <v>523070</v>
      </c>
      <c r="G983" t="inlineStr">
        <is>
          <t>Physician</t>
        </is>
      </c>
      <c r="H983" t="inlineStr">
        <is>
          <t>critical-care-attending-addendum</t>
        </is>
      </c>
      <c r="I983" t="inlineStr">
        <is>
          <t xml:space="preserve"> Trial of Xoponex vs.</t>
        </is>
      </c>
    </row>
    <row r="984">
      <c r="A984" t="inlineStr">
        <is>
          <t>523070-critical-care-attending-addendum-0-19</t>
        </is>
      </c>
      <c r="B984" t="inlineStr"/>
      <c r="C984" t="inlineStr"/>
      <c r="D984">
        <f>HYPERLINK("http://nlpdeep.cs.uic.edu:8080/proofing/gsii/523070-critical-care-attending-addendum-0-19.pdf","gsii/523070-critical-care-attending-addendum-0-19.pdf")</f>
        <v/>
      </c>
      <c r="E984" t="n">
        <v>120842</v>
      </c>
      <c r="F984" t="n">
        <v>523070</v>
      </c>
      <c r="G984" t="inlineStr">
        <is>
          <t>Physician</t>
        </is>
      </c>
      <c r="H984" t="inlineStr">
        <is>
          <t>critical-care-attending-addendum</t>
        </is>
      </c>
      <c r="I984" t="inlineStr">
        <is>
          <t xml:space="preserve"> Trial of Xoponex vs.</t>
        </is>
      </c>
    </row>
    <row r="985">
      <c r="A985" t="inlineStr">
        <is>
          <t>523070-critical-care-attending-addendum-0-20</t>
        </is>
      </c>
      <c r="B985" t="inlineStr"/>
      <c r="C985" t="inlineStr"/>
      <c r="D985">
        <f>HYPERLINK("http://nlpdeep.cs.uic.edu:8080/proofing/t5/523070-critical-care-attending-addendum-0-20.pdf","t5/523070-critical-care-attending-addendum-0-20.pdf")</f>
        <v/>
      </c>
      <c r="E985" t="n">
        <v>120842</v>
      </c>
      <c r="F985" t="n">
        <v>523070</v>
      </c>
      <c r="G985" t="inlineStr">
        <is>
          <t>Physician</t>
        </is>
      </c>
      <c r="H985" t="inlineStr">
        <is>
          <t>critical-care-attending-addendum</t>
        </is>
      </c>
      <c r="I985" t="inlineStr">
        <is>
          <t>albuterol.</t>
        </is>
      </c>
    </row>
    <row r="986">
      <c r="A986" t="inlineStr">
        <is>
          <t>523070-critical-care-attending-addendum-0-20</t>
        </is>
      </c>
      <c r="B986" t="inlineStr"/>
      <c r="C986" t="inlineStr"/>
      <c r="D986">
        <f>HYPERLINK("http://nlpdeep.cs.uic.edu:8080/proofing/gsii/523070-critical-care-attending-addendum-0-20.pdf","gsii/523070-critical-care-attending-addendum-0-20.pdf")</f>
        <v/>
      </c>
      <c r="E986" t="n">
        <v>120842</v>
      </c>
      <c r="F986" t="n">
        <v>523070</v>
      </c>
      <c r="G986" t="inlineStr">
        <is>
          <t>Physician</t>
        </is>
      </c>
      <c r="H986" t="inlineStr">
        <is>
          <t>critical-care-attending-addendum</t>
        </is>
      </c>
      <c r="I986" t="inlineStr">
        <is>
          <t>albuterol.</t>
        </is>
      </c>
    </row>
    <row r="987">
      <c r="A987" t="inlineStr">
        <is>
          <t>523070-critical-care-attending-addendum-0-21</t>
        </is>
      </c>
      <c r="B987" t="inlineStr"/>
      <c r="C987" t="inlineStr"/>
      <c r="D987">
        <f>HYPERLINK("http://nlpdeep.cs.uic.edu:8080/proofing/t5/523070-critical-care-attending-addendum-0-21.pdf","t5/523070-critical-care-attending-addendum-0-21.pdf")</f>
        <v/>
      </c>
      <c r="E987" t="n">
        <v>120842</v>
      </c>
      <c r="F987" t="n">
        <v>523070</v>
      </c>
      <c r="G987" t="inlineStr">
        <is>
          <t>Physician</t>
        </is>
      </c>
      <c r="H987" t="inlineStr">
        <is>
          <t>critical-care-attending-addendum</t>
        </is>
      </c>
      <c r="I987" t="inlineStr">
        <is>
          <t xml:space="preserve">
   - continue home meds (holding Spiriva while on atrovent nebs)
   - viral studies negative so far
   - we have added on antibiotics given clinical worsening
   - CTA today
   Paroxysmal supraventricular tachycardia
          Suspect this is AVNRT, though Aflutter with 2:1 block also
   in DDx (EAT, AVRT seem less likely)
          Concern that she may develop acute diastolic CHF with this,
   resulting in respiratory distress
          Ask for cardiology
s input on recommendations for rhythm
   management, since this rhythm has resulted in ED visits and ICU
   admissions
   Other issues (diabetes mellitus, anemia, hypertension, etc.) as per Dr.</t>
        </is>
      </c>
    </row>
    <row r="988">
      <c r="A988" t="inlineStr">
        <is>
          <t>523070-critical-care-attending-addendum-0-21</t>
        </is>
      </c>
      <c r="B988" t="inlineStr"/>
      <c r="C988" t="inlineStr"/>
      <c r="D988">
        <f>HYPERLINK("http://nlpdeep.cs.uic.edu:8080/proofing/gsii/523070-critical-care-attending-addendum-0-21.pdf","gsii/523070-critical-care-attending-addendum-0-21.pdf")</f>
        <v/>
      </c>
      <c r="E988" t="n">
        <v>120842</v>
      </c>
      <c r="F988" t="n">
        <v>523070</v>
      </c>
      <c r="G988" t="inlineStr">
        <is>
          <t>Physician</t>
        </is>
      </c>
      <c r="H988" t="inlineStr">
        <is>
          <t>critical-care-attending-addendum</t>
        </is>
      </c>
      <c r="I988" t="inlineStr">
        <is>
          <t xml:space="preserve">
   - continue home meds (holding Spiriva while on atrovent nebs)
   - viral studies negative so far
   - we have added on antibiotics given clinical worsening
   - CTA today
   Paroxysmal supraventricular tachycardia
          Suspect this is AVNRT, though Aflutter with 2:1 block also
   in DDx (EAT, AVRT seem less likely)
          Concern that she may develop acute diastolic CHF with this,
   resulting in respiratory distress
          Ask for cardiology
s input on recommendations for rhythm
   management, since this rhythm has resulted in ED visits and ICU
   admissions
   Other issues (diabetes mellitus, anemia, hypertension, etc.) as per Dr.</t>
        </is>
      </c>
    </row>
    <row r="989">
      <c r="A989" t="inlineStr">
        <is>
          <t>523070-critical-care-attending-addendum-0-22</t>
        </is>
      </c>
      <c r="B989" t="inlineStr"/>
      <c r="C989" t="inlineStr"/>
      <c r="D989">
        <f>HYPERLINK("http://nlpdeep.cs.uic.edu:8080/proofing/t5/523070-critical-care-attending-addendum-0-22.pdf","t5/523070-critical-care-attending-addendum-0-22.pdf")</f>
        <v/>
      </c>
      <c r="E989" t="n">
        <v>120842</v>
      </c>
      <c r="F989" t="n">
        <v>523070</v>
      </c>
      <c r="G989" t="inlineStr">
        <is>
          <t>Physician</t>
        </is>
      </c>
      <c r="H989" t="inlineStr">
        <is>
          <t>critical-care-attending-addendum</t>
        </is>
      </c>
      <c r="I989" t="inlineStr">
        <is>
          <t xml:space="preserve">
   [**First Name (STitle) 325**]
   She is stable for transfer to floor
</t>
        </is>
      </c>
    </row>
    <row r="990">
      <c r="A990" t="inlineStr">
        <is>
          <t>523070-critical-care-attending-addendum-0-22</t>
        </is>
      </c>
      <c r="B990" t="inlineStr"/>
      <c r="C990" t="inlineStr"/>
      <c r="D990">
        <f>HYPERLINK("http://nlpdeep.cs.uic.edu:8080/proofing/gsii/523070-critical-care-attending-addendum-0-22.pdf","gsii/523070-critical-care-attending-addendum-0-22.pdf")</f>
        <v/>
      </c>
      <c r="E990" t="n">
        <v>120842</v>
      </c>
      <c r="F990" t="n">
        <v>523070</v>
      </c>
      <c r="G990" t="inlineStr">
        <is>
          <t>Physician</t>
        </is>
      </c>
      <c r="H990" t="inlineStr">
        <is>
          <t>critical-care-attending-addendum</t>
        </is>
      </c>
      <c r="I990" t="inlineStr">
        <is>
          <t xml:space="preserve">
   [**First Name (STitle) 325**]
   She is stable for transfer to floor
</t>
        </is>
      </c>
    </row>
    <row r="991">
      <c r="A991" t="inlineStr">
        <is>
          <t>523029-24-hour-events-0-0</t>
        </is>
      </c>
      <c r="B991" t="inlineStr"/>
      <c r="C991" t="inlineStr"/>
      <c r="D991">
        <f>HYPERLINK("http://nlpdeep.cs.uic.edu:8080/proofing/t5/523029-24-hour-events-0-0.pdf","t5/523029-24-hour-events-0-0.pdf")</f>
        <v/>
      </c>
      <c r="E991" t="n">
        <v>120842</v>
      </c>
      <c r="F991" t="n">
        <v>523029</v>
      </c>
      <c r="G991" t="inlineStr">
        <is>
          <t>Physician</t>
        </is>
      </c>
      <c r="H991" t="inlineStr">
        <is>
          <t>24-hour-events</t>
        </is>
      </c>
      <c r="I991" t="inlineStr">
        <is>
          <t>No acute events o</t>
        </is>
      </c>
    </row>
    <row r="992">
      <c r="A992" t="inlineStr">
        <is>
          <t>523029-24-hour-events-0-0</t>
        </is>
      </c>
      <c r="B992" t="inlineStr"/>
      <c r="C992" t="inlineStr"/>
      <c r="D992">
        <f>HYPERLINK("http://nlpdeep.cs.uic.edu:8080/proofing/gsii/523029-24-hour-events-0-0.pdf","gsii/523029-24-hour-events-0-0.pdf")</f>
        <v/>
      </c>
      <c r="E992" t="n">
        <v>120842</v>
      </c>
      <c r="F992" t="n">
        <v>523029</v>
      </c>
      <c r="G992" t="inlineStr">
        <is>
          <t>Physician</t>
        </is>
      </c>
      <c r="H992" t="inlineStr">
        <is>
          <t>24-hour-events</t>
        </is>
      </c>
      <c r="I992" t="inlineStr">
        <is>
          <t>No acute events o</t>
        </is>
      </c>
    </row>
    <row r="993">
      <c r="A993" t="inlineStr">
        <is>
          <t>523029-allergies-0-0</t>
        </is>
      </c>
      <c r="B993" t="inlineStr"/>
      <c r="C993" t="inlineStr"/>
      <c r="D993">
        <f>HYPERLINK("http://nlpdeep.cs.uic.edu:8080/proofing/t5/523029-allergies-0-0.pdf","t5/523029-allergies-0-0.pdf")</f>
        <v/>
      </c>
      <c r="E993" t="n">
        <v>120842</v>
      </c>
      <c r="F993" t="n">
        <v>523029</v>
      </c>
      <c r="G993" t="inlineStr">
        <is>
          <t>Physician</t>
        </is>
      </c>
      <c r="H993" t="inlineStr">
        <is>
          <t>allergies</t>
        </is>
      </c>
      <c r="I993" t="inlineStr">
        <is>
          <t>Hayfever (Nasal) (Homeopathic Drugs)
   Cough; s</t>
        </is>
      </c>
    </row>
    <row r="994">
      <c r="A994" t="inlineStr">
        <is>
          <t>523029-allergies-0-0</t>
        </is>
      </c>
      <c r="B994" t="inlineStr"/>
      <c r="C994" t="inlineStr"/>
      <c r="D994">
        <f>HYPERLINK("http://nlpdeep.cs.uic.edu:8080/proofing/gsii/523029-allergies-0-0.pdf","gsii/523029-allergies-0-0.pdf")</f>
        <v/>
      </c>
      <c r="E994" t="n">
        <v>120842</v>
      </c>
      <c r="F994" t="n">
        <v>523029</v>
      </c>
      <c r="G994" t="inlineStr">
        <is>
          <t>Physician</t>
        </is>
      </c>
      <c r="H994" t="inlineStr">
        <is>
          <t>allergies</t>
        </is>
      </c>
      <c r="I994" t="inlineStr">
        <is>
          <t>Hayfever (Nasal) (Homeopathic Drugs)
   Cough; s</t>
        </is>
      </c>
    </row>
    <row r="995">
      <c r="A995" t="inlineStr">
        <is>
          <t>523029-other-medications-0-0</t>
        </is>
      </c>
      <c r="B995" t="inlineStr"/>
      <c r="C995" t="inlineStr"/>
      <c r="D995">
        <f>HYPERLINK("http://nlpdeep.cs.uic.edu:8080/proofing/t5/523029-other-medications-0-0.pdf","t5/523029-other-medications-0-0.pdf")</f>
        <v/>
      </c>
      <c r="E995" t="n">
        <v>120842</v>
      </c>
      <c r="F995" t="n">
        <v>523029</v>
      </c>
      <c r="G995" t="inlineStr">
        <is>
          <t>Physician</t>
        </is>
      </c>
      <c r="H995" t="inlineStr">
        <is>
          <t>other-medications</t>
        </is>
      </c>
      <c r="I995" t="inlineStr">
        <is>
          <t>Heparin Sodium (Prophylaxis) - [**2153-4-8**] 10:56 PM
   Other medications:</t>
        </is>
      </c>
    </row>
    <row r="996">
      <c r="A996" t="inlineStr">
        <is>
          <t>523029-other-medications-0-0</t>
        </is>
      </c>
      <c r="B996" t="inlineStr"/>
      <c r="C996" t="inlineStr"/>
      <c r="D996">
        <f>HYPERLINK("http://nlpdeep.cs.uic.edu:8080/proofing/gsii/523029-other-medications-0-0.pdf","gsii/523029-other-medications-0-0.pdf")</f>
        <v/>
      </c>
      <c r="E996" t="n">
        <v>120842</v>
      </c>
      <c r="F996" t="n">
        <v>523029</v>
      </c>
      <c r="G996" t="inlineStr">
        <is>
          <t>Physician</t>
        </is>
      </c>
      <c r="H996" t="inlineStr">
        <is>
          <t>other-medications</t>
        </is>
      </c>
      <c r="I996" t="inlineStr">
        <is>
          <t>Heparin Sodium (Prophylaxis) - [**2153-4-8**] 10:56 PM
   Other medications:</t>
        </is>
      </c>
    </row>
    <row r="997">
      <c r="A997" t="inlineStr">
        <is>
          <t>523029-flowsheet-data-vitals-0-0</t>
        </is>
      </c>
      <c r="B997" t="inlineStr"/>
      <c r="C997" t="inlineStr"/>
      <c r="D997">
        <f>HYPERLINK("http://nlpdeep.cs.uic.edu:8080/proofing/t5/523029-flowsheet-data-vitals-0-0.pdf","t5/523029-flowsheet-data-vitals-0-0.pdf")</f>
        <v/>
      </c>
      <c r="E997" t="n">
        <v>120842</v>
      </c>
      <c r="F997" t="n">
        <v>523029</v>
      </c>
      <c r="G997" t="inlineStr">
        <is>
          <t>Physician</t>
        </is>
      </c>
      <c r="H997" t="inlineStr">
        <is>
          <t>flowsheet-data-vitals</t>
        </is>
      </c>
      <c r="I997" t="inlineStr">
        <is>
          <t>Vital signs
   Hemodynamic monitoring
   Fluid balance
                                                                  24 hours
                                                               Since [**55**] AM
   Tmax: 36.4
C (97.6
   Tcurrent: 36.4
C (97.6
   HR: 73 (60 - 138) bpm
   BP: 149/74(92) {128/57(76) - 159/114(122)} mmHg
   RR: 26 (15 - 30) insp/min
   SpO2: 92%
   Heart rhythm: SR (Sinus Rhythm)
   Height: 24 Inch
                  Total In:
                  320 mL
   PO:
                  320 mL
   TF:
   IVF:
   Blood products:
   Total out:
                                                                    450 mL
                                                                    400 mL
   Urine:
                                                                    450 mL
                                                                    400 mL
   NG:
   Stool:
   Drains:
   Balance:
                                                                   -450 mL
                                                                    -80 mL
   Respiratory support
   O2 Delivery Device: Nasal cannula
   SpO2: 92%
   ABG: ///28/</t>
        </is>
      </c>
    </row>
    <row r="998">
      <c r="A998" t="inlineStr">
        <is>
          <t>523029-flowsheet-data-vitals-0-0</t>
        </is>
      </c>
      <c r="B998" t="inlineStr"/>
      <c r="C998" t="inlineStr"/>
      <c r="D998">
        <f>HYPERLINK("http://nlpdeep.cs.uic.edu:8080/proofing/gsii/523029-flowsheet-data-vitals-0-0.pdf","gsii/523029-flowsheet-data-vitals-0-0.pdf")</f>
        <v/>
      </c>
      <c r="E998" t="n">
        <v>120842</v>
      </c>
      <c r="F998" t="n">
        <v>523029</v>
      </c>
      <c r="G998" t="inlineStr">
        <is>
          <t>Physician</t>
        </is>
      </c>
      <c r="H998" t="inlineStr">
        <is>
          <t>flowsheet-data-vitals</t>
        </is>
      </c>
      <c r="I998" t="inlineStr">
        <is>
          <t>Vital signs
   Hemodynamic monitoring
   Fluid balance
                                                                  24 hours
                                                               Since [**55**] AM
   Tmax: 36.4
C (97.6
   Tcurrent: 36.4
C (97.6
   HR: 73 (60 - 138) bpm
   BP: 149/74(92) {128/57(76) - 159/114(122)} mmHg
   RR: 26 (15 - 30) insp/min
   SpO2: 92%
   Heart rhythm: SR (Sinus Rhythm)
   Height: 24 Inch
                  Total In:
                  320 mL
   PO:
                  320 mL
   TF:
   IVF:
   Blood products:
   Total out:
                                                                    450 mL
                                                                    400 mL
   Urine:
                                                                    450 mL
                                                                    400 mL
   NG:
   Stool:
   Drains:
   Balance:
                                                                   -450 mL
                                                                    -80 mL
   Respiratory support
   O2 Delivery Device: Nasal cannula
   SpO2: 92%
   ABG: ///28/</t>
        </is>
      </c>
    </row>
    <row r="999">
      <c r="A999" t="inlineStr">
        <is>
          <t>523029-physical-examination-0-0</t>
        </is>
      </c>
      <c r="B999" t="inlineStr"/>
      <c r="C999" t="inlineStr"/>
      <c r="D999">
        <f>HYPERLINK("http://nlpdeep.cs.uic.edu:8080/proofing/t5/523029-physical-examination-0-0.pdf","t5/523029-physical-examination-0-0.pdf")</f>
        <v/>
      </c>
      <c r="E999" t="n">
        <v>120842</v>
      </c>
      <c r="F999" t="n">
        <v>523029</v>
      </c>
      <c r="G999" t="inlineStr">
        <is>
          <t>Physician</t>
        </is>
      </c>
      <c r="H999" t="inlineStr">
        <is>
          <t>physical-examination</t>
        </is>
      </c>
      <c r="I999" t="inlineStr">
        <is>
          <t>Wheezy?</t>
        </is>
      </c>
    </row>
    <row r="1000">
      <c r="A1000" t="inlineStr">
        <is>
          <t>523029-physical-examination-0-0</t>
        </is>
      </c>
      <c r="B1000" t="inlineStr"/>
      <c r="C1000" t="inlineStr"/>
      <c r="D1000">
        <f>HYPERLINK("http://nlpdeep.cs.uic.edu:8080/proofing/gsii/523029-physical-examination-0-0.pdf","gsii/523029-physical-examination-0-0.pdf")</f>
        <v/>
      </c>
      <c r="E1000" t="n">
        <v>120842</v>
      </c>
      <c r="F1000" t="n">
        <v>523029</v>
      </c>
      <c r="G1000" t="inlineStr">
        <is>
          <t>Physician</t>
        </is>
      </c>
      <c r="H1000" t="inlineStr">
        <is>
          <t>physical-examination</t>
        </is>
      </c>
      <c r="I1000" t="inlineStr">
        <is>
          <t>Wheezy?</t>
        </is>
      </c>
    </row>
    <row r="1001">
      <c r="A1001" t="inlineStr">
        <is>
          <t>523029-labs-imaging-0-0</t>
        </is>
      </c>
      <c r="B1001" t="inlineStr"/>
      <c r="C1001" t="inlineStr"/>
      <c r="D1001">
        <f>HYPERLINK("http://nlpdeep.cs.uic.edu:8080/proofing/t5/523029-labs-imaging-0-0.pdf","t5/523029-labs-imaging-0-0.pdf")</f>
        <v/>
      </c>
      <c r="E1001" t="n">
        <v>120842</v>
      </c>
      <c r="F1001" t="n">
        <v>523029</v>
      </c>
      <c r="G1001" t="inlineStr">
        <is>
          <t>Physician</t>
        </is>
      </c>
      <c r="H1001" t="inlineStr">
        <is>
          <t>labs-imaging</t>
        </is>
      </c>
      <c r="I1001" t="inlineStr">
        <is>
          <t>300 K/uL
   11.3 g/dL
   187 mg/dL
   0.6 mg/dL
   28 mEq/L
   4.9 mEq/L
   20 mg/dL
   100 mEq/L
   138 mEq/L
   35.0 %
   13.3 K/uL
         [image002.jpg]
                             [**2153-4-6**]  09:13 PM
                             [**2153-4-7**]  03:32 AM
                             [**2153-4-8**]  10:00 PM
                             [**2153-4-9**]  05:54 AM
   WBC
   8.0
   13.3
   Hct
   31.4
   35.0
   Plt
   249
   300
   Cr
   0.6
   0.6
   TropT
   &lt;0.01
   Glucose
   [**Telephone/Fax (3) 13712**]
   Other labs: CK / CKMB / Troponin-T:87//&lt;0.01, Lactic Acid:1.6 mmol/L,
   Ca++:9.5 mg/dL, Mg++:2.0 mg/dL, PO4:4.3 mg/d</t>
        </is>
      </c>
    </row>
    <row r="1002">
      <c r="A1002" t="inlineStr">
        <is>
          <t>523029-labs-imaging-0-0</t>
        </is>
      </c>
      <c r="B1002" t="inlineStr"/>
      <c r="C1002" t="inlineStr"/>
      <c r="D1002">
        <f>HYPERLINK("http://nlpdeep.cs.uic.edu:8080/proofing/gsii/523029-labs-imaging-0-0.pdf","gsii/523029-labs-imaging-0-0.pdf")</f>
        <v/>
      </c>
      <c r="E1002" t="n">
        <v>120842</v>
      </c>
      <c r="F1002" t="n">
        <v>523029</v>
      </c>
      <c r="G1002" t="inlineStr">
        <is>
          <t>Physician</t>
        </is>
      </c>
      <c r="H1002" t="inlineStr">
        <is>
          <t>labs-imaging</t>
        </is>
      </c>
      <c r="I1002" t="inlineStr">
        <is>
          <t>300 K/uL
   11.3 g/dL
   187 mg/dL
   0.6 mg/dL
   28 mEq/L
   4.9 mEq/L
   20 mg/dL
   100 mEq/L
   138 mEq/L
   35.0 %
   13.3 K/uL
         [image002.jpg]
                             [**2153-4-6**]  09:13 PM
                             [**2153-4-7**]  03:32 AM
                             [**2153-4-8**]  10:00 PM
                             [**2153-4-9**]  05:54 AM
   WBC
   8.0
   13.3
   Hct
   31.4
   35.0
   Plt
   249
   300
   Cr
   0.6
   0.6
   TropT
   &lt;0.01
   Glucose
   [**Telephone/Fax (3) 13712**]
   Other labs: CK / CKMB / Troponin-T:87//&lt;0.01, Lactic Acid:1.6 mmol/L,
   Ca++:9.5 mg/dL, Mg++:2.0 mg/dL, PO4:4.3 mg/d</t>
        </is>
      </c>
    </row>
    <row r="1003">
      <c r="A1003" t="inlineStr">
        <is>
          <t>523029-assessment-and-plan-0-0</t>
        </is>
      </c>
      <c r="B1003" t="inlineStr"/>
      <c r="C1003" t="inlineStr"/>
      <c r="D1003">
        <f>HYPERLINK("http://nlpdeep.cs.uic.edu:8080/proofing/t5/523029-assessment-and-plan-0-0.pdf","t5/523029-assessment-and-plan-0-0.pdf")</f>
        <v/>
      </c>
      <c r="E1003" t="n">
        <v>120842</v>
      </c>
      <c r="F1003" t="n">
        <v>523029</v>
      </c>
      <c r="G1003" t="inlineStr">
        <is>
          <t>Physician</t>
        </is>
      </c>
      <c r="H1003" t="inlineStr">
        <is>
          <t>assessment-and-plan</t>
        </is>
      </c>
      <c r="I1003" t="inlineStr">
        <is>
          <t>73-year-old female with COPD/RAD on home O2, diastolic CHF, recent TKR,
   presenting with respiratory distress and tachycardia.</t>
        </is>
      </c>
    </row>
    <row r="1004">
      <c r="A1004" t="inlineStr">
        <is>
          <t>523029-assessment-and-plan-0-0</t>
        </is>
      </c>
      <c r="B1004" t="inlineStr"/>
      <c r="C1004" t="inlineStr"/>
      <c r="D1004">
        <f>HYPERLINK("http://nlpdeep.cs.uic.edu:8080/proofing/gsii/523029-assessment-and-plan-0-0.pdf","gsii/523029-assessment-and-plan-0-0.pdf")</f>
        <v/>
      </c>
      <c r="E1004" t="n">
        <v>120842</v>
      </c>
      <c r="F1004" t="n">
        <v>523029</v>
      </c>
      <c r="G1004" t="inlineStr">
        <is>
          <t>Physician</t>
        </is>
      </c>
      <c r="H1004" t="inlineStr">
        <is>
          <t>assessment-and-plan</t>
        </is>
      </c>
      <c r="I1004" t="inlineStr">
        <is>
          <t>73-year-old female with COPD/RAD on home O2, diastolic CHF, recent TKR,
   presenting with respiratory distress and tachycardia.</t>
        </is>
      </c>
    </row>
    <row r="1005">
      <c r="A1005" t="inlineStr">
        <is>
          <t>523029-assessment-and-plan-0-1</t>
        </is>
      </c>
      <c r="B1005" t="inlineStr"/>
      <c r="C1005" t="inlineStr"/>
      <c r="D1005">
        <f>HYPERLINK("http://nlpdeep.cs.uic.edu:8080/proofing/t5/523029-assessment-and-plan-0-1.pdf","t5/523029-assessment-and-plan-0-1.pdf")</f>
        <v/>
      </c>
      <c r="E1005" t="n">
        <v>120842</v>
      </c>
      <c r="F1005" t="n">
        <v>523029</v>
      </c>
      <c r="G1005" t="inlineStr">
        <is>
          <t>Physician</t>
        </is>
      </c>
      <c r="H1005" t="inlineStr">
        <is>
          <t>assessment-and-plan</t>
        </is>
      </c>
      <c r="I1005" t="inlineStr">
        <is>
          <t xml:space="preserve">
   # Respiratory distress &amp; Leukocytosis: White count doubled from 8 to
   15.</t>
        </is>
      </c>
    </row>
    <row r="1006">
      <c r="A1006" t="inlineStr">
        <is>
          <t>523029-assessment-and-plan-0-1</t>
        </is>
      </c>
      <c r="B1006" t="inlineStr"/>
      <c r="C1006" t="inlineStr"/>
      <c r="D1006">
        <f>HYPERLINK("http://nlpdeep.cs.uic.edu:8080/proofing/gsii/523029-assessment-and-plan-0-1.pdf","gsii/523029-assessment-and-plan-0-1.pdf")</f>
        <v/>
      </c>
      <c r="E1006" t="n">
        <v>120842</v>
      </c>
      <c r="F1006" t="n">
        <v>523029</v>
      </c>
      <c r="G1006" t="inlineStr">
        <is>
          <t>Physician</t>
        </is>
      </c>
      <c r="H1006" t="inlineStr">
        <is>
          <t>assessment-and-plan</t>
        </is>
      </c>
      <c r="I1006" t="inlineStr">
        <is>
          <t xml:space="preserve">
   # Respiratory distress &amp; Leukocytosis: White count doubled from 8 to
   15.</t>
        </is>
      </c>
    </row>
    <row r="1007">
      <c r="A1007" t="inlineStr">
        <is>
          <t>523029-assessment-and-plan-0-2</t>
        </is>
      </c>
      <c r="B1007" t="inlineStr"/>
      <c r="C1007" t="inlineStr"/>
      <c r="D1007">
        <f>HYPERLINK("http://nlpdeep.cs.uic.edu:8080/proofing/t5/523029-assessment-and-plan-0-2.pdf","t5/523029-assessment-and-plan-0-2.pdf")</f>
        <v/>
      </c>
      <c r="E1007" t="n">
        <v>120842</v>
      </c>
      <c r="F1007" t="n">
        <v>523029</v>
      </c>
      <c r="G1007" t="inlineStr">
        <is>
          <t>Physician</t>
        </is>
      </c>
      <c r="H1007" t="inlineStr">
        <is>
          <t>assessment-and-plan</t>
        </is>
      </c>
      <c r="I1007" t="inlineStr">
        <is>
          <t>She did receive steroids in ED 2 days ago, or she could be mounting
   an infection again.</t>
        </is>
      </c>
    </row>
    <row r="1008">
      <c r="A1008" t="inlineStr">
        <is>
          <t>523029-assessment-and-plan-0-2</t>
        </is>
      </c>
      <c r="B1008" t="inlineStr"/>
      <c r="C1008" t="inlineStr"/>
      <c r="D1008">
        <f>HYPERLINK("http://nlpdeep.cs.uic.edu:8080/proofing/gsii/523029-assessment-and-plan-0-2.pdf","gsii/523029-assessment-and-plan-0-2.pdf")</f>
        <v/>
      </c>
      <c r="E1008" t="n">
        <v>120842</v>
      </c>
      <c r="F1008" t="n">
        <v>523029</v>
      </c>
      <c r="G1008" t="inlineStr">
        <is>
          <t>Physician</t>
        </is>
      </c>
      <c r="H1008" t="inlineStr">
        <is>
          <t>assessment-and-plan</t>
        </is>
      </c>
      <c r="I1008" t="inlineStr">
        <is>
          <t>She did receive steroids in ED 2 days ago, or she could be mounting
   an infection again.</t>
        </is>
      </c>
    </row>
    <row r="1009">
      <c r="A1009" t="inlineStr">
        <is>
          <t>523029-assessment-and-plan-0-3</t>
        </is>
      </c>
      <c r="B1009" t="inlineStr"/>
      <c r="C1009" t="inlineStr"/>
      <c r="D1009">
        <f>HYPERLINK("http://nlpdeep.cs.uic.edu:8080/proofing/t5/523029-assessment-and-plan-0-3.pdf","t5/523029-assessment-and-plan-0-3.pdf")</f>
        <v/>
      </c>
      <c r="E1009" t="n">
        <v>120842</v>
      </c>
      <c r="F1009" t="n">
        <v>523029</v>
      </c>
      <c r="G1009" t="inlineStr">
        <is>
          <t>Physician</t>
        </is>
      </c>
      <c r="H1009" t="inlineStr">
        <is>
          <t>assessment-and-plan</t>
        </is>
      </c>
      <c r="I1009" t="inlineStr">
        <is>
          <t>CXR looks clear.</t>
        </is>
      </c>
    </row>
    <row r="1010">
      <c r="A1010" t="inlineStr">
        <is>
          <t>523029-assessment-and-plan-0-3</t>
        </is>
      </c>
      <c r="B1010" t="inlineStr"/>
      <c r="C1010" t="inlineStr"/>
      <c r="D1010">
        <f>HYPERLINK("http://nlpdeep.cs.uic.edu:8080/proofing/gsii/523029-assessment-and-plan-0-3.pdf","gsii/523029-assessment-and-plan-0-3.pdf")</f>
        <v/>
      </c>
      <c r="E1010" t="n">
        <v>120842</v>
      </c>
      <c r="F1010" t="n">
        <v>523029</v>
      </c>
      <c r="G1010" t="inlineStr">
        <is>
          <t>Physician</t>
        </is>
      </c>
      <c r="H1010" t="inlineStr">
        <is>
          <t>assessment-and-plan</t>
        </is>
      </c>
      <c r="I1010" t="inlineStr">
        <is>
          <t>CXR looks clear.</t>
        </is>
      </c>
    </row>
    <row r="1011">
      <c r="A1011" t="inlineStr">
        <is>
          <t>523029-assessment-and-plan-0-4</t>
        </is>
      </c>
      <c r="B1011" t="inlineStr"/>
      <c r="C1011" t="inlineStr"/>
      <c r="D1011">
        <f>HYPERLINK("http://nlpdeep.cs.uic.edu:8080/proofing/t5/523029-assessment-and-plan-0-4.pdf","t5/523029-assessment-and-plan-0-4.pdf")</f>
        <v/>
      </c>
      <c r="E1011" t="n">
        <v>120842</v>
      </c>
      <c r="F1011" t="n">
        <v>523029</v>
      </c>
      <c r="G1011" t="inlineStr">
        <is>
          <t>Physician</t>
        </is>
      </c>
      <c r="H1011" t="inlineStr">
        <is>
          <t>assessment-and-plan</t>
        </is>
      </c>
      <c r="I1011" t="inlineStr">
        <is>
          <t>COPD mild per most recent PFTs
   [**2153**].</t>
        </is>
      </c>
    </row>
    <row r="1012">
      <c r="A1012" t="inlineStr">
        <is>
          <t>523029-assessment-and-plan-0-4</t>
        </is>
      </c>
      <c r="B1012" t="inlineStr"/>
      <c r="C1012" t="inlineStr"/>
      <c r="D1012">
        <f>HYPERLINK("http://nlpdeep.cs.uic.edu:8080/proofing/gsii/523029-assessment-and-plan-0-4.pdf","gsii/523029-assessment-and-plan-0-4.pdf")</f>
        <v/>
      </c>
      <c r="E1012" t="n">
        <v>120842</v>
      </c>
      <c r="F1012" t="n">
        <v>523029</v>
      </c>
      <c r="G1012" t="inlineStr">
        <is>
          <t>Physician</t>
        </is>
      </c>
      <c r="H1012" t="inlineStr">
        <is>
          <t>assessment-and-plan</t>
        </is>
      </c>
      <c r="I1012" t="inlineStr">
        <is>
          <t>COPD mild per most recent PFTs
   [**2153**].</t>
        </is>
      </c>
    </row>
    <row r="1013">
      <c r="A1013" t="inlineStr">
        <is>
          <t>523029-assessment-and-plan-0-5</t>
        </is>
      </c>
      <c r="B1013" t="inlineStr"/>
      <c r="C1013" t="inlineStr"/>
      <c r="D1013">
        <f>HYPERLINK("http://nlpdeep.cs.uic.edu:8080/proofing/t5/523029-assessment-and-plan-0-5.pdf","t5/523029-assessment-and-plan-0-5.pdf")</f>
        <v/>
      </c>
      <c r="E1013" t="n">
        <v>120842</v>
      </c>
      <c r="F1013" t="n">
        <v>523029</v>
      </c>
      <c r="G1013" t="inlineStr">
        <is>
          <t>Physician</t>
        </is>
      </c>
      <c r="H1013" t="inlineStr">
        <is>
          <t>assessment-and-plan</t>
        </is>
      </c>
      <c r="I1013" t="inlineStr">
        <is>
          <t>Possibly etiologies include PNA, COPD exacerbation, heart
   failure, coronary ischemia or possibly PE.</t>
        </is>
      </c>
    </row>
    <row r="1014">
      <c r="A1014" t="inlineStr">
        <is>
          <t>523029-assessment-and-plan-0-5</t>
        </is>
      </c>
      <c r="B1014" t="inlineStr"/>
      <c r="C1014" t="inlineStr"/>
      <c r="D1014">
        <f>HYPERLINK("http://nlpdeep.cs.uic.edu:8080/proofing/gsii/523029-assessment-and-plan-0-5.pdf","gsii/523029-assessment-and-plan-0-5.pdf")</f>
        <v/>
      </c>
      <c r="E1014" t="n">
        <v>120842</v>
      </c>
      <c r="F1014" t="n">
        <v>523029</v>
      </c>
      <c r="G1014" t="inlineStr">
        <is>
          <t>Physician</t>
        </is>
      </c>
      <c r="H1014" t="inlineStr">
        <is>
          <t>assessment-and-plan</t>
        </is>
      </c>
      <c r="I1014" t="inlineStr">
        <is>
          <t>Possibly etiologies include PNA, COPD exacerbation, heart
   failure, coronary ischemia or possibly PE.</t>
        </is>
      </c>
    </row>
    <row r="1015">
      <c r="A1015" t="inlineStr">
        <is>
          <t>523029-assessment-and-plan-0-6</t>
        </is>
      </c>
      <c r="B1015" t="inlineStr"/>
      <c r="C1015" t="inlineStr"/>
      <c r="D1015">
        <f>HYPERLINK("http://nlpdeep.cs.uic.edu:8080/proofing/t5/523029-assessment-and-plan-0-6.pdf","t5/523029-assessment-and-plan-0-6.pdf")</f>
        <v/>
      </c>
      <c r="E1015" t="n">
        <v>120842</v>
      </c>
      <c r="F1015" t="n">
        <v>523029</v>
      </c>
      <c r="G1015" t="inlineStr">
        <is>
          <t>Physician</t>
        </is>
      </c>
      <c r="H1015" t="inlineStr">
        <is>
          <t>assessment-and-plan</t>
        </is>
      </c>
      <c r="I1015" t="inlineStr">
        <is>
          <t>CTA negative in ED on [**3-25**].</t>
        </is>
      </c>
    </row>
    <row r="1016">
      <c r="A1016" t="inlineStr">
        <is>
          <t>523029-assessment-and-plan-0-6</t>
        </is>
      </c>
      <c r="B1016" t="inlineStr"/>
      <c r="C1016" t="inlineStr"/>
      <c r="D1016">
        <f>HYPERLINK("http://nlpdeep.cs.uic.edu:8080/proofing/gsii/523029-assessment-and-plan-0-6.pdf","gsii/523029-assessment-and-plan-0-6.pdf")</f>
        <v/>
      </c>
      <c r="E1016" t="n">
        <v>120842</v>
      </c>
      <c r="F1016" t="n">
        <v>523029</v>
      </c>
      <c r="G1016" t="inlineStr">
        <is>
          <t>Physician</t>
        </is>
      </c>
      <c r="H1016" t="inlineStr">
        <is>
          <t>assessment-and-plan</t>
        </is>
      </c>
      <c r="I1016" t="inlineStr">
        <is>
          <t>CTA negative in ED on [**3-25**].</t>
        </is>
      </c>
    </row>
    <row r="1017">
      <c r="A1017" t="inlineStr">
        <is>
          <t>523029-assessment-and-plan-0-7</t>
        </is>
      </c>
      <c r="B1017" t="inlineStr"/>
      <c r="C1017" t="inlineStr"/>
      <c r="D1017">
        <f>HYPERLINK("http://nlpdeep.cs.uic.edu:8080/proofing/t5/523029-assessment-and-plan-0-7.pdf","t5/523029-assessment-and-plan-0-7.pdf")</f>
        <v/>
      </c>
      <c r="E1017" t="n">
        <v>120842</v>
      </c>
      <c r="F1017" t="n">
        <v>523029</v>
      </c>
      <c r="G1017" t="inlineStr">
        <is>
          <t>Physician</t>
        </is>
      </c>
      <c r="H1017" t="inlineStr">
        <is>
          <t>assessment-and-plan</t>
        </is>
      </c>
      <c r="I1017" t="inlineStr">
        <is>
          <t xml:space="preserve">
   She is s/p total knee replacement 1 month ago but was on 1 month of
   Lovenox post-operatively (she confirms), on heparin SQ here.</t>
        </is>
      </c>
    </row>
    <row r="1018">
      <c r="A1018" t="inlineStr">
        <is>
          <t>523029-assessment-and-plan-0-7</t>
        </is>
      </c>
      <c r="B1018" t="inlineStr"/>
      <c r="C1018" t="inlineStr"/>
      <c r="D1018">
        <f>HYPERLINK("http://nlpdeep.cs.uic.edu:8080/proofing/gsii/523029-assessment-and-plan-0-7.pdf","gsii/523029-assessment-and-plan-0-7.pdf")</f>
        <v/>
      </c>
      <c r="E1018" t="n">
        <v>120842</v>
      </c>
      <c r="F1018" t="n">
        <v>523029</v>
      </c>
      <c r="G1018" t="inlineStr">
        <is>
          <t>Physician</t>
        </is>
      </c>
      <c r="H1018" t="inlineStr">
        <is>
          <t>assessment-and-plan</t>
        </is>
      </c>
      <c r="I1018" t="inlineStr">
        <is>
          <t xml:space="preserve">
   She is s/p total knee replacement 1 month ago but was on 1 month of
   Lovenox post-operatively (she confirms), on heparin SQ here.</t>
        </is>
      </c>
    </row>
    <row r="1019">
      <c r="A1019" t="inlineStr">
        <is>
          <t>523029-assessment-and-plan-0-8</t>
        </is>
      </c>
      <c r="B1019" t="inlineStr"/>
      <c r="C1019" t="inlineStr"/>
      <c r="D1019">
        <f>HYPERLINK("http://nlpdeep.cs.uic.edu:8080/proofing/t5/523029-assessment-and-plan-0-8.pdf","t5/523029-assessment-and-plan-0-8.pdf")</f>
        <v/>
      </c>
      <c r="E1019" t="n">
        <v>120842</v>
      </c>
      <c r="F1019" t="n">
        <v>523029</v>
      </c>
      <c r="G1019" t="inlineStr">
        <is>
          <t>Physician</t>
        </is>
      </c>
      <c r="H1019" t="inlineStr">
        <is>
          <t>assessment-and-plan</t>
        </is>
      </c>
      <c r="I1019" t="inlineStr">
        <is>
          <t>Had CEs
   trended before, no chest pain.</t>
        </is>
      </c>
    </row>
    <row r="1020">
      <c r="A1020" t="inlineStr">
        <is>
          <t>523029-assessment-and-plan-0-8</t>
        </is>
      </c>
      <c r="B1020" t="inlineStr"/>
      <c r="C1020" t="inlineStr"/>
      <c r="D1020">
        <f>HYPERLINK("http://nlpdeep.cs.uic.edu:8080/proofing/gsii/523029-assessment-and-plan-0-8.pdf","gsii/523029-assessment-and-plan-0-8.pdf")</f>
        <v/>
      </c>
      <c r="E1020" t="n">
        <v>120842</v>
      </c>
      <c r="F1020" t="n">
        <v>523029</v>
      </c>
      <c r="G1020" t="inlineStr">
        <is>
          <t>Physician</t>
        </is>
      </c>
      <c r="H1020" t="inlineStr">
        <is>
          <t>assessment-and-plan</t>
        </is>
      </c>
      <c r="I1020" t="inlineStr">
        <is>
          <t>Had CEs
   trended before, no chest pain.</t>
        </is>
      </c>
    </row>
    <row r="1021">
      <c r="A1021" t="inlineStr">
        <is>
          <t>523029-assessment-and-plan-0-9</t>
        </is>
      </c>
      <c r="B1021" t="inlineStr"/>
      <c r="C1021" t="inlineStr"/>
      <c r="D1021">
        <f>HYPERLINK("http://nlpdeep.cs.uic.edu:8080/proofing/t5/523029-assessment-and-plan-0-9.pdf","t5/523029-assessment-and-plan-0-9.pdf")</f>
        <v/>
      </c>
      <c r="E1021" t="n">
        <v>120842</v>
      </c>
      <c r="F1021" t="n">
        <v>523029</v>
      </c>
      <c r="G1021" t="inlineStr">
        <is>
          <t>Physician</t>
        </is>
      </c>
      <c r="H1021" t="inlineStr">
        <is>
          <t>assessment-and-plan</t>
        </is>
      </c>
      <c r="I1021" t="inlineStr">
        <is>
          <t>Diffuse wheezing most c/w COPD.</t>
        </is>
      </c>
    </row>
    <row r="1022">
      <c r="A1022" t="inlineStr">
        <is>
          <t>523029-assessment-and-plan-0-9</t>
        </is>
      </c>
      <c r="B1022" t="inlineStr"/>
      <c r="C1022" t="inlineStr"/>
      <c r="D1022">
        <f>HYPERLINK("http://nlpdeep.cs.uic.edu:8080/proofing/gsii/523029-assessment-and-plan-0-9.pdf","gsii/523029-assessment-and-plan-0-9.pdf")</f>
        <v/>
      </c>
      <c r="E1022" t="n">
        <v>120842</v>
      </c>
      <c r="F1022" t="n">
        <v>523029</v>
      </c>
      <c r="G1022" t="inlineStr">
        <is>
          <t>Physician</t>
        </is>
      </c>
      <c r="H1022" t="inlineStr">
        <is>
          <t>assessment-and-plan</t>
        </is>
      </c>
      <c r="I1022" t="inlineStr">
        <is>
          <t>Diffuse wheezing most c/w COPD.</t>
        </is>
      </c>
    </row>
    <row r="1023">
      <c r="A1023" t="inlineStr">
        <is>
          <t>523029-assessment-and-plan-0-10</t>
        </is>
      </c>
      <c r="B1023" t="inlineStr"/>
      <c r="C1023" t="inlineStr"/>
      <c r="D1023">
        <f>HYPERLINK("http://nlpdeep.cs.uic.edu:8080/proofing/t5/523029-assessment-and-plan-0-10.pdf","t5/523029-assessment-and-plan-0-10.pdf")</f>
        <v/>
      </c>
      <c r="E1023" t="n">
        <v>120842</v>
      </c>
      <c r="F1023" t="n">
        <v>523029</v>
      </c>
      <c r="G1023" t="inlineStr">
        <is>
          <t>Physician</t>
        </is>
      </c>
      <c r="H1023" t="inlineStr">
        <is>
          <t>assessment-and-plan</t>
        </is>
      </c>
      <c r="I1023" t="inlineStr"/>
    </row>
    <row r="1024">
      <c r="A1024" t="inlineStr">
        <is>
          <t>523029-assessment-and-plan-0-10</t>
        </is>
      </c>
      <c r="B1024" t="inlineStr"/>
      <c r="C1024" t="inlineStr"/>
      <c r="D1024">
        <f>HYPERLINK("http://nlpdeep.cs.uic.edu:8080/proofing/gsii/523029-assessment-and-plan-0-10.pdf","gsii/523029-assessment-and-plan-0-10.pdf")</f>
        <v/>
      </c>
      <c r="E1024" t="n">
        <v>120842</v>
      </c>
      <c r="F1024" t="n">
        <v>523029</v>
      </c>
      <c r="G1024" t="inlineStr">
        <is>
          <t>Physician</t>
        </is>
      </c>
      <c r="H1024" t="inlineStr">
        <is>
          <t>assessment-and-plan</t>
        </is>
      </c>
      <c r="I1024" t="inlineStr"/>
    </row>
    <row r="1025">
      <c r="A1025" t="inlineStr">
        <is>
          <t>523029-assessment-and-plan-1-0</t>
        </is>
      </c>
      <c r="B1025" t="inlineStr"/>
      <c r="C1025" t="inlineStr"/>
      <c r="D1025">
        <f>HYPERLINK("http://nlpdeep.cs.uic.edu:8080/proofing/t5/523029-assessment-and-plan-1-0.pdf","t5/523029-assessment-and-plan-1-0.pdf")</f>
        <v/>
      </c>
      <c r="E1025" t="n">
        <v>120842</v>
      </c>
      <c r="F1025" t="n">
        <v>523029</v>
      </c>
      <c r="G1025" t="inlineStr">
        <is>
          <t>Physician</t>
        </is>
      </c>
      <c r="H1025" t="inlineStr">
        <is>
          <t>assessment-and-plan</t>
        </is>
      </c>
      <c r="I1025" t="inlineStr">
        <is>
          <t xml:space="preserve">
   # Tachycardia: AVNRT vs.</t>
        </is>
      </c>
    </row>
    <row r="1026">
      <c r="A1026" t="inlineStr">
        <is>
          <t>523029-assessment-and-plan-1-0</t>
        </is>
      </c>
      <c r="B1026" t="inlineStr"/>
      <c r="C1026" t="inlineStr"/>
      <c r="D1026">
        <f>HYPERLINK("http://nlpdeep.cs.uic.edu:8080/proofing/gsii/523029-assessment-and-plan-1-0.pdf","gsii/523029-assessment-and-plan-1-0.pdf")</f>
        <v/>
      </c>
      <c r="E1026" t="n">
        <v>120842</v>
      </c>
      <c r="F1026" t="n">
        <v>523029</v>
      </c>
      <c r="G1026" t="inlineStr">
        <is>
          <t>Physician</t>
        </is>
      </c>
      <c r="H1026" t="inlineStr">
        <is>
          <t>assessment-and-plan</t>
        </is>
      </c>
      <c r="I1026" t="inlineStr">
        <is>
          <t xml:space="preserve">
   # Tachycardia: AVNRT vs.</t>
        </is>
      </c>
    </row>
    <row r="1027">
      <c r="A1027" t="inlineStr">
        <is>
          <t>523029-assessment-and-plan-1-1</t>
        </is>
      </c>
      <c r="B1027" t="inlineStr"/>
      <c r="C1027" t="inlineStr"/>
      <c r="D1027">
        <f>HYPERLINK("http://nlpdeep.cs.uic.edu:8080/proofing/t5/523029-assessment-and-plan-1-1.pdf","t5/523029-assessment-and-plan-1-1.pdf")</f>
        <v/>
      </c>
      <c r="E1027" t="n">
        <v>120842</v>
      </c>
      <c r="F1027" t="n">
        <v>523029</v>
      </c>
      <c r="G1027" t="inlineStr">
        <is>
          <t>Physician</t>
        </is>
      </c>
      <c r="H1027" t="inlineStr">
        <is>
          <t>assessment-and-plan</t>
        </is>
      </c>
      <c r="I1027" t="inlineStr">
        <is>
          <t>ART.</t>
        </is>
      </c>
    </row>
    <row r="1028">
      <c r="A1028" t="inlineStr">
        <is>
          <t>523029-assessment-and-plan-1-1</t>
        </is>
      </c>
      <c r="B1028" t="inlineStr"/>
      <c r="C1028" t="inlineStr"/>
      <c r="D1028">
        <f>HYPERLINK("http://nlpdeep.cs.uic.edu:8080/proofing/gsii/523029-assessment-and-plan-1-1.pdf","gsii/523029-assessment-and-plan-1-1.pdf")</f>
        <v/>
      </c>
      <c r="E1028" t="n">
        <v>120842</v>
      </c>
      <c r="F1028" t="n">
        <v>523029</v>
      </c>
      <c r="G1028" t="inlineStr">
        <is>
          <t>Physician</t>
        </is>
      </c>
      <c r="H1028" t="inlineStr">
        <is>
          <t>assessment-and-plan</t>
        </is>
      </c>
      <c r="I1028" t="inlineStr">
        <is>
          <t>ART.</t>
        </is>
      </c>
    </row>
    <row r="1029">
      <c r="A1029" t="inlineStr">
        <is>
          <t>523029-assessment-and-plan-1-2</t>
        </is>
      </c>
      <c r="B1029" t="inlineStr"/>
      <c r="C1029" t="inlineStr"/>
      <c r="D1029">
        <f>HYPERLINK("http://nlpdeep.cs.uic.edu:8080/proofing/t5/523029-assessment-and-plan-1-2.pdf","t5/523029-assessment-and-plan-1-2.pdf")</f>
        <v/>
      </c>
      <c r="E1029" t="n">
        <v>120842</v>
      </c>
      <c r="F1029" t="n">
        <v>523029</v>
      </c>
      <c r="G1029" t="inlineStr">
        <is>
          <t>Physician</t>
        </is>
      </c>
      <c r="H1029" t="inlineStr">
        <is>
          <t>assessment-and-plan</t>
        </is>
      </c>
      <c r="I1029" t="inlineStr">
        <is>
          <t>As a COPD patient she's at risk for
   atrial arrhythmias.</t>
        </is>
      </c>
    </row>
    <row r="1030">
      <c r="A1030" t="inlineStr">
        <is>
          <t>523029-assessment-and-plan-1-2</t>
        </is>
      </c>
      <c r="B1030" t="inlineStr"/>
      <c r="C1030" t="inlineStr"/>
      <c r="D1030">
        <f>HYPERLINK("http://nlpdeep.cs.uic.edu:8080/proofing/gsii/523029-assessment-and-plan-1-2.pdf","gsii/523029-assessment-and-plan-1-2.pdf")</f>
        <v/>
      </c>
      <c r="E1030" t="n">
        <v>120842</v>
      </c>
      <c r="F1030" t="n">
        <v>523029</v>
      </c>
      <c r="G1030" t="inlineStr">
        <is>
          <t>Physician</t>
        </is>
      </c>
      <c r="H1030" t="inlineStr">
        <is>
          <t>assessment-and-plan</t>
        </is>
      </c>
      <c r="I1030" t="inlineStr">
        <is>
          <t>As a COPD patient she's at risk for
   atrial arrhythmias.</t>
        </is>
      </c>
    </row>
    <row r="1031">
      <c r="A1031" t="inlineStr">
        <is>
          <t>523029-assessment-and-plan-1-3</t>
        </is>
      </c>
      <c r="B1031" t="inlineStr"/>
      <c r="C1031" t="inlineStr"/>
      <c r="D1031">
        <f>HYPERLINK("http://nlpdeep.cs.uic.edu:8080/proofing/t5/523029-assessment-and-plan-1-3.pdf","t5/523029-assessment-and-plan-1-3.pdf")</f>
        <v/>
      </c>
      <c r="E1031" t="n">
        <v>120842</v>
      </c>
      <c r="F1031" t="n">
        <v>523029</v>
      </c>
      <c r="G1031" t="inlineStr">
        <is>
          <t>Physician</t>
        </is>
      </c>
      <c r="H1031" t="inlineStr">
        <is>
          <t>assessment-and-plan</t>
        </is>
      </c>
      <c r="I1031" t="inlineStr">
        <is>
          <t>Seems to go into arrhythmias after her barking
   coughs.</t>
        </is>
      </c>
    </row>
    <row r="1032">
      <c r="A1032" t="inlineStr">
        <is>
          <t>523029-assessment-and-plan-1-3</t>
        </is>
      </c>
      <c r="B1032" t="inlineStr"/>
      <c r="C1032" t="inlineStr"/>
      <c r="D1032">
        <f>HYPERLINK("http://nlpdeep.cs.uic.edu:8080/proofing/gsii/523029-assessment-and-plan-1-3.pdf","gsii/523029-assessment-and-plan-1-3.pdf")</f>
        <v/>
      </c>
      <c r="E1032" t="n">
        <v>120842</v>
      </c>
      <c r="F1032" t="n">
        <v>523029</v>
      </c>
      <c r="G1032" t="inlineStr">
        <is>
          <t>Physician</t>
        </is>
      </c>
      <c r="H1032" t="inlineStr">
        <is>
          <t>assessment-and-plan</t>
        </is>
      </c>
      <c r="I1032" t="inlineStr">
        <is>
          <t>Seems to go into arrhythmias after her barking
   coughs.</t>
        </is>
      </c>
    </row>
    <row r="1033">
      <c r="A1033" t="inlineStr">
        <is>
          <t>523029-assessment-and-plan-1-4</t>
        </is>
      </c>
      <c r="B1033" t="inlineStr"/>
      <c r="C1033" t="inlineStr"/>
      <c r="D1033">
        <f>HYPERLINK("http://nlpdeep.cs.uic.edu:8080/proofing/t5/523029-assessment-and-plan-1-4.pdf","t5/523029-assessment-and-plan-1-4.pdf")</f>
        <v/>
      </c>
      <c r="E1033" t="n">
        <v>120842</v>
      </c>
      <c r="F1033" t="n">
        <v>523029</v>
      </c>
      <c r="G1033" t="inlineStr">
        <is>
          <t>Physician</t>
        </is>
      </c>
      <c r="H1033" t="inlineStr">
        <is>
          <t>assessment-and-plan</t>
        </is>
      </c>
      <c r="I1033" t="inlineStr">
        <is>
          <t xml:space="preserve">
   - continue Tessalon [**Doctor Last Name **], Mucinex to knock back her cough
   - cards c/s in AM
   - continue PO Diltiazem
   - Echo in AM
   # Diastolic CHF.</t>
        </is>
      </c>
    </row>
    <row r="1034">
      <c r="A1034" t="inlineStr">
        <is>
          <t>523029-assessment-and-plan-1-4</t>
        </is>
      </c>
      <c r="B1034" t="inlineStr"/>
      <c r="C1034" t="inlineStr"/>
      <c r="D1034">
        <f>HYPERLINK("http://nlpdeep.cs.uic.edu:8080/proofing/gsii/523029-assessment-and-plan-1-4.pdf","gsii/523029-assessment-and-plan-1-4.pdf")</f>
        <v/>
      </c>
      <c r="E1034" t="n">
        <v>120842</v>
      </c>
      <c r="F1034" t="n">
        <v>523029</v>
      </c>
      <c r="G1034" t="inlineStr">
        <is>
          <t>Physician</t>
        </is>
      </c>
      <c r="H1034" t="inlineStr">
        <is>
          <t>assessment-and-plan</t>
        </is>
      </c>
      <c r="I1034" t="inlineStr">
        <is>
          <t xml:space="preserve">
   - continue Tessalon [**Doctor Last Name **], Mucinex to knock back her cough
   - cards c/s in AM
   - continue PO Diltiazem
   - Echo in AM
   # Diastolic CHF.</t>
        </is>
      </c>
    </row>
    <row r="1035">
      <c r="A1035" t="inlineStr">
        <is>
          <t>523029-assessment-and-plan-1-5</t>
        </is>
      </c>
      <c r="B1035" t="inlineStr"/>
      <c r="C1035" t="inlineStr"/>
      <c r="D1035">
        <f>HYPERLINK("http://nlpdeep.cs.uic.edu:8080/proofing/t5/523029-assessment-and-plan-1-5.pdf","t5/523029-assessment-and-plan-1-5.pdf")</f>
        <v/>
      </c>
      <c r="E1035" t="n">
        <v>120842</v>
      </c>
      <c r="F1035" t="n">
        <v>523029</v>
      </c>
      <c r="G1035" t="inlineStr">
        <is>
          <t>Physician</t>
        </is>
      </c>
      <c r="H1035" t="inlineStr">
        <is>
          <t>assessment-and-plan</t>
        </is>
      </c>
      <c r="I1035" t="inlineStr">
        <is>
          <t>Rate control key for her will be key.</t>
        </is>
      </c>
    </row>
    <row r="1036">
      <c r="A1036" t="inlineStr">
        <is>
          <t>523029-assessment-and-plan-1-5</t>
        </is>
      </c>
      <c r="B1036" t="inlineStr"/>
      <c r="C1036" t="inlineStr"/>
      <c r="D1036">
        <f>HYPERLINK("http://nlpdeep.cs.uic.edu:8080/proofing/gsii/523029-assessment-and-plan-1-5.pdf","gsii/523029-assessment-and-plan-1-5.pdf")</f>
        <v/>
      </c>
      <c r="E1036" t="n">
        <v>120842</v>
      </c>
      <c r="F1036" t="n">
        <v>523029</v>
      </c>
      <c r="G1036" t="inlineStr">
        <is>
          <t>Physician</t>
        </is>
      </c>
      <c r="H1036" t="inlineStr">
        <is>
          <t>assessment-and-plan</t>
        </is>
      </c>
      <c r="I1036" t="inlineStr">
        <is>
          <t>Rate control key for her will be key.</t>
        </is>
      </c>
    </row>
    <row r="1037">
      <c r="A1037" t="inlineStr">
        <is>
          <t>523029-assessment-and-plan-1-6</t>
        </is>
      </c>
      <c r="B1037" t="inlineStr"/>
      <c r="C1037" t="inlineStr"/>
      <c r="D1037">
        <f>HYPERLINK("http://nlpdeep.cs.uic.edu:8080/proofing/t5/523029-assessment-and-plan-1-6.pdf","t5/523029-assessment-and-plan-1-6.pdf")</f>
        <v/>
      </c>
      <c r="E1037" t="n">
        <v>120842</v>
      </c>
      <c r="F1037" t="n">
        <v>523029</v>
      </c>
      <c r="G1037" t="inlineStr">
        <is>
          <t>Physician</t>
        </is>
      </c>
      <c r="H1037" t="inlineStr">
        <is>
          <t>assessment-and-plan</t>
        </is>
      </c>
      <c r="I1037" t="inlineStr">
        <is>
          <t>Her chest Xray
   shows no fluid overload, not a diuresis candidate now.</t>
        </is>
      </c>
    </row>
    <row r="1038">
      <c r="A1038" t="inlineStr">
        <is>
          <t>523029-assessment-and-plan-1-6</t>
        </is>
      </c>
      <c r="B1038" t="inlineStr"/>
      <c r="C1038" t="inlineStr"/>
      <c r="D1038">
        <f>HYPERLINK("http://nlpdeep.cs.uic.edu:8080/proofing/gsii/523029-assessment-and-plan-1-6.pdf","gsii/523029-assessment-and-plan-1-6.pdf")</f>
        <v/>
      </c>
      <c r="E1038" t="n">
        <v>120842</v>
      </c>
      <c r="F1038" t="n">
        <v>523029</v>
      </c>
      <c r="G1038" t="inlineStr">
        <is>
          <t>Physician</t>
        </is>
      </c>
      <c r="H1038" t="inlineStr">
        <is>
          <t>assessment-and-plan</t>
        </is>
      </c>
      <c r="I1038" t="inlineStr">
        <is>
          <t>Her chest Xray
   shows no fluid overload, not a diuresis candidate now.</t>
        </is>
      </c>
    </row>
    <row r="1039">
      <c r="A1039" t="inlineStr">
        <is>
          <t>523029-assessment-and-plan-1-7</t>
        </is>
      </c>
      <c r="B1039" t="inlineStr"/>
      <c r="C1039" t="inlineStr"/>
      <c r="D1039">
        <f>HYPERLINK("http://nlpdeep.cs.uic.edu:8080/proofing/t5/523029-assessment-and-plan-1-7.pdf","t5/523029-assessment-and-plan-1-7.pdf")</f>
        <v/>
      </c>
      <c r="E1039" t="n">
        <v>120842</v>
      </c>
      <c r="F1039" t="n">
        <v>523029</v>
      </c>
      <c r="G1039" t="inlineStr">
        <is>
          <t>Physician</t>
        </is>
      </c>
      <c r="H1039" t="inlineStr">
        <is>
          <t>assessment-and-plan</t>
        </is>
      </c>
      <c r="I1039" t="inlineStr">
        <is>
          <t xml:space="preserve">
   - Continue ACEI.</t>
        </is>
      </c>
    </row>
    <row r="1040">
      <c r="A1040" t="inlineStr">
        <is>
          <t>523029-assessment-and-plan-1-7</t>
        </is>
      </c>
      <c r="B1040" t="inlineStr"/>
      <c r="C1040" t="inlineStr"/>
      <c r="D1040">
        <f>HYPERLINK("http://nlpdeep.cs.uic.edu:8080/proofing/gsii/523029-assessment-and-plan-1-7.pdf","gsii/523029-assessment-and-plan-1-7.pdf")</f>
        <v/>
      </c>
      <c r="E1040" t="n">
        <v>120842</v>
      </c>
      <c r="F1040" t="n">
        <v>523029</v>
      </c>
      <c r="G1040" t="inlineStr">
        <is>
          <t>Physician</t>
        </is>
      </c>
      <c r="H1040" t="inlineStr">
        <is>
          <t>assessment-and-plan</t>
        </is>
      </c>
      <c r="I1040" t="inlineStr">
        <is>
          <t xml:space="preserve">
   - Continue ACEI.</t>
        </is>
      </c>
    </row>
    <row r="1041">
      <c r="A1041" t="inlineStr">
        <is>
          <t>523029-assessment-and-plan-1-8</t>
        </is>
      </c>
      <c r="B1041" t="inlineStr"/>
      <c r="C1041" t="inlineStr"/>
      <c r="D1041">
        <f>HYPERLINK("http://nlpdeep.cs.uic.edu:8080/proofing/t5/523029-assessment-and-plan-1-8.pdf","t5/523029-assessment-and-plan-1-8.pdf")</f>
        <v/>
      </c>
      <c r="E1041" t="n">
        <v>120842</v>
      </c>
      <c r="F1041" t="n">
        <v>523029</v>
      </c>
      <c r="G1041" t="inlineStr">
        <is>
          <t>Physician</t>
        </is>
      </c>
      <c r="H1041" t="inlineStr">
        <is>
          <t>assessment-and-plan</t>
        </is>
      </c>
      <c r="I1041" t="inlineStr">
        <is>
          <t xml:space="preserve">
   - Echo
   - f/u BNP sent this evening
   # DM type II.</t>
        </is>
      </c>
    </row>
    <row r="1042">
      <c r="A1042" t="inlineStr">
        <is>
          <t>523029-assessment-and-plan-1-8</t>
        </is>
      </c>
      <c r="B1042" t="inlineStr"/>
      <c r="C1042" t="inlineStr"/>
      <c r="D1042">
        <f>HYPERLINK("http://nlpdeep.cs.uic.edu:8080/proofing/gsii/523029-assessment-and-plan-1-8.pdf","gsii/523029-assessment-and-plan-1-8.pdf")</f>
        <v/>
      </c>
      <c r="E1042" t="n">
        <v>120842</v>
      </c>
      <c r="F1042" t="n">
        <v>523029</v>
      </c>
      <c r="G1042" t="inlineStr">
        <is>
          <t>Physician</t>
        </is>
      </c>
      <c r="H1042" t="inlineStr">
        <is>
          <t>assessment-and-plan</t>
        </is>
      </c>
      <c r="I1042" t="inlineStr">
        <is>
          <t xml:space="preserve">
   - Echo
   - f/u BNP sent this evening
   # DM type II.</t>
        </is>
      </c>
    </row>
    <row r="1043">
      <c r="A1043" t="inlineStr">
        <is>
          <t>523029-assessment-and-plan-1-9</t>
        </is>
      </c>
      <c r="B1043" t="inlineStr"/>
      <c r="C1043" t="inlineStr"/>
      <c r="D1043">
        <f>HYPERLINK("http://nlpdeep.cs.uic.edu:8080/proofing/t5/523029-assessment-and-plan-1-9.pdf","t5/523029-assessment-and-plan-1-9.pdf")</f>
        <v/>
      </c>
      <c r="E1043" t="n">
        <v>120842</v>
      </c>
      <c r="F1043" t="n">
        <v>523029</v>
      </c>
      <c r="G1043" t="inlineStr">
        <is>
          <t>Physician</t>
        </is>
      </c>
      <c r="H1043" t="inlineStr">
        <is>
          <t>assessment-and-plan</t>
        </is>
      </c>
      <c r="I1043" t="inlineStr">
        <is>
          <t xml:space="preserve">
   - ISS.</t>
        </is>
      </c>
    </row>
    <row r="1044">
      <c r="A1044" t="inlineStr">
        <is>
          <t>523029-assessment-and-plan-1-9</t>
        </is>
      </c>
      <c r="B1044" t="inlineStr"/>
      <c r="C1044" t="inlineStr"/>
      <c r="D1044">
        <f>HYPERLINK("http://nlpdeep.cs.uic.edu:8080/proofing/gsii/523029-assessment-and-plan-1-9.pdf","gsii/523029-assessment-and-plan-1-9.pdf")</f>
        <v/>
      </c>
      <c r="E1044" t="n">
        <v>120842</v>
      </c>
      <c r="F1044" t="n">
        <v>523029</v>
      </c>
      <c r="G1044" t="inlineStr">
        <is>
          <t>Physician</t>
        </is>
      </c>
      <c r="H1044" t="inlineStr">
        <is>
          <t>assessment-and-plan</t>
        </is>
      </c>
      <c r="I1044" t="inlineStr">
        <is>
          <t xml:space="preserve">
   - ISS.</t>
        </is>
      </c>
    </row>
    <row r="1045">
      <c r="A1045" t="inlineStr">
        <is>
          <t>523029-assessment-and-plan-1-10</t>
        </is>
      </c>
      <c r="B1045" t="inlineStr"/>
      <c r="C1045" t="inlineStr"/>
      <c r="D1045">
        <f>HYPERLINK("http://nlpdeep.cs.uic.edu:8080/proofing/t5/523029-assessment-and-plan-1-10.pdf","t5/523029-assessment-and-plan-1-10.pdf")</f>
        <v/>
      </c>
      <c r="E1045" t="n">
        <v>120842</v>
      </c>
      <c r="F1045" t="n">
        <v>523029</v>
      </c>
      <c r="G1045" t="inlineStr">
        <is>
          <t>Physician</t>
        </is>
      </c>
      <c r="H1045" t="inlineStr">
        <is>
          <t>assessment-and-plan</t>
        </is>
      </c>
      <c r="I1045" t="inlineStr">
        <is>
          <t xml:space="preserve">
   - Hold metformin for now.</t>
        </is>
      </c>
    </row>
    <row r="1046">
      <c r="A1046" t="inlineStr">
        <is>
          <t>523029-assessment-and-plan-1-10</t>
        </is>
      </c>
      <c r="B1046" t="inlineStr"/>
      <c r="C1046" t="inlineStr"/>
      <c r="D1046">
        <f>HYPERLINK("http://nlpdeep.cs.uic.edu:8080/proofing/gsii/523029-assessment-and-plan-1-10.pdf","gsii/523029-assessment-and-plan-1-10.pdf")</f>
        <v/>
      </c>
      <c r="E1046" t="n">
        <v>120842</v>
      </c>
      <c r="F1046" t="n">
        <v>523029</v>
      </c>
      <c r="G1046" t="inlineStr">
        <is>
          <t>Physician</t>
        </is>
      </c>
      <c r="H1046" t="inlineStr">
        <is>
          <t>assessment-and-plan</t>
        </is>
      </c>
      <c r="I1046" t="inlineStr">
        <is>
          <t xml:space="preserve">
   - Hold metformin for now.</t>
        </is>
      </c>
    </row>
    <row r="1047">
      <c r="A1047" t="inlineStr">
        <is>
          <t>523029-assessment-and-plan-1-11</t>
        </is>
      </c>
      <c r="B1047" t="inlineStr"/>
      <c r="C1047" t="inlineStr"/>
      <c r="D1047">
        <f>HYPERLINK("http://nlpdeep.cs.uic.edu:8080/proofing/t5/523029-assessment-and-plan-1-11.pdf","t5/523029-assessment-and-plan-1-11.pdf")</f>
        <v/>
      </c>
      <c r="E1047" t="n">
        <v>120842</v>
      </c>
      <c r="F1047" t="n">
        <v>523029</v>
      </c>
      <c r="G1047" t="inlineStr">
        <is>
          <t>Physician</t>
        </is>
      </c>
      <c r="H1047" t="inlineStr">
        <is>
          <t>assessment-and-plan</t>
        </is>
      </c>
      <c r="I1047" t="inlineStr">
        <is>
          <t xml:space="preserve">
   - +/- glipizide.</t>
        </is>
      </c>
    </row>
    <row r="1048">
      <c r="A1048" t="inlineStr">
        <is>
          <t>523029-assessment-and-plan-1-11</t>
        </is>
      </c>
      <c r="B1048" t="inlineStr"/>
      <c r="C1048" t="inlineStr"/>
      <c r="D1048">
        <f>HYPERLINK("http://nlpdeep.cs.uic.edu:8080/proofing/gsii/523029-assessment-and-plan-1-11.pdf","gsii/523029-assessment-and-plan-1-11.pdf")</f>
        <v/>
      </c>
      <c r="E1048" t="n">
        <v>120842</v>
      </c>
      <c r="F1048" t="n">
        <v>523029</v>
      </c>
      <c r="G1048" t="inlineStr">
        <is>
          <t>Physician</t>
        </is>
      </c>
      <c r="H1048" t="inlineStr">
        <is>
          <t>assessment-and-plan</t>
        </is>
      </c>
      <c r="I1048" t="inlineStr">
        <is>
          <t xml:space="preserve">
   - +/- glipizide.</t>
        </is>
      </c>
    </row>
    <row r="1049">
      <c r="A1049" t="inlineStr">
        <is>
          <t>523029-assessment-and-plan-2-0</t>
        </is>
      </c>
      <c r="B1049" t="inlineStr"/>
      <c r="C1049" t="inlineStr"/>
      <c r="D1049">
        <f>HYPERLINK("http://nlpdeep.cs.uic.edu:8080/proofing/t5/523029-assessment-and-plan-2-0.pdf","t5/523029-assessment-and-plan-2-0.pdf")</f>
        <v/>
      </c>
      <c r="E1049" t="n">
        <v>120842</v>
      </c>
      <c r="F1049" t="n">
        <v>523029</v>
      </c>
      <c r="G1049" t="inlineStr">
        <is>
          <t>Physician</t>
        </is>
      </c>
      <c r="H1049" t="inlineStr">
        <is>
          <t>assessment-and-plan</t>
        </is>
      </c>
      <c r="I1049" t="inlineStr">
        <is>
          <t xml:space="preserve">
   # Hypertension.</t>
        </is>
      </c>
    </row>
    <row r="1050">
      <c r="A1050" t="inlineStr">
        <is>
          <t>523029-assessment-and-plan-2-0</t>
        </is>
      </c>
      <c r="B1050" t="inlineStr"/>
      <c r="C1050" t="inlineStr"/>
      <c r="D1050">
        <f>HYPERLINK("http://nlpdeep.cs.uic.edu:8080/proofing/gsii/523029-assessment-and-plan-2-0.pdf","gsii/523029-assessment-and-plan-2-0.pdf")</f>
        <v/>
      </c>
      <c r="E1050" t="n">
        <v>120842</v>
      </c>
      <c r="F1050" t="n">
        <v>523029</v>
      </c>
      <c r="G1050" t="inlineStr">
        <is>
          <t>Physician</t>
        </is>
      </c>
      <c r="H1050" t="inlineStr">
        <is>
          <t>assessment-and-plan</t>
        </is>
      </c>
      <c r="I1050" t="inlineStr">
        <is>
          <t xml:space="preserve">
   # Hypertension.</t>
        </is>
      </c>
    </row>
    <row r="1051">
      <c r="A1051" t="inlineStr">
        <is>
          <t>523029-assessment-and-plan-2-1</t>
        </is>
      </c>
      <c r="B1051" t="inlineStr"/>
      <c r="C1051" t="inlineStr"/>
      <c r="D1051">
        <f>HYPERLINK("http://nlpdeep.cs.uic.edu:8080/proofing/t5/523029-assessment-and-plan-2-1.pdf","t5/523029-assessment-and-plan-2-1.pdf")</f>
        <v/>
      </c>
      <c r="E1051" t="n">
        <v>120842</v>
      </c>
      <c r="F1051" t="n">
        <v>523029</v>
      </c>
      <c r="G1051" t="inlineStr">
        <is>
          <t>Physician</t>
        </is>
      </c>
      <c r="H1051" t="inlineStr">
        <is>
          <t>assessment-and-plan</t>
        </is>
      </c>
      <c r="I1051" t="inlineStr">
        <is>
          <t xml:space="preserve">
   - Captopril and HCTZ.</t>
        </is>
      </c>
    </row>
    <row r="1052">
      <c r="A1052" t="inlineStr">
        <is>
          <t>523029-assessment-and-plan-2-1</t>
        </is>
      </c>
      <c r="B1052" t="inlineStr"/>
      <c r="C1052" t="inlineStr"/>
      <c r="D1052">
        <f>HYPERLINK("http://nlpdeep.cs.uic.edu:8080/proofing/gsii/523029-assessment-and-plan-2-1.pdf","gsii/523029-assessment-and-plan-2-1.pdf")</f>
        <v/>
      </c>
      <c r="E1052" t="n">
        <v>120842</v>
      </c>
      <c r="F1052" t="n">
        <v>523029</v>
      </c>
      <c r="G1052" t="inlineStr">
        <is>
          <t>Physician</t>
        </is>
      </c>
      <c r="H1052" t="inlineStr">
        <is>
          <t>assessment-and-plan</t>
        </is>
      </c>
      <c r="I1052" t="inlineStr">
        <is>
          <t xml:space="preserve">
   - Captopril and HCTZ.</t>
        </is>
      </c>
    </row>
    <row r="1053">
      <c r="A1053" t="inlineStr">
        <is>
          <t>523029-assessment-and-plan-3-0</t>
        </is>
      </c>
      <c r="B1053" t="inlineStr"/>
      <c r="C1053" t="inlineStr"/>
      <c r="D1053">
        <f>HYPERLINK("http://nlpdeep.cs.uic.edu:8080/proofing/t5/523029-assessment-and-plan-3-0.pdf","t5/523029-assessment-and-plan-3-0.pdf")</f>
        <v/>
      </c>
      <c r="E1053" t="n">
        <v>120842</v>
      </c>
      <c r="F1053" t="n">
        <v>523029</v>
      </c>
      <c r="G1053" t="inlineStr">
        <is>
          <t>Physician</t>
        </is>
      </c>
      <c r="H1053" t="inlineStr">
        <is>
          <t>assessment-and-plan</t>
        </is>
      </c>
      <c r="I1053" t="inlineStr">
        <is>
          <t xml:space="preserve">
   # Anemia.</t>
        </is>
      </c>
    </row>
    <row r="1054">
      <c r="A1054" t="inlineStr">
        <is>
          <t>523029-assessment-and-plan-3-0</t>
        </is>
      </c>
      <c r="B1054" t="inlineStr"/>
      <c r="C1054" t="inlineStr"/>
      <c r="D1054">
        <f>HYPERLINK("http://nlpdeep.cs.uic.edu:8080/proofing/gsii/523029-assessment-and-plan-3-0.pdf","gsii/523029-assessment-and-plan-3-0.pdf")</f>
        <v/>
      </c>
      <c r="E1054" t="n">
        <v>120842</v>
      </c>
      <c r="F1054" t="n">
        <v>523029</v>
      </c>
      <c r="G1054" t="inlineStr">
        <is>
          <t>Physician</t>
        </is>
      </c>
      <c r="H1054" t="inlineStr">
        <is>
          <t>assessment-and-plan</t>
        </is>
      </c>
      <c r="I1054" t="inlineStr">
        <is>
          <t xml:space="preserve">
   # Anemia.</t>
        </is>
      </c>
    </row>
    <row r="1055">
      <c r="A1055" t="inlineStr">
        <is>
          <t>523029-assessment-and-plan-3-1</t>
        </is>
      </c>
      <c r="B1055" t="inlineStr"/>
      <c r="C1055" t="inlineStr"/>
      <c r="D1055">
        <f>HYPERLINK("http://nlpdeep.cs.uic.edu:8080/proofing/t5/523029-assessment-and-plan-3-1.pdf","t5/523029-assessment-and-plan-3-1.pdf")</f>
        <v/>
      </c>
      <c r="E1055" t="n">
        <v>120842</v>
      </c>
      <c r="F1055" t="n">
        <v>523029</v>
      </c>
      <c r="G1055" t="inlineStr">
        <is>
          <t>Physician</t>
        </is>
      </c>
      <c r="H1055" t="inlineStr">
        <is>
          <t>assessment-and-plan</t>
        </is>
      </c>
      <c r="I1055" t="inlineStr">
        <is>
          <t>More or less at baseline.</t>
        </is>
      </c>
    </row>
    <row r="1056">
      <c r="A1056" t="inlineStr">
        <is>
          <t>523029-assessment-and-plan-3-1</t>
        </is>
      </c>
      <c r="B1056" t="inlineStr"/>
      <c r="C1056" t="inlineStr"/>
      <c r="D1056">
        <f>HYPERLINK("http://nlpdeep.cs.uic.edu:8080/proofing/gsii/523029-assessment-and-plan-3-1.pdf","gsii/523029-assessment-and-plan-3-1.pdf")</f>
        <v/>
      </c>
      <c r="E1056" t="n">
        <v>120842</v>
      </c>
      <c r="F1056" t="n">
        <v>523029</v>
      </c>
      <c r="G1056" t="inlineStr">
        <is>
          <t>Physician</t>
        </is>
      </c>
      <c r="H1056" t="inlineStr">
        <is>
          <t>assessment-and-plan</t>
        </is>
      </c>
      <c r="I1056" t="inlineStr">
        <is>
          <t>More or less at baseline.</t>
        </is>
      </c>
    </row>
    <row r="1057">
      <c r="A1057" t="inlineStr">
        <is>
          <t>523029-assessment-and-plan-3-2</t>
        </is>
      </c>
      <c r="B1057" t="inlineStr"/>
      <c r="C1057" t="inlineStr"/>
      <c r="D1057">
        <f>HYPERLINK("http://nlpdeep.cs.uic.edu:8080/proofing/t5/523029-assessment-and-plan-3-2.pdf","t5/523029-assessment-and-plan-3-2.pdf")</f>
        <v/>
      </c>
      <c r="E1057" t="n">
        <v>120842</v>
      </c>
      <c r="F1057" t="n">
        <v>523029</v>
      </c>
      <c r="G1057" t="inlineStr">
        <is>
          <t>Physician</t>
        </is>
      </c>
      <c r="H1057" t="inlineStr">
        <is>
          <t>assessment-and-plan</t>
        </is>
      </c>
      <c r="I1057" t="inlineStr">
        <is>
          <t xml:space="preserve">
   - Monitor.</t>
        </is>
      </c>
    </row>
    <row r="1058">
      <c r="A1058" t="inlineStr">
        <is>
          <t>523029-assessment-and-plan-3-2</t>
        </is>
      </c>
      <c r="B1058" t="inlineStr"/>
      <c r="C1058" t="inlineStr"/>
      <c r="D1058">
        <f>HYPERLINK("http://nlpdeep.cs.uic.edu:8080/proofing/gsii/523029-assessment-and-plan-3-2.pdf","gsii/523029-assessment-and-plan-3-2.pdf")</f>
        <v/>
      </c>
      <c r="E1058" t="n">
        <v>120842</v>
      </c>
      <c r="F1058" t="n">
        <v>523029</v>
      </c>
      <c r="G1058" t="inlineStr">
        <is>
          <t>Physician</t>
        </is>
      </c>
      <c r="H1058" t="inlineStr">
        <is>
          <t>assessment-and-plan</t>
        </is>
      </c>
      <c r="I1058" t="inlineStr">
        <is>
          <t xml:space="preserve">
   - Monitor.</t>
        </is>
      </c>
    </row>
    <row r="1059">
      <c r="A1059" t="inlineStr">
        <is>
          <t>523029-assessment-and-plan-4-0</t>
        </is>
      </c>
      <c r="B1059" t="inlineStr"/>
      <c r="C1059" t="inlineStr"/>
      <c r="D1059">
        <f>HYPERLINK("http://nlpdeep.cs.uic.edu:8080/proofing/t5/523029-assessment-and-plan-4-0.pdf","t5/523029-assessment-and-plan-4-0.pdf")</f>
        <v/>
      </c>
      <c r="E1059" t="n">
        <v>120842</v>
      </c>
      <c r="F1059" t="n">
        <v>523029</v>
      </c>
      <c r="G1059" t="inlineStr">
        <is>
          <t>Physician</t>
        </is>
      </c>
      <c r="H1059" t="inlineStr">
        <is>
          <t>assessment-and-plan</t>
        </is>
      </c>
      <c r="I1059" t="inlineStr">
        <is>
          <t>FEN: No IVF, replete electrolytes, regular diet
   Prophylaxis: Subcutaneous heparin
   Access: peripherals
   20 Gauge - [**2153-4-8**] 09:30 P</t>
        </is>
      </c>
    </row>
    <row r="1060">
      <c r="A1060" t="inlineStr">
        <is>
          <t>523029-assessment-and-plan-4-0</t>
        </is>
      </c>
      <c r="B1060" t="inlineStr"/>
      <c r="C1060" t="inlineStr"/>
      <c r="D1060">
        <f>HYPERLINK("http://nlpdeep.cs.uic.edu:8080/proofing/gsii/523029-assessment-and-plan-4-0.pdf","gsii/523029-assessment-and-plan-4-0.pdf")</f>
        <v/>
      </c>
      <c r="E1060" t="n">
        <v>120842</v>
      </c>
      <c r="F1060" t="n">
        <v>523029</v>
      </c>
      <c r="G1060" t="inlineStr">
        <is>
          <t>Physician</t>
        </is>
      </c>
      <c r="H1060" t="inlineStr">
        <is>
          <t>assessment-and-plan</t>
        </is>
      </c>
      <c r="I1060" t="inlineStr">
        <is>
          <t>FEN: No IVF, replete electrolytes, regular diet
   Prophylaxis: Subcutaneous heparin
   Access: peripherals
   20 Gauge - [**2153-4-8**] 09:30 P</t>
        </is>
      </c>
    </row>
    <row r="1061">
      <c r="A1061" t="inlineStr">
        <is>
          <t>523029-code-status-0-0</t>
        </is>
      </c>
      <c r="B1061" t="inlineStr"/>
      <c r="C1061" t="inlineStr"/>
      <c r="D1061">
        <f>HYPERLINK("http://nlpdeep.cs.uic.edu:8080/proofing/t5/523029-code-status-0-0.pdf","t5/523029-code-status-0-0.pdf")</f>
        <v/>
      </c>
      <c r="E1061" t="n">
        <v>120842</v>
      </c>
      <c r="F1061" t="n">
        <v>523029</v>
      </c>
      <c r="G1061" t="inlineStr">
        <is>
          <t>Physician</t>
        </is>
      </c>
      <c r="H1061" t="inlineStr">
        <is>
          <t>code-status</t>
        </is>
      </c>
      <c r="I1061" t="inlineStr">
        <is>
          <t>Full (confirmed on admission)</t>
        </is>
      </c>
    </row>
    <row r="1062">
      <c r="A1062" t="inlineStr">
        <is>
          <t>523029-code-status-0-0</t>
        </is>
      </c>
      <c r="B1062" t="inlineStr"/>
      <c r="C1062" t="inlineStr"/>
      <c r="D1062">
        <f>HYPERLINK("http://nlpdeep.cs.uic.edu:8080/proofing/gsii/523029-code-status-0-0.pdf","gsii/523029-code-status-0-0.pdf")</f>
        <v/>
      </c>
      <c r="E1062" t="n">
        <v>120842</v>
      </c>
      <c r="F1062" t="n">
        <v>523029</v>
      </c>
      <c r="G1062" t="inlineStr">
        <is>
          <t>Physician</t>
        </is>
      </c>
      <c r="H1062" t="inlineStr">
        <is>
          <t>code-status</t>
        </is>
      </c>
      <c r="I1062" t="inlineStr">
        <is>
          <t>Full (confirmed on admission)</t>
        </is>
      </c>
    </row>
    <row r="1063">
      <c r="A1063" t="inlineStr">
        <is>
          <t>523029-communication-0-0</t>
        </is>
      </c>
      <c r="B1063" t="inlineStr"/>
      <c r="C1063" t="inlineStr"/>
      <c r="D1063">
        <f>HYPERLINK("http://nlpdeep.cs.uic.edu:8080/proofing/t5/523029-communication-0-0.pdf","t5/523029-communication-0-0.pdf")</f>
        <v/>
      </c>
      <c r="E1063" t="n">
        <v>120842</v>
      </c>
      <c r="F1063" t="n">
        <v>523029</v>
      </c>
      <c r="G1063" t="inlineStr">
        <is>
          <t>Physician</t>
        </is>
      </c>
      <c r="H1063" t="inlineStr">
        <is>
          <t>communication</t>
        </is>
      </c>
      <c r="I1063" t="inlineStr">
        <is>
          <t>P</t>
        </is>
      </c>
    </row>
    <row r="1064">
      <c r="A1064" t="inlineStr">
        <is>
          <t>523029-communication-0-0</t>
        </is>
      </c>
      <c r="B1064" t="inlineStr"/>
      <c r="C1064" t="inlineStr"/>
      <c r="D1064">
        <f>HYPERLINK("http://nlpdeep.cs.uic.edu:8080/proofing/gsii/523029-communication-0-0.pdf","gsii/523029-communication-0-0.pdf")</f>
        <v/>
      </c>
      <c r="E1064" t="n">
        <v>120842</v>
      </c>
      <c r="F1064" t="n">
        <v>523029</v>
      </c>
      <c r="G1064" t="inlineStr">
        <is>
          <t>Physician</t>
        </is>
      </c>
      <c r="H1064" t="inlineStr">
        <is>
          <t>communication</t>
        </is>
      </c>
      <c r="I1064" t="inlineStr">
        <is>
          <t>P</t>
        </is>
      </c>
    </row>
    <row r="1065">
      <c r="A1065" t="inlineStr">
        <is>
          <t>523029-disposition-0-0</t>
        </is>
      </c>
      <c r="B1065" t="inlineStr"/>
      <c r="C1065" t="inlineStr"/>
      <c r="D1065">
        <f>HYPERLINK("http://nlpdeep.cs.uic.edu:8080/proofing/t5/523029-disposition-0-0.pdf","t5/523029-disposition-0-0.pdf")</f>
        <v/>
      </c>
      <c r="E1065" t="n">
        <v>120842</v>
      </c>
      <c r="F1065" t="n">
        <v>523029</v>
      </c>
      <c r="G1065" t="inlineStr">
        <is>
          <t>Physician</t>
        </is>
      </c>
      <c r="H1065" t="inlineStr">
        <is>
          <t>disposition</t>
        </is>
      </c>
      <c r="I1065" t="inlineStr">
        <is>
          <t>call out?</t>
        </is>
      </c>
    </row>
    <row r="1066">
      <c r="A1066" t="inlineStr">
        <is>
          <t>523029-disposition-0-0</t>
        </is>
      </c>
      <c r="B1066" t="inlineStr"/>
      <c r="C1066" t="inlineStr"/>
      <c r="D1066">
        <f>HYPERLINK("http://nlpdeep.cs.uic.edu:8080/proofing/gsii/523029-disposition-0-0.pdf","gsii/523029-disposition-0-0.pdf")</f>
        <v/>
      </c>
      <c r="E1066" t="n">
        <v>120842</v>
      </c>
      <c r="F1066" t="n">
        <v>523029</v>
      </c>
      <c r="G1066" t="inlineStr">
        <is>
          <t>Physician</t>
        </is>
      </c>
      <c r="H1066" t="inlineStr">
        <is>
          <t>disposition</t>
        </is>
      </c>
      <c r="I1066" t="inlineStr">
        <is>
          <t>call out?</t>
        </is>
      </c>
    </row>
    <row r="1067">
      <c r="A1067" t="inlineStr">
        <is>
          <t>1124097-reason-0-0</t>
        </is>
      </c>
      <c r="B1067" t="inlineStr"/>
      <c r="C1067" t="inlineStr"/>
      <c r="D1067">
        <f>HYPERLINK("http://nlpdeep.cs.uic.edu:8080/proofing/t5/1124097-reason-0-0.pdf","t5/1124097-reason-0-0.pdf")</f>
        <v/>
      </c>
      <c r="E1067" t="n">
        <v>120842</v>
      </c>
      <c r="F1067" t="n">
        <v>1124097</v>
      </c>
      <c r="G1067" t="inlineStr">
        <is>
          <t>Radiology</t>
        </is>
      </c>
      <c r="H1067" t="inlineStr">
        <is>
          <t>reason</t>
        </is>
      </c>
      <c r="I1067" t="inlineStr">
        <is>
          <t>please eval for evolving infiltrate or f</t>
        </is>
      </c>
    </row>
    <row r="1068">
      <c r="A1068" t="inlineStr">
        <is>
          <t>1124097-reason-0-0</t>
        </is>
      </c>
      <c r="B1068" t="inlineStr"/>
      <c r="C1068" t="inlineStr"/>
      <c r="D1068">
        <f>HYPERLINK("http://nlpdeep.cs.uic.edu:8080/proofing/gsii/1124097-reason-0-0.pdf","gsii/1124097-reason-0-0.pdf")</f>
        <v/>
      </c>
      <c r="E1068" t="n">
        <v>120842</v>
      </c>
      <c r="F1068" t="n">
        <v>1124097</v>
      </c>
      <c r="G1068" t="inlineStr">
        <is>
          <t>Radiology</t>
        </is>
      </c>
      <c r="H1068" t="inlineStr">
        <is>
          <t>reason</t>
        </is>
      </c>
      <c r="I1068" t="inlineStr">
        <is>
          <t>please eval for evolving infiltrate or f</t>
        </is>
      </c>
    </row>
    <row r="1069">
      <c r="A1069" t="inlineStr">
        <is>
          <t>1124097-medical-condition-0-0</t>
        </is>
      </c>
      <c r="B1069" t="inlineStr"/>
      <c r="C1069" t="inlineStr"/>
      <c r="D1069">
        <f>HYPERLINK("http://nlpdeep.cs.uic.edu:8080/proofing/t5/1124097-medical-condition-0-0.pdf","t5/1124097-medical-condition-0-0.pdf")</f>
        <v/>
      </c>
      <c r="E1069" t="n">
        <v>120842</v>
      </c>
      <c r="F1069" t="n">
        <v>1124097</v>
      </c>
      <c r="G1069" t="inlineStr">
        <is>
          <t>Radiology</t>
        </is>
      </c>
      <c r="H1069" t="inlineStr">
        <is>
          <t>medical-condition</t>
        </is>
      </c>
      <c r="I1069" t="inlineStr">
        <is>
          <t>73 year old woman with hx COPD, CHF, and PNA, with no improvement in cough/SOB
  despite days of t</t>
        </is>
      </c>
    </row>
    <row r="1070">
      <c r="A1070" t="inlineStr">
        <is>
          <t>1124097-medical-condition-0-0</t>
        </is>
      </c>
      <c r="B1070" t="inlineStr"/>
      <c r="C1070" t="inlineStr"/>
      <c r="D1070">
        <f>HYPERLINK("http://nlpdeep.cs.uic.edu:8080/proofing/gsii/1124097-medical-condition-0-0.pdf","gsii/1124097-medical-condition-0-0.pdf")</f>
        <v/>
      </c>
      <c r="E1070" t="n">
        <v>120842</v>
      </c>
      <c r="F1070" t="n">
        <v>1124097</v>
      </c>
      <c r="G1070" t="inlineStr">
        <is>
          <t>Radiology</t>
        </is>
      </c>
      <c r="H1070" t="inlineStr">
        <is>
          <t>medical-condition</t>
        </is>
      </c>
      <c r="I1070" t="inlineStr">
        <is>
          <t>73 year old woman with hx COPD, CHF, and PNA, with no improvement in cough/SOB
  despite days of t</t>
        </is>
      </c>
    </row>
    <row r="1071">
      <c r="A1071" t="inlineStr">
        <is>
          <t>1124097-indication-0-0</t>
        </is>
      </c>
      <c r="B1071" t="inlineStr"/>
      <c r="C1071" t="inlineStr"/>
      <c r="D1071">
        <f>HYPERLINK("http://nlpdeep.cs.uic.edu:8080/proofing/t5/1124097-indication-0-0.pdf","t5/1124097-indication-0-0.pdf")</f>
        <v/>
      </c>
      <c r="E1071" t="n">
        <v>120842</v>
      </c>
      <c r="F1071" t="n">
        <v>1124097</v>
      </c>
      <c r="G1071" t="inlineStr">
        <is>
          <t>Radiology</t>
        </is>
      </c>
      <c r="H1071" t="inlineStr">
        <is>
          <t>indication</t>
        </is>
      </c>
      <c r="I1071" t="inlineStr">
        <is>
          <t>73-year-old woman with history of COPD, CHF and pneumonia with no
 improvement in cough despite days of treatment.</t>
        </is>
      </c>
    </row>
    <row r="1072">
      <c r="A1072" t="inlineStr">
        <is>
          <t>1124097-indication-0-0</t>
        </is>
      </c>
      <c r="B1072" t="inlineStr"/>
      <c r="C1072" t="inlineStr"/>
      <c r="D1072">
        <f>HYPERLINK("http://nlpdeep.cs.uic.edu:8080/proofing/gsii/1124097-indication-0-0.pdf","gsii/1124097-indication-0-0.pdf")</f>
        <v/>
      </c>
      <c r="E1072" t="n">
        <v>120842</v>
      </c>
      <c r="F1072" t="n">
        <v>1124097</v>
      </c>
      <c r="G1072" t="inlineStr">
        <is>
          <t>Radiology</t>
        </is>
      </c>
      <c r="H1072" t="inlineStr">
        <is>
          <t>indication</t>
        </is>
      </c>
      <c r="I1072" t="inlineStr">
        <is>
          <t>73-year-old woman with history of COPD, CHF and pneumonia with no
 improvement in cough despite days of treatment.</t>
        </is>
      </c>
    </row>
    <row r="1073">
      <c r="A1073" t="inlineStr">
        <is>
          <t>1124097-comparison-0-0</t>
        </is>
      </c>
      <c r="B1073" t="inlineStr"/>
      <c r="C1073" t="inlineStr"/>
      <c r="D1073">
        <f>HYPERLINK("http://nlpdeep.cs.uic.edu:8080/proofing/t5/1124097-comparison-0-0.pdf","t5/1124097-comparison-0-0.pdf")</f>
        <v/>
      </c>
      <c r="E1073" t="n">
        <v>120842</v>
      </c>
      <c r="F1073" t="n">
        <v>1124097</v>
      </c>
      <c r="G1073" t="inlineStr">
        <is>
          <t>Radiology</t>
        </is>
      </c>
      <c r="H1073" t="inlineStr">
        <is>
          <t>comparison</t>
        </is>
      </c>
      <c r="I1073" t="inlineStr">
        <is>
          <t>Chest x-ray from [**2153-4-8**].</t>
        </is>
      </c>
    </row>
    <row r="1074">
      <c r="A1074" t="inlineStr">
        <is>
          <t>1124097-comparison-0-0</t>
        </is>
      </c>
      <c r="B1074" t="inlineStr"/>
      <c r="C1074" t="inlineStr"/>
      <c r="D1074">
        <f>HYPERLINK("http://nlpdeep.cs.uic.edu:8080/proofing/gsii/1124097-comparison-0-0.pdf","gsii/1124097-comparison-0-0.pdf")</f>
        <v/>
      </c>
      <c r="E1074" t="n">
        <v>120842</v>
      </c>
      <c r="F1074" t="n">
        <v>1124097</v>
      </c>
      <c r="G1074" t="inlineStr">
        <is>
          <t>Radiology</t>
        </is>
      </c>
      <c r="H1074" t="inlineStr">
        <is>
          <t>comparison</t>
        </is>
      </c>
      <c r="I1074" t="inlineStr">
        <is>
          <t>Chest x-ray from [**2153-4-8**].</t>
        </is>
      </c>
    </row>
    <row r="1075">
      <c r="A1075" t="inlineStr">
        <is>
          <t>1124097-findings-0-0</t>
        </is>
      </c>
      <c r="B1075" t="inlineStr"/>
      <c r="C1075" t="inlineStr"/>
      <c r="D1075">
        <f>HYPERLINK("http://nlpdeep.cs.uic.edu:8080/proofing/t5/1124097-findings-0-0.pdf","t5/1124097-findings-0-0.pdf")</f>
        <v/>
      </c>
      <c r="E1075" t="n">
        <v>120842</v>
      </c>
      <c r="F1075" t="n">
        <v>1124097</v>
      </c>
      <c r="G1075" t="inlineStr">
        <is>
          <t>Radiology</t>
        </is>
      </c>
      <c r="H1075" t="inlineStr">
        <is>
          <t>findings</t>
        </is>
      </c>
      <c r="I1075" t="inlineStr">
        <is>
          <t>The lungs are hyperexpanded consistent with known COPD.</t>
        </is>
      </c>
    </row>
    <row r="1076">
      <c r="A1076" t="inlineStr">
        <is>
          <t>1124097-findings-0-0</t>
        </is>
      </c>
      <c r="B1076" t="inlineStr"/>
      <c r="C1076" t="inlineStr"/>
      <c r="D1076">
        <f>HYPERLINK("http://nlpdeep.cs.uic.edu:8080/proofing/gsii/1124097-findings-0-0.pdf","gsii/1124097-findings-0-0.pdf")</f>
        <v/>
      </c>
      <c r="E1076" t="n">
        <v>120842</v>
      </c>
      <c r="F1076" t="n">
        <v>1124097</v>
      </c>
      <c r="G1076" t="inlineStr">
        <is>
          <t>Radiology</t>
        </is>
      </c>
      <c r="H1076" t="inlineStr">
        <is>
          <t>findings</t>
        </is>
      </c>
      <c r="I1076" t="inlineStr">
        <is>
          <t>The lungs are hyperexpanded consistent with known COPD.</t>
        </is>
      </c>
    </row>
    <row r="1077">
      <c r="A1077" t="inlineStr">
        <is>
          <t>1124097-findings-0-1</t>
        </is>
      </c>
      <c r="B1077" t="inlineStr"/>
      <c r="C1077" t="inlineStr"/>
      <c r="D1077">
        <f>HYPERLINK("http://nlpdeep.cs.uic.edu:8080/proofing/t5/1124097-findings-0-1.pdf","t5/1124097-findings-0-1.pdf")</f>
        <v/>
      </c>
      <c r="E1077" t="n">
        <v>120842</v>
      </c>
      <c r="F1077" t="n">
        <v>1124097</v>
      </c>
      <c r="G1077" t="inlineStr">
        <is>
          <t>Radiology</t>
        </is>
      </c>
      <c r="H1077" t="inlineStr">
        <is>
          <t>findings</t>
        </is>
      </c>
      <c r="I1077" t="inlineStr">
        <is>
          <t xml:space="preserve"> The parenchyma shows
 no focal opacities concerning for a pneumonia.</t>
        </is>
      </c>
    </row>
    <row r="1078">
      <c r="A1078" t="inlineStr">
        <is>
          <t>1124097-findings-0-1</t>
        </is>
      </c>
      <c r="B1078" t="inlineStr"/>
      <c r="C1078" t="inlineStr"/>
      <c r="D1078">
        <f>HYPERLINK("http://nlpdeep.cs.uic.edu:8080/proofing/gsii/1124097-findings-0-1.pdf","gsii/1124097-findings-0-1.pdf")</f>
        <v/>
      </c>
      <c r="E1078" t="n">
        <v>120842</v>
      </c>
      <c r="F1078" t="n">
        <v>1124097</v>
      </c>
      <c r="G1078" t="inlineStr">
        <is>
          <t>Radiology</t>
        </is>
      </c>
      <c r="H1078" t="inlineStr">
        <is>
          <t>findings</t>
        </is>
      </c>
      <c r="I1078" t="inlineStr">
        <is>
          <t xml:space="preserve"> The parenchyma shows
 no focal opacities concerning for a pneumonia.</t>
        </is>
      </c>
    </row>
    <row r="1079">
      <c r="A1079" t="inlineStr">
        <is>
          <t>1124097-findings-0-2</t>
        </is>
      </c>
      <c r="B1079" t="inlineStr"/>
      <c r="C1079" t="inlineStr"/>
      <c r="D1079">
        <f>HYPERLINK("http://nlpdeep.cs.uic.edu:8080/proofing/t5/1124097-findings-0-2.pdf","t5/1124097-findings-0-2.pdf")</f>
        <v/>
      </c>
      <c r="E1079" t="n">
        <v>120842</v>
      </c>
      <c r="F1079" t="n">
        <v>1124097</v>
      </c>
      <c r="G1079" t="inlineStr">
        <is>
          <t>Radiology</t>
        </is>
      </c>
      <c r="H1079" t="inlineStr">
        <is>
          <t>findings</t>
        </is>
      </c>
      <c r="I1079" t="inlineStr">
        <is>
          <t xml:space="preserve"> The cardiac silhouette is top
 normal.</t>
        </is>
      </c>
    </row>
    <row r="1080">
      <c r="A1080" t="inlineStr">
        <is>
          <t>1124097-findings-0-2</t>
        </is>
      </c>
      <c r="B1080" t="inlineStr"/>
      <c r="C1080" t="inlineStr"/>
      <c r="D1080">
        <f>HYPERLINK("http://nlpdeep.cs.uic.edu:8080/proofing/gsii/1124097-findings-0-2.pdf","gsii/1124097-findings-0-2.pdf")</f>
        <v/>
      </c>
      <c r="E1080" t="n">
        <v>120842</v>
      </c>
      <c r="F1080" t="n">
        <v>1124097</v>
      </c>
      <c r="G1080" t="inlineStr">
        <is>
          <t>Radiology</t>
        </is>
      </c>
      <c r="H1080" t="inlineStr">
        <is>
          <t>findings</t>
        </is>
      </c>
      <c r="I1080" t="inlineStr">
        <is>
          <t xml:space="preserve"> The cardiac silhouette is top
 normal.</t>
        </is>
      </c>
    </row>
    <row r="1081">
      <c r="A1081" t="inlineStr">
        <is>
          <t>1124097-findings-0-3</t>
        </is>
      </c>
      <c r="B1081" t="inlineStr"/>
      <c r="C1081" t="inlineStr"/>
      <c r="D1081">
        <f>HYPERLINK("http://nlpdeep.cs.uic.edu:8080/proofing/t5/1124097-findings-0-3.pdf","t5/1124097-findings-0-3.pdf")</f>
        <v/>
      </c>
      <c r="E1081" t="n">
        <v>120842</v>
      </c>
      <c r="F1081" t="n">
        <v>1124097</v>
      </c>
      <c r="G1081" t="inlineStr">
        <is>
          <t>Radiology</t>
        </is>
      </c>
      <c r="H1081" t="inlineStr">
        <is>
          <t>findings</t>
        </is>
      </c>
      <c r="I1081" t="inlineStr">
        <is>
          <t xml:space="preserve"> The mediastinal silhouette, hilar contours, and pleural surfaces are
 normal.</t>
        </is>
      </c>
    </row>
    <row r="1082">
      <c r="A1082" t="inlineStr">
        <is>
          <t>1124097-findings-0-3</t>
        </is>
      </c>
      <c r="B1082" t="inlineStr"/>
      <c r="C1082" t="inlineStr"/>
      <c r="D1082">
        <f>HYPERLINK("http://nlpdeep.cs.uic.edu:8080/proofing/gsii/1124097-findings-0-3.pdf","gsii/1124097-findings-0-3.pdf")</f>
        <v/>
      </c>
      <c r="E1082" t="n">
        <v>120842</v>
      </c>
      <c r="F1082" t="n">
        <v>1124097</v>
      </c>
      <c r="G1082" t="inlineStr">
        <is>
          <t>Radiology</t>
        </is>
      </c>
      <c r="H1082" t="inlineStr">
        <is>
          <t>findings</t>
        </is>
      </c>
      <c r="I1082" t="inlineStr">
        <is>
          <t xml:space="preserve"> The mediastinal silhouette, hilar contours, and pleural surfaces are
 normal.</t>
        </is>
      </c>
    </row>
    <row r="1083">
      <c r="A1083" t="inlineStr">
        <is>
          <t>1124097-impression-0-0</t>
        </is>
      </c>
      <c r="B1083" t="inlineStr"/>
      <c r="C1083" t="inlineStr"/>
      <c r="D1083">
        <f>HYPERLINK("http://nlpdeep.cs.uic.edu:8080/proofing/t5/1124097-impression-0-0.pdf","t5/1124097-impression-0-0.pdf")</f>
        <v/>
      </c>
      <c r="E1083" t="n">
        <v>120842</v>
      </c>
      <c r="F1083" t="n">
        <v>1124097</v>
      </c>
      <c r="G1083" t="inlineStr">
        <is>
          <t>Radiology</t>
        </is>
      </c>
      <c r="H1083" t="inlineStr">
        <is>
          <t>impression</t>
        </is>
      </c>
      <c r="I1083" t="inlineStr">
        <is>
          <t>Hyperinflated lungs, otherwise no acute abnormality.</t>
        </is>
      </c>
    </row>
    <row r="1084">
      <c r="A1084" t="inlineStr">
        <is>
          <t>1124097-impression-0-0</t>
        </is>
      </c>
      <c r="B1084" t="inlineStr"/>
      <c r="C1084" t="inlineStr"/>
      <c r="D1084">
        <f>HYPERLINK("http://nlpdeep.cs.uic.edu:8080/proofing/gsii/1124097-impression-0-0.pdf","gsii/1124097-impression-0-0.pdf")</f>
        <v/>
      </c>
      <c r="E1084" t="n">
        <v>120842</v>
      </c>
      <c r="F1084" t="n">
        <v>1124097</v>
      </c>
      <c r="G1084" t="inlineStr">
        <is>
          <t>Radiology</t>
        </is>
      </c>
      <c r="H1084" t="inlineStr">
        <is>
          <t>impression</t>
        </is>
      </c>
      <c r="I1084" t="inlineStr">
        <is>
          <t>Hyperinflated lungs, otherwise no acute abnormality.</t>
        </is>
      </c>
    </row>
    <row r="1085">
      <c r="A1085" t="inlineStr">
        <is>
          <t>1124097-image-type-0-0</t>
        </is>
      </c>
      <c r="B1085" t="inlineStr"/>
      <c r="C1085" t="inlineStr"/>
      <c r="D1085">
        <f>HYPERLINK("http://nlpdeep.cs.uic.edu:8080/proofing/t5/1124097-image-type-0-0.pdf","t5/1124097-image-type-0-0.pdf")</f>
        <v/>
      </c>
      <c r="E1085" t="n">
        <v>120842</v>
      </c>
      <c r="F1085" t="n">
        <v>1124097</v>
      </c>
      <c r="G1085" t="inlineStr">
        <is>
          <t>Radiology</t>
        </is>
      </c>
      <c r="H1085" t="inlineStr">
        <is>
          <t>image-type</t>
        </is>
      </c>
      <c r="I1085" t="inlineStr">
        <is>
          <t>RADIOGRAPH:</t>
        </is>
      </c>
    </row>
    <row r="1086">
      <c r="A1086" t="inlineStr">
        <is>
          <t>1124097-image-type-0-0</t>
        </is>
      </c>
      <c r="B1086" t="inlineStr"/>
      <c r="C1086" t="inlineStr"/>
      <c r="D1086">
        <f>HYPERLINK("http://nlpdeep.cs.uic.edu:8080/proofing/gsii/1124097-image-type-0-0.pdf","gsii/1124097-image-type-0-0.pdf")</f>
        <v/>
      </c>
      <c r="E1086" t="n">
        <v>120842</v>
      </c>
      <c r="F1086" t="n">
        <v>1124097</v>
      </c>
      <c r="G1086" t="inlineStr">
        <is>
          <t>Radiology</t>
        </is>
      </c>
      <c r="H1086" t="inlineStr">
        <is>
          <t>image-type</t>
        </is>
      </c>
      <c r="I1086" t="inlineStr">
        <is>
          <t>RADIOGRAPH:</t>
        </is>
      </c>
    </row>
    <row r="1087">
      <c r="A1087" t="inlineStr">
        <is>
          <t>523175-reason-0-0</t>
        </is>
      </c>
      <c r="B1087" t="inlineStr"/>
      <c r="C1087" t="inlineStr"/>
      <c r="D1087">
        <f>HYPERLINK("http://nlpdeep.cs.uic.edu:8080/proofing/t5/523175-reason-0-0.pdf","t5/523175-reason-0-0.pdf")</f>
        <v/>
      </c>
      <c r="E1087" t="n">
        <v>120842</v>
      </c>
      <c r="F1087" t="n">
        <v>523175</v>
      </c>
      <c r="G1087" t="inlineStr">
        <is>
          <t>Consult</t>
        </is>
      </c>
      <c r="H1087" t="inlineStr">
        <is>
          <t>reason</t>
        </is>
      </c>
      <c r="I1087" t="inlineStr">
        <is>
          <t>?AVNRT vs A</t>
        </is>
      </c>
    </row>
    <row r="1088">
      <c r="A1088" t="inlineStr">
        <is>
          <t>523175-reason-0-0</t>
        </is>
      </c>
      <c r="B1088" t="inlineStr"/>
      <c r="C1088" t="inlineStr"/>
      <c r="D1088">
        <f>HYPERLINK("http://nlpdeep.cs.uic.edu:8080/proofing/gsii/523175-reason-0-0.pdf","gsii/523175-reason-0-0.pdf")</f>
        <v/>
      </c>
      <c r="E1088" t="n">
        <v>120842</v>
      </c>
      <c r="F1088" t="n">
        <v>523175</v>
      </c>
      <c r="G1088" t="inlineStr">
        <is>
          <t>Consult</t>
        </is>
      </c>
      <c r="H1088" t="inlineStr">
        <is>
          <t>reason</t>
        </is>
      </c>
      <c r="I1088" t="inlineStr">
        <is>
          <t>?AVNRT vs A</t>
        </is>
      </c>
    </row>
    <row r="1089">
      <c r="A1089" t="inlineStr">
        <is>
          <t>523175-history-of-present-illness-0-0</t>
        </is>
      </c>
      <c r="B1089" t="inlineStr"/>
      <c r="C1089" t="inlineStr"/>
      <c r="D1089">
        <f>HYPERLINK("http://nlpdeep.cs.uic.edu:8080/proofing/t5/523175-history-of-present-illness-0-0.pdf","t5/523175-history-of-present-illness-0-0.pdf")</f>
        <v/>
      </c>
      <c r="E1089" t="n">
        <v>120842</v>
      </c>
      <c r="F1089" t="n">
        <v>523175</v>
      </c>
      <c r="G1089" t="inlineStr">
        <is>
          <t>Consult</t>
        </is>
      </c>
      <c r="H1089" t="inlineStr">
        <is>
          <t>history-of-present-illness</t>
        </is>
      </c>
      <c r="I1089" t="inlineStr">
        <is>
          <t>73 yo Spanish speaking F with COPD on home O2, diastolic CHF, right TKR
   one month ago who presented to the ED with shortness of breath.</t>
        </is>
      </c>
    </row>
    <row r="1090">
      <c r="A1090" t="inlineStr">
        <is>
          <t>523175-history-of-present-illness-0-0</t>
        </is>
      </c>
      <c r="B1090" t="inlineStr"/>
      <c r="C1090" t="inlineStr"/>
      <c r="D1090">
        <f>HYPERLINK("http://nlpdeep.cs.uic.edu:8080/proofing/gsii/523175-history-of-present-illness-0-0.pdf","gsii/523175-history-of-present-illness-0-0.pdf")</f>
        <v/>
      </c>
      <c r="E1090" t="n">
        <v>120842</v>
      </c>
      <c r="F1090" t="n">
        <v>523175</v>
      </c>
      <c r="G1090" t="inlineStr">
        <is>
          <t>Consult</t>
        </is>
      </c>
      <c r="H1090" t="inlineStr">
        <is>
          <t>history-of-present-illness</t>
        </is>
      </c>
      <c r="I1090" t="inlineStr">
        <is>
          <t>73 yo Spanish speaking F with COPD on home O2, diastolic CHF, right TKR
   one month ago who presented to the ED with shortness of breath.</t>
        </is>
      </c>
    </row>
    <row r="1091">
      <c r="A1091" t="inlineStr">
        <is>
          <t>523175-history-of-present-illness-0-1</t>
        </is>
      </c>
      <c r="B1091" t="inlineStr"/>
      <c r="C1091" t="inlineStr"/>
      <c r="D1091">
        <f>HYPERLINK("http://nlpdeep.cs.uic.edu:8080/proofing/t5/523175-history-of-present-illness-0-1.pdf","t5/523175-history-of-present-illness-0-1.pdf")</f>
        <v/>
      </c>
      <c r="E1091" t="n">
        <v>120842</v>
      </c>
      <c r="F1091" t="n">
        <v>523175</v>
      </c>
      <c r="G1091" t="inlineStr">
        <is>
          <t>Consult</t>
        </is>
      </c>
      <c r="H1091" t="inlineStr">
        <is>
          <t>history-of-present-illness</t>
        </is>
      </c>
      <c r="I1091" t="inlineStr">
        <is>
          <t>In the
   ED she had an episode of SVT (of which she had another episode as
   recently [**3-26**] in the ED, broken with adenosine) that broke with high
   flow oxygen therapy alone.</t>
        </is>
      </c>
    </row>
    <row r="1092">
      <c r="A1092" t="inlineStr">
        <is>
          <t>523175-history-of-present-illness-0-1</t>
        </is>
      </c>
      <c r="B1092" t="inlineStr"/>
      <c r="C1092" t="inlineStr"/>
      <c r="D1092">
        <f>HYPERLINK("http://nlpdeep.cs.uic.edu:8080/proofing/gsii/523175-history-of-present-illness-0-1.pdf","gsii/523175-history-of-present-illness-0-1.pdf")</f>
        <v/>
      </c>
      <c r="E1092" t="n">
        <v>120842</v>
      </c>
      <c r="F1092" t="n">
        <v>523175</v>
      </c>
      <c r="G1092" t="inlineStr">
        <is>
          <t>Consult</t>
        </is>
      </c>
      <c r="H1092" t="inlineStr">
        <is>
          <t>history-of-present-illness</t>
        </is>
      </c>
      <c r="I1092" t="inlineStr">
        <is>
          <t>In the
   ED she had an episode of SVT (of which she had another episode as
   recently [**3-26**] in the ED, broken with adenosine) that broke with high
   flow oxygen therapy alone.</t>
        </is>
      </c>
    </row>
    <row r="1093">
      <c r="A1093" t="inlineStr">
        <is>
          <t>523175-history-of-present-illness-0-2</t>
        </is>
      </c>
      <c r="B1093" t="inlineStr"/>
      <c r="C1093" t="inlineStr"/>
      <c r="D1093">
        <f>HYPERLINK("http://nlpdeep.cs.uic.edu:8080/proofing/t5/523175-history-of-present-illness-0-2.pdf","t5/523175-history-of-present-illness-0-2.pdf")</f>
        <v/>
      </c>
      <c r="E1093" t="n">
        <v>120842</v>
      </c>
      <c r="F1093" t="n">
        <v>523175</v>
      </c>
      <c r="G1093" t="inlineStr">
        <is>
          <t>Consult</t>
        </is>
      </c>
      <c r="H1093" t="inlineStr">
        <is>
          <t>history-of-present-illness</t>
        </is>
      </c>
      <c r="I1093" t="inlineStr">
        <is>
          <t>She was initially admitted to the MICU where
   she had another episode of SVT that also broke with O2 therapy.</t>
        </is>
      </c>
    </row>
    <row r="1094">
      <c r="A1094" t="inlineStr">
        <is>
          <t>523175-history-of-present-illness-0-2</t>
        </is>
      </c>
      <c r="B1094" t="inlineStr"/>
      <c r="C1094" t="inlineStr"/>
      <c r="D1094">
        <f>HYPERLINK("http://nlpdeep.cs.uic.edu:8080/proofing/gsii/523175-history-of-present-illness-0-2.pdf","gsii/523175-history-of-present-illness-0-2.pdf")</f>
        <v/>
      </c>
      <c r="E1094" t="n">
        <v>120842</v>
      </c>
      <c r="F1094" t="n">
        <v>523175</v>
      </c>
      <c r="G1094" t="inlineStr">
        <is>
          <t>Consult</t>
        </is>
      </c>
      <c r="H1094" t="inlineStr">
        <is>
          <t>history-of-present-illness</t>
        </is>
      </c>
      <c r="I1094" t="inlineStr">
        <is>
          <t>She was initially admitted to the MICU where
   she had another episode of SVT that also broke with O2 therapy.</t>
        </is>
      </c>
    </row>
    <row r="1095">
      <c r="A1095" t="inlineStr">
        <is>
          <t>523175-history-of-present-illness-0-3</t>
        </is>
      </c>
      <c r="B1095" t="inlineStr"/>
      <c r="C1095" t="inlineStr"/>
      <c r="D1095">
        <f>HYPERLINK("http://nlpdeep.cs.uic.edu:8080/proofing/t5/523175-history-of-present-illness-0-3.pdf","t5/523175-history-of-present-illness-0-3.pdf")</f>
        <v/>
      </c>
      <c r="E1095" t="n">
        <v>120842</v>
      </c>
      <c r="F1095" t="n">
        <v>523175</v>
      </c>
      <c r="G1095" t="inlineStr">
        <is>
          <t>Consult</t>
        </is>
      </c>
      <c r="H1095" t="inlineStr">
        <is>
          <t>history-of-present-illness</t>
        </is>
      </c>
      <c r="I1095" t="inlineStr">
        <is>
          <t xml:space="preserve">
   [**Hospital **] transfered to the floor but again had an episode of SVT to
   120's and respiratory distress and transfered back to the MICU.</t>
        </is>
      </c>
    </row>
    <row r="1096">
      <c r="A1096" t="inlineStr">
        <is>
          <t>523175-history-of-present-illness-0-3</t>
        </is>
      </c>
      <c r="B1096" t="inlineStr"/>
      <c r="C1096" t="inlineStr"/>
      <c r="D1096">
        <f>HYPERLINK("http://nlpdeep.cs.uic.edu:8080/proofing/gsii/523175-history-of-present-illness-0-3.pdf","gsii/523175-history-of-present-illness-0-3.pdf")</f>
        <v/>
      </c>
      <c r="E1096" t="n">
        <v>120842</v>
      </c>
      <c r="F1096" t="n">
        <v>523175</v>
      </c>
      <c r="G1096" t="inlineStr">
        <is>
          <t>Consult</t>
        </is>
      </c>
      <c r="H1096" t="inlineStr">
        <is>
          <t>history-of-present-illness</t>
        </is>
      </c>
      <c r="I1096" t="inlineStr">
        <is>
          <t xml:space="preserve">
   [**Hospital **] transfered to the floor but again had an episode of SVT to
   120's and respiratory distress and transfered back to the MICU.</t>
        </is>
      </c>
    </row>
    <row r="1097">
      <c r="A1097" t="inlineStr">
        <is>
          <t>523175-history-of-present-illness-0-4</t>
        </is>
      </c>
      <c r="B1097" t="inlineStr"/>
      <c r="C1097" t="inlineStr"/>
      <c r="D1097">
        <f>HYPERLINK("http://nlpdeep.cs.uic.edu:8080/proofing/t5/523175-history-of-present-illness-0-4.pdf","t5/523175-history-of-present-illness-0-4.pdf")</f>
        <v/>
      </c>
      <c r="E1097" t="n">
        <v>120842</v>
      </c>
      <c r="F1097" t="n">
        <v>523175</v>
      </c>
      <c r="G1097" t="inlineStr">
        <is>
          <t>Consult</t>
        </is>
      </c>
      <c r="H1097" t="inlineStr">
        <is>
          <t>history-of-present-illness</t>
        </is>
      </c>
      <c r="I1097" t="inlineStr">
        <is>
          <t>In the
   MICU she was noted to have this episoded of SVT in the setting of cough
   spells despite having started diltiazem 30 mg PO QID on [**2153-4-8**].</t>
        </is>
      </c>
    </row>
    <row r="1098">
      <c r="A1098" t="inlineStr">
        <is>
          <t>523175-history-of-present-illness-0-4</t>
        </is>
      </c>
      <c r="B1098" t="inlineStr"/>
      <c r="C1098" t="inlineStr"/>
      <c r="D1098">
        <f>HYPERLINK("http://nlpdeep.cs.uic.edu:8080/proofing/gsii/523175-history-of-present-illness-0-4.pdf","gsii/523175-history-of-present-illness-0-4.pdf")</f>
        <v/>
      </c>
      <c r="E1098" t="n">
        <v>120842</v>
      </c>
      <c r="F1098" t="n">
        <v>523175</v>
      </c>
      <c r="G1098" t="inlineStr">
        <is>
          <t>Consult</t>
        </is>
      </c>
      <c r="H1098" t="inlineStr">
        <is>
          <t>history-of-present-illness</t>
        </is>
      </c>
      <c r="I1098" t="inlineStr">
        <is>
          <t>In the
   MICU she was noted to have this episoded of SVT in the setting of cough
   spells despite having started diltiazem 30 mg PO QID on [**2153-4-8**].</t>
        </is>
      </c>
    </row>
    <row r="1099">
      <c r="A1099" t="inlineStr">
        <is>
          <t>523175-history-of-present-illness-0-5</t>
        </is>
      </c>
      <c r="B1099" t="inlineStr"/>
      <c r="C1099" t="inlineStr"/>
      <c r="D1099">
        <f>HYPERLINK("http://nlpdeep.cs.uic.edu:8080/proofing/t5/523175-history-of-present-illness-0-5.pdf","t5/523175-history-of-present-illness-0-5.pdf")</f>
        <v/>
      </c>
      <c r="E1099" t="n">
        <v>120842</v>
      </c>
      <c r="F1099" t="n">
        <v>523175</v>
      </c>
      <c r="G1099" t="inlineStr">
        <is>
          <t>Consult</t>
        </is>
      </c>
      <c r="H1099" t="inlineStr">
        <is>
          <t>history-of-present-illness</t>
        </is>
      </c>
      <c r="I1099" t="inlineStr">
        <is>
          <t>Given
   her history of dCHF the medicine team is worried that she might be
   intermittently flashing when she is tachycardic.</t>
        </is>
      </c>
    </row>
    <row r="1100">
      <c r="A1100" t="inlineStr">
        <is>
          <t>523175-history-of-present-illness-0-5</t>
        </is>
      </c>
      <c r="B1100" t="inlineStr"/>
      <c r="C1100" t="inlineStr"/>
      <c r="D1100">
        <f>HYPERLINK("http://nlpdeep.cs.uic.edu:8080/proofing/gsii/523175-history-of-present-illness-0-5.pdf","gsii/523175-history-of-present-illness-0-5.pdf")</f>
        <v/>
      </c>
      <c r="E1100" t="n">
        <v>120842</v>
      </c>
      <c r="F1100" t="n">
        <v>523175</v>
      </c>
      <c r="G1100" t="inlineStr">
        <is>
          <t>Consult</t>
        </is>
      </c>
      <c r="H1100" t="inlineStr">
        <is>
          <t>history-of-present-illness</t>
        </is>
      </c>
      <c r="I1100" t="inlineStr">
        <is>
          <t>Given
   her history of dCHF the medicine team is worried that she might be
   intermittently flashing when she is tachycardic.</t>
        </is>
      </c>
    </row>
    <row r="1101">
      <c r="A1101" t="inlineStr">
        <is>
          <t>523175-history-of-present-illness-1-0</t>
        </is>
      </c>
      <c r="B1101" t="inlineStr"/>
      <c r="C1101" t="inlineStr"/>
      <c r="D1101">
        <f>HYPERLINK("http://nlpdeep.cs.uic.edu:8080/proofing/t5/523175-history-of-present-illness-1-0.pdf","t5/523175-history-of-present-illness-1-0.pdf")</f>
        <v/>
      </c>
      <c r="E1101" t="n">
        <v>120842</v>
      </c>
      <c r="F1101" t="n">
        <v>523175</v>
      </c>
      <c r="G1101" t="inlineStr">
        <is>
          <t>Consult</t>
        </is>
      </c>
      <c r="H1101" t="inlineStr">
        <is>
          <t>history-of-present-illness</t>
        </is>
      </c>
      <c r="I1101" t="inlineStr">
        <is>
          <t xml:space="preserve">
   Upon interviewing the patient she stated that she does not have a
   history of abnormal heart rhythms and that the first episode was the
   one on [**3-26**].</t>
        </is>
      </c>
    </row>
    <row r="1102">
      <c r="A1102" t="inlineStr">
        <is>
          <t>523175-history-of-present-illness-1-0</t>
        </is>
      </c>
      <c r="B1102" t="inlineStr"/>
      <c r="C1102" t="inlineStr"/>
      <c r="D1102">
        <f>HYPERLINK("http://nlpdeep.cs.uic.edu:8080/proofing/gsii/523175-history-of-present-illness-1-0.pdf","gsii/523175-history-of-present-illness-1-0.pdf")</f>
        <v/>
      </c>
      <c r="E1102" t="n">
        <v>120842</v>
      </c>
      <c r="F1102" t="n">
        <v>523175</v>
      </c>
      <c r="G1102" t="inlineStr">
        <is>
          <t>Consult</t>
        </is>
      </c>
      <c r="H1102" t="inlineStr">
        <is>
          <t>history-of-present-illness</t>
        </is>
      </c>
      <c r="I1102" t="inlineStr">
        <is>
          <t xml:space="preserve">
   Upon interviewing the patient she stated that she does not have a
   history of abnormal heart rhythms and that the first episode was the
   one on [**3-26**].</t>
        </is>
      </c>
    </row>
    <row r="1103">
      <c r="A1103" t="inlineStr">
        <is>
          <t>523175-history-of-present-illness-1-1</t>
        </is>
      </c>
      <c r="B1103" t="inlineStr"/>
      <c r="C1103" t="inlineStr"/>
      <c r="D1103">
        <f>HYPERLINK("http://nlpdeep.cs.uic.edu:8080/proofing/t5/523175-history-of-present-illness-1-1.pdf","t5/523175-history-of-present-illness-1-1.pdf")</f>
        <v/>
      </c>
      <c r="E1103" t="n">
        <v>120842</v>
      </c>
      <c r="F1103" t="n">
        <v>523175</v>
      </c>
      <c r="G1103" t="inlineStr">
        <is>
          <t>Consult</t>
        </is>
      </c>
      <c r="H1103" t="inlineStr">
        <is>
          <t>history-of-present-illness</t>
        </is>
      </c>
      <c r="I1103" t="inlineStr">
        <is>
          <t>She reports associated palpitations, chest tightness and
   SOB when she is having these episodes but denies dizziness or
   lightheadedness.</t>
        </is>
      </c>
    </row>
    <row r="1104">
      <c r="A1104" t="inlineStr">
        <is>
          <t>523175-history-of-present-illness-1-1</t>
        </is>
      </c>
      <c r="B1104" t="inlineStr"/>
      <c r="C1104" t="inlineStr"/>
      <c r="D1104">
        <f>HYPERLINK("http://nlpdeep.cs.uic.edu:8080/proofing/gsii/523175-history-of-present-illness-1-1.pdf","gsii/523175-history-of-present-illness-1-1.pdf")</f>
        <v/>
      </c>
      <c r="E1104" t="n">
        <v>120842</v>
      </c>
      <c r="F1104" t="n">
        <v>523175</v>
      </c>
      <c r="G1104" t="inlineStr">
        <is>
          <t>Consult</t>
        </is>
      </c>
      <c r="H1104" t="inlineStr">
        <is>
          <t>history-of-present-illness</t>
        </is>
      </c>
      <c r="I1104" t="inlineStr">
        <is>
          <t>She reports associated palpitations, chest tightness and
   SOB when she is having these episodes but denies dizziness or
   lightheadedness.</t>
        </is>
      </c>
    </row>
    <row r="1105">
      <c r="A1105" t="inlineStr">
        <is>
          <t>523175-history-of-present-illness-1-2</t>
        </is>
      </c>
      <c r="B1105" t="inlineStr"/>
      <c r="C1105" t="inlineStr"/>
      <c r="D1105">
        <f>HYPERLINK("http://nlpdeep.cs.uic.edu:8080/proofing/t5/523175-history-of-present-illness-1-2.pdf","t5/523175-history-of-present-illness-1-2.pdf")</f>
        <v/>
      </c>
      <c r="E1105" t="n">
        <v>120842</v>
      </c>
      <c r="F1105" t="n">
        <v>523175</v>
      </c>
      <c r="G1105" t="inlineStr">
        <is>
          <t>Consult</t>
        </is>
      </c>
      <c r="H1105" t="inlineStr">
        <is>
          <t>history-of-present-illness</t>
        </is>
      </c>
      <c r="I1105" t="inlineStr">
        <is>
          <t xml:space="preserve">
   .</t>
        </is>
      </c>
    </row>
    <row r="1106">
      <c r="A1106" t="inlineStr">
        <is>
          <t>523175-history-of-present-illness-1-2</t>
        </is>
      </c>
      <c r="B1106" t="inlineStr"/>
      <c r="C1106" t="inlineStr"/>
      <c r="D1106">
        <f>HYPERLINK("http://nlpdeep.cs.uic.edu:8080/proofing/gsii/523175-history-of-present-illness-1-2.pdf","gsii/523175-history-of-present-illness-1-2.pdf")</f>
        <v/>
      </c>
      <c r="E1106" t="n">
        <v>120842</v>
      </c>
      <c r="F1106" t="n">
        <v>523175</v>
      </c>
      <c r="G1106" t="inlineStr">
        <is>
          <t>Consult</t>
        </is>
      </c>
      <c r="H1106" t="inlineStr">
        <is>
          <t>history-of-present-illness</t>
        </is>
      </c>
      <c r="I1106" t="inlineStr">
        <is>
          <t xml:space="preserve">
   .</t>
        </is>
      </c>
    </row>
    <row r="1107">
      <c r="A1107" t="inlineStr">
        <is>
          <t>523175-allergies-0-0</t>
        </is>
      </c>
      <c r="B1107" t="inlineStr"/>
      <c r="C1107" t="inlineStr"/>
      <c r="D1107">
        <f>HYPERLINK("http://nlpdeep.cs.uic.edu:8080/proofing/t5/523175-allergies-0-0.pdf","t5/523175-allergies-0-0.pdf")</f>
        <v/>
      </c>
      <c r="E1107" t="n">
        <v>120842</v>
      </c>
      <c r="F1107" t="n">
        <v>523175</v>
      </c>
      <c r="G1107" t="inlineStr">
        <is>
          <t>Consult</t>
        </is>
      </c>
      <c r="H1107" t="inlineStr">
        <is>
          <t>allergies</t>
        </is>
      </c>
      <c r="I1107" t="inlineStr">
        <is>
          <t>Hayfever
   .</t>
        </is>
      </c>
    </row>
    <row r="1108">
      <c r="A1108" t="inlineStr">
        <is>
          <t>523175-allergies-0-0</t>
        </is>
      </c>
      <c r="B1108" t="inlineStr"/>
      <c r="C1108" t="inlineStr"/>
      <c r="D1108">
        <f>HYPERLINK("http://nlpdeep.cs.uic.edu:8080/proofing/gsii/523175-allergies-0-0.pdf","gsii/523175-allergies-0-0.pdf")</f>
        <v/>
      </c>
      <c r="E1108" t="n">
        <v>120842</v>
      </c>
      <c r="F1108" t="n">
        <v>523175</v>
      </c>
      <c r="G1108" t="inlineStr">
        <is>
          <t>Consult</t>
        </is>
      </c>
      <c r="H1108" t="inlineStr">
        <is>
          <t>allergies</t>
        </is>
      </c>
      <c r="I1108" t="inlineStr">
        <is>
          <t>Hayfever
   .</t>
        </is>
      </c>
    </row>
    <row r="1109">
      <c r="A1109" t="inlineStr">
        <is>
          <t>523175-medication-history-0-0</t>
        </is>
      </c>
      <c r="B1109" t="inlineStr"/>
      <c r="C1109" t="inlineStr"/>
      <c r="D1109">
        <f>HYPERLINK("http://nlpdeep.cs.uic.edu:8080/proofing/t5/523175-medication-history-0-0.pdf","t5/523175-medication-history-0-0.pdf")</f>
        <v/>
      </c>
      <c r="E1109" t="n">
        <v>120842</v>
      </c>
      <c r="F1109" t="n">
        <v>523175</v>
      </c>
      <c r="G1109" t="inlineStr">
        <is>
          <t>Consult</t>
        </is>
      </c>
      <c r="H1109" t="inlineStr">
        <is>
          <t>medication-history</t>
        </is>
      </c>
      <c r="I1109" t="inlineStr">
        <is>
          <t>- Home O2 - 2LPM at rest, 4 LPM with exertion
   - Advair 500-50 twice a day
   - Albuterol neb or MDI Q6H as needed for wheezing, SOB.</t>
        </is>
      </c>
    </row>
    <row r="1110">
      <c r="A1110" t="inlineStr">
        <is>
          <t>523175-medication-history-0-0</t>
        </is>
      </c>
      <c r="B1110" t="inlineStr"/>
      <c r="C1110" t="inlineStr"/>
      <c r="D1110">
        <f>HYPERLINK("http://nlpdeep.cs.uic.edu:8080/proofing/gsii/523175-medication-history-0-0.pdf","gsii/523175-medication-history-0-0.pdf")</f>
        <v/>
      </c>
      <c r="E1110" t="n">
        <v>120842</v>
      </c>
      <c r="F1110" t="n">
        <v>523175</v>
      </c>
      <c r="G1110" t="inlineStr">
        <is>
          <t>Consult</t>
        </is>
      </c>
      <c r="H1110" t="inlineStr">
        <is>
          <t>medication-history</t>
        </is>
      </c>
      <c r="I1110" t="inlineStr">
        <is>
          <t>- Home O2 - 2LPM at rest, 4 LPM with exertion
   - Advair 500-50 twice a day
   - Albuterol neb or MDI Q6H as needed for wheezing, SOB.</t>
        </is>
      </c>
    </row>
    <row r="1111">
      <c r="A1111" t="inlineStr">
        <is>
          <t>523175-medication-history-0-1</t>
        </is>
      </c>
      <c r="B1111" t="inlineStr"/>
      <c r="C1111" t="inlineStr"/>
      <c r="D1111">
        <f>HYPERLINK("http://nlpdeep.cs.uic.edu:8080/proofing/t5/523175-medication-history-0-1.pdf","t5/523175-medication-history-0-1.pdf")</f>
        <v/>
      </c>
      <c r="E1111" t="n">
        <v>120842</v>
      </c>
      <c r="F1111" t="n">
        <v>523175</v>
      </c>
      <c r="G1111" t="inlineStr">
        <is>
          <t>Consult</t>
        </is>
      </c>
      <c r="H1111" t="inlineStr">
        <is>
          <t>medication-history</t>
        </is>
      </c>
      <c r="I1111" t="inlineStr">
        <is>
          <t xml:space="preserve">
   - Captopril 50 mg TID
   - Fluoxetine 20 mg TID
   - Glipizide 5 mg [**Hospital1 7**]
   - Hydrochlorothiazide 12.5 mg DAILY
   - Lorazepam 0.5 mg Q8H as needed for Anxiety.</t>
        </is>
      </c>
    </row>
    <row r="1112">
      <c r="A1112" t="inlineStr">
        <is>
          <t>523175-medication-history-0-1</t>
        </is>
      </c>
      <c r="B1112" t="inlineStr"/>
      <c r="C1112" t="inlineStr"/>
      <c r="D1112">
        <f>HYPERLINK("http://nlpdeep.cs.uic.edu:8080/proofing/gsii/523175-medication-history-0-1.pdf","gsii/523175-medication-history-0-1.pdf")</f>
        <v/>
      </c>
      <c r="E1112" t="n">
        <v>120842</v>
      </c>
      <c r="F1112" t="n">
        <v>523175</v>
      </c>
      <c r="G1112" t="inlineStr">
        <is>
          <t>Consult</t>
        </is>
      </c>
      <c r="H1112" t="inlineStr">
        <is>
          <t>medication-history</t>
        </is>
      </c>
      <c r="I1112" t="inlineStr">
        <is>
          <t xml:space="preserve">
   - Captopril 50 mg TID
   - Fluoxetine 20 mg TID
   - Glipizide 5 mg [**Hospital1 7**]
   - Hydrochlorothiazide 12.5 mg DAILY
   - Lorazepam 0.5 mg Q8H as needed for Anxiety.</t>
        </is>
      </c>
    </row>
    <row r="1113">
      <c r="A1113" t="inlineStr">
        <is>
          <t>523175-medication-history-0-2</t>
        </is>
      </c>
      <c r="B1113" t="inlineStr"/>
      <c r="C1113" t="inlineStr"/>
      <c r="D1113">
        <f>HYPERLINK("http://nlpdeep.cs.uic.edu:8080/proofing/t5/523175-medication-history-0-2.pdf","t5/523175-medication-history-0-2.pdf")</f>
        <v/>
      </c>
      <c r="E1113" t="n">
        <v>120842</v>
      </c>
      <c r="F1113" t="n">
        <v>523175</v>
      </c>
      <c r="G1113" t="inlineStr">
        <is>
          <t>Consult</t>
        </is>
      </c>
      <c r="H1113" t="inlineStr">
        <is>
          <t>medication-history</t>
        </is>
      </c>
      <c r="I1113" t="inlineStr">
        <is>
          <t xml:space="preserve">
   - Metformin 500 mg SR [**Hospital1 7**]
   - Montelukast 10 mg DAILY
   - Simvastatin 40 mg DAILY
   - Spiriva 18 mcg once a day.</t>
        </is>
      </c>
    </row>
    <row r="1114">
      <c r="A1114" t="inlineStr">
        <is>
          <t>523175-medication-history-0-2</t>
        </is>
      </c>
      <c r="B1114" t="inlineStr"/>
      <c r="C1114" t="inlineStr"/>
      <c r="D1114">
        <f>HYPERLINK("http://nlpdeep.cs.uic.edu:8080/proofing/gsii/523175-medication-history-0-2.pdf","gsii/523175-medication-history-0-2.pdf")</f>
        <v/>
      </c>
      <c r="E1114" t="n">
        <v>120842</v>
      </c>
      <c r="F1114" t="n">
        <v>523175</v>
      </c>
      <c r="G1114" t="inlineStr">
        <is>
          <t>Consult</t>
        </is>
      </c>
      <c r="H1114" t="inlineStr">
        <is>
          <t>medication-history</t>
        </is>
      </c>
      <c r="I1114" t="inlineStr">
        <is>
          <t xml:space="preserve">
   - Metformin 500 mg SR [**Hospital1 7**]
   - Montelukast 10 mg DAILY
   - Simvastatin 40 mg DAILY
   - Spiriva 18 mcg once a day.</t>
        </is>
      </c>
    </row>
    <row r="1115">
      <c r="A1115" t="inlineStr">
        <is>
          <t>523175-medication-history-0-3</t>
        </is>
      </c>
      <c r="B1115" t="inlineStr"/>
      <c r="C1115" t="inlineStr"/>
      <c r="D1115">
        <f>HYPERLINK("http://nlpdeep.cs.uic.edu:8080/proofing/t5/523175-medication-history-0-3.pdf","t5/523175-medication-history-0-3.pdf")</f>
        <v/>
      </c>
      <c r="E1115" t="n">
        <v>120842</v>
      </c>
      <c r="F1115" t="n">
        <v>523175</v>
      </c>
      <c r="G1115" t="inlineStr">
        <is>
          <t>Consult</t>
        </is>
      </c>
      <c r="H1115" t="inlineStr">
        <is>
          <t>medication-history</t>
        </is>
      </c>
      <c r="I1115" t="inlineStr">
        <is>
          <t xml:space="preserve">
   - Calcium 500 + D 500 mg(1,250mg)-400 unit twice a day.</t>
        </is>
      </c>
    </row>
    <row r="1116">
      <c r="A1116" t="inlineStr">
        <is>
          <t>523175-medication-history-0-3</t>
        </is>
      </c>
      <c r="B1116" t="inlineStr"/>
      <c r="C1116" t="inlineStr"/>
      <c r="D1116">
        <f>HYPERLINK("http://nlpdeep.cs.uic.edu:8080/proofing/gsii/523175-medication-history-0-3.pdf","gsii/523175-medication-history-0-3.pdf")</f>
        <v/>
      </c>
      <c r="E1116" t="n">
        <v>120842</v>
      </c>
      <c r="F1116" t="n">
        <v>523175</v>
      </c>
      <c r="G1116" t="inlineStr">
        <is>
          <t>Consult</t>
        </is>
      </c>
      <c r="H1116" t="inlineStr">
        <is>
          <t>medication-history</t>
        </is>
      </c>
      <c r="I1116" t="inlineStr">
        <is>
          <t xml:space="preserve">
   - Calcium 500 + D 500 mg(1,250mg)-400 unit twice a day.</t>
        </is>
      </c>
    </row>
    <row r="1117">
      <c r="A1117" t="inlineStr">
        <is>
          <t>523175-medication-history-0-4</t>
        </is>
      </c>
      <c r="B1117" t="inlineStr"/>
      <c r="C1117" t="inlineStr"/>
      <c r="D1117">
        <f>HYPERLINK("http://nlpdeep.cs.uic.edu:8080/proofing/t5/523175-medication-history-0-4.pdf","t5/523175-medication-history-0-4.pdf")</f>
        <v/>
      </c>
      <c r="E1117" t="n">
        <v>120842</v>
      </c>
      <c r="F1117" t="n">
        <v>523175</v>
      </c>
      <c r="G1117" t="inlineStr">
        <is>
          <t>Consult</t>
        </is>
      </c>
      <c r="H1117" t="inlineStr">
        <is>
          <t>medication-history</t>
        </is>
      </c>
      <c r="I1117" t="inlineStr">
        <is>
          <t xml:space="preserve">
   - Enoxaparin 30 mg/0.3 mL SC Q12H for 4 weeks. ***
   - Omeprazole 20 mg once a day.</t>
        </is>
      </c>
    </row>
    <row r="1118">
      <c r="A1118" t="inlineStr">
        <is>
          <t>523175-medication-history-0-4</t>
        </is>
      </c>
      <c r="B1118" t="inlineStr"/>
      <c r="C1118" t="inlineStr"/>
      <c r="D1118">
        <f>HYPERLINK("http://nlpdeep.cs.uic.edu:8080/proofing/gsii/523175-medication-history-0-4.pdf","gsii/523175-medication-history-0-4.pdf")</f>
        <v/>
      </c>
      <c r="E1118" t="n">
        <v>120842</v>
      </c>
      <c r="F1118" t="n">
        <v>523175</v>
      </c>
      <c r="G1118" t="inlineStr">
        <is>
          <t>Consult</t>
        </is>
      </c>
      <c r="H1118" t="inlineStr">
        <is>
          <t>medication-history</t>
        </is>
      </c>
      <c r="I1118" t="inlineStr">
        <is>
          <t xml:space="preserve">
   - Enoxaparin 30 mg/0.3 mL SC Q12H for 4 weeks. ***
   - Omeprazole 20 mg once a day.</t>
        </is>
      </c>
    </row>
    <row r="1119">
      <c r="A1119" t="inlineStr">
        <is>
          <t>523175-medication-history-0-5</t>
        </is>
      </c>
      <c r="B1119" t="inlineStr"/>
      <c r="C1119" t="inlineStr"/>
      <c r="D1119">
        <f>HYPERLINK("http://nlpdeep.cs.uic.edu:8080/proofing/t5/523175-medication-history-0-5.pdf","t5/523175-medication-history-0-5.pdf")</f>
        <v/>
      </c>
      <c r="E1119" t="n">
        <v>120842</v>
      </c>
      <c r="F1119" t="n">
        <v>523175</v>
      </c>
      <c r="G1119" t="inlineStr">
        <is>
          <t>Consult</t>
        </is>
      </c>
      <c r="H1119" t="inlineStr">
        <is>
          <t>medication-history</t>
        </is>
      </c>
      <c r="I1119" t="inlineStr">
        <is>
          <t xml:space="preserve">
   - Docusate Sodium 100 mg [**Hospital1 7**]
   - Senna 8.6 mg Two (2) Tablet PO at bedtime as needed
   - Oxycodone 5 mg: 1-2 Tablets PO Q4H as needed for pain.</t>
        </is>
      </c>
    </row>
    <row r="1120">
      <c r="A1120" t="inlineStr">
        <is>
          <t>523175-medication-history-0-5</t>
        </is>
      </c>
      <c r="B1120" t="inlineStr"/>
      <c r="C1120" t="inlineStr"/>
      <c r="D1120">
        <f>HYPERLINK("http://nlpdeep.cs.uic.edu:8080/proofing/gsii/523175-medication-history-0-5.pdf","gsii/523175-medication-history-0-5.pdf")</f>
        <v/>
      </c>
      <c r="E1120" t="n">
        <v>120842</v>
      </c>
      <c r="F1120" t="n">
        <v>523175</v>
      </c>
      <c r="G1120" t="inlineStr">
        <is>
          <t>Consult</t>
        </is>
      </c>
      <c r="H1120" t="inlineStr">
        <is>
          <t>medication-history</t>
        </is>
      </c>
      <c r="I1120" t="inlineStr">
        <is>
          <t xml:space="preserve">
   - Docusate Sodium 100 mg [**Hospital1 7**]
   - Senna 8.6 mg Two (2) Tablet PO at bedtime as needed
   - Oxycodone 5 mg: 1-2 Tablets PO Q4H as needed for pain.</t>
        </is>
      </c>
    </row>
    <row r="1121">
      <c r="A1121" t="inlineStr">
        <is>
          <t>523175-medication-history-0-6</t>
        </is>
      </c>
      <c r="B1121" t="inlineStr"/>
      <c r="C1121" t="inlineStr"/>
      <c r="D1121">
        <f>HYPERLINK("http://nlpdeep.cs.uic.edu:8080/proofing/t5/523175-medication-history-0-6.pdf","t5/523175-medication-history-0-6.pdf")</f>
        <v/>
      </c>
      <c r="E1121" t="n">
        <v>120842</v>
      </c>
      <c r="F1121" t="n">
        <v>523175</v>
      </c>
      <c r="G1121" t="inlineStr">
        <is>
          <t>Consult</t>
        </is>
      </c>
      <c r="H1121" t="inlineStr">
        <is>
          <t>medication-history</t>
        </is>
      </c>
      <c r="I1121" t="inlineStr">
        <is>
          <t xml:space="preserve">
   - Multivitamin DAILY
   - Ferrous Sulfate 300 mg DAILY
   - Acetaminophen 1000 mg three times a day for 3 weeks.</t>
        </is>
      </c>
    </row>
    <row r="1122">
      <c r="A1122" t="inlineStr">
        <is>
          <t>523175-medication-history-0-6</t>
        </is>
      </c>
      <c r="B1122" t="inlineStr"/>
      <c r="C1122" t="inlineStr"/>
      <c r="D1122">
        <f>HYPERLINK("http://nlpdeep.cs.uic.edu:8080/proofing/gsii/523175-medication-history-0-6.pdf","gsii/523175-medication-history-0-6.pdf")</f>
        <v/>
      </c>
      <c r="E1122" t="n">
        <v>120842</v>
      </c>
      <c r="F1122" t="n">
        <v>523175</v>
      </c>
      <c r="G1122" t="inlineStr">
        <is>
          <t>Consult</t>
        </is>
      </c>
      <c r="H1122" t="inlineStr">
        <is>
          <t>medication-history</t>
        </is>
      </c>
      <c r="I1122" t="inlineStr">
        <is>
          <t xml:space="preserve">
   - Multivitamin DAILY
   - Ferrous Sulfate 300 mg DAILY
   - Acetaminophen 1000 mg three times a day for 3 weeks.</t>
        </is>
      </c>
    </row>
    <row r="1123">
      <c r="A1123" t="inlineStr">
        <is>
          <t>523175-medication-history-0-7</t>
        </is>
      </c>
      <c r="B1123" t="inlineStr"/>
      <c r="C1123" t="inlineStr"/>
      <c r="D1123">
        <f>HYPERLINK("http://nlpdeep.cs.uic.edu:8080/proofing/t5/523175-medication-history-0-7.pdf","t5/523175-medication-history-0-7.pdf")</f>
        <v/>
      </c>
      <c r="E1123" t="n">
        <v>120842</v>
      </c>
      <c r="F1123" t="n">
        <v>523175</v>
      </c>
      <c r="G1123" t="inlineStr">
        <is>
          <t>Consult</t>
        </is>
      </c>
      <c r="H1123" t="inlineStr">
        <is>
          <t>medication-history</t>
        </is>
      </c>
      <c r="I1123" t="inlineStr">
        <is>
          <t xml:space="preserve">
   - Miralax 17 gram Powder once a day as needed for constipation.</t>
        </is>
      </c>
    </row>
    <row r="1124">
      <c r="A1124" t="inlineStr">
        <is>
          <t>523175-medication-history-0-7</t>
        </is>
      </c>
      <c r="B1124" t="inlineStr"/>
      <c r="C1124" t="inlineStr"/>
      <c r="D1124">
        <f>HYPERLINK("http://nlpdeep.cs.uic.edu:8080/proofing/gsii/523175-medication-history-0-7.pdf","gsii/523175-medication-history-0-7.pdf")</f>
        <v/>
      </c>
      <c r="E1124" t="n">
        <v>120842</v>
      </c>
      <c r="F1124" t="n">
        <v>523175</v>
      </c>
      <c r="G1124" t="inlineStr">
        <is>
          <t>Consult</t>
        </is>
      </c>
      <c r="H1124" t="inlineStr">
        <is>
          <t>medication-history</t>
        </is>
      </c>
      <c r="I1124" t="inlineStr">
        <is>
          <t xml:space="preserve">
   - Miralax 17 gram Powder once a day as needed for constipation.</t>
        </is>
      </c>
    </row>
    <row r="1125">
      <c r="A1125" t="inlineStr">
        <is>
          <t>523175-medication-history-0-8</t>
        </is>
      </c>
      <c r="B1125" t="inlineStr"/>
      <c r="C1125" t="inlineStr"/>
      <c r="D1125">
        <f>HYPERLINK("http://nlpdeep.cs.uic.edu:8080/proofing/t5/523175-medication-history-0-8.pdf","t5/523175-medication-history-0-8.pdf")</f>
        <v/>
      </c>
      <c r="E1125" t="n">
        <v>120842</v>
      </c>
      <c r="F1125" t="n">
        <v>523175</v>
      </c>
      <c r="G1125" t="inlineStr">
        <is>
          <t>Consult</t>
        </is>
      </c>
      <c r="H1125" t="inlineStr">
        <is>
          <t>medication-history</t>
        </is>
      </c>
      <c r="I1125" t="inlineStr">
        <is>
          <t xml:space="preserve">
   .</t>
        </is>
      </c>
    </row>
    <row r="1126">
      <c r="A1126" t="inlineStr">
        <is>
          <t>523175-medication-history-0-8</t>
        </is>
      </c>
      <c r="B1126" t="inlineStr"/>
      <c r="C1126" t="inlineStr"/>
      <c r="D1126">
        <f>HYPERLINK("http://nlpdeep.cs.uic.edu:8080/proofing/gsii/523175-medication-history-0-8.pdf","gsii/523175-medication-history-0-8.pdf")</f>
        <v/>
      </c>
      <c r="E1126" t="n">
        <v>120842</v>
      </c>
      <c r="F1126" t="n">
        <v>523175</v>
      </c>
      <c r="G1126" t="inlineStr">
        <is>
          <t>Consult</t>
        </is>
      </c>
      <c r="H1126" t="inlineStr">
        <is>
          <t>medication-history</t>
        </is>
      </c>
      <c r="I1126" t="inlineStr">
        <is>
          <t xml:space="preserve">
   .</t>
        </is>
      </c>
    </row>
    <row r="1127">
      <c r="A1127" t="inlineStr">
        <is>
          <t>523175-current-medications-0-0</t>
        </is>
      </c>
      <c r="B1127" t="inlineStr"/>
      <c r="C1127" t="inlineStr"/>
      <c r="D1127">
        <f>HYPERLINK("http://nlpdeep.cs.uic.edu:8080/proofing/t5/523175-current-medications-0-0.pdf","t5/523175-current-medications-0-0.pdf")</f>
        <v/>
      </c>
      <c r="E1127" t="n">
        <v>120842</v>
      </c>
      <c r="F1127" t="n">
        <v>523175</v>
      </c>
      <c r="G1127" t="inlineStr">
        <is>
          <t>Consult</t>
        </is>
      </c>
      <c r="H1127" t="inlineStr">
        <is>
          <t>current-medications</t>
        </is>
      </c>
      <c r="I1127" t="inlineStr">
        <is>
          <t>Insulin SC
   Ipratropium Bromide Neb 1 NEB IH Q6H
   Levofloxacin 750 mg PO/NG Q24H
   Acetaminophen 325-650 mg PO/NG Q6H:PRN
   MethylPREDNISolone 80 mg IV Q8H
   Albuterol 0.083% Neb Soln 1 NEB IH Q4H:PRN
   Montelukast Sodium 10 mg PO/NG DAILY
   Benzonatate 100 mg PO TID
   Multivitamins 1 TAB PO/NG DAILY
   Bisacodyl 10 mg PO DAILY:PRN
   Mucinex *NF* 600 mg
   Captopril 50 mg PO/NG TID
   Omeprazole 20 mg PO DAILY
   Polyethylene Glycol 17 g PO/NG DAILY1
   Diltiazem 30 mg PO/NG QID
   Senna 1 TAB PO/NG [**Hospital1 7**]
   Docusate Sodium 100 mg PO BID
   Simethicone 40 mg PO/NG QID:PRN
   Ferrous Sulfate 325 mg PO/NG DAILY
   Simvastatin 40 mg PO/NG DAILY
   Fluoxetine 20 mg PO/NG TID
   GlipiZIDE 5 mg PO/NG DAILY
   Heparin 5000 UNIT SC TID
   Vitamin D 1000 UNIT PO/NG DAILY
   Hydrochlorothiazide 25 mg PO/NG DAILY
   Xopenex Neb *NF* 1 neb QID
   .</t>
        </is>
      </c>
    </row>
    <row r="1128">
      <c r="A1128" t="inlineStr">
        <is>
          <t>523175-current-medications-0-0</t>
        </is>
      </c>
      <c r="B1128" t="inlineStr"/>
      <c r="C1128" t="inlineStr"/>
      <c r="D1128">
        <f>HYPERLINK("http://nlpdeep.cs.uic.edu:8080/proofing/gsii/523175-current-medications-0-0.pdf","gsii/523175-current-medications-0-0.pdf")</f>
        <v/>
      </c>
      <c r="E1128" t="n">
        <v>120842</v>
      </c>
      <c r="F1128" t="n">
        <v>523175</v>
      </c>
      <c r="G1128" t="inlineStr">
        <is>
          <t>Consult</t>
        </is>
      </c>
      <c r="H1128" t="inlineStr">
        <is>
          <t>current-medications</t>
        </is>
      </c>
      <c r="I1128" t="inlineStr">
        <is>
          <t>Insulin SC
   Ipratropium Bromide Neb 1 NEB IH Q6H
   Levofloxacin 750 mg PO/NG Q24H
   Acetaminophen 325-650 mg PO/NG Q6H:PRN
   MethylPREDNISolone 80 mg IV Q8H
   Albuterol 0.083% Neb Soln 1 NEB IH Q4H:PRN
   Montelukast Sodium 10 mg PO/NG DAILY
   Benzonatate 100 mg PO TID
   Multivitamins 1 TAB PO/NG DAILY
   Bisacodyl 10 mg PO DAILY:PRN
   Mucinex *NF* 600 mg
   Captopril 50 mg PO/NG TID
   Omeprazole 20 mg PO DAILY
   Polyethylene Glycol 17 g PO/NG DAILY1
   Diltiazem 30 mg PO/NG QID
   Senna 1 TAB PO/NG [**Hospital1 7**]
   Docusate Sodium 100 mg PO BID
   Simethicone 40 mg PO/NG QID:PRN
   Ferrous Sulfate 325 mg PO/NG DAILY
   Simvastatin 40 mg PO/NG DAILY
   Fluoxetine 20 mg PO/NG TID
   GlipiZIDE 5 mg PO/NG DAILY
   Heparin 5000 UNIT SC TID
   Vitamin D 1000 UNIT PO/NG DAILY
   Hydrochlorothiazide 25 mg PO/NG DAILY
   Xopenex Neb *NF* 1 neb QID
   .</t>
        </is>
      </c>
    </row>
    <row r="1129">
      <c r="A1129" t="inlineStr">
        <is>
          <t>523175-past-medical-history-0-0</t>
        </is>
      </c>
      <c r="B1129" t="inlineStr"/>
      <c r="C1129" t="inlineStr"/>
      <c r="D1129">
        <f>HYPERLINK("http://nlpdeep.cs.uic.edu:8080/proofing/t5/523175-past-medical-history-0-0.pdf","t5/523175-past-medical-history-0-0.pdf")</f>
        <v/>
      </c>
      <c r="E1129" t="n">
        <v>120842</v>
      </c>
      <c r="F1129" t="n">
        <v>523175</v>
      </c>
      <c r="G1129" t="inlineStr">
        <is>
          <t>Consult</t>
        </is>
      </c>
      <c r="H1129" t="inlineStr">
        <is>
          <t>past-medical-history</t>
        </is>
      </c>
      <c r="I1129" t="inlineStr">
        <is>
          <t>- COPD/?asthma on home O2 at 2-4LPM.</t>
        </is>
      </c>
    </row>
    <row r="1130">
      <c r="A1130" t="inlineStr">
        <is>
          <t>523175-past-medical-history-0-0</t>
        </is>
      </c>
      <c r="B1130" t="inlineStr"/>
      <c r="C1130" t="inlineStr"/>
      <c r="D1130">
        <f>HYPERLINK("http://nlpdeep.cs.uic.edu:8080/proofing/gsii/523175-past-medical-history-0-0.pdf","gsii/523175-past-medical-history-0-0.pdf")</f>
        <v/>
      </c>
      <c r="E1130" t="n">
        <v>120842</v>
      </c>
      <c r="F1130" t="n">
        <v>523175</v>
      </c>
      <c r="G1130" t="inlineStr">
        <is>
          <t>Consult</t>
        </is>
      </c>
      <c r="H1130" t="inlineStr">
        <is>
          <t>past-medical-history</t>
        </is>
      </c>
      <c r="I1130" t="inlineStr">
        <is>
          <t>- COPD/?asthma on home O2 at 2-4LPM.</t>
        </is>
      </c>
    </row>
    <row r="1131">
      <c r="A1131" t="inlineStr">
        <is>
          <t>523175-past-medical-history-0-1</t>
        </is>
      </c>
      <c r="B1131" t="inlineStr"/>
      <c r="C1131" t="inlineStr"/>
      <c r="D1131">
        <f>HYPERLINK("http://nlpdeep.cs.uic.edu:8080/proofing/t5/523175-past-medical-history-0-1.pdf","t5/523175-past-medical-history-0-1.pdf")</f>
        <v/>
      </c>
      <c r="E1131" t="n">
        <v>120842</v>
      </c>
      <c r="F1131" t="n">
        <v>523175</v>
      </c>
      <c r="G1131" t="inlineStr">
        <is>
          <t>Consult</t>
        </is>
      </c>
      <c r="H1131" t="inlineStr">
        <is>
          <t>past-medical-history</t>
        </is>
      </c>
      <c r="I1131" t="inlineStr">
        <is>
          <t>Spirometry with only mild to
   moderate obstructive defect, FEV1 1.17 (68% predicted) but low DLCO at
   38% predicted.</t>
        </is>
      </c>
    </row>
    <row r="1132">
      <c r="A1132" t="inlineStr">
        <is>
          <t>523175-past-medical-history-0-1</t>
        </is>
      </c>
      <c r="B1132" t="inlineStr"/>
      <c r="C1132" t="inlineStr"/>
      <c r="D1132">
        <f>HYPERLINK("http://nlpdeep.cs.uic.edu:8080/proofing/gsii/523175-past-medical-history-0-1.pdf","gsii/523175-past-medical-history-0-1.pdf")</f>
        <v/>
      </c>
      <c r="E1132" t="n">
        <v>120842</v>
      </c>
      <c r="F1132" t="n">
        <v>523175</v>
      </c>
      <c r="G1132" t="inlineStr">
        <is>
          <t>Consult</t>
        </is>
      </c>
      <c r="H1132" t="inlineStr">
        <is>
          <t>past-medical-history</t>
        </is>
      </c>
      <c r="I1132" t="inlineStr">
        <is>
          <t>Spirometry with only mild to
   moderate obstructive defect, FEV1 1.17 (68% predicted) but low DLCO at
   38% predicted.</t>
        </is>
      </c>
    </row>
    <row r="1133">
      <c r="A1133" t="inlineStr">
        <is>
          <t>523175-past-medical-history-0-2</t>
        </is>
      </c>
      <c r="B1133" t="inlineStr"/>
      <c r="C1133" t="inlineStr"/>
      <c r="D1133">
        <f>HYPERLINK("http://nlpdeep.cs.uic.edu:8080/proofing/t5/523175-past-medical-history-0-2.pdf","t5/523175-past-medical-history-0-2.pdf")</f>
        <v/>
      </c>
      <c r="E1133" t="n">
        <v>120842</v>
      </c>
      <c r="F1133" t="n">
        <v>523175</v>
      </c>
      <c r="G1133" t="inlineStr">
        <is>
          <t>Consult</t>
        </is>
      </c>
      <c r="H1133" t="inlineStr">
        <is>
          <t>past-medical-history</t>
        </is>
      </c>
      <c r="I1133" t="inlineStr">
        <is>
          <t xml:space="preserve">
   - Diastolic CHF and pulmonary hypertension.</t>
        </is>
      </c>
    </row>
    <row r="1134">
      <c r="A1134" t="inlineStr">
        <is>
          <t>523175-past-medical-history-0-2</t>
        </is>
      </c>
      <c r="B1134" t="inlineStr"/>
      <c r="C1134" t="inlineStr"/>
      <c r="D1134">
        <f>HYPERLINK("http://nlpdeep.cs.uic.edu:8080/proofing/gsii/523175-past-medical-history-0-2.pdf","gsii/523175-past-medical-history-0-2.pdf")</f>
        <v/>
      </c>
      <c r="E1134" t="n">
        <v>120842</v>
      </c>
      <c r="F1134" t="n">
        <v>523175</v>
      </c>
      <c r="G1134" t="inlineStr">
        <is>
          <t>Consult</t>
        </is>
      </c>
      <c r="H1134" t="inlineStr">
        <is>
          <t>past-medical-history</t>
        </is>
      </c>
      <c r="I1134" t="inlineStr">
        <is>
          <t xml:space="preserve">
   - Diastolic CHF and pulmonary hypertension.</t>
        </is>
      </c>
    </row>
    <row r="1135">
      <c r="A1135" t="inlineStr">
        <is>
          <t>523175-past-medical-history-0-3</t>
        </is>
      </c>
      <c r="B1135" t="inlineStr"/>
      <c r="C1135" t="inlineStr"/>
      <c r="D1135">
        <f>HYPERLINK("http://nlpdeep.cs.uic.edu:8080/proofing/t5/523175-past-medical-history-0-3.pdf","t5/523175-past-medical-history-0-3.pdf")</f>
        <v/>
      </c>
      <c r="E1135" t="n">
        <v>120842</v>
      </c>
      <c r="F1135" t="n">
        <v>523175</v>
      </c>
      <c r="G1135" t="inlineStr">
        <is>
          <t>Consult</t>
        </is>
      </c>
      <c r="H1135" t="inlineStr">
        <is>
          <t>past-medical-history</t>
        </is>
      </c>
      <c r="I1135" t="inlineStr">
        <is>
          <t>Last TTE [**12/2151**] with EF
   &gt;55%, mild RV dilation with preserved function, estimated TR gradient
   43-63.</t>
        </is>
      </c>
    </row>
    <row r="1136">
      <c r="A1136" t="inlineStr">
        <is>
          <t>523175-past-medical-history-0-3</t>
        </is>
      </c>
      <c r="B1136" t="inlineStr"/>
      <c r="C1136" t="inlineStr"/>
      <c r="D1136">
        <f>HYPERLINK("http://nlpdeep.cs.uic.edu:8080/proofing/gsii/523175-past-medical-history-0-3.pdf","gsii/523175-past-medical-history-0-3.pdf")</f>
        <v/>
      </c>
      <c r="E1136" t="n">
        <v>120842</v>
      </c>
      <c r="F1136" t="n">
        <v>523175</v>
      </c>
      <c r="G1136" t="inlineStr">
        <is>
          <t>Consult</t>
        </is>
      </c>
      <c r="H1136" t="inlineStr">
        <is>
          <t>past-medical-history</t>
        </is>
      </c>
      <c r="I1136" t="inlineStr">
        <is>
          <t>Last TTE [**12/2151**] with EF
   &gt;55%, mild RV dilation with preserved function, estimated TR gradient
   43-63.</t>
        </is>
      </c>
    </row>
    <row r="1137">
      <c r="A1137" t="inlineStr">
        <is>
          <t>523175-past-medical-history-0-4</t>
        </is>
      </c>
      <c r="B1137" t="inlineStr"/>
      <c r="C1137" t="inlineStr"/>
      <c r="D1137">
        <f>HYPERLINK("http://nlpdeep.cs.uic.edu:8080/proofing/t5/523175-past-medical-history-0-4.pdf","t5/523175-past-medical-history-0-4.pdf")</f>
        <v/>
      </c>
      <c r="E1137" t="n">
        <v>120842</v>
      </c>
      <c r="F1137" t="n">
        <v>523175</v>
      </c>
      <c r="G1137" t="inlineStr">
        <is>
          <t>Consult</t>
        </is>
      </c>
      <c r="H1137" t="inlineStr">
        <is>
          <t>past-medical-history</t>
        </is>
      </c>
      <c r="I1137" t="inlineStr">
        <is>
          <t xml:space="preserve">
   - OSA on home CPAP
   - DM type II
   - HTN
   - s/p R TKR [**2153-3-5**], complicated by desaturation due to COPD
   exacerbation, dCHF, and ?narcotics.</t>
        </is>
      </c>
    </row>
    <row r="1138">
      <c r="A1138" t="inlineStr">
        <is>
          <t>523175-past-medical-history-0-4</t>
        </is>
      </c>
      <c r="B1138" t="inlineStr"/>
      <c r="C1138" t="inlineStr"/>
      <c r="D1138">
        <f>HYPERLINK("http://nlpdeep.cs.uic.edu:8080/proofing/gsii/523175-past-medical-history-0-4.pdf","gsii/523175-past-medical-history-0-4.pdf")</f>
        <v/>
      </c>
      <c r="E1138" t="n">
        <v>120842</v>
      </c>
      <c r="F1138" t="n">
        <v>523175</v>
      </c>
      <c r="G1138" t="inlineStr">
        <is>
          <t>Consult</t>
        </is>
      </c>
      <c r="H1138" t="inlineStr">
        <is>
          <t>past-medical-history</t>
        </is>
      </c>
      <c r="I1138" t="inlineStr">
        <is>
          <t xml:space="preserve">
   - OSA on home CPAP
   - DM type II
   - HTN
   - s/p R TKR [**2153-3-5**], complicated by desaturation due to COPD
   exacerbation, dCHF, and ?narcotics.</t>
        </is>
      </c>
    </row>
    <row r="1139">
      <c r="A1139" t="inlineStr">
        <is>
          <t>523175-past-medical-history-0-5</t>
        </is>
      </c>
      <c r="B1139" t="inlineStr"/>
      <c r="C1139" t="inlineStr"/>
      <c r="D1139">
        <f>HYPERLINK("http://nlpdeep.cs.uic.edu:8080/proofing/t5/523175-past-medical-history-0-5.pdf","t5/523175-past-medical-history-0-5.pdf")</f>
        <v/>
      </c>
      <c r="E1139" t="n">
        <v>120842</v>
      </c>
      <c r="F1139" t="n">
        <v>523175</v>
      </c>
      <c r="G1139" t="inlineStr">
        <is>
          <t>Consult</t>
        </is>
      </c>
      <c r="H1139" t="inlineStr">
        <is>
          <t>past-medical-history</t>
        </is>
      </c>
      <c r="I1139" t="inlineStr">
        <is>
          <t>- s/p L TKR
   - History of rectal cancer s/p chemo, XRT, and s/p transanal rectal ca
   excision
   - s/p h</t>
        </is>
      </c>
    </row>
    <row r="1140">
      <c r="A1140" t="inlineStr">
        <is>
          <t>523175-past-medical-history-0-5</t>
        </is>
      </c>
      <c r="B1140" t="inlineStr"/>
      <c r="C1140" t="inlineStr"/>
      <c r="D1140">
        <f>HYPERLINK("http://nlpdeep.cs.uic.edu:8080/proofing/gsii/523175-past-medical-history-0-5.pdf","gsii/523175-past-medical-history-0-5.pdf")</f>
        <v/>
      </c>
      <c r="E1140" t="n">
        <v>120842</v>
      </c>
      <c r="F1140" t="n">
        <v>523175</v>
      </c>
      <c r="G1140" t="inlineStr">
        <is>
          <t>Consult</t>
        </is>
      </c>
      <c r="H1140" t="inlineStr">
        <is>
          <t>past-medical-history</t>
        </is>
      </c>
      <c r="I1140" t="inlineStr">
        <is>
          <t>- s/p L TKR
   - History of rectal cancer s/p chemo, XRT, and s/p transanal rectal ca
   excision
   - s/p h</t>
        </is>
      </c>
    </row>
    <row r="1141">
      <c r="A1141" t="inlineStr">
        <is>
          <t>523175-social-and-family-history-0-0</t>
        </is>
      </c>
      <c r="B1141" t="inlineStr"/>
      <c r="C1141" t="inlineStr"/>
      <c r="D1141">
        <f>HYPERLINK("http://nlpdeep.cs.uic.edu:8080/proofing/t5/523175-social-and-family-history-0-0.pdf","t5/523175-social-and-family-history-0-0.pdf")</f>
        <v/>
      </c>
      <c r="E1141" t="n">
        <v>120842</v>
      </c>
      <c r="F1141" t="n">
        <v>523175</v>
      </c>
      <c r="G1141" t="inlineStr">
        <is>
          <t>Consult</t>
        </is>
      </c>
      <c r="H1141" t="inlineStr">
        <is>
          <t>social-and-family-history</t>
        </is>
      </c>
      <c r="I1141" t="inlineStr">
        <is>
          <t>Has 11 children and 27 grandchildren.</t>
        </is>
      </c>
    </row>
    <row r="1142">
      <c r="A1142" t="inlineStr">
        <is>
          <t>523175-social-and-family-history-0-0</t>
        </is>
      </c>
      <c r="B1142" t="inlineStr"/>
      <c r="C1142" t="inlineStr"/>
      <c r="D1142">
        <f>HYPERLINK("http://nlpdeep.cs.uic.edu:8080/proofing/gsii/523175-social-and-family-history-0-0.pdf","gsii/523175-social-and-family-history-0-0.pdf")</f>
        <v/>
      </c>
      <c r="E1142" t="n">
        <v>120842</v>
      </c>
      <c r="F1142" t="n">
        <v>523175</v>
      </c>
      <c r="G1142" t="inlineStr">
        <is>
          <t>Consult</t>
        </is>
      </c>
      <c r="H1142" t="inlineStr">
        <is>
          <t>social-and-family-history</t>
        </is>
      </c>
      <c r="I1142" t="inlineStr">
        <is>
          <t>Has 11 children and 27 grandchildren.</t>
        </is>
      </c>
    </row>
    <row r="1143">
      <c r="A1143" t="inlineStr">
        <is>
          <t>523175-social-and-family-history-0-1</t>
        </is>
      </c>
      <c r="B1143" t="inlineStr"/>
      <c r="C1143" t="inlineStr"/>
      <c r="D1143">
        <f>HYPERLINK("http://nlpdeep.cs.uic.edu:8080/proofing/t5/523175-social-and-family-history-0-1.pdf","t5/523175-social-and-family-history-0-1.pdf")</f>
        <v/>
      </c>
      <c r="E1143" t="n">
        <v>120842</v>
      </c>
      <c r="F1143" t="n">
        <v>523175</v>
      </c>
      <c r="G1143" t="inlineStr">
        <is>
          <t>Consult</t>
        </is>
      </c>
      <c r="H1143" t="inlineStr">
        <is>
          <t>social-and-family-history</t>
        </is>
      </c>
      <c r="I1143" t="inlineStr">
        <is>
          <t>She lives alone but has help from
   her many children.</t>
        </is>
      </c>
    </row>
    <row r="1144">
      <c r="A1144" t="inlineStr">
        <is>
          <t>523175-social-and-family-history-0-1</t>
        </is>
      </c>
      <c r="B1144" t="inlineStr"/>
      <c r="C1144" t="inlineStr"/>
      <c r="D1144">
        <f>HYPERLINK("http://nlpdeep.cs.uic.edu:8080/proofing/gsii/523175-social-and-family-history-0-1.pdf","gsii/523175-social-and-family-history-0-1.pdf")</f>
        <v/>
      </c>
      <c r="E1144" t="n">
        <v>120842</v>
      </c>
      <c r="F1144" t="n">
        <v>523175</v>
      </c>
      <c r="G1144" t="inlineStr">
        <is>
          <t>Consult</t>
        </is>
      </c>
      <c r="H1144" t="inlineStr">
        <is>
          <t>social-and-family-history</t>
        </is>
      </c>
      <c r="I1144" t="inlineStr">
        <is>
          <t>She lives alone but has help from
   her many children.</t>
        </is>
      </c>
    </row>
    <row r="1145">
      <c r="A1145" t="inlineStr">
        <is>
          <t>523175-social-and-family-history-0-2</t>
        </is>
      </c>
      <c r="B1145" t="inlineStr"/>
      <c r="C1145" t="inlineStr"/>
      <c r="D1145">
        <f>HYPERLINK("http://nlpdeep.cs.uic.edu:8080/proofing/t5/523175-social-and-family-history-0-2.pdf","t5/523175-social-and-family-history-0-2.pdf")</f>
        <v/>
      </c>
      <c r="E1145" t="n">
        <v>120842</v>
      </c>
      <c r="F1145" t="n">
        <v>523175</v>
      </c>
      <c r="G1145" t="inlineStr">
        <is>
          <t>Consult</t>
        </is>
      </c>
      <c r="H1145" t="inlineStr">
        <is>
          <t>social-and-family-history</t>
        </is>
      </c>
      <c r="I1145" t="inlineStr">
        <is>
          <t>Patient is a former smoker with 40-60 pack year
   smoking history but quit over 10 years prior.</t>
        </is>
      </c>
    </row>
    <row r="1146">
      <c r="A1146" t="inlineStr">
        <is>
          <t>523175-social-and-family-history-0-2</t>
        </is>
      </c>
      <c r="B1146" t="inlineStr"/>
      <c r="C1146" t="inlineStr"/>
      <c r="D1146">
        <f>HYPERLINK("http://nlpdeep.cs.uic.edu:8080/proofing/gsii/523175-social-and-family-history-0-2.pdf","gsii/523175-social-and-family-history-0-2.pdf")</f>
        <v/>
      </c>
      <c r="E1146" t="n">
        <v>120842</v>
      </c>
      <c r="F1146" t="n">
        <v>523175</v>
      </c>
      <c r="G1146" t="inlineStr">
        <is>
          <t>Consult</t>
        </is>
      </c>
      <c r="H1146" t="inlineStr">
        <is>
          <t>social-and-family-history</t>
        </is>
      </c>
      <c r="I1146" t="inlineStr">
        <is>
          <t>Patient is a former smoker with 40-60 pack year
   smoking history but quit over 10 years prior.</t>
        </is>
      </c>
    </row>
    <row r="1147">
      <c r="A1147" t="inlineStr">
        <is>
          <t>523175-social-and-family-history-0-3</t>
        </is>
      </c>
      <c r="B1147" t="inlineStr"/>
      <c r="C1147" t="inlineStr"/>
      <c r="D1147">
        <f>HYPERLINK("http://nlpdeep.cs.uic.edu:8080/proofing/t5/523175-social-and-family-history-0-3.pdf","t5/523175-social-and-family-history-0-3.pdf")</f>
        <v/>
      </c>
      <c r="E1147" t="n">
        <v>120842</v>
      </c>
      <c r="F1147" t="n">
        <v>523175</v>
      </c>
      <c r="G1147" t="inlineStr">
        <is>
          <t>Consult</t>
        </is>
      </c>
      <c r="H1147" t="inlineStr">
        <is>
          <t>social-and-family-history</t>
        </is>
      </c>
      <c r="I1147" t="inlineStr">
        <is>
          <t>No alcohol use.</t>
        </is>
      </c>
    </row>
    <row r="1148">
      <c r="A1148" t="inlineStr">
        <is>
          <t>523175-social-and-family-history-0-3</t>
        </is>
      </c>
      <c r="B1148" t="inlineStr"/>
      <c r="C1148" t="inlineStr"/>
      <c r="D1148">
        <f>HYPERLINK("http://nlpdeep.cs.uic.edu:8080/proofing/gsii/523175-social-and-family-history-0-3.pdf","gsii/523175-social-and-family-history-0-3.pdf")</f>
        <v/>
      </c>
      <c r="E1148" t="n">
        <v>120842</v>
      </c>
      <c r="F1148" t="n">
        <v>523175</v>
      </c>
      <c r="G1148" t="inlineStr">
        <is>
          <t>Consult</t>
        </is>
      </c>
      <c r="H1148" t="inlineStr">
        <is>
          <t>social-and-family-history</t>
        </is>
      </c>
      <c r="I1148" t="inlineStr">
        <is>
          <t>No alcohol use.</t>
        </is>
      </c>
    </row>
    <row r="1149">
      <c r="A1149" t="inlineStr">
        <is>
          <t>523175-social-and-family-history-0-4</t>
        </is>
      </c>
      <c r="B1149" t="inlineStr"/>
      <c r="C1149" t="inlineStr"/>
      <c r="D1149">
        <f>HYPERLINK("http://nlpdeep.cs.uic.edu:8080/proofing/t5/523175-social-and-family-history-0-4.pdf","t5/523175-social-and-family-history-0-4.pdf")</f>
        <v/>
      </c>
      <c r="E1149" t="n">
        <v>120842</v>
      </c>
      <c r="F1149" t="n">
        <v>523175</v>
      </c>
      <c r="G1149" t="inlineStr">
        <is>
          <t>Consult</t>
        </is>
      </c>
      <c r="H1149" t="inlineStr">
        <is>
          <t>social-and-family-history</t>
        </is>
      </c>
      <c r="I1149" t="inlineStr">
        <is>
          <t xml:space="preserve">
   Review of systems otherwise negative.</t>
        </is>
      </c>
    </row>
    <row r="1150">
      <c r="A1150" t="inlineStr">
        <is>
          <t>523175-social-and-family-history-0-4</t>
        </is>
      </c>
      <c r="B1150" t="inlineStr"/>
      <c r="C1150" t="inlineStr"/>
      <c r="D1150">
        <f>HYPERLINK("http://nlpdeep.cs.uic.edu:8080/proofing/gsii/523175-social-and-family-history-0-4.pdf","gsii/523175-social-and-family-history-0-4.pdf")</f>
        <v/>
      </c>
      <c r="E1150" t="n">
        <v>120842</v>
      </c>
      <c r="F1150" t="n">
        <v>523175</v>
      </c>
      <c r="G1150" t="inlineStr">
        <is>
          <t>Consult</t>
        </is>
      </c>
      <c r="H1150" t="inlineStr">
        <is>
          <t>social-and-family-history</t>
        </is>
      </c>
      <c r="I1150" t="inlineStr">
        <is>
          <t xml:space="preserve">
   Review of systems otherwise negative.</t>
        </is>
      </c>
    </row>
    <row r="1151">
      <c r="A1151" t="inlineStr">
        <is>
          <t>523175-physical-examination-0-0</t>
        </is>
      </c>
      <c r="B1151" t="inlineStr"/>
      <c r="C1151" t="inlineStr"/>
      <c r="D1151">
        <f>HYPERLINK("http://nlpdeep.cs.uic.edu:8080/proofing/t5/523175-physical-examination-0-0.pdf","t5/523175-physical-examination-0-0.pdf")</f>
        <v/>
      </c>
      <c r="E1151" t="n">
        <v>120842</v>
      </c>
      <c r="F1151" t="n">
        <v>523175</v>
      </c>
      <c r="G1151" t="inlineStr">
        <is>
          <t>Consult</t>
        </is>
      </c>
      <c r="H1151" t="inlineStr">
        <is>
          <t>physical-examination</t>
        </is>
      </c>
      <c r="I1151" t="inlineStr">
        <is>
          <t>VS - Temp 98F, BP 141/53, HR 79, RR 18, O2-sat 97% 3L
   GENERAL -  labored respirtaions but NAD
   NECK - supple, JVP ~8 cm, no carotid bruits, 2+ carotid pulses
   LUNGS - labored respirations with poor air movement and using acessory
   muscles, wheezing throughout.</t>
        </is>
      </c>
    </row>
    <row r="1152">
      <c r="A1152" t="inlineStr">
        <is>
          <t>523175-physical-examination-0-0</t>
        </is>
      </c>
      <c r="B1152" t="inlineStr"/>
      <c r="C1152" t="inlineStr"/>
      <c r="D1152">
        <f>HYPERLINK("http://nlpdeep.cs.uic.edu:8080/proofing/gsii/523175-physical-examination-0-0.pdf","gsii/523175-physical-examination-0-0.pdf")</f>
        <v/>
      </c>
      <c r="E1152" t="n">
        <v>120842</v>
      </c>
      <c r="F1152" t="n">
        <v>523175</v>
      </c>
      <c r="G1152" t="inlineStr">
        <is>
          <t>Consult</t>
        </is>
      </c>
      <c r="H1152" t="inlineStr">
        <is>
          <t>physical-examination</t>
        </is>
      </c>
      <c r="I1152" t="inlineStr">
        <is>
          <t>VS - Temp 98F, BP 141/53, HR 79, RR 18, O2-sat 97% 3L
   GENERAL -  labored respirtaions but NAD
   NECK - supple, JVP ~8 cm, no carotid bruits, 2+ carotid pulses
   LUNGS - labored respirations with poor air movement and using acessory
   muscles, wheezing throughout.</t>
        </is>
      </c>
    </row>
    <row r="1153">
      <c r="A1153" t="inlineStr">
        <is>
          <t>523175-physical-examination-0-1</t>
        </is>
      </c>
      <c r="B1153" t="inlineStr"/>
      <c r="C1153" t="inlineStr"/>
      <c r="D1153">
        <f>HYPERLINK("http://nlpdeep.cs.uic.edu:8080/proofing/t5/523175-physical-examination-0-1.pdf","t5/523175-physical-examination-0-1.pdf")</f>
        <v/>
      </c>
      <c r="E1153" t="n">
        <v>120842</v>
      </c>
      <c r="F1153" t="n">
        <v>523175</v>
      </c>
      <c r="G1153" t="inlineStr">
        <is>
          <t>Consult</t>
        </is>
      </c>
      <c r="H1153" t="inlineStr">
        <is>
          <t>physical-examination</t>
        </is>
      </c>
      <c r="I1153" t="inlineStr">
        <is>
          <t>HEART - PMI non-displaced, RRR, no MRG, nl S1-S2, no S3 or S4 h</t>
        </is>
      </c>
    </row>
    <row r="1154">
      <c r="A1154" t="inlineStr">
        <is>
          <t>523175-physical-examination-0-1</t>
        </is>
      </c>
      <c r="B1154" t="inlineStr"/>
      <c r="C1154" t="inlineStr"/>
      <c r="D1154">
        <f>HYPERLINK("http://nlpdeep.cs.uic.edu:8080/proofing/gsii/523175-physical-examination-0-1.pdf","gsii/523175-physical-examination-0-1.pdf")</f>
        <v/>
      </c>
      <c r="E1154" t="n">
        <v>120842</v>
      </c>
      <c r="F1154" t="n">
        <v>523175</v>
      </c>
      <c r="G1154" t="inlineStr">
        <is>
          <t>Consult</t>
        </is>
      </c>
      <c r="H1154" t="inlineStr">
        <is>
          <t>physical-examination</t>
        </is>
      </c>
      <c r="I1154" t="inlineStr">
        <is>
          <t>HEART - PMI non-displaced, RRR, no MRG, nl S1-S2, no S3 or S4 h</t>
        </is>
      </c>
    </row>
    <row r="1155">
      <c r="A1155" t="inlineStr">
        <is>
          <t>523175-labs-imaging-0-0</t>
        </is>
      </c>
      <c r="B1155" t="inlineStr"/>
      <c r="C1155" t="inlineStr"/>
      <c r="D1155">
        <f>HYPERLINK("http://nlpdeep.cs.uic.edu:8080/proofing/t5/523175-labs-imaging-0-0.pdf","t5/523175-labs-imaging-0-0.pdf")</f>
        <v/>
      </c>
      <c r="E1155" t="n">
        <v>120842</v>
      </c>
      <c r="F1155" t="n">
        <v>523175</v>
      </c>
      <c r="G1155" t="inlineStr">
        <is>
          <t>Consult</t>
        </is>
      </c>
      <c r="H1155" t="inlineStr">
        <is>
          <t>labs-imaging</t>
        </is>
      </c>
      <c r="I1155" t="inlineStr">
        <is>
          <t>.</t>
        </is>
      </c>
    </row>
    <row r="1156">
      <c r="A1156" t="inlineStr">
        <is>
          <t>523175-labs-imaging-0-0</t>
        </is>
      </c>
      <c r="B1156" t="inlineStr"/>
      <c r="C1156" t="inlineStr"/>
      <c r="D1156">
        <f>HYPERLINK("http://nlpdeep.cs.uic.edu:8080/proofing/gsii/523175-labs-imaging-0-0.pdf","gsii/523175-labs-imaging-0-0.pdf")</f>
        <v/>
      </c>
      <c r="E1156" t="n">
        <v>120842</v>
      </c>
      <c r="F1156" t="n">
        <v>523175</v>
      </c>
      <c r="G1156" t="inlineStr">
        <is>
          <t>Consult</t>
        </is>
      </c>
      <c r="H1156" t="inlineStr">
        <is>
          <t>labs-imaging</t>
        </is>
      </c>
      <c r="I1156" t="inlineStr">
        <is>
          <t>.</t>
        </is>
      </c>
    </row>
    <row r="1157">
      <c r="A1157" t="inlineStr">
        <is>
          <t>523175-labs-imaging-0-1</t>
        </is>
      </c>
      <c r="B1157" t="inlineStr"/>
      <c r="C1157" t="inlineStr"/>
      <c r="D1157">
        <f>HYPERLINK("http://nlpdeep.cs.uic.edu:8080/proofing/t5/523175-labs-imaging-0-1.pdf","t5/523175-labs-imaging-0-1.pdf")</f>
        <v/>
      </c>
      <c r="E1157" t="n">
        <v>120842</v>
      </c>
      <c r="F1157" t="n">
        <v>523175</v>
      </c>
      <c r="G1157" t="inlineStr">
        <is>
          <t>Consult</t>
        </is>
      </c>
      <c r="H1157" t="inlineStr">
        <is>
          <t>labs-imaging</t>
        </is>
      </c>
      <c r="I1157" t="inlineStr">
        <is>
          <t xml:space="preserve">
   138   100      20                     11.3
   ---|-------|------&lt; 187   .</t>
        </is>
      </c>
    </row>
    <row r="1158">
      <c r="A1158" t="inlineStr">
        <is>
          <t>523175-labs-imaging-0-1</t>
        </is>
      </c>
      <c r="B1158" t="inlineStr"/>
      <c r="C1158" t="inlineStr"/>
      <c r="D1158">
        <f>HYPERLINK("http://nlpdeep.cs.uic.edu:8080/proofing/gsii/523175-labs-imaging-0-1.pdf","gsii/523175-labs-imaging-0-1.pdf")</f>
        <v/>
      </c>
      <c r="E1158" t="n">
        <v>120842</v>
      </c>
      <c r="F1158" t="n">
        <v>523175</v>
      </c>
      <c r="G1158" t="inlineStr">
        <is>
          <t>Consult</t>
        </is>
      </c>
      <c r="H1158" t="inlineStr">
        <is>
          <t>labs-imaging</t>
        </is>
      </c>
      <c r="I1158" t="inlineStr">
        <is>
          <t xml:space="preserve">
   138   100      20                     11.3
   ---|-------|------&lt; 187   .</t>
        </is>
      </c>
    </row>
    <row r="1159">
      <c r="A1159" t="inlineStr">
        <is>
          <t>523175-assessment-and-plan-0-0</t>
        </is>
      </c>
      <c r="B1159" t="inlineStr"/>
      <c r="C1159" t="inlineStr"/>
      <c r="D1159">
        <f>HYPERLINK("http://nlpdeep.cs.uic.edu:8080/proofing/t5/523175-assessment-and-plan-0-0.pdf","t5/523175-assessment-and-plan-0-0.pdf")</f>
        <v/>
      </c>
      <c r="E1159" t="n">
        <v>120842</v>
      </c>
      <c r="F1159" t="n">
        <v>523175</v>
      </c>
      <c r="G1159" t="inlineStr">
        <is>
          <t>Consult</t>
        </is>
      </c>
      <c r="H1159" t="inlineStr">
        <is>
          <t>assessment-and-plan</t>
        </is>
      </c>
      <c r="I1159" t="inlineStr">
        <is>
          <t>- EKG
s and telemetry strips were reviewed.</t>
        </is>
      </c>
    </row>
    <row r="1160">
      <c r="A1160" t="inlineStr">
        <is>
          <t>523175-assessment-and-plan-0-0</t>
        </is>
      </c>
      <c r="B1160" t="inlineStr"/>
      <c r="C1160" t="inlineStr"/>
      <c r="D1160">
        <f>HYPERLINK("http://nlpdeep.cs.uic.edu:8080/proofing/gsii/523175-assessment-and-plan-0-0.pdf","gsii/523175-assessment-and-plan-0-0.pdf")</f>
        <v/>
      </c>
      <c r="E1160" t="n">
        <v>120842</v>
      </c>
      <c r="F1160" t="n">
        <v>523175</v>
      </c>
      <c r="G1160" t="inlineStr">
        <is>
          <t>Consult</t>
        </is>
      </c>
      <c r="H1160" t="inlineStr">
        <is>
          <t>assessment-and-plan</t>
        </is>
      </c>
      <c r="I1160" t="inlineStr">
        <is>
          <t>- EKG
s and telemetry strips were reviewed.</t>
        </is>
      </c>
    </row>
    <row r="1161">
      <c r="A1161" t="inlineStr">
        <is>
          <t>523175-assessment-and-plan-0-1</t>
        </is>
      </c>
      <c r="B1161" t="inlineStr"/>
      <c r="C1161" t="inlineStr"/>
      <c r="D1161">
        <f>HYPERLINK("http://nlpdeep.cs.uic.edu:8080/proofing/t5/523175-assessment-and-plan-0-1.pdf","t5/523175-assessment-and-plan-0-1.pdf")</f>
        <v/>
      </c>
      <c r="E1161" t="n">
        <v>120842</v>
      </c>
      <c r="F1161" t="n">
        <v>523175</v>
      </c>
      <c r="G1161" t="inlineStr">
        <is>
          <t>Consult</t>
        </is>
      </c>
      <c r="H1161" t="inlineStr">
        <is>
          <t>assessment-and-plan</t>
        </is>
      </c>
      <c r="I1161" t="inlineStr">
        <is>
          <t>Tachycardia is a short RP
   tachycardia likely AVNRT.</t>
        </is>
      </c>
    </row>
    <row r="1162">
      <c r="A1162" t="inlineStr">
        <is>
          <t>523175-assessment-and-plan-0-1</t>
        </is>
      </c>
      <c r="B1162" t="inlineStr"/>
      <c r="C1162" t="inlineStr"/>
      <c r="D1162">
        <f>HYPERLINK("http://nlpdeep.cs.uic.edu:8080/proofing/gsii/523175-assessment-and-plan-0-1.pdf","gsii/523175-assessment-and-plan-0-1.pdf")</f>
        <v/>
      </c>
      <c r="E1162" t="n">
        <v>120842</v>
      </c>
      <c r="F1162" t="n">
        <v>523175</v>
      </c>
      <c r="G1162" t="inlineStr">
        <is>
          <t>Consult</t>
        </is>
      </c>
      <c r="H1162" t="inlineStr">
        <is>
          <t>assessment-and-plan</t>
        </is>
      </c>
      <c r="I1162" t="inlineStr">
        <is>
          <t>Tachycardia is a short RP
   tachycardia likely AVNRT.</t>
        </is>
      </c>
    </row>
    <row r="1163">
      <c r="A1163" t="inlineStr">
        <is>
          <t>523175-assessment-and-plan-0-2</t>
        </is>
      </c>
      <c r="B1163" t="inlineStr"/>
      <c r="C1163" t="inlineStr"/>
      <c r="D1163">
        <f>HYPERLINK("http://nlpdeep.cs.uic.edu:8080/proofing/t5/523175-assessment-and-plan-0-2.pdf","t5/523175-assessment-and-plan-0-2.pdf")</f>
        <v/>
      </c>
      <c r="E1163" t="n">
        <v>120842</v>
      </c>
      <c r="F1163" t="n">
        <v>523175</v>
      </c>
      <c r="G1163" t="inlineStr">
        <is>
          <t>Consult</t>
        </is>
      </c>
      <c r="H1163" t="inlineStr">
        <is>
          <t>assessment-and-plan</t>
        </is>
      </c>
      <c r="I1163" t="inlineStr">
        <is>
          <t xml:space="preserve">
   - Recommendation:
   1)Increase diltiazem to 60mg QID for now and increase as tolerated
   2)Patient will eventually need an ablation procedure when stable
   respiratory status
This patient was seen, discussed and evaluated with
Dr. [**Last Name (STitle) 5152**].</t>
        </is>
      </c>
    </row>
    <row r="1164">
      <c r="A1164" t="inlineStr">
        <is>
          <t>523175-assessment-and-plan-0-2</t>
        </is>
      </c>
      <c r="B1164" t="inlineStr"/>
      <c r="C1164" t="inlineStr"/>
      <c r="D1164">
        <f>HYPERLINK("http://nlpdeep.cs.uic.edu:8080/proofing/gsii/523175-assessment-and-plan-0-2.pdf","gsii/523175-assessment-and-plan-0-2.pdf")</f>
        <v/>
      </c>
      <c r="E1164" t="n">
        <v>120842</v>
      </c>
      <c r="F1164" t="n">
        <v>523175</v>
      </c>
      <c r="G1164" t="inlineStr">
        <is>
          <t>Consult</t>
        </is>
      </c>
      <c r="H1164" t="inlineStr">
        <is>
          <t>assessment-and-plan</t>
        </is>
      </c>
      <c r="I1164" t="inlineStr">
        <is>
          <t xml:space="preserve">
   - Recommendation:
   1)Increase diltiazem to 60mg QID for now and increase as tolerated
   2)Patient will eventually need an ablation procedure when stable
   respiratory status
This patient was seen, discussed and evaluated with
Dr. [**Last Name (STitle) 5152**].</t>
        </is>
      </c>
    </row>
    <row r="1165">
      <c r="A1165" t="inlineStr">
        <is>
          <t>523175-assessment-and-plan-0-3</t>
        </is>
      </c>
      <c r="B1165" t="inlineStr"/>
      <c r="C1165" t="inlineStr"/>
      <c r="D1165">
        <f>HYPERLINK("http://nlpdeep.cs.uic.edu:8080/proofing/t5/523175-assessment-and-plan-0-3.pdf","t5/523175-assessment-and-plan-0-3.pdf")</f>
        <v/>
      </c>
      <c r="E1165" t="n">
        <v>120842</v>
      </c>
      <c r="F1165" t="n">
        <v>523175</v>
      </c>
      <c r="G1165" t="inlineStr">
        <is>
          <t>Consult</t>
        </is>
      </c>
      <c r="H1165" t="inlineStr">
        <is>
          <t>assessment-and-plan</t>
        </is>
      </c>
      <c r="I1165" t="inlineStr">
        <is>
          <t>Please see his/her note in the inpatient
medical record for additional comments.</t>
        </is>
      </c>
    </row>
    <row r="1166">
      <c r="A1166" t="inlineStr">
        <is>
          <t>523175-assessment-and-plan-0-3</t>
        </is>
      </c>
      <c r="B1166" t="inlineStr"/>
      <c r="C1166" t="inlineStr"/>
      <c r="D1166">
        <f>HYPERLINK("http://nlpdeep.cs.uic.edu:8080/proofing/gsii/523175-assessment-and-plan-0-3.pdf","gsii/523175-assessment-and-plan-0-3.pdf")</f>
        <v/>
      </c>
      <c r="E1166" t="n">
        <v>120842</v>
      </c>
      <c r="F1166" t="n">
        <v>523175</v>
      </c>
      <c r="G1166" t="inlineStr">
        <is>
          <t>Consult</t>
        </is>
      </c>
      <c r="H1166" t="inlineStr">
        <is>
          <t>assessment-and-plan</t>
        </is>
      </c>
      <c r="I1166" t="inlineStr">
        <is>
          <t>Please see his/her note in the inpatient
medical record for additional comments.</t>
        </is>
      </c>
    </row>
    <row r="1167">
      <c r="A1167" t="inlineStr">
        <is>
          <t>523151-reason-0-0</t>
        </is>
      </c>
      <c r="B1167" t="inlineStr"/>
      <c r="C1167" t="inlineStr"/>
      <c r="D1167">
        <f>HYPERLINK("http://nlpdeep.cs.uic.edu:8080/proofing/t5/523151-reason-0-0.pdf","t5/523151-reason-0-0.pdf")</f>
        <v/>
      </c>
      <c r="E1167" t="n">
        <v>120842</v>
      </c>
      <c r="F1167" t="n">
        <v>523151</v>
      </c>
      <c r="G1167" t="inlineStr">
        <is>
          <t>Consult</t>
        </is>
      </c>
      <c r="H1167" t="inlineStr">
        <is>
          <t>reason</t>
        </is>
      </c>
      <c r="I1167" t="inlineStr">
        <is>
          <t>?AVNRT vs AVRT
   .</t>
        </is>
      </c>
    </row>
    <row r="1168">
      <c r="A1168" t="inlineStr">
        <is>
          <t>523151-reason-0-0</t>
        </is>
      </c>
      <c r="B1168" t="inlineStr"/>
      <c r="C1168" t="inlineStr"/>
      <c r="D1168">
        <f>HYPERLINK("http://nlpdeep.cs.uic.edu:8080/proofing/gsii/523151-reason-0-0.pdf","gsii/523151-reason-0-0.pdf")</f>
        <v/>
      </c>
      <c r="E1168" t="n">
        <v>120842</v>
      </c>
      <c r="F1168" t="n">
        <v>523151</v>
      </c>
      <c r="G1168" t="inlineStr">
        <is>
          <t>Consult</t>
        </is>
      </c>
      <c r="H1168" t="inlineStr">
        <is>
          <t>reason</t>
        </is>
      </c>
      <c r="I1168" t="inlineStr">
        <is>
          <t>?AVNRT vs AVRT
   .</t>
        </is>
      </c>
    </row>
    <row r="1169">
      <c r="A1169" t="inlineStr">
        <is>
          <t>523151-history-of-present-illness-0-0</t>
        </is>
      </c>
      <c r="B1169" t="inlineStr"/>
      <c r="C1169" t="inlineStr"/>
      <c r="D1169">
        <f>HYPERLINK("http://nlpdeep.cs.uic.edu:8080/proofing/t5/523151-history-of-present-illness-0-0.pdf","t5/523151-history-of-present-illness-0-0.pdf")</f>
        <v/>
      </c>
      <c r="E1169" t="n">
        <v>120842</v>
      </c>
      <c r="F1169" t="n">
        <v>523151</v>
      </c>
      <c r="G1169" t="inlineStr">
        <is>
          <t>Consult</t>
        </is>
      </c>
      <c r="H1169" t="inlineStr">
        <is>
          <t>history-of-present-illness</t>
        </is>
      </c>
      <c r="I1169" t="inlineStr">
        <is>
          <t>73 yo Spanish speaking F with COPD on home O2, diastolic CHF, right TKR
   one month ago who presented to the ED with shortness of breath.</t>
        </is>
      </c>
    </row>
    <row r="1170">
      <c r="A1170" t="inlineStr">
        <is>
          <t>523151-history-of-present-illness-0-0</t>
        </is>
      </c>
      <c r="B1170" t="inlineStr"/>
      <c r="C1170" t="inlineStr"/>
      <c r="D1170">
        <f>HYPERLINK("http://nlpdeep.cs.uic.edu:8080/proofing/gsii/523151-history-of-present-illness-0-0.pdf","gsii/523151-history-of-present-illness-0-0.pdf")</f>
        <v/>
      </c>
      <c r="E1170" t="n">
        <v>120842</v>
      </c>
      <c r="F1170" t="n">
        <v>523151</v>
      </c>
      <c r="G1170" t="inlineStr">
        <is>
          <t>Consult</t>
        </is>
      </c>
      <c r="H1170" t="inlineStr">
        <is>
          <t>history-of-present-illness</t>
        </is>
      </c>
      <c r="I1170" t="inlineStr">
        <is>
          <t>73 yo Spanish speaking F with COPD on home O2, diastolic CHF, right TKR
   one month ago who presented to the ED with shortness of breath.</t>
        </is>
      </c>
    </row>
    <row r="1171">
      <c r="A1171" t="inlineStr">
        <is>
          <t>523151-history-of-present-illness-0-1</t>
        </is>
      </c>
      <c r="B1171" t="inlineStr"/>
      <c r="C1171" t="inlineStr"/>
      <c r="D1171">
        <f>HYPERLINK("http://nlpdeep.cs.uic.edu:8080/proofing/t5/523151-history-of-present-illness-0-1.pdf","t5/523151-history-of-present-illness-0-1.pdf")</f>
        <v/>
      </c>
      <c r="E1171" t="n">
        <v>120842</v>
      </c>
      <c r="F1171" t="n">
        <v>523151</v>
      </c>
      <c r="G1171" t="inlineStr">
        <is>
          <t>Consult</t>
        </is>
      </c>
      <c r="H1171" t="inlineStr">
        <is>
          <t>history-of-present-illness</t>
        </is>
      </c>
      <c r="I1171" t="inlineStr">
        <is>
          <t>In the
   ED she had an episode of SVT (of which she had another episode as
   recently [**3-26**] in the ED, broken with adenosine) that broke with high
   flow oxygen therapy alone.</t>
        </is>
      </c>
    </row>
    <row r="1172">
      <c r="A1172" t="inlineStr">
        <is>
          <t>523151-history-of-present-illness-0-1</t>
        </is>
      </c>
      <c r="B1172" t="inlineStr"/>
      <c r="C1172" t="inlineStr"/>
      <c r="D1172">
        <f>HYPERLINK("http://nlpdeep.cs.uic.edu:8080/proofing/gsii/523151-history-of-present-illness-0-1.pdf","gsii/523151-history-of-present-illness-0-1.pdf")</f>
        <v/>
      </c>
      <c r="E1172" t="n">
        <v>120842</v>
      </c>
      <c r="F1172" t="n">
        <v>523151</v>
      </c>
      <c r="G1172" t="inlineStr">
        <is>
          <t>Consult</t>
        </is>
      </c>
      <c r="H1172" t="inlineStr">
        <is>
          <t>history-of-present-illness</t>
        </is>
      </c>
      <c r="I1172" t="inlineStr">
        <is>
          <t>In the
   ED she had an episode of SVT (of which she had another episode as
   recently [**3-26**] in the ED, broken with adenosine) that broke with high
   flow oxygen therapy alone.</t>
        </is>
      </c>
    </row>
    <row r="1173">
      <c r="A1173" t="inlineStr">
        <is>
          <t>523151-history-of-present-illness-0-2</t>
        </is>
      </c>
      <c r="B1173" t="inlineStr"/>
      <c r="C1173" t="inlineStr"/>
      <c r="D1173">
        <f>HYPERLINK("http://nlpdeep.cs.uic.edu:8080/proofing/t5/523151-history-of-present-illness-0-2.pdf","t5/523151-history-of-present-illness-0-2.pdf")</f>
        <v/>
      </c>
      <c r="E1173" t="n">
        <v>120842</v>
      </c>
      <c r="F1173" t="n">
        <v>523151</v>
      </c>
      <c r="G1173" t="inlineStr">
        <is>
          <t>Consult</t>
        </is>
      </c>
      <c r="H1173" t="inlineStr">
        <is>
          <t>history-of-present-illness</t>
        </is>
      </c>
      <c r="I1173" t="inlineStr">
        <is>
          <t>She was initially admitted to the MICU where
   she had another episode of SVT that also broke with O2 therapy.</t>
        </is>
      </c>
    </row>
    <row r="1174">
      <c r="A1174" t="inlineStr">
        <is>
          <t>523151-history-of-present-illness-0-2</t>
        </is>
      </c>
      <c r="B1174" t="inlineStr"/>
      <c r="C1174" t="inlineStr"/>
      <c r="D1174">
        <f>HYPERLINK("http://nlpdeep.cs.uic.edu:8080/proofing/gsii/523151-history-of-present-illness-0-2.pdf","gsii/523151-history-of-present-illness-0-2.pdf")</f>
        <v/>
      </c>
      <c r="E1174" t="n">
        <v>120842</v>
      </c>
      <c r="F1174" t="n">
        <v>523151</v>
      </c>
      <c r="G1174" t="inlineStr">
        <is>
          <t>Consult</t>
        </is>
      </c>
      <c r="H1174" t="inlineStr">
        <is>
          <t>history-of-present-illness</t>
        </is>
      </c>
      <c r="I1174" t="inlineStr">
        <is>
          <t>She was initially admitted to the MICU where
   she had another episode of SVT that also broke with O2 therapy.</t>
        </is>
      </c>
    </row>
    <row r="1175">
      <c r="A1175" t="inlineStr">
        <is>
          <t>523151-history-of-present-illness-0-3</t>
        </is>
      </c>
      <c r="B1175" t="inlineStr"/>
      <c r="C1175" t="inlineStr"/>
      <c r="D1175">
        <f>HYPERLINK("http://nlpdeep.cs.uic.edu:8080/proofing/t5/523151-history-of-present-illness-0-3.pdf","t5/523151-history-of-present-illness-0-3.pdf")</f>
        <v/>
      </c>
      <c r="E1175" t="n">
        <v>120842</v>
      </c>
      <c r="F1175" t="n">
        <v>523151</v>
      </c>
      <c r="G1175" t="inlineStr">
        <is>
          <t>Consult</t>
        </is>
      </c>
      <c r="H1175" t="inlineStr">
        <is>
          <t>history-of-present-illness</t>
        </is>
      </c>
      <c r="I1175" t="inlineStr">
        <is>
          <t xml:space="preserve">
   [**Hospital **] transfered to the floor but again had an episode of SVT to
   120's and respiratory distress and transfered back to the MICU.</t>
        </is>
      </c>
    </row>
    <row r="1176">
      <c r="A1176" t="inlineStr">
        <is>
          <t>523151-history-of-present-illness-0-3</t>
        </is>
      </c>
      <c r="B1176" t="inlineStr"/>
      <c r="C1176" t="inlineStr"/>
      <c r="D1176">
        <f>HYPERLINK("http://nlpdeep.cs.uic.edu:8080/proofing/gsii/523151-history-of-present-illness-0-3.pdf","gsii/523151-history-of-present-illness-0-3.pdf")</f>
        <v/>
      </c>
      <c r="E1176" t="n">
        <v>120842</v>
      </c>
      <c r="F1176" t="n">
        <v>523151</v>
      </c>
      <c r="G1176" t="inlineStr">
        <is>
          <t>Consult</t>
        </is>
      </c>
      <c r="H1176" t="inlineStr">
        <is>
          <t>history-of-present-illness</t>
        </is>
      </c>
      <c r="I1176" t="inlineStr">
        <is>
          <t xml:space="preserve">
   [**Hospital **] transfered to the floor but again had an episode of SVT to
   120's and respiratory distress and transfered back to the MICU.</t>
        </is>
      </c>
    </row>
    <row r="1177">
      <c r="A1177" t="inlineStr">
        <is>
          <t>523151-history-of-present-illness-0-4</t>
        </is>
      </c>
      <c r="B1177" t="inlineStr"/>
      <c r="C1177" t="inlineStr"/>
      <c r="D1177">
        <f>HYPERLINK("http://nlpdeep.cs.uic.edu:8080/proofing/t5/523151-history-of-present-illness-0-4.pdf","t5/523151-history-of-present-illness-0-4.pdf")</f>
        <v/>
      </c>
      <c r="E1177" t="n">
        <v>120842</v>
      </c>
      <c r="F1177" t="n">
        <v>523151</v>
      </c>
      <c r="G1177" t="inlineStr">
        <is>
          <t>Consult</t>
        </is>
      </c>
      <c r="H1177" t="inlineStr">
        <is>
          <t>history-of-present-illness</t>
        </is>
      </c>
      <c r="I1177" t="inlineStr">
        <is>
          <t>In the
   MICU she was noted to have this episoded of SVT in the setting of cough
   spells despite having started diltiazem 30 mg PO QID on [**2153-4-8**].</t>
        </is>
      </c>
    </row>
    <row r="1178">
      <c r="A1178" t="inlineStr">
        <is>
          <t>523151-history-of-present-illness-0-4</t>
        </is>
      </c>
      <c r="B1178" t="inlineStr"/>
      <c r="C1178" t="inlineStr"/>
      <c r="D1178">
        <f>HYPERLINK("http://nlpdeep.cs.uic.edu:8080/proofing/gsii/523151-history-of-present-illness-0-4.pdf","gsii/523151-history-of-present-illness-0-4.pdf")</f>
        <v/>
      </c>
      <c r="E1178" t="n">
        <v>120842</v>
      </c>
      <c r="F1178" t="n">
        <v>523151</v>
      </c>
      <c r="G1178" t="inlineStr">
        <is>
          <t>Consult</t>
        </is>
      </c>
      <c r="H1178" t="inlineStr">
        <is>
          <t>history-of-present-illness</t>
        </is>
      </c>
      <c r="I1178" t="inlineStr">
        <is>
          <t>In the
   MICU she was noted to have this episoded of SVT in the setting of cough
   spells despite having started diltiazem 30 mg PO QID on [**2153-4-8**].</t>
        </is>
      </c>
    </row>
    <row r="1179">
      <c r="A1179" t="inlineStr">
        <is>
          <t>523151-history-of-present-illness-0-5</t>
        </is>
      </c>
      <c r="B1179" t="inlineStr"/>
      <c r="C1179" t="inlineStr"/>
      <c r="D1179">
        <f>HYPERLINK("http://nlpdeep.cs.uic.edu:8080/proofing/t5/523151-history-of-present-illness-0-5.pdf","t5/523151-history-of-present-illness-0-5.pdf")</f>
        <v/>
      </c>
      <c r="E1179" t="n">
        <v>120842</v>
      </c>
      <c r="F1179" t="n">
        <v>523151</v>
      </c>
      <c r="G1179" t="inlineStr">
        <is>
          <t>Consult</t>
        </is>
      </c>
      <c r="H1179" t="inlineStr">
        <is>
          <t>history-of-present-illness</t>
        </is>
      </c>
      <c r="I1179" t="inlineStr">
        <is>
          <t>Given
   her history of dCHF the medicine team is worried that she might be
   intermittently flashing when she is tachycardic.</t>
        </is>
      </c>
    </row>
    <row r="1180">
      <c r="A1180" t="inlineStr">
        <is>
          <t>523151-history-of-present-illness-0-5</t>
        </is>
      </c>
      <c r="B1180" t="inlineStr"/>
      <c r="C1180" t="inlineStr"/>
      <c r="D1180">
        <f>HYPERLINK("http://nlpdeep.cs.uic.edu:8080/proofing/gsii/523151-history-of-present-illness-0-5.pdf","gsii/523151-history-of-present-illness-0-5.pdf")</f>
        <v/>
      </c>
      <c r="E1180" t="n">
        <v>120842</v>
      </c>
      <c r="F1180" t="n">
        <v>523151</v>
      </c>
      <c r="G1180" t="inlineStr">
        <is>
          <t>Consult</t>
        </is>
      </c>
      <c r="H1180" t="inlineStr">
        <is>
          <t>history-of-present-illness</t>
        </is>
      </c>
      <c r="I1180" t="inlineStr">
        <is>
          <t>Given
   her history of dCHF the medicine team is worried that she might be
   intermittently flashing when she is tachycardic.</t>
        </is>
      </c>
    </row>
    <row r="1181">
      <c r="A1181" t="inlineStr">
        <is>
          <t>523151-history-of-present-illness-1-0</t>
        </is>
      </c>
      <c r="B1181" t="inlineStr"/>
      <c r="C1181" t="inlineStr"/>
      <c r="D1181">
        <f>HYPERLINK("http://nlpdeep.cs.uic.edu:8080/proofing/t5/523151-history-of-present-illness-1-0.pdf","t5/523151-history-of-present-illness-1-0.pdf")</f>
        <v/>
      </c>
      <c r="E1181" t="n">
        <v>120842</v>
      </c>
      <c r="F1181" t="n">
        <v>523151</v>
      </c>
      <c r="G1181" t="inlineStr">
        <is>
          <t>Consult</t>
        </is>
      </c>
      <c r="H1181" t="inlineStr">
        <is>
          <t>history-of-present-illness</t>
        </is>
      </c>
      <c r="I1181" t="inlineStr">
        <is>
          <t xml:space="preserve">
   Upon interviewing the patient she stated that she does not have a
   history of abnormal heart rhythms and that the first episode was the
   one on [**3-26**].</t>
        </is>
      </c>
    </row>
    <row r="1182">
      <c r="A1182" t="inlineStr">
        <is>
          <t>523151-history-of-present-illness-1-0</t>
        </is>
      </c>
      <c r="B1182" t="inlineStr"/>
      <c r="C1182" t="inlineStr"/>
      <c r="D1182">
        <f>HYPERLINK("http://nlpdeep.cs.uic.edu:8080/proofing/gsii/523151-history-of-present-illness-1-0.pdf","gsii/523151-history-of-present-illness-1-0.pdf")</f>
        <v/>
      </c>
      <c r="E1182" t="n">
        <v>120842</v>
      </c>
      <c r="F1182" t="n">
        <v>523151</v>
      </c>
      <c r="G1182" t="inlineStr">
        <is>
          <t>Consult</t>
        </is>
      </c>
      <c r="H1182" t="inlineStr">
        <is>
          <t>history-of-present-illness</t>
        </is>
      </c>
      <c r="I1182" t="inlineStr">
        <is>
          <t xml:space="preserve">
   Upon interviewing the patient she stated that she does not have a
   history of abnormal heart rhythms and that the first episode was the
   one on [**3-26**].</t>
        </is>
      </c>
    </row>
    <row r="1183">
      <c r="A1183" t="inlineStr">
        <is>
          <t>523151-history-of-present-illness-1-1</t>
        </is>
      </c>
      <c r="B1183" t="inlineStr"/>
      <c r="C1183" t="inlineStr"/>
      <c r="D1183">
        <f>HYPERLINK("http://nlpdeep.cs.uic.edu:8080/proofing/t5/523151-history-of-present-illness-1-1.pdf","t5/523151-history-of-present-illness-1-1.pdf")</f>
        <v/>
      </c>
      <c r="E1183" t="n">
        <v>120842</v>
      </c>
      <c r="F1183" t="n">
        <v>523151</v>
      </c>
      <c r="G1183" t="inlineStr">
        <is>
          <t>Consult</t>
        </is>
      </c>
      <c r="H1183" t="inlineStr">
        <is>
          <t>history-of-present-illness</t>
        </is>
      </c>
      <c r="I1183" t="inlineStr">
        <is>
          <t>She reports associated palpitations, chest tightness and
   SOB when she is having these episodes but denies dizziness or
   lightheadedness.</t>
        </is>
      </c>
    </row>
    <row r="1184">
      <c r="A1184" t="inlineStr">
        <is>
          <t>523151-history-of-present-illness-1-1</t>
        </is>
      </c>
      <c r="B1184" t="inlineStr"/>
      <c r="C1184" t="inlineStr"/>
      <c r="D1184">
        <f>HYPERLINK("http://nlpdeep.cs.uic.edu:8080/proofing/gsii/523151-history-of-present-illness-1-1.pdf","gsii/523151-history-of-present-illness-1-1.pdf")</f>
        <v/>
      </c>
      <c r="E1184" t="n">
        <v>120842</v>
      </c>
      <c r="F1184" t="n">
        <v>523151</v>
      </c>
      <c r="G1184" t="inlineStr">
        <is>
          <t>Consult</t>
        </is>
      </c>
      <c r="H1184" t="inlineStr">
        <is>
          <t>history-of-present-illness</t>
        </is>
      </c>
      <c r="I1184" t="inlineStr">
        <is>
          <t>She reports associated palpitations, chest tightness and
   SOB when she is having these episodes but denies dizziness or
   lightheadedness.</t>
        </is>
      </c>
    </row>
    <row r="1185">
      <c r="A1185" t="inlineStr">
        <is>
          <t>523151-history-of-present-illness-1-2</t>
        </is>
      </c>
      <c r="B1185" t="inlineStr"/>
      <c r="C1185" t="inlineStr"/>
      <c r="D1185">
        <f>HYPERLINK("http://nlpdeep.cs.uic.edu:8080/proofing/t5/523151-history-of-present-illness-1-2.pdf","t5/523151-history-of-present-illness-1-2.pdf")</f>
        <v/>
      </c>
      <c r="E1185" t="n">
        <v>120842</v>
      </c>
      <c r="F1185" t="n">
        <v>523151</v>
      </c>
      <c r="G1185" t="inlineStr">
        <is>
          <t>Consult</t>
        </is>
      </c>
      <c r="H1185" t="inlineStr">
        <is>
          <t>history-of-present-illness</t>
        </is>
      </c>
      <c r="I1185" t="inlineStr">
        <is>
          <t xml:space="preserve">
   .</t>
        </is>
      </c>
    </row>
    <row r="1186">
      <c r="A1186" t="inlineStr">
        <is>
          <t>523151-history-of-present-illness-1-2</t>
        </is>
      </c>
      <c r="B1186" t="inlineStr"/>
      <c r="C1186" t="inlineStr"/>
      <c r="D1186">
        <f>HYPERLINK("http://nlpdeep.cs.uic.edu:8080/proofing/gsii/523151-history-of-present-illness-1-2.pdf","gsii/523151-history-of-present-illness-1-2.pdf")</f>
        <v/>
      </c>
      <c r="E1186" t="n">
        <v>120842</v>
      </c>
      <c r="F1186" t="n">
        <v>523151</v>
      </c>
      <c r="G1186" t="inlineStr">
        <is>
          <t>Consult</t>
        </is>
      </c>
      <c r="H1186" t="inlineStr">
        <is>
          <t>history-of-present-illness</t>
        </is>
      </c>
      <c r="I1186" t="inlineStr">
        <is>
          <t xml:space="preserve">
   .</t>
        </is>
      </c>
    </row>
    <row r="1187">
      <c r="A1187" t="inlineStr">
        <is>
          <t>523151-allergies-0-0</t>
        </is>
      </c>
      <c r="B1187" t="inlineStr"/>
      <c r="C1187" t="inlineStr"/>
      <c r="D1187">
        <f>HYPERLINK("http://nlpdeep.cs.uic.edu:8080/proofing/t5/523151-allergies-0-0.pdf","t5/523151-allergies-0-0.pdf")</f>
        <v/>
      </c>
      <c r="E1187" t="n">
        <v>120842</v>
      </c>
      <c r="F1187" t="n">
        <v>523151</v>
      </c>
      <c r="G1187" t="inlineStr">
        <is>
          <t>Consult</t>
        </is>
      </c>
      <c r="H1187" t="inlineStr">
        <is>
          <t>allergies</t>
        </is>
      </c>
      <c r="I1187" t="inlineStr">
        <is>
          <t>Hayfever
   .</t>
        </is>
      </c>
    </row>
    <row r="1188">
      <c r="A1188" t="inlineStr">
        <is>
          <t>523151-allergies-0-0</t>
        </is>
      </c>
      <c r="B1188" t="inlineStr"/>
      <c r="C1188" t="inlineStr"/>
      <c r="D1188">
        <f>HYPERLINK("http://nlpdeep.cs.uic.edu:8080/proofing/gsii/523151-allergies-0-0.pdf","gsii/523151-allergies-0-0.pdf")</f>
        <v/>
      </c>
      <c r="E1188" t="n">
        <v>120842</v>
      </c>
      <c r="F1188" t="n">
        <v>523151</v>
      </c>
      <c r="G1188" t="inlineStr">
        <is>
          <t>Consult</t>
        </is>
      </c>
      <c r="H1188" t="inlineStr">
        <is>
          <t>allergies</t>
        </is>
      </c>
      <c r="I1188" t="inlineStr">
        <is>
          <t>Hayfever
   .</t>
        </is>
      </c>
    </row>
    <row r="1189">
      <c r="A1189" t="inlineStr">
        <is>
          <t>523151-medication-history-0-0</t>
        </is>
      </c>
      <c r="B1189" t="inlineStr"/>
      <c r="C1189" t="inlineStr"/>
      <c r="D1189">
        <f>HYPERLINK("http://nlpdeep.cs.uic.edu:8080/proofing/t5/523151-medication-history-0-0.pdf","t5/523151-medication-history-0-0.pdf")</f>
        <v/>
      </c>
      <c r="E1189" t="n">
        <v>120842</v>
      </c>
      <c r="F1189" t="n">
        <v>523151</v>
      </c>
      <c r="G1189" t="inlineStr">
        <is>
          <t>Consult</t>
        </is>
      </c>
      <c r="H1189" t="inlineStr">
        <is>
          <t>medication-history</t>
        </is>
      </c>
      <c r="I1189" t="inlineStr">
        <is>
          <t>- Home O2 - 2LPM at rest, 4 LPM with exertion
   - Advair 500-50 twice a day
   - Albuterol neb or MDI Q6H as needed for wheezing, SOB.</t>
        </is>
      </c>
    </row>
    <row r="1190">
      <c r="A1190" t="inlineStr">
        <is>
          <t>523151-medication-history-0-0</t>
        </is>
      </c>
      <c r="B1190" t="inlineStr"/>
      <c r="C1190" t="inlineStr"/>
      <c r="D1190">
        <f>HYPERLINK("http://nlpdeep.cs.uic.edu:8080/proofing/gsii/523151-medication-history-0-0.pdf","gsii/523151-medication-history-0-0.pdf")</f>
        <v/>
      </c>
      <c r="E1190" t="n">
        <v>120842</v>
      </c>
      <c r="F1190" t="n">
        <v>523151</v>
      </c>
      <c r="G1190" t="inlineStr">
        <is>
          <t>Consult</t>
        </is>
      </c>
      <c r="H1190" t="inlineStr">
        <is>
          <t>medication-history</t>
        </is>
      </c>
      <c r="I1190" t="inlineStr">
        <is>
          <t>- Home O2 - 2LPM at rest, 4 LPM with exertion
   - Advair 500-50 twice a day
   - Albuterol neb or MDI Q6H as needed for wheezing, SOB.</t>
        </is>
      </c>
    </row>
    <row r="1191">
      <c r="A1191" t="inlineStr">
        <is>
          <t>523151-medication-history-0-1</t>
        </is>
      </c>
      <c r="B1191" t="inlineStr"/>
      <c r="C1191" t="inlineStr"/>
      <c r="D1191">
        <f>HYPERLINK("http://nlpdeep.cs.uic.edu:8080/proofing/t5/523151-medication-history-0-1.pdf","t5/523151-medication-history-0-1.pdf")</f>
        <v/>
      </c>
      <c r="E1191" t="n">
        <v>120842</v>
      </c>
      <c r="F1191" t="n">
        <v>523151</v>
      </c>
      <c r="G1191" t="inlineStr">
        <is>
          <t>Consult</t>
        </is>
      </c>
      <c r="H1191" t="inlineStr">
        <is>
          <t>medication-history</t>
        </is>
      </c>
      <c r="I1191" t="inlineStr">
        <is>
          <t xml:space="preserve">
   - Captopril 50 mg TID
   - Fluoxetine 20 mg TID
   - Glipizide 5 mg [**Hospital1 7**]
   - Hydrochlorothiazide 12.5 mg DAILY
   - Lorazepam 0.5 mg Q8H as needed for Anxiety.</t>
        </is>
      </c>
    </row>
    <row r="1192">
      <c r="A1192" t="inlineStr">
        <is>
          <t>523151-medication-history-0-1</t>
        </is>
      </c>
      <c r="B1192" t="inlineStr"/>
      <c r="C1192" t="inlineStr"/>
      <c r="D1192">
        <f>HYPERLINK("http://nlpdeep.cs.uic.edu:8080/proofing/gsii/523151-medication-history-0-1.pdf","gsii/523151-medication-history-0-1.pdf")</f>
        <v/>
      </c>
      <c r="E1192" t="n">
        <v>120842</v>
      </c>
      <c r="F1192" t="n">
        <v>523151</v>
      </c>
      <c r="G1192" t="inlineStr">
        <is>
          <t>Consult</t>
        </is>
      </c>
      <c r="H1192" t="inlineStr">
        <is>
          <t>medication-history</t>
        </is>
      </c>
      <c r="I1192" t="inlineStr">
        <is>
          <t xml:space="preserve">
   - Captopril 50 mg TID
   - Fluoxetine 20 mg TID
   - Glipizide 5 mg [**Hospital1 7**]
   - Hydrochlorothiazide 12.5 mg DAILY
   - Lorazepam 0.5 mg Q8H as needed for Anxiety.</t>
        </is>
      </c>
    </row>
    <row r="1193">
      <c r="A1193" t="inlineStr">
        <is>
          <t>523151-medication-history-0-2</t>
        </is>
      </c>
      <c r="B1193" t="inlineStr"/>
      <c r="C1193" t="inlineStr"/>
      <c r="D1193">
        <f>HYPERLINK("http://nlpdeep.cs.uic.edu:8080/proofing/t5/523151-medication-history-0-2.pdf","t5/523151-medication-history-0-2.pdf")</f>
        <v/>
      </c>
      <c r="E1193" t="n">
        <v>120842</v>
      </c>
      <c r="F1193" t="n">
        <v>523151</v>
      </c>
      <c r="G1193" t="inlineStr">
        <is>
          <t>Consult</t>
        </is>
      </c>
      <c r="H1193" t="inlineStr">
        <is>
          <t>medication-history</t>
        </is>
      </c>
      <c r="I1193" t="inlineStr">
        <is>
          <t xml:space="preserve">
   - Metformin 500 mg SR [**Hospital1 7**]
   - Montelukast 10 mg DAILY
   - Simvastatin 40 mg DAILY
   - Spiriva 18 mcg once a day.</t>
        </is>
      </c>
    </row>
    <row r="1194">
      <c r="A1194" t="inlineStr">
        <is>
          <t>523151-medication-history-0-2</t>
        </is>
      </c>
      <c r="B1194" t="inlineStr"/>
      <c r="C1194" t="inlineStr"/>
      <c r="D1194">
        <f>HYPERLINK("http://nlpdeep.cs.uic.edu:8080/proofing/gsii/523151-medication-history-0-2.pdf","gsii/523151-medication-history-0-2.pdf")</f>
        <v/>
      </c>
      <c r="E1194" t="n">
        <v>120842</v>
      </c>
      <c r="F1194" t="n">
        <v>523151</v>
      </c>
      <c r="G1194" t="inlineStr">
        <is>
          <t>Consult</t>
        </is>
      </c>
      <c r="H1194" t="inlineStr">
        <is>
          <t>medication-history</t>
        </is>
      </c>
      <c r="I1194" t="inlineStr">
        <is>
          <t xml:space="preserve">
   - Metformin 500 mg SR [**Hospital1 7**]
   - Montelukast 10 mg DAILY
   - Simvastatin 40 mg DAILY
   - Spiriva 18 mcg once a day.</t>
        </is>
      </c>
    </row>
    <row r="1195">
      <c r="A1195" t="inlineStr">
        <is>
          <t>523151-medication-history-0-3</t>
        </is>
      </c>
      <c r="B1195" t="inlineStr"/>
      <c r="C1195" t="inlineStr"/>
      <c r="D1195">
        <f>HYPERLINK("http://nlpdeep.cs.uic.edu:8080/proofing/t5/523151-medication-history-0-3.pdf","t5/523151-medication-history-0-3.pdf")</f>
        <v/>
      </c>
      <c r="E1195" t="n">
        <v>120842</v>
      </c>
      <c r="F1195" t="n">
        <v>523151</v>
      </c>
      <c r="G1195" t="inlineStr">
        <is>
          <t>Consult</t>
        </is>
      </c>
      <c r="H1195" t="inlineStr">
        <is>
          <t>medication-history</t>
        </is>
      </c>
      <c r="I1195" t="inlineStr">
        <is>
          <t xml:space="preserve">
   - Calcium 500 + D 500 mg(1,250mg)-400 unit twice a day.</t>
        </is>
      </c>
    </row>
    <row r="1196">
      <c r="A1196" t="inlineStr">
        <is>
          <t>523151-medication-history-0-3</t>
        </is>
      </c>
      <c r="B1196" t="inlineStr"/>
      <c r="C1196" t="inlineStr"/>
      <c r="D1196">
        <f>HYPERLINK("http://nlpdeep.cs.uic.edu:8080/proofing/gsii/523151-medication-history-0-3.pdf","gsii/523151-medication-history-0-3.pdf")</f>
        <v/>
      </c>
      <c r="E1196" t="n">
        <v>120842</v>
      </c>
      <c r="F1196" t="n">
        <v>523151</v>
      </c>
      <c r="G1196" t="inlineStr">
        <is>
          <t>Consult</t>
        </is>
      </c>
      <c r="H1196" t="inlineStr">
        <is>
          <t>medication-history</t>
        </is>
      </c>
      <c r="I1196" t="inlineStr">
        <is>
          <t xml:space="preserve">
   - Calcium 500 + D 500 mg(1,250mg)-400 unit twice a day.</t>
        </is>
      </c>
    </row>
    <row r="1197">
      <c r="A1197" t="inlineStr">
        <is>
          <t>523151-medication-history-0-4</t>
        </is>
      </c>
      <c r="B1197" t="inlineStr"/>
      <c r="C1197" t="inlineStr"/>
      <c r="D1197">
        <f>HYPERLINK("http://nlpdeep.cs.uic.edu:8080/proofing/t5/523151-medication-history-0-4.pdf","t5/523151-medication-history-0-4.pdf")</f>
        <v/>
      </c>
      <c r="E1197" t="n">
        <v>120842</v>
      </c>
      <c r="F1197" t="n">
        <v>523151</v>
      </c>
      <c r="G1197" t="inlineStr">
        <is>
          <t>Consult</t>
        </is>
      </c>
      <c r="H1197" t="inlineStr">
        <is>
          <t>medication-history</t>
        </is>
      </c>
      <c r="I1197" t="inlineStr">
        <is>
          <t xml:space="preserve">
   - Enoxaparin 30 mg/0.3 mL SC Q12H for 4 weeks. ***
   - Omeprazole 20 mg once a day.</t>
        </is>
      </c>
    </row>
    <row r="1198">
      <c r="A1198" t="inlineStr">
        <is>
          <t>523151-medication-history-0-4</t>
        </is>
      </c>
      <c r="B1198" t="inlineStr"/>
      <c r="C1198" t="inlineStr"/>
      <c r="D1198">
        <f>HYPERLINK("http://nlpdeep.cs.uic.edu:8080/proofing/gsii/523151-medication-history-0-4.pdf","gsii/523151-medication-history-0-4.pdf")</f>
        <v/>
      </c>
      <c r="E1198" t="n">
        <v>120842</v>
      </c>
      <c r="F1198" t="n">
        <v>523151</v>
      </c>
      <c r="G1198" t="inlineStr">
        <is>
          <t>Consult</t>
        </is>
      </c>
      <c r="H1198" t="inlineStr">
        <is>
          <t>medication-history</t>
        </is>
      </c>
      <c r="I1198" t="inlineStr">
        <is>
          <t xml:space="preserve">
   - Enoxaparin 30 mg/0.3 mL SC Q12H for 4 weeks. ***
   - Omeprazole 20 mg once a day.</t>
        </is>
      </c>
    </row>
    <row r="1199">
      <c r="A1199" t="inlineStr">
        <is>
          <t>523151-medication-history-0-5</t>
        </is>
      </c>
      <c r="B1199" t="inlineStr"/>
      <c r="C1199" t="inlineStr"/>
      <c r="D1199">
        <f>HYPERLINK("http://nlpdeep.cs.uic.edu:8080/proofing/t5/523151-medication-history-0-5.pdf","t5/523151-medication-history-0-5.pdf")</f>
        <v/>
      </c>
      <c r="E1199" t="n">
        <v>120842</v>
      </c>
      <c r="F1199" t="n">
        <v>523151</v>
      </c>
      <c r="G1199" t="inlineStr">
        <is>
          <t>Consult</t>
        </is>
      </c>
      <c r="H1199" t="inlineStr">
        <is>
          <t>medication-history</t>
        </is>
      </c>
      <c r="I1199" t="inlineStr">
        <is>
          <t xml:space="preserve">
   - Docusate Sodium 100 mg [**Hospital1 7**]
   - Senna 8.6 mg Two (2) Tablet PO at bedtime as needed
   - Oxycodone 5 mg: 1-2 Tablets PO Q4H as needed for pain.</t>
        </is>
      </c>
    </row>
    <row r="1200">
      <c r="A1200" t="inlineStr">
        <is>
          <t>523151-medication-history-0-5</t>
        </is>
      </c>
      <c r="B1200" t="inlineStr"/>
      <c r="C1200" t="inlineStr"/>
      <c r="D1200">
        <f>HYPERLINK("http://nlpdeep.cs.uic.edu:8080/proofing/gsii/523151-medication-history-0-5.pdf","gsii/523151-medication-history-0-5.pdf")</f>
        <v/>
      </c>
      <c r="E1200" t="n">
        <v>120842</v>
      </c>
      <c r="F1200" t="n">
        <v>523151</v>
      </c>
      <c r="G1200" t="inlineStr">
        <is>
          <t>Consult</t>
        </is>
      </c>
      <c r="H1200" t="inlineStr">
        <is>
          <t>medication-history</t>
        </is>
      </c>
      <c r="I1200" t="inlineStr">
        <is>
          <t xml:space="preserve">
   - Docusate Sodium 100 mg [**Hospital1 7**]
   - Senna 8.6 mg Two (2) Tablet PO at bedtime as needed
   - Oxycodone 5 mg: 1-2 Tablets PO Q4H as needed for pain.</t>
        </is>
      </c>
    </row>
    <row r="1201">
      <c r="A1201" t="inlineStr">
        <is>
          <t>523151-medication-history-0-6</t>
        </is>
      </c>
      <c r="B1201" t="inlineStr"/>
      <c r="C1201" t="inlineStr"/>
      <c r="D1201">
        <f>HYPERLINK("http://nlpdeep.cs.uic.edu:8080/proofing/t5/523151-medication-history-0-6.pdf","t5/523151-medication-history-0-6.pdf")</f>
        <v/>
      </c>
      <c r="E1201" t="n">
        <v>120842</v>
      </c>
      <c r="F1201" t="n">
        <v>523151</v>
      </c>
      <c r="G1201" t="inlineStr">
        <is>
          <t>Consult</t>
        </is>
      </c>
      <c r="H1201" t="inlineStr">
        <is>
          <t>medication-history</t>
        </is>
      </c>
      <c r="I1201" t="inlineStr">
        <is>
          <t xml:space="preserve">
   - Multivitamin DAILY
   - Ferrous Sulfate 300 mg DAILY
   - Acetaminophen 1000 mg three times a day for 3 weeks.</t>
        </is>
      </c>
    </row>
    <row r="1202">
      <c r="A1202" t="inlineStr">
        <is>
          <t>523151-medication-history-0-6</t>
        </is>
      </c>
      <c r="B1202" t="inlineStr"/>
      <c r="C1202" t="inlineStr"/>
      <c r="D1202">
        <f>HYPERLINK("http://nlpdeep.cs.uic.edu:8080/proofing/gsii/523151-medication-history-0-6.pdf","gsii/523151-medication-history-0-6.pdf")</f>
        <v/>
      </c>
      <c r="E1202" t="n">
        <v>120842</v>
      </c>
      <c r="F1202" t="n">
        <v>523151</v>
      </c>
      <c r="G1202" t="inlineStr">
        <is>
          <t>Consult</t>
        </is>
      </c>
      <c r="H1202" t="inlineStr">
        <is>
          <t>medication-history</t>
        </is>
      </c>
      <c r="I1202" t="inlineStr">
        <is>
          <t xml:space="preserve">
   - Multivitamin DAILY
   - Ferrous Sulfate 300 mg DAILY
   - Acetaminophen 1000 mg three times a day for 3 weeks.</t>
        </is>
      </c>
    </row>
    <row r="1203">
      <c r="A1203" t="inlineStr">
        <is>
          <t>523151-medication-history-0-7</t>
        </is>
      </c>
      <c r="B1203" t="inlineStr"/>
      <c r="C1203" t="inlineStr"/>
      <c r="D1203">
        <f>HYPERLINK("http://nlpdeep.cs.uic.edu:8080/proofing/t5/523151-medication-history-0-7.pdf","t5/523151-medication-history-0-7.pdf")</f>
        <v/>
      </c>
      <c r="E1203" t="n">
        <v>120842</v>
      </c>
      <c r="F1203" t="n">
        <v>523151</v>
      </c>
      <c r="G1203" t="inlineStr">
        <is>
          <t>Consult</t>
        </is>
      </c>
      <c r="H1203" t="inlineStr">
        <is>
          <t>medication-history</t>
        </is>
      </c>
      <c r="I1203" t="inlineStr">
        <is>
          <t xml:space="preserve">
   - Miralax 17 gram Powder once a day as needed for constipation.</t>
        </is>
      </c>
    </row>
    <row r="1204">
      <c r="A1204" t="inlineStr">
        <is>
          <t>523151-medication-history-0-7</t>
        </is>
      </c>
      <c r="B1204" t="inlineStr"/>
      <c r="C1204" t="inlineStr"/>
      <c r="D1204">
        <f>HYPERLINK("http://nlpdeep.cs.uic.edu:8080/proofing/gsii/523151-medication-history-0-7.pdf","gsii/523151-medication-history-0-7.pdf")</f>
        <v/>
      </c>
      <c r="E1204" t="n">
        <v>120842</v>
      </c>
      <c r="F1204" t="n">
        <v>523151</v>
      </c>
      <c r="G1204" t="inlineStr">
        <is>
          <t>Consult</t>
        </is>
      </c>
      <c r="H1204" t="inlineStr">
        <is>
          <t>medication-history</t>
        </is>
      </c>
      <c r="I1204" t="inlineStr">
        <is>
          <t xml:space="preserve">
   - Miralax 17 gram Powder once a day as needed for constipation.</t>
        </is>
      </c>
    </row>
    <row r="1205">
      <c r="A1205" t="inlineStr">
        <is>
          <t>523151-medication-history-0-8</t>
        </is>
      </c>
      <c r="B1205" t="inlineStr"/>
      <c r="C1205" t="inlineStr"/>
      <c r="D1205">
        <f>HYPERLINK("http://nlpdeep.cs.uic.edu:8080/proofing/t5/523151-medication-history-0-8.pdf","t5/523151-medication-history-0-8.pdf")</f>
        <v/>
      </c>
      <c r="E1205" t="n">
        <v>120842</v>
      </c>
      <c r="F1205" t="n">
        <v>523151</v>
      </c>
      <c r="G1205" t="inlineStr">
        <is>
          <t>Consult</t>
        </is>
      </c>
      <c r="H1205" t="inlineStr">
        <is>
          <t>medication-history</t>
        </is>
      </c>
      <c r="I1205" t="inlineStr">
        <is>
          <t xml:space="preserve">
   .</t>
        </is>
      </c>
    </row>
    <row r="1206">
      <c r="A1206" t="inlineStr">
        <is>
          <t>523151-medication-history-0-8</t>
        </is>
      </c>
      <c r="B1206" t="inlineStr"/>
      <c r="C1206" t="inlineStr"/>
      <c r="D1206">
        <f>HYPERLINK("http://nlpdeep.cs.uic.edu:8080/proofing/gsii/523151-medication-history-0-8.pdf","gsii/523151-medication-history-0-8.pdf")</f>
        <v/>
      </c>
      <c r="E1206" t="n">
        <v>120842</v>
      </c>
      <c r="F1206" t="n">
        <v>523151</v>
      </c>
      <c r="G1206" t="inlineStr">
        <is>
          <t>Consult</t>
        </is>
      </c>
      <c r="H1206" t="inlineStr">
        <is>
          <t>medication-history</t>
        </is>
      </c>
      <c r="I1206" t="inlineStr">
        <is>
          <t xml:space="preserve">
   .</t>
        </is>
      </c>
    </row>
    <row r="1207">
      <c r="A1207" t="inlineStr">
        <is>
          <t>523151-current-medications-0-0</t>
        </is>
      </c>
      <c r="B1207" t="inlineStr"/>
      <c r="C1207" t="inlineStr"/>
      <c r="D1207">
        <f>HYPERLINK("http://nlpdeep.cs.uic.edu:8080/proofing/t5/523151-current-medications-0-0.pdf","t5/523151-current-medications-0-0.pdf")</f>
        <v/>
      </c>
      <c r="E1207" t="n">
        <v>120842</v>
      </c>
      <c r="F1207" t="n">
        <v>523151</v>
      </c>
      <c r="G1207" t="inlineStr">
        <is>
          <t>Consult</t>
        </is>
      </c>
      <c r="H1207" t="inlineStr">
        <is>
          <t>current-medications</t>
        </is>
      </c>
      <c r="I1207" t="inlineStr">
        <is>
          <t>Insulin SC
   Ipratropium Bromide Neb 1 NEB IH Q6H
   Levofloxacin 750 mg PO/NG Q24H
   Acetaminophen 325-650 mg PO/NG Q6H:PRN
   MethylPREDNISolone 80 mg IV Q8H
   Albuterol 0.083% Neb Soln 1 NEB IH Q4H:PRN
   Montelukast Sodium 10 mg PO/NG DAILY
   Benzonatate 100 mg PO TID
   Multivitamins 1 TAB PO/NG DAILY
   Bisacodyl 10 mg PO DAILY:PRN
   Mucinex *NF* 600 mg
   Captopril 50 mg PO/NG TID
   Omeprazole 20 mg PO DAILY
   Polyethylene Glycol 17 g PO/NG DAILY1
   Diltiazem 30 mg PO/NG QID
   Senna 1 TAB PO/NG [**Hospital1 7**]
   Docusate Sodium 100 mg PO BID
   Simethicone 40 mg PO/NG QID:PRN
   Ferrous Sulfate 325 mg PO/NG DAILY
   Simvastatin 40 mg PO/NG DAILY
   Fluoxetine 20 mg PO/NG TID
   GlipiZIDE 5 mg PO/NG DAILY
   Heparin 5000 UNIT SC TID
   Vitamin D 1000 UNIT PO/NG DAILY
   Hydrochlorothiazide 25 mg PO/NG DAILY
   Xopenex Neb *NF* 1 neb QID
   .</t>
        </is>
      </c>
    </row>
    <row r="1208">
      <c r="A1208" t="inlineStr">
        <is>
          <t>523151-current-medications-0-0</t>
        </is>
      </c>
      <c r="B1208" t="inlineStr"/>
      <c r="C1208" t="inlineStr"/>
      <c r="D1208">
        <f>HYPERLINK("http://nlpdeep.cs.uic.edu:8080/proofing/gsii/523151-current-medications-0-0.pdf","gsii/523151-current-medications-0-0.pdf")</f>
        <v/>
      </c>
      <c r="E1208" t="n">
        <v>120842</v>
      </c>
      <c r="F1208" t="n">
        <v>523151</v>
      </c>
      <c r="G1208" t="inlineStr">
        <is>
          <t>Consult</t>
        </is>
      </c>
      <c r="H1208" t="inlineStr">
        <is>
          <t>current-medications</t>
        </is>
      </c>
      <c r="I1208" t="inlineStr">
        <is>
          <t>Insulin SC
   Ipratropium Bromide Neb 1 NEB IH Q6H
   Levofloxacin 750 mg PO/NG Q24H
   Acetaminophen 325-650 mg PO/NG Q6H:PRN
   MethylPREDNISolone 80 mg IV Q8H
   Albuterol 0.083% Neb Soln 1 NEB IH Q4H:PRN
   Montelukast Sodium 10 mg PO/NG DAILY
   Benzonatate 100 mg PO TID
   Multivitamins 1 TAB PO/NG DAILY
   Bisacodyl 10 mg PO DAILY:PRN
   Mucinex *NF* 600 mg
   Captopril 50 mg PO/NG TID
   Omeprazole 20 mg PO DAILY
   Polyethylene Glycol 17 g PO/NG DAILY1
   Diltiazem 30 mg PO/NG QID
   Senna 1 TAB PO/NG [**Hospital1 7**]
   Docusate Sodium 100 mg PO BID
   Simethicone 40 mg PO/NG QID:PRN
   Ferrous Sulfate 325 mg PO/NG DAILY
   Simvastatin 40 mg PO/NG DAILY
   Fluoxetine 20 mg PO/NG TID
   GlipiZIDE 5 mg PO/NG DAILY
   Heparin 5000 UNIT SC TID
   Vitamin D 1000 UNIT PO/NG DAILY
   Hydrochlorothiazide 25 mg PO/NG DAILY
   Xopenex Neb *NF* 1 neb QID
   .</t>
        </is>
      </c>
    </row>
    <row r="1209">
      <c r="A1209" t="inlineStr">
        <is>
          <t>523151-past-medical-history-0-0</t>
        </is>
      </c>
      <c r="B1209" t="inlineStr"/>
      <c r="C1209" t="inlineStr"/>
      <c r="D1209">
        <f>HYPERLINK("http://nlpdeep.cs.uic.edu:8080/proofing/t5/523151-past-medical-history-0-0.pdf","t5/523151-past-medical-history-0-0.pdf")</f>
        <v/>
      </c>
      <c r="E1209" t="n">
        <v>120842</v>
      </c>
      <c r="F1209" t="n">
        <v>523151</v>
      </c>
      <c r="G1209" t="inlineStr">
        <is>
          <t>Consult</t>
        </is>
      </c>
      <c r="H1209" t="inlineStr">
        <is>
          <t>past-medical-history</t>
        </is>
      </c>
      <c r="I1209" t="inlineStr">
        <is>
          <t>- COPD/?asthma on home O2 at 2-4LPM.</t>
        </is>
      </c>
    </row>
    <row r="1210">
      <c r="A1210" t="inlineStr">
        <is>
          <t>523151-past-medical-history-0-0</t>
        </is>
      </c>
      <c r="B1210" t="inlineStr"/>
      <c r="C1210" t="inlineStr"/>
      <c r="D1210">
        <f>HYPERLINK("http://nlpdeep.cs.uic.edu:8080/proofing/gsii/523151-past-medical-history-0-0.pdf","gsii/523151-past-medical-history-0-0.pdf")</f>
        <v/>
      </c>
      <c r="E1210" t="n">
        <v>120842</v>
      </c>
      <c r="F1210" t="n">
        <v>523151</v>
      </c>
      <c r="G1210" t="inlineStr">
        <is>
          <t>Consult</t>
        </is>
      </c>
      <c r="H1210" t="inlineStr">
        <is>
          <t>past-medical-history</t>
        </is>
      </c>
      <c r="I1210" t="inlineStr">
        <is>
          <t>- COPD/?asthma on home O2 at 2-4LPM.</t>
        </is>
      </c>
    </row>
    <row r="1211">
      <c r="A1211" t="inlineStr">
        <is>
          <t>523151-past-medical-history-0-1</t>
        </is>
      </c>
      <c r="B1211" t="inlineStr"/>
      <c r="C1211" t="inlineStr"/>
      <c r="D1211">
        <f>HYPERLINK("http://nlpdeep.cs.uic.edu:8080/proofing/t5/523151-past-medical-history-0-1.pdf","t5/523151-past-medical-history-0-1.pdf")</f>
        <v/>
      </c>
      <c r="E1211" t="n">
        <v>120842</v>
      </c>
      <c r="F1211" t="n">
        <v>523151</v>
      </c>
      <c r="G1211" t="inlineStr">
        <is>
          <t>Consult</t>
        </is>
      </c>
      <c r="H1211" t="inlineStr">
        <is>
          <t>past-medical-history</t>
        </is>
      </c>
      <c r="I1211" t="inlineStr">
        <is>
          <t>Spirometry with only mild to
   moderate obstructive defect, FEV1 1.17 (68% predicted) but low DLCO at
   38% predicted.</t>
        </is>
      </c>
    </row>
    <row r="1212">
      <c r="A1212" t="inlineStr">
        <is>
          <t>523151-past-medical-history-0-1</t>
        </is>
      </c>
      <c r="B1212" t="inlineStr"/>
      <c r="C1212" t="inlineStr"/>
      <c r="D1212">
        <f>HYPERLINK("http://nlpdeep.cs.uic.edu:8080/proofing/gsii/523151-past-medical-history-0-1.pdf","gsii/523151-past-medical-history-0-1.pdf")</f>
        <v/>
      </c>
      <c r="E1212" t="n">
        <v>120842</v>
      </c>
      <c r="F1212" t="n">
        <v>523151</v>
      </c>
      <c r="G1212" t="inlineStr">
        <is>
          <t>Consult</t>
        </is>
      </c>
      <c r="H1212" t="inlineStr">
        <is>
          <t>past-medical-history</t>
        </is>
      </c>
      <c r="I1212" t="inlineStr">
        <is>
          <t>Spirometry with only mild to
   moderate obstructive defect, FEV1 1.17 (68% predicted) but low DLCO at
   38% predicted.</t>
        </is>
      </c>
    </row>
    <row r="1213">
      <c r="A1213" t="inlineStr">
        <is>
          <t>523151-past-medical-history-0-2</t>
        </is>
      </c>
      <c r="B1213" t="inlineStr"/>
      <c r="C1213" t="inlineStr"/>
      <c r="D1213">
        <f>HYPERLINK("http://nlpdeep.cs.uic.edu:8080/proofing/t5/523151-past-medical-history-0-2.pdf","t5/523151-past-medical-history-0-2.pdf")</f>
        <v/>
      </c>
      <c r="E1213" t="n">
        <v>120842</v>
      </c>
      <c r="F1213" t="n">
        <v>523151</v>
      </c>
      <c r="G1213" t="inlineStr">
        <is>
          <t>Consult</t>
        </is>
      </c>
      <c r="H1213" t="inlineStr">
        <is>
          <t>past-medical-history</t>
        </is>
      </c>
      <c r="I1213" t="inlineStr">
        <is>
          <t xml:space="preserve">
   - Diastolic CHF and pulmonary hypertension.</t>
        </is>
      </c>
    </row>
    <row r="1214">
      <c r="A1214" t="inlineStr">
        <is>
          <t>523151-past-medical-history-0-2</t>
        </is>
      </c>
      <c r="B1214" t="inlineStr"/>
      <c r="C1214" t="inlineStr"/>
      <c r="D1214">
        <f>HYPERLINK("http://nlpdeep.cs.uic.edu:8080/proofing/gsii/523151-past-medical-history-0-2.pdf","gsii/523151-past-medical-history-0-2.pdf")</f>
        <v/>
      </c>
      <c r="E1214" t="n">
        <v>120842</v>
      </c>
      <c r="F1214" t="n">
        <v>523151</v>
      </c>
      <c r="G1214" t="inlineStr">
        <is>
          <t>Consult</t>
        </is>
      </c>
      <c r="H1214" t="inlineStr">
        <is>
          <t>past-medical-history</t>
        </is>
      </c>
      <c r="I1214" t="inlineStr">
        <is>
          <t xml:space="preserve">
   - Diastolic CHF and pulmonary hypertension.</t>
        </is>
      </c>
    </row>
    <row r="1215">
      <c r="A1215" t="inlineStr">
        <is>
          <t>523151-past-medical-history-0-3</t>
        </is>
      </c>
      <c r="B1215" t="inlineStr"/>
      <c r="C1215" t="inlineStr"/>
      <c r="D1215">
        <f>HYPERLINK("http://nlpdeep.cs.uic.edu:8080/proofing/t5/523151-past-medical-history-0-3.pdf","t5/523151-past-medical-history-0-3.pdf")</f>
        <v/>
      </c>
      <c r="E1215" t="n">
        <v>120842</v>
      </c>
      <c r="F1215" t="n">
        <v>523151</v>
      </c>
      <c r="G1215" t="inlineStr">
        <is>
          <t>Consult</t>
        </is>
      </c>
      <c r="H1215" t="inlineStr">
        <is>
          <t>past-medical-history</t>
        </is>
      </c>
      <c r="I1215" t="inlineStr">
        <is>
          <t>Last TTE [**12/2151**] with EF
   &gt;55%, mild RV dilation with preserved function, estimated TR gradient
   43-63.</t>
        </is>
      </c>
    </row>
    <row r="1216">
      <c r="A1216" t="inlineStr">
        <is>
          <t>523151-past-medical-history-0-3</t>
        </is>
      </c>
      <c r="B1216" t="inlineStr"/>
      <c r="C1216" t="inlineStr"/>
      <c r="D1216">
        <f>HYPERLINK("http://nlpdeep.cs.uic.edu:8080/proofing/gsii/523151-past-medical-history-0-3.pdf","gsii/523151-past-medical-history-0-3.pdf")</f>
        <v/>
      </c>
      <c r="E1216" t="n">
        <v>120842</v>
      </c>
      <c r="F1216" t="n">
        <v>523151</v>
      </c>
      <c r="G1216" t="inlineStr">
        <is>
          <t>Consult</t>
        </is>
      </c>
      <c r="H1216" t="inlineStr">
        <is>
          <t>past-medical-history</t>
        </is>
      </c>
      <c r="I1216" t="inlineStr">
        <is>
          <t>Last TTE [**12/2151**] with EF
   &gt;55%, mild RV dilation with preserved function, estimated TR gradient
   43-63.</t>
        </is>
      </c>
    </row>
    <row r="1217">
      <c r="A1217" t="inlineStr">
        <is>
          <t>523151-past-medical-history-0-4</t>
        </is>
      </c>
      <c r="B1217" t="inlineStr"/>
      <c r="C1217" t="inlineStr"/>
      <c r="D1217">
        <f>HYPERLINK("http://nlpdeep.cs.uic.edu:8080/proofing/t5/523151-past-medical-history-0-4.pdf","t5/523151-past-medical-history-0-4.pdf")</f>
        <v/>
      </c>
      <c r="E1217" t="n">
        <v>120842</v>
      </c>
      <c r="F1217" t="n">
        <v>523151</v>
      </c>
      <c r="G1217" t="inlineStr">
        <is>
          <t>Consult</t>
        </is>
      </c>
      <c r="H1217" t="inlineStr">
        <is>
          <t>past-medical-history</t>
        </is>
      </c>
      <c r="I1217" t="inlineStr">
        <is>
          <t xml:space="preserve">
   - OSA on home CPAP
   - DM type II
   - HTN
   - s/p R TKR [**2153-3-5**], complicated by desaturation due to COPD
   exacerbation, dCHF, and ?narcotics.</t>
        </is>
      </c>
    </row>
    <row r="1218">
      <c r="A1218" t="inlineStr">
        <is>
          <t>523151-past-medical-history-0-4</t>
        </is>
      </c>
      <c r="B1218" t="inlineStr"/>
      <c r="C1218" t="inlineStr"/>
      <c r="D1218">
        <f>HYPERLINK("http://nlpdeep.cs.uic.edu:8080/proofing/gsii/523151-past-medical-history-0-4.pdf","gsii/523151-past-medical-history-0-4.pdf")</f>
        <v/>
      </c>
      <c r="E1218" t="n">
        <v>120842</v>
      </c>
      <c r="F1218" t="n">
        <v>523151</v>
      </c>
      <c r="G1218" t="inlineStr">
        <is>
          <t>Consult</t>
        </is>
      </c>
      <c r="H1218" t="inlineStr">
        <is>
          <t>past-medical-history</t>
        </is>
      </c>
      <c r="I1218" t="inlineStr">
        <is>
          <t xml:space="preserve">
   - OSA on home CPAP
   - DM type II
   - HTN
   - s/p R TKR [**2153-3-5**], complicated by desaturation due to COPD
   exacerbation, dCHF, and ?narcotics.</t>
        </is>
      </c>
    </row>
    <row r="1219">
      <c r="A1219" t="inlineStr">
        <is>
          <t>523151-past-medical-history-0-5</t>
        </is>
      </c>
      <c r="B1219" t="inlineStr"/>
      <c r="C1219" t="inlineStr"/>
      <c r="D1219">
        <f>HYPERLINK("http://nlpdeep.cs.uic.edu:8080/proofing/t5/523151-past-medical-history-0-5.pdf","t5/523151-past-medical-history-0-5.pdf")</f>
        <v/>
      </c>
      <c r="E1219" t="n">
        <v>120842</v>
      </c>
      <c r="F1219" t="n">
        <v>523151</v>
      </c>
      <c r="G1219" t="inlineStr">
        <is>
          <t>Consult</t>
        </is>
      </c>
      <c r="H1219" t="inlineStr">
        <is>
          <t>past-medical-history</t>
        </is>
      </c>
      <c r="I1219" t="inlineStr">
        <is>
          <t>- s/p L TKR
   - History of rectal cancer s/p chemo, XRT, and s/p transanal rectal ca
   excision
   - s/p h</t>
        </is>
      </c>
    </row>
    <row r="1220">
      <c r="A1220" t="inlineStr">
        <is>
          <t>523151-past-medical-history-0-5</t>
        </is>
      </c>
      <c r="B1220" t="inlineStr"/>
      <c r="C1220" t="inlineStr"/>
      <c r="D1220">
        <f>HYPERLINK("http://nlpdeep.cs.uic.edu:8080/proofing/gsii/523151-past-medical-history-0-5.pdf","gsii/523151-past-medical-history-0-5.pdf")</f>
        <v/>
      </c>
      <c r="E1220" t="n">
        <v>120842</v>
      </c>
      <c r="F1220" t="n">
        <v>523151</v>
      </c>
      <c r="G1220" t="inlineStr">
        <is>
          <t>Consult</t>
        </is>
      </c>
      <c r="H1220" t="inlineStr">
        <is>
          <t>past-medical-history</t>
        </is>
      </c>
      <c r="I1220" t="inlineStr">
        <is>
          <t>- s/p L TKR
   - History of rectal cancer s/p chemo, XRT, and s/p transanal rectal ca
   excision
   - s/p h</t>
        </is>
      </c>
    </row>
    <row r="1221">
      <c r="A1221" t="inlineStr">
        <is>
          <t>523151-social-and-family-history-0-0</t>
        </is>
      </c>
      <c r="B1221" t="inlineStr"/>
      <c r="C1221" t="inlineStr"/>
      <c r="D1221">
        <f>HYPERLINK("http://nlpdeep.cs.uic.edu:8080/proofing/t5/523151-social-and-family-history-0-0.pdf","t5/523151-social-and-family-history-0-0.pdf")</f>
        <v/>
      </c>
      <c r="E1221" t="n">
        <v>120842</v>
      </c>
      <c r="F1221" t="n">
        <v>523151</v>
      </c>
      <c r="G1221" t="inlineStr">
        <is>
          <t>Consult</t>
        </is>
      </c>
      <c r="H1221" t="inlineStr">
        <is>
          <t>social-and-family-history</t>
        </is>
      </c>
      <c r="I1221" t="inlineStr">
        <is>
          <t>Has 11 children and 27 grandchildren.</t>
        </is>
      </c>
    </row>
    <row r="1222">
      <c r="A1222" t="inlineStr">
        <is>
          <t>523151-social-and-family-history-0-0</t>
        </is>
      </c>
      <c r="B1222" t="inlineStr"/>
      <c r="C1222" t="inlineStr"/>
      <c r="D1222">
        <f>HYPERLINK("http://nlpdeep.cs.uic.edu:8080/proofing/gsii/523151-social-and-family-history-0-0.pdf","gsii/523151-social-and-family-history-0-0.pdf")</f>
        <v/>
      </c>
      <c r="E1222" t="n">
        <v>120842</v>
      </c>
      <c r="F1222" t="n">
        <v>523151</v>
      </c>
      <c r="G1222" t="inlineStr">
        <is>
          <t>Consult</t>
        </is>
      </c>
      <c r="H1222" t="inlineStr">
        <is>
          <t>social-and-family-history</t>
        </is>
      </c>
      <c r="I1222" t="inlineStr">
        <is>
          <t>Has 11 children and 27 grandchildren.</t>
        </is>
      </c>
    </row>
    <row r="1223">
      <c r="A1223" t="inlineStr">
        <is>
          <t>523151-social-and-family-history-0-1</t>
        </is>
      </c>
      <c r="B1223" t="inlineStr"/>
      <c r="C1223" t="inlineStr"/>
      <c r="D1223">
        <f>HYPERLINK("http://nlpdeep.cs.uic.edu:8080/proofing/t5/523151-social-and-family-history-0-1.pdf","t5/523151-social-and-family-history-0-1.pdf")</f>
        <v/>
      </c>
      <c r="E1223" t="n">
        <v>120842</v>
      </c>
      <c r="F1223" t="n">
        <v>523151</v>
      </c>
      <c r="G1223" t="inlineStr">
        <is>
          <t>Consult</t>
        </is>
      </c>
      <c r="H1223" t="inlineStr">
        <is>
          <t>social-and-family-history</t>
        </is>
      </c>
      <c r="I1223" t="inlineStr">
        <is>
          <t>She lives alone but has help from
   her many children.</t>
        </is>
      </c>
    </row>
    <row r="1224">
      <c r="A1224" t="inlineStr">
        <is>
          <t>523151-social-and-family-history-0-1</t>
        </is>
      </c>
      <c r="B1224" t="inlineStr"/>
      <c r="C1224" t="inlineStr"/>
      <c r="D1224">
        <f>HYPERLINK("http://nlpdeep.cs.uic.edu:8080/proofing/gsii/523151-social-and-family-history-0-1.pdf","gsii/523151-social-and-family-history-0-1.pdf")</f>
        <v/>
      </c>
      <c r="E1224" t="n">
        <v>120842</v>
      </c>
      <c r="F1224" t="n">
        <v>523151</v>
      </c>
      <c r="G1224" t="inlineStr">
        <is>
          <t>Consult</t>
        </is>
      </c>
      <c r="H1224" t="inlineStr">
        <is>
          <t>social-and-family-history</t>
        </is>
      </c>
      <c r="I1224" t="inlineStr">
        <is>
          <t>She lives alone but has help from
   her many children.</t>
        </is>
      </c>
    </row>
    <row r="1225">
      <c r="A1225" t="inlineStr">
        <is>
          <t>523151-social-and-family-history-0-2</t>
        </is>
      </c>
      <c r="B1225" t="inlineStr"/>
      <c r="C1225" t="inlineStr"/>
      <c r="D1225">
        <f>HYPERLINK("http://nlpdeep.cs.uic.edu:8080/proofing/t5/523151-social-and-family-history-0-2.pdf","t5/523151-social-and-family-history-0-2.pdf")</f>
        <v/>
      </c>
      <c r="E1225" t="n">
        <v>120842</v>
      </c>
      <c r="F1225" t="n">
        <v>523151</v>
      </c>
      <c r="G1225" t="inlineStr">
        <is>
          <t>Consult</t>
        </is>
      </c>
      <c r="H1225" t="inlineStr">
        <is>
          <t>social-and-family-history</t>
        </is>
      </c>
      <c r="I1225" t="inlineStr">
        <is>
          <t>Patient is a former smoker with 40-60 pack year
   smoking history but quit over 10 years prior.</t>
        </is>
      </c>
    </row>
    <row r="1226">
      <c r="A1226" t="inlineStr">
        <is>
          <t>523151-social-and-family-history-0-2</t>
        </is>
      </c>
      <c r="B1226" t="inlineStr"/>
      <c r="C1226" t="inlineStr"/>
      <c r="D1226">
        <f>HYPERLINK("http://nlpdeep.cs.uic.edu:8080/proofing/gsii/523151-social-and-family-history-0-2.pdf","gsii/523151-social-and-family-history-0-2.pdf")</f>
        <v/>
      </c>
      <c r="E1226" t="n">
        <v>120842</v>
      </c>
      <c r="F1226" t="n">
        <v>523151</v>
      </c>
      <c r="G1226" t="inlineStr">
        <is>
          <t>Consult</t>
        </is>
      </c>
      <c r="H1226" t="inlineStr">
        <is>
          <t>social-and-family-history</t>
        </is>
      </c>
      <c r="I1226" t="inlineStr">
        <is>
          <t>Patient is a former smoker with 40-60 pack year
   smoking history but quit over 10 years prior.</t>
        </is>
      </c>
    </row>
    <row r="1227">
      <c r="A1227" t="inlineStr">
        <is>
          <t>523151-social-and-family-history-0-3</t>
        </is>
      </c>
      <c r="B1227" t="inlineStr"/>
      <c r="C1227" t="inlineStr"/>
      <c r="D1227">
        <f>HYPERLINK("http://nlpdeep.cs.uic.edu:8080/proofing/t5/523151-social-and-family-history-0-3.pdf","t5/523151-social-and-family-history-0-3.pdf")</f>
        <v/>
      </c>
      <c r="E1227" t="n">
        <v>120842</v>
      </c>
      <c r="F1227" t="n">
        <v>523151</v>
      </c>
      <c r="G1227" t="inlineStr">
        <is>
          <t>Consult</t>
        </is>
      </c>
      <c r="H1227" t="inlineStr">
        <is>
          <t>social-and-family-history</t>
        </is>
      </c>
      <c r="I1227" t="inlineStr">
        <is>
          <t>No alcohol use.</t>
        </is>
      </c>
    </row>
    <row r="1228">
      <c r="A1228" t="inlineStr">
        <is>
          <t>523151-social-and-family-history-0-3</t>
        </is>
      </c>
      <c r="B1228" t="inlineStr"/>
      <c r="C1228" t="inlineStr"/>
      <c r="D1228">
        <f>HYPERLINK("http://nlpdeep.cs.uic.edu:8080/proofing/gsii/523151-social-and-family-history-0-3.pdf","gsii/523151-social-and-family-history-0-3.pdf")</f>
        <v/>
      </c>
      <c r="E1228" t="n">
        <v>120842</v>
      </c>
      <c r="F1228" t="n">
        <v>523151</v>
      </c>
      <c r="G1228" t="inlineStr">
        <is>
          <t>Consult</t>
        </is>
      </c>
      <c r="H1228" t="inlineStr">
        <is>
          <t>social-and-family-history</t>
        </is>
      </c>
      <c r="I1228" t="inlineStr">
        <is>
          <t>No alcohol use.</t>
        </is>
      </c>
    </row>
    <row r="1229">
      <c r="A1229" t="inlineStr">
        <is>
          <t>523151-social-and-family-history-0-4</t>
        </is>
      </c>
      <c r="B1229" t="inlineStr"/>
      <c r="C1229" t="inlineStr"/>
      <c r="D1229">
        <f>HYPERLINK("http://nlpdeep.cs.uic.edu:8080/proofing/t5/523151-social-and-family-history-0-4.pdf","t5/523151-social-and-family-history-0-4.pdf")</f>
        <v/>
      </c>
      <c r="E1229" t="n">
        <v>120842</v>
      </c>
      <c r="F1229" t="n">
        <v>523151</v>
      </c>
      <c r="G1229" t="inlineStr">
        <is>
          <t>Consult</t>
        </is>
      </c>
      <c r="H1229" t="inlineStr">
        <is>
          <t>social-and-family-history</t>
        </is>
      </c>
      <c r="I1229" t="inlineStr">
        <is>
          <t xml:space="preserve">
   Review of systems otherwise negative.</t>
        </is>
      </c>
    </row>
    <row r="1230">
      <c r="A1230" t="inlineStr">
        <is>
          <t>523151-social-and-family-history-0-4</t>
        </is>
      </c>
      <c r="B1230" t="inlineStr"/>
      <c r="C1230" t="inlineStr"/>
      <c r="D1230">
        <f>HYPERLINK("http://nlpdeep.cs.uic.edu:8080/proofing/gsii/523151-social-and-family-history-0-4.pdf","gsii/523151-social-and-family-history-0-4.pdf")</f>
        <v/>
      </c>
      <c r="E1230" t="n">
        <v>120842</v>
      </c>
      <c r="F1230" t="n">
        <v>523151</v>
      </c>
      <c r="G1230" t="inlineStr">
        <is>
          <t>Consult</t>
        </is>
      </c>
      <c r="H1230" t="inlineStr">
        <is>
          <t>social-and-family-history</t>
        </is>
      </c>
      <c r="I1230" t="inlineStr">
        <is>
          <t xml:space="preserve">
   Review of systems otherwise negative.</t>
        </is>
      </c>
    </row>
    <row r="1231">
      <c r="A1231" t="inlineStr">
        <is>
          <t>523151-physical-examination-0-0</t>
        </is>
      </c>
      <c r="B1231" t="inlineStr"/>
      <c r="C1231" t="inlineStr"/>
      <c r="D1231">
        <f>HYPERLINK("http://nlpdeep.cs.uic.edu:8080/proofing/t5/523151-physical-examination-0-0.pdf","t5/523151-physical-examination-0-0.pdf")</f>
        <v/>
      </c>
      <c r="E1231" t="n">
        <v>120842</v>
      </c>
      <c r="F1231" t="n">
        <v>523151</v>
      </c>
      <c r="G1231" t="inlineStr">
        <is>
          <t>Consult</t>
        </is>
      </c>
      <c r="H1231" t="inlineStr">
        <is>
          <t>physical-examination</t>
        </is>
      </c>
      <c r="I1231" t="inlineStr">
        <is>
          <t>VS - Temp 98F, BP 141/53, HR 79, RR 18, O2-sat 97% 3L
   GENERAL -  labored respirtaions but NAD
   NECK - supple, JVP ~8 cm, no carotid bruits, 2+ carotid pulses
   LUNGS - labored respirations with poor air movement and using acessory
   muscles, wheezing throughout.</t>
        </is>
      </c>
    </row>
    <row r="1232">
      <c r="A1232" t="inlineStr">
        <is>
          <t>523151-physical-examination-0-0</t>
        </is>
      </c>
      <c r="B1232" t="inlineStr"/>
      <c r="C1232" t="inlineStr"/>
      <c r="D1232">
        <f>HYPERLINK("http://nlpdeep.cs.uic.edu:8080/proofing/gsii/523151-physical-examination-0-0.pdf","gsii/523151-physical-examination-0-0.pdf")</f>
        <v/>
      </c>
      <c r="E1232" t="n">
        <v>120842</v>
      </c>
      <c r="F1232" t="n">
        <v>523151</v>
      </c>
      <c r="G1232" t="inlineStr">
        <is>
          <t>Consult</t>
        </is>
      </c>
      <c r="H1232" t="inlineStr">
        <is>
          <t>physical-examination</t>
        </is>
      </c>
      <c r="I1232" t="inlineStr">
        <is>
          <t>VS - Temp 98F, BP 141/53, HR 79, RR 18, O2-sat 97% 3L
   GENERAL -  labored respirtaions but NAD
   NECK - supple, JVP ~8 cm, no carotid bruits, 2+ carotid pulses
   LUNGS - labored respirations with poor air movement and using acessory
   muscles, wheezing throughout.</t>
        </is>
      </c>
    </row>
    <row r="1233">
      <c r="A1233" t="inlineStr">
        <is>
          <t>523151-physical-examination-0-1</t>
        </is>
      </c>
      <c r="B1233" t="inlineStr"/>
      <c r="C1233" t="inlineStr"/>
      <c r="D1233">
        <f>HYPERLINK("http://nlpdeep.cs.uic.edu:8080/proofing/t5/523151-physical-examination-0-1.pdf","t5/523151-physical-examination-0-1.pdf")</f>
        <v/>
      </c>
      <c r="E1233" t="n">
        <v>120842</v>
      </c>
      <c r="F1233" t="n">
        <v>523151</v>
      </c>
      <c r="G1233" t="inlineStr">
        <is>
          <t>Consult</t>
        </is>
      </c>
      <c r="H1233" t="inlineStr">
        <is>
          <t>physical-examination</t>
        </is>
      </c>
      <c r="I1233" t="inlineStr">
        <is>
          <t>HEART - PMI non-displaced, RRR, no MRG, nl S1-S2, no S3 or S4 h</t>
        </is>
      </c>
    </row>
    <row r="1234">
      <c r="A1234" t="inlineStr">
        <is>
          <t>523151-physical-examination-0-1</t>
        </is>
      </c>
      <c r="B1234" t="inlineStr"/>
      <c r="C1234" t="inlineStr"/>
      <c r="D1234">
        <f>HYPERLINK("http://nlpdeep.cs.uic.edu:8080/proofing/gsii/523151-physical-examination-0-1.pdf","gsii/523151-physical-examination-0-1.pdf")</f>
        <v/>
      </c>
      <c r="E1234" t="n">
        <v>120842</v>
      </c>
      <c r="F1234" t="n">
        <v>523151</v>
      </c>
      <c r="G1234" t="inlineStr">
        <is>
          <t>Consult</t>
        </is>
      </c>
      <c r="H1234" t="inlineStr">
        <is>
          <t>physical-examination</t>
        </is>
      </c>
      <c r="I1234" t="inlineStr">
        <is>
          <t>HEART - PMI non-displaced, RRR, no MRG, nl S1-S2, no S3 or S4 h</t>
        </is>
      </c>
    </row>
    <row r="1235">
      <c r="A1235" t="inlineStr">
        <is>
          <t>523151-labs-imaging-0-0</t>
        </is>
      </c>
      <c r="B1235" t="inlineStr"/>
      <c r="C1235" t="inlineStr"/>
      <c r="D1235">
        <f>HYPERLINK("http://nlpdeep.cs.uic.edu:8080/proofing/t5/523151-labs-imaging-0-0.pdf","t5/523151-labs-imaging-0-0.pdf")</f>
        <v/>
      </c>
      <c r="E1235" t="n">
        <v>120842</v>
      </c>
      <c r="F1235" t="n">
        <v>523151</v>
      </c>
      <c r="G1235" t="inlineStr">
        <is>
          <t>Consult</t>
        </is>
      </c>
      <c r="H1235" t="inlineStr">
        <is>
          <t>labs-imaging</t>
        </is>
      </c>
      <c r="I1235" t="inlineStr">
        <is>
          <t>.</t>
        </is>
      </c>
    </row>
    <row r="1236">
      <c r="A1236" t="inlineStr">
        <is>
          <t>523151-labs-imaging-0-0</t>
        </is>
      </c>
      <c r="B1236" t="inlineStr"/>
      <c r="C1236" t="inlineStr"/>
      <c r="D1236">
        <f>HYPERLINK("http://nlpdeep.cs.uic.edu:8080/proofing/gsii/523151-labs-imaging-0-0.pdf","gsii/523151-labs-imaging-0-0.pdf")</f>
        <v/>
      </c>
      <c r="E1236" t="n">
        <v>120842</v>
      </c>
      <c r="F1236" t="n">
        <v>523151</v>
      </c>
      <c r="G1236" t="inlineStr">
        <is>
          <t>Consult</t>
        </is>
      </c>
      <c r="H1236" t="inlineStr">
        <is>
          <t>labs-imaging</t>
        </is>
      </c>
      <c r="I1236" t="inlineStr">
        <is>
          <t>.</t>
        </is>
      </c>
    </row>
    <row r="1237">
      <c r="A1237" t="inlineStr">
        <is>
          <t>523151-labs-imaging-0-1</t>
        </is>
      </c>
      <c r="B1237" t="inlineStr"/>
      <c r="C1237" t="inlineStr"/>
      <c r="D1237">
        <f>HYPERLINK("http://nlpdeep.cs.uic.edu:8080/proofing/t5/523151-labs-imaging-0-1.pdf","t5/523151-labs-imaging-0-1.pdf")</f>
        <v/>
      </c>
      <c r="E1237" t="n">
        <v>120842</v>
      </c>
      <c r="F1237" t="n">
        <v>523151</v>
      </c>
      <c r="G1237" t="inlineStr">
        <is>
          <t>Consult</t>
        </is>
      </c>
      <c r="H1237" t="inlineStr">
        <is>
          <t>labs-imaging</t>
        </is>
      </c>
      <c r="I1237" t="inlineStr">
        <is>
          <t xml:space="preserve">
   138   100      20                     11.3
   ---|-------|------&lt; 187   .</t>
        </is>
      </c>
    </row>
    <row r="1238">
      <c r="A1238" t="inlineStr">
        <is>
          <t>523151-labs-imaging-0-1</t>
        </is>
      </c>
      <c r="B1238" t="inlineStr"/>
      <c r="C1238" t="inlineStr"/>
      <c r="D1238">
        <f>HYPERLINK("http://nlpdeep.cs.uic.edu:8080/proofing/gsii/523151-labs-imaging-0-1.pdf","gsii/523151-labs-imaging-0-1.pdf")</f>
        <v/>
      </c>
      <c r="E1238" t="n">
        <v>120842</v>
      </c>
      <c r="F1238" t="n">
        <v>523151</v>
      </c>
      <c r="G1238" t="inlineStr">
        <is>
          <t>Consult</t>
        </is>
      </c>
      <c r="H1238" t="inlineStr">
        <is>
          <t>labs-imaging</t>
        </is>
      </c>
      <c r="I1238" t="inlineStr">
        <is>
          <t xml:space="preserve">
   138   100      20                     11.3
   ---|-------|------&lt; 187   .</t>
        </is>
      </c>
    </row>
    <row r="1239">
      <c r="A1239" t="inlineStr">
        <is>
          <t>523151-assessment-and-plan-0-0</t>
        </is>
      </c>
      <c r="B1239" t="inlineStr"/>
      <c r="C1239" t="inlineStr"/>
      <c r="D1239">
        <f>HYPERLINK("http://nlpdeep.cs.uic.edu:8080/proofing/t5/523151-assessment-and-plan-0-0.pdf","t5/523151-assessment-and-plan-0-0.pdf")</f>
        <v/>
      </c>
      <c r="E1239" t="n">
        <v>120842</v>
      </c>
      <c r="F1239" t="n">
        <v>523151</v>
      </c>
      <c r="G1239" t="inlineStr">
        <is>
          <t>Consult</t>
        </is>
      </c>
      <c r="H1239" t="inlineStr">
        <is>
          <t>assessment-and-plan</t>
        </is>
      </c>
      <c r="I1239" t="inlineStr">
        <is>
          <t>-
   - Recommendation:
   1)
   2)
   3)
This patient was seen, discussed and evaluated with
Dr.</t>
        </is>
      </c>
    </row>
    <row r="1240">
      <c r="A1240" t="inlineStr">
        <is>
          <t>523151-assessment-and-plan-0-0</t>
        </is>
      </c>
      <c r="B1240" t="inlineStr"/>
      <c r="C1240" t="inlineStr"/>
      <c r="D1240">
        <f>HYPERLINK("http://nlpdeep.cs.uic.edu:8080/proofing/gsii/523151-assessment-and-plan-0-0.pdf","gsii/523151-assessment-and-plan-0-0.pdf")</f>
        <v/>
      </c>
      <c r="E1240" t="n">
        <v>120842</v>
      </c>
      <c r="F1240" t="n">
        <v>523151</v>
      </c>
      <c r="G1240" t="inlineStr">
        <is>
          <t>Consult</t>
        </is>
      </c>
      <c r="H1240" t="inlineStr">
        <is>
          <t>assessment-and-plan</t>
        </is>
      </c>
      <c r="I1240" t="inlineStr">
        <is>
          <t>-
   - Recommendation:
   1)
   2)
   3)
This patient was seen, discussed and evaluated with
Dr.</t>
        </is>
      </c>
    </row>
    <row r="1241">
      <c r="A1241" t="inlineStr">
        <is>
          <t>523151-assessment-and-plan-0-1</t>
        </is>
      </c>
      <c r="B1241" t="inlineStr"/>
      <c r="C1241" t="inlineStr"/>
      <c r="D1241">
        <f>HYPERLINK("http://nlpdeep.cs.uic.edu:8080/proofing/t5/523151-assessment-and-plan-0-1.pdf","t5/523151-assessment-and-plan-0-1.pdf")</f>
        <v/>
      </c>
      <c r="E1241" t="n">
        <v>120842</v>
      </c>
      <c r="F1241" t="n">
        <v>523151</v>
      </c>
      <c r="G1241" t="inlineStr">
        <is>
          <t>Consult</t>
        </is>
      </c>
      <c r="H1241" t="inlineStr">
        <is>
          <t>assessment-and-plan</t>
        </is>
      </c>
      <c r="I1241" t="inlineStr">
        <is>
          <t>________________. Please see his/her note in the inpatient
medical record for additional comments.</t>
        </is>
      </c>
    </row>
    <row r="1242">
      <c r="A1242" t="inlineStr">
        <is>
          <t>523151-assessment-and-plan-0-1</t>
        </is>
      </c>
      <c r="B1242" t="inlineStr"/>
      <c r="C1242" t="inlineStr"/>
      <c r="D1242">
        <f>HYPERLINK("http://nlpdeep.cs.uic.edu:8080/proofing/gsii/523151-assessment-and-plan-0-1.pdf","gsii/523151-assessment-and-plan-0-1.pdf")</f>
        <v/>
      </c>
      <c r="E1242" t="n">
        <v>120842</v>
      </c>
      <c r="F1242" t="n">
        <v>523151</v>
      </c>
      <c r="G1242" t="inlineStr">
        <is>
          <t>Consult</t>
        </is>
      </c>
      <c r="H1242" t="inlineStr">
        <is>
          <t>assessment-and-plan</t>
        </is>
      </c>
      <c r="I1242" t="inlineStr">
        <is>
          <t>________________. Please see his/her note in the inpatient
medical record for additional comments.</t>
        </is>
      </c>
    </row>
    <row r="1243">
      <c r="A1243" t="inlineStr">
        <is>
          <t>1123153-reason-0-0</t>
        </is>
      </c>
      <c r="B1243" t="inlineStr"/>
      <c r="C1243" t="inlineStr"/>
      <c r="D1243">
        <f>HYPERLINK("http://nlpdeep.cs.uic.edu:8080/proofing/t5/1123153-reason-0-0.pdf","t5/1123153-reason-0-0.pdf")</f>
        <v/>
      </c>
      <c r="E1243" t="n">
        <v>120842</v>
      </c>
      <c r="F1243" t="n">
        <v>1123153</v>
      </c>
      <c r="G1243" t="inlineStr">
        <is>
          <t>Radiology</t>
        </is>
      </c>
      <c r="H1243" t="inlineStr">
        <is>
          <t>reason</t>
        </is>
      </c>
      <c r="I1243" t="inlineStr">
        <is>
          <t>?chf, p</t>
        </is>
      </c>
    </row>
    <row r="1244">
      <c r="A1244" t="inlineStr">
        <is>
          <t>1123153-reason-0-0</t>
        </is>
      </c>
      <c r="B1244" t="inlineStr"/>
      <c r="C1244" t="inlineStr"/>
      <c r="D1244">
        <f>HYPERLINK("http://nlpdeep.cs.uic.edu:8080/proofing/gsii/1123153-reason-0-0.pdf","gsii/1123153-reason-0-0.pdf")</f>
        <v/>
      </c>
      <c r="E1244" t="n">
        <v>120842</v>
      </c>
      <c r="F1244" t="n">
        <v>1123153</v>
      </c>
      <c r="G1244" t="inlineStr">
        <is>
          <t>Radiology</t>
        </is>
      </c>
      <c r="H1244" t="inlineStr">
        <is>
          <t>reason</t>
        </is>
      </c>
      <c r="I1244" t="inlineStr">
        <is>
          <t>?chf, p</t>
        </is>
      </c>
    </row>
    <row r="1245">
      <c r="A1245" t="inlineStr">
        <is>
          <t>1123153-medical-condition-0-0</t>
        </is>
      </c>
      <c r="B1245" t="inlineStr"/>
      <c r="C1245" t="inlineStr"/>
      <c r="D1245">
        <f>HYPERLINK("http://nlpdeep.cs.uic.edu:8080/proofing/t5/1123153-medical-condition-0-0.pdf","t5/1123153-medical-condition-0-0.pdf")</f>
        <v/>
      </c>
      <c r="E1245" t="n">
        <v>120842</v>
      </c>
      <c r="F1245" t="n">
        <v>1123153</v>
      </c>
      <c r="G1245" t="inlineStr">
        <is>
          <t>Radiology</t>
        </is>
      </c>
      <c r="H1245" t="inlineStr">
        <is>
          <t>medical-condition</t>
        </is>
      </c>
      <c r="I1245" t="inlineStr">
        <is>
          <t>73 year old woman with hx COPD/CHF, acute dyspnea since last n</t>
        </is>
      </c>
    </row>
    <row r="1246">
      <c r="A1246" t="inlineStr">
        <is>
          <t>1123153-medical-condition-0-0</t>
        </is>
      </c>
      <c r="B1246" t="inlineStr"/>
      <c r="C1246" t="inlineStr"/>
      <c r="D1246">
        <f>HYPERLINK("http://nlpdeep.cs.uic.edu:8080/proofing/gsii/1123153-medical-condition-0-0.pdf","gsii/1123153-medical-condition-0-0.pdf")</f>
        <v/>
      </c>
      <c r="E1246" t="n">
        <v>120842</v>
      </c>
      <c r="F1246" t="n">
        <v>1123153</v>
      </c>
      <c r="G1246" t="inlineStr">
        <is>
          <t>Radiology</t>
        </is>
      </c>
      <c r="H1246" t="inlineStr">
        <is>
          <t>medical-condition</t>
        </is>
      </c>
      <c r="I1246" t="inlineStr">
        <is>
          <t>73 year old woman with hx COPD/CHF, acute dyspnea since last n</t>
        </is>
      </c>
    </row>
    <row r="1247">
      <c r="A1247" t="inlineStr">
        <is>
          <t>1123153-indication-0-0</t>
        </is>
      </c>
      <c r="B1247" t="inlineStr"/>
      <c r="C1247" t="inlineStr"/>
      <c r="D1247">
        <f>HYPERLINK("http://nlpdeep.cs.uic.edu:8080/proofing/t5/1123153-indication-0-0.pdf","t5/1123153-indication-0-0.pdf")</f>
        <v/>
      </c>
      <c r="E1247" t="n">
        <v>120842</v>
      </c>
      <c r="F1247" t="n">
        <v>1123153</v>
      </c>
      <c r="G1247" t="inlineStr">
        <is>
          <t>Radiology</t>
        </is>
      </c>
      <c r="H1247" t="inlineStr">
        <is>
          <t>indication</t>
        </is>
      </c>
      <c r="I1247" t="inlineStr">
        <is>
          <t>73-year-old female with COPD/CHF, acute dyspnea.</t>
        </is>
      </c>
    </row>
    <row r="1248">
      <c r="A1248" t="inlineStr">
        <is>
          <t>1123153-indication-0-0</t>
        </is>
      </c>
      <c r="B1248" t="inlineStr"/>
      <c r="C1248" t="inlineStr"/>
      <c r="D1248">
        <f>HYPERLINK("http://nlpdeep.cs.uic.edu:8080/proofing/gsii/1123153-indication-0-0.pdf","gsii/1123153-indication-0-0.pdf")</f>
        <v/>
      </c>
      <c r="E1248" t="n">
        <v>120842</v>
      </c>
      <c r="F1248" t="n">
        <v>1123153</v>
      </c>
      <c r="G1248" t="inlineStr">
        <is>
          <t>Radiology</t>
        </is>
      </c>
      <c r="H1248" t="inlineStr">
        <is>
          <t>indication</t>
        </is>
      </c>
      <c r="I1248" t="inlineStr">
        <is>
          <t>73-year-old female with COPD/CHF, acute dyspnea.</t>
        </is>
      </c>
    </row>
    <row r="1249">
      <c r="A1249" t="inlineStr">
        <is>
          <t>1123153-comparison-0-0</t>
        </is>
      </c>
      <c r="B1249" t="inlineStr"/>
      <c r="C1249" t="inlineStr"/>
      <c r="D1249">
        <f>HYPERLINK("http://nlpdeep.cs.uic.edu:8080/proofing/t5/1123153-comparison-0-0.pdf","t5/1123153-comparison-0-0.pdf")</f>
        <v/>
      </c>
      <c r="E1249" t="n">
        <v>120842</v>
      </c>
      <c r="F1249" t="n">
        <v>1123153</v>
      </c>
      <c r="G1249" t="inlineStr">
        <is>
          <t>Radiology</t>
        </is>
      </c>
      <c r="H1249" t="inlineStr">
        <is>
          <t>comparison</t>
        </is>
      </c>
      <c r="I1249" t="inlineStr">
        <is>
          <t>[**2153-3-6**].</t>
        </is>
      </c>
    </row>
    <row r="1250">
      <c r="A1250" t="inlineStr">
        <is>
          <t>1123153-comparison-0-0</t>
        </is>
      </c>
      <c r="B1250" t="inlineStr"/>
      <c r="C1250" t="inlineStr"/>
      <c r="D1250">
        <f>HYPERLINK("http://nlpdeep.cs.uic.edu:8080/proofing/gsii/1123153-comparison-0-0.pdf","gsii/1123153-comparison-0-0.pdf")</f>
        <v/>
      </c>
      <c r="E1250" t="n">
        <v>120842</v>
      </c>
      <c r="F1250" t="n">
        <v>1123153</v>
      </c>
      <c r="G1250" t="inlineStr">
        <is>
          <t>Radiology</t>
        </is>
      </c>
      <c r="H1250" t="inlineStr">
        <is>
          <t>comparison</t>
        </is>
      </c>
      <c r="I1250" t="inlineStr">
        <is>
          <t>[**2153-3-6**].</t>
        </is>
      </c>
    </row>
    <row r="1251">
      <c r="A1251" t="inlineStr">
        <is>
          <t>1123153-findings-0-0</t>
        </is>
      </c>
      <c r="B1251" t="inlineStr"/>
      <c r="C1251" t="inlineStr"/>
      <c r="D1251">
        <f>HYPERLINK("http://nlpdeep.cs.uic.edu:8080/proofing/t5/1123153-findings-0-0.pdf","t5/1123153-findings-0-0.pdf")</f>
        <v/>
      </c>
      <c r="E1251" t="n">
        <v>120842</v>
      </c>
      <c r="F1251" t="n">
        <v>1123153</v>
      </c>
      <c r="G1251" t="inlineStr">
        <is>
          <t>Radiology</t>
        </is>
      </c>
      <c r="H1251" t="inlineStr">
        <is>
          <t>findings</t>
        </is>
      </c>
      <c r="I1251" t="inlineStr">
        <is>
          <t>Single AP radiograph of the chest again demonstrates hyperexpanded
 lungs, consistent with emphysema.</t>
        </is>
      </c>
    </row>
    <row r="1252">
      <c r="A1252" t="inlineStr">
        <is>
          <t>1123153-findings-0-0</t>
        </is>
      </c>
      <c r="B1252" t="inlineStr"/>
      <c r="C1252" t="inlineStr"/>
      <c r="D1252">
        <f>HYPERLINK("http://nlpdeep.cs.uic.edu:8080/proofing/gsii/1123153-findings-0-0.pdf","gsii/1123153-findings-0-0.pdf")</f>
        <v/>
      </c>
      <c r="E1252" t="n">
        <v>120842</v>
      </c>
      <c r="F1252" t="n">
        <v>1123153</v>
      </c>
      <c r="G1252" t="inlineStr">
        <is>
          <t>Radiology</t>
        </is>
      </c>
      <c r="H1252" t="inlineStr">
        <is>
          <t>findings</t>
        </is>
      </c>
      <c r="I1252" t="inlineStr">
        <is>
          <t>Single AP radiograph of the chest again demonstrates hyperexpanded
 lungs, consistent with emphysema.</t>
        </is>
      </c>
    </row>
    <row r="1253">
      <c r="A1253" t="inlineStr">
        <is>
          <t>1123153-findings-0-1</t>
        </is>
      </c>
      <c r="B1253" t="inlineStr"/>
      <c r="C1253" t="inlineStr"/>
      <c r="D1253">
        <f>HYPERLINK("http://nlpdeep.cs.uic.edu:8080/proofing/t5/1123153-findings-0-1.pdf","t5/1123153-findings-0-1.pdf")</f>
        <v/>
      </c>
      <c r="E1253" t="n">
        <v>120842</v>
      </c>
      <c r="F1253" t="n">
        <v>1123153</v>
      </c>
      <c r="G1253" t="inlineStr">
        <is>
          <t>Radiology</t>
        </is>
      </c>
      <c r="H1253" t="inlineStr">
        <is>
          <t>findings</t>
        </is>
      </c>
      <c r="I1253" t="inlineStr">
        <is>
          <t xml:space="preserve"> There is left lower lobe atelectasis, with
 no evidence of focal consolidation or edema.</t>
        </is>
      </c>
    </row>
    <row r="1254">
      <c r="A1254" t="inlineStr">
        <is>
          <t>1123153-findings-0-1</t>
        </is>
      </c>
      <c r="B1254" t="inlineStr"/>
      <c r="C1254" t="inlineStr"/>
      <c r="D1254">
        <f>HYPERLINK("http://nlpdeep.cs.uic.edu:8080/proofing/gsii/1123153-findings-0-1.pdf","gsii/1123153-findings-0-1.pdf")</f>
        <v/>
      </c>
      <c r="E1254" t="n">
        <v>120842</v>
      </c>
      <c r="F1254" t="n">
        <v>1123153</v>
      </c>
      <c r="G1254" t="inlineStr">
        <is>
          <t>Radiology</t>
        </is>
      </c>
      <c r="H1254" t="inlineStr">
        <is>
          <t>findings</t>
        </is>
      </c>
      <c r="I1254" t="inlineStr">
        <is>
          <t xml:space="preserve"> There is left lower lobe atelectasis, with
 no evidence of focal consolidation or edema.</t>
        </is>
      </c>
    </row>
    <row r="1255">
      <c r="A1255" t="inlineStr">
        <is>
          <t>1123153-findings-0-2</t>
        </is>
      </c>
      <c r="B1255" t="inlineStr"/>
      <c r="C1255" t="inlineStr"/>
      <c r="D1255">
        <f>HYPERLINK("http://nlpdeep.cs.uic.edu:8080/proofing/t5/1123153-findings-0-2.pdf","t5/1123153-findings-0-2.pdf")</f>
        <v/>
      </c>
      <c r="E1255" t="n">
        <v>120842</v>
      </c>
      <c r="F1255" t="n">
        <v>1123153</v>
      </c>
      <c r="G1255" t="inlineStr">
        <is>
          <t>Radiology</t>
        </is>
      </c>
      <c r="H1255" t="inlineStr">
        <is>
          <t>findings</t>
        </is>
      </c>
      <c r="I1255" t="inlineStr">
        <is>
          <t xml:space="preserve"> The cardiomediastinal silhouette
 is again enlarged, with a tortuous and calcified aorta.</t>
        </is>
      </c>
    </row>
    <row r="1256">
      <c r="A1256" t="inlineStr">
        <is>
          <t>1123153-findings-0-2</t>
        </is>
      </c>
      <c r="B1256" t="inlineStr"/>
      <c r="C1256" t="inlineStr"/>
      <c r="D1256">
        <f>HYPERLINK("http://nlpdeep.cs.uic.edu:8080/proofing/gsii/1123153-findings-0-2.pdf","gsii/1123153-findings-0-2.pdf")</f>
        <v/>
      </c>
      <c r="E1256" t="n">
        <v>120842</v>
      </c>
      <c r="F1256" t="n">
        <v>1123153</v>
      </c>
      <c r="G1256" t="inlineStr">
        <is>
          <t>Radiology</t>
        </is>
      </c>
      <c r="H1256" t="inlineStr">
        <is>
          <t>findings</t>
        </is>
      </c>
      <c r="I1256" t="inlineStr">
        <is>
          <t xml:space="preserve"> The cardiomediastinal silhouette
 is again enlarged, with a tortuous and calcified aorta.</t>
        </is>
      </c>
    </row>
    <row r="1257">
      <c r="A1257" t="inlineStr">
        <is>
          <t>1123153-findings-0-3</t>
        </is>
      </c>
      <c r="B1257" t="inlineStr"/>
      <c r="C1257" t="inlineStr"/>
      <c r="D1257">
        <f>HYPERLINK("http://nlpdeep.cs.uic.edu:8080/proofing/t5/1123153-findings-0-3.pdf","t5/1123153-findings-0-3.pdf")</f>
        <v/>
      </c>
      <c r="E1257" t="n">
        <v>120842</v>
      </c>
      <c r="F1257" t="n">
        <v>1123153</v>
      </c>
      <c r="G1257" t="inlineStr">
        <is>
          <t>Radiology</t>
        </is>
      </c>
      <c r="H1257" t="inlineStr">
        <is>
          <t>findings</t>
        </is>
      </c>
      <c r="I1257" t="inlineStr">
        <is>
          <t xml:space="preserve"> The osseous
 structures and soft tissues are unremarkable.</t>
        </is>
      </c>
    </row>
    <row r="1258">
      <c r="A1258" t="inlineStr">
        <is>
          <t>1123153-findings-0-3</t>
        </is>
      </c>
      <c r="B1258" t="inlineStr"/>
      <c r="C1258" t="inlineStr"/>
      <c r="D1258">
        <f>HYPERLINK("http://nlpdeep.cs.uic.edu:8080/proofing/gsii/1123153-findings-0-3.pdf","gsii/1123153-findings-0-3.pdf")</f>
        <v/>
      </c>
      <c r="E1258" t="n">
        <v>120842</v>
      </c>
      <c r="F1258" t="n">
        <v>1123153</v>
      </c>
      <c r="G1258" t="inlineStr">
        <is>
          <t>Radiology</t>
        </is>
      </c>
      <c r="H1258" t="inlineStr">
        <is>
          <t>findings</t>
        </is>
      </c>
      <c r="I1258" t="inlineStr">
        <is>
          <t xml:space="preserve"> The osseous
 structures and soft tissues are unremarkable.</t>
        </is>
      </c>
    </row>
    <row r="1259">
      <c r="A1259" t="inlineStr">
        <is>
          <t>1123153-impression-0-0</t>
        </is>
      </c>
      <c r="B1259" t="inlineStr"/>
      <c r="C1259" t="inlineStr"/>
      <c r="D1259">
        <f>HYPERLINK("http://nlpdeep.cs.uic.edu:8080/proofing/t5/1123153-impression-0-0.pdf","t5/1123153-impression-0-0.pdf")</f>
        <v/>
      </c>
      <c r="E1259" t="n">
        <v>120842</v>
      </c>
      <c r="F1259" t="n">
        <v>1123153</v>
      </c>
      <c r="G1259" t="inlineStr">
        <is>
          <t>Radiology</t>
        </is>
      </c>
      <c r="H1259" t="inlineStr">
        <is>
          <t>impression</t>
        </is>
      </c>
      <c r="I1259" t="inlineStr">
        <is>
          <t>No acute cardiopulmonary process.</t>
        </is>
      </c>
    </row>
    <row r="1260">
      <c r="A1260" t="inlineStr">
        <is>
          <t>1123153-impression-0-0</t>
        </is>
      </c>
      <c r="B1260" t="inlineStr"/>
      <c r="C1260" t="inlineStr"/>
      <c r="D1260">
        <f>HYPERLINK("http://nlpdeep.cs.uic.edu:8080/proofing/gsii/1123153-impression-0-0.pdf","gsii/1123153-impression-0-0.pdf")</f>
        <v/>
      </c>
      <c r="E1260" t="n">
        <v>120842</v>
      </c>
      <c r="F1260" t="n">
        <v>1123153</v>
      </c>
      <c r="G1260" t="inlineStr">
        <is>
          <t>Radiology</t>
        </is>
      </c>
      <c r="H1260" t="inlineStr">
        <is>
          <t>impression</t>
        </is>
      </c>
      <c r="I1260" t="inlineStr">
        <is>
          <t>No acute cardiopulmonary process.</t>
        </is>
      </c>
    </row>
    <row r="1261">
      <c r="A1261" t="inlineStr">
        <is>
          <t>1123570-reason-0-0</t>
        </is>
      </c>
      <c r="B1261" t="inlineStr"/>
      <c r="C1261" t="inlineStr"/>
      <c r="D1261">
        <f>HYPERLINK("http://nlpdeep.cs.uic.edu:8080/proofing/t5/1123570-reason-0-0.pdf","t5/1123570-reason-0-0.pdf")</f>
        <v/>
      </c>
      <c r="E1261" t="n">
        <v>120842</v>
      </c>
      <c r="F1261" t="n">
        <v>1123570</v>
      </c>
      <c r="G1261" t="inlineStr">
        <is>
          <t>Radiology</t>
        </is>
      </c>
      <c r="H1261" t="inlineStr">
        <is>
          <t>reason</t>
        </is>
      </c>
      <c r="I1261" t="inlineStr">
        <is>
          <t>eval for p</t>
        </is>
      </c>
    </row>
    <row r="1262">
      <c r="A1262" t="inlineStr">
        <is>
          <t>1123570-reason-0-0</t>
        </is>
      </c>
      <c r="B1262" t="inlineStr"/>
      <c r="C1262" t="inlineStr"/>
      <c r="D1262">
        <f>HYPERLINK("http://nlpdeep.cs.uic.edu:8080/proofing/gsii/1123570-reason-0-0.pdf","gsii/1123570-reason-0-0.pdf")</f>
        <v/>
      </c>
      <c r="E1262" t="n">
        <v>120842</v>
      </c>
      <c r="F1262" t="n">
        <v>1123570</v>
      </c>
      <c r="G1262" t="inlineStr">
        <is>
          <t>Radiology</t>
        </is>
      </c>
      <c r="H1262" t="inlineStr">
        <is>
          <t>reason</t>
        </is>
      </c>
      <c r="I1262" t="inlineStr">
        <is>
          <t>eval for p</t>
        </is>
      </c>
    </row>
    <row r="1263">
      <c r="A1263" t="inlineStr">
        <is>
          <t>1123570-medical-condition-0-0</t>
        </is>
      </c>
      <c r="B1263" t="inlineStr"/>
      <c r="C1263" t="inlineStr"/>
      <c r="D1263">
        <f>HYPERLINK("http://nlpdeep.cs.uic.edu:8080/proofing/t5/1123570-medical-condition-0-0.pdf","t5/1123570-medical-condition-0-0.pdf")</f>
        <v/>
      </c>
      <c r="E1263" t="n">
        <v>120842</v>
      </c>
      <c r="F1263" t="n">
        <v>1123570</v>
      </c>
      <c r="G1263" t="inlineStr">
        <is>
          <t>Radiology</t>
        </is>
      </c>
      <c r="H1263" t="inlineStr">
        <is>
          <t>medical-condition</t>
        </is>
      </c>
      <c r="I1263" t="inlineStr">
        <is>
          <t>73 year old woman with respiratory distress, s/p recent T</t>
        </is>
      </c>
    </row>
    <row r="1264">
      <c r="A1264" t="inlineStr">
        <is>
          <t>1123570-medical-condition-0-0</t>
        </is>
      </c>
      <c r="B1264" t="inlineStr"/>
      <c r="C1264" t="inlineStr"/>
      <c r="D1264">
        <f>HYPERLINK("http://nlpdeep.cs.uic.edu:8080/proofing/gsii/1123570-medical-condition-0-0.pdf","gsii/1123570-medical-condition-0-0.pdf")</f>
        <v/>
      </c>
      <c r="E1264" t="n">
        <v>120842</v>
      </c>
      <c r="F1264" t="n">
        <v>1123570</v>
      </c>
      <c r="G1264" t="inlineStr">
        <is>
          <t>Radiology</t>
        </is>
      </c>
      <c r="H1264" t="inlineStr">
        <is>
          <t>medical-condition</t>
        </is>
      </c>
      <c r="I1264" t="inlineStr">
        <is>
          <t>73 year old woman with respiratory distress, s/p recent T</t>
        </is>
      </c>
    </row>
    <row r="1265">
      <c r="A1265" t="inlineStr">
        <is>
          <t>1123570-history-0-0</t>
        </is>
      </c>
      <c r="B1265" t="inlineStr"/>
      <c r="C1265" t="inlineStr"/>
      <c r="D1265">
        <f>HYPERLINK("http://nlpdeep.cs.uic.edu:8080/proofing/t5/1123570-history-0-0.pdf","t5/1123570-history-0-0.pdf")</f>
        <v/>
      </c>
      <c r="E1265" t="n">
        <v>120842</v>
      </c>
      <c r="F1265" t="n">
        <v>1123570</v>
      </c>
      <c r="G1265" t="inlineStr">
        <is>
          <t>Radiology</t>
        </is>
      </c>
      <c r="H1265" t="inlineStr">
        <is>
          <t>history</t>
        </is>
      </c>
      <c r="I1265" t="inlineStr">
        <is>
          <t>Respiratory distress.</t>
        </is>
      </c>
    </row>
    <row r="1266">
      <c r="A1266" t="inlineStr">
        <is>
          <t>1123570-history-0-0</t>
        </is>
      </c>
      <c r="B1266" t="inlineStr"/>
      <c r="C1266" t="inlineStr"/>
      <c r="D1266">
        <f>HYPERLINK("http://nlpdeep.cs.uic.edu:8080/proofing/gsii/1123570-history-0-0.pdf","gsii/1123570-history-0-0.pdf")</f>
        <v/>
      </c>
      <c r="E1266" t="n">
        <v>120842</v>
      </c>
      <c r="F1266" t="n">
        <v>1123570</v>
      </c>
      <c r="G1266" t="inlineStr">
        <is>
          <t>Radiology</t>
        </is>
      </c>
      <c r="H1266" t="inlineStr">
        <is>
          <t>history</t>
        </is>
      </c>
      <c r="I1266" t="inlineStr">
        <is>
          <t>Respiratory distress.</t>
        </is>
      </c>
    </row>
    <row r="1267">
      <c r="A1267" t="inlineStr">
        <is>
          <t>1123570-history-0-1</t>
        </is>
      </c>
      <c r="B1267" t="inlineStr"/>
      <c r="C1267" t="inlineStr"/>
      <c r="D1267">
        <f>HYPERLINK("http://nlpdeep.cs.uic.edu:8080/proofing/t5/1123570-history-0-1.pdf","t5/1123570-history-0-1.pdf")</f>
        <v/>
      </c>
      <c r="E1267" t="n">
        <v>120842</v>
      </c>
      <c r="F1267" t="n">
        <v>1123570</v>
      </c>
      <c r="G1267" t="inlineStr">
        <is>
          <t>Radiology</t>
        </is>
      </c>
      <c r="H1267" t="inlineStr">
        <is>
          <t>history</t>
        </is>
      </c>
      <c r="I1267" t="inlineStr">
        <is>
          <t xml:space="preserve"> Recent knee replacement.</t>
        </is>
      </c>
    </row>
    <row r="1268">
      <c r="A1268" t="inlineStr">
        <is>
          <t>1123570-history-0-1</t>
        </is>
      </c>
      <c r="B1268" t="inlineStr"/>
      <c r="C1268" t="inlineStr"/>
      <c r="D1268">
        <f>HYPERLINK("http://nlpdeep.cs.uic.edu:8080/proofing/gsii/1123570-history-0-1.pdf","gsii/1123570-history-0-1.pdf")</f>
        <v/>
      </c>
      <c r="E1268" t="n">
        <v>120842</v>
      </c>
      <c r="F1268" t="n">
        <v>1123570</v>
      </c>
      <c r="G1268" t="inlineStr">
        <is>
          <t>Radiology</t>
        </is>
      </c>
      <c r="H1268" t="inlineStr">
        <is>
          <t>history</t>
        </is>
      </c>
      <c r="I1268" t="inlineStr">
        <is>
          <t xml:space="preserve"> Recent knee replacement.</t>
        </is>
      </c>
    </row>
    <row r="1269">
      <c r="A1269" t="inlineStr">
        <is>
          <t>1123570-history-0-2</t>
        </is>
      </c>
      <c r="B1269" t="inlineStr"/>
      <c r="C1269" t="inlineStr"/>
      <c r="D1269">
        <f>HYPERLINK("http://nlpdeep.cs.uic.edu:8080/proofing/t5/1123570-history-0-2.pdf","t5/1123570-history-0-2.pdf")</f>
        <v/>
      </c>
      <c r="E1269" t="n">
        <v>120842</v>
      </c>
      <c r="F1269" t="n">
        <v>1123570</v>
      </c>
      <c r="G1269" t="inlineStr">
        <is>
          <t>Radiology</t>
        </is>
      </c>
      <c r="H1269" t="inlineStr">
        <is>
          <t>history</t>
        </is>
      </c>
      <c r="I1269" t="inlineStr">
        <is>
          <t xml:space="preserve"> Rule out pulmonary
 embolism.</t>
        </is>
      </c>
    </row>
    <row r="1270">
      <c r="A1270" t="inlineStr">
        <is>
          <t>1123570-history-0-2</t>
        </is>
      </c>
      <c r="B1270" t="inlineStr"/>
      <c r="C1270" t="inlineStr"/>
      <c r="D1270">
        <f>HYPERLINK("http://nlpdeep.cs.uic.edu:8080/proofing/gsii/1123570-history-0-2.pdf","gsii/1123570-history-0-2.pdf")</f>
        <v/>
      </c>
      <c r="E1270" t="n">
        <v>120842</v>
      </c>
      <c r="F1270" t="n">
        <v>1123570</v>
      </c>
      <c r="G1270" t="inlineStr">
        <is>
          <t>Radiology</t>
        </is>
      </c>
      <c r="H1270" t="inlineStr">
        <is>
          <t>history</t>
        </is>
      </c>
      <c r="I1270" t="inlineStr">
        <is>
          <t xml:space="preserve"> Rule out pulmonary
 embolism.</t>
        </is>
      </c>
    </row>
    <row r="1271">
      <c r="A1271" t="inlineStr">
        <is>
          <t>1123570-technique-0-0</t>
        </is>
      </c>
      <c r="B1271" t="inlineStr"/>
      <c r="C1271" t="inlineStr"/>
      <c r="D1271">
        <f>HYPERLINK("http://nlpdeep.cs.uic.edu:8080/proofing/t5/1123570-technique-0-0.pdf","t5/1123570-technique-0-0.pdf")</f>
        <v/>
      </c>
      <c r="E1271" t="n">
        <v>120842</v>
      </c>
      <c r="F1271" t="n">
        <v>1123570</v>
      </c>
      <c r="G1271" t="inlineStr">
        <is>
          <t>Radiology</t>
        </is>
      </c>
      <c r="H1271" t="inlineStr">
        <is>
          <t>technique</t>
        </is>
      </c>
      <c r="I1271" t="inlineStr">
        <is>
          <t>Multidetector helical scanning of the chest performed both before
 and in coordination with intravenous infusion of 100 ml Optiray nonionic
 iodinated contrast [**Doctor Last Name 1309**] timed for optimal opacification of the pulmonary
 arterial circulation reconstructed as contiguous 5- and 2.5-mm thick axial
 images respectively and oblique sagittal and coronal reformats of
 contrast-enhanced images, read in conjunction with CTA on [**2153-3-25**]
 and earlier chest CT since [**2150-5-7**].</t>
        </is>
      </c>
    </row>
    <row r="1272">
      <c r="A1272" t="inlineStr">
        <is>
          <t>1123570-technique-0-0</t>
        </is>
      </c>
      <c r="B1272" t="inlineStr"/>
      <c r="C1272" t="inlineStr"/>
      <c r="D1272">
        <f>HYPERLINK("http://nlpdeep.cs.uic.edu:8080/proofing/gsii/1123570-technique-0-0.pdf","gsii/1123570-technique-0-0.pdf")</f>
        <v/>
      </c>
      <c r="E1272" t="n">
        <v>120842</v>
      </c>
      <c r="F1272" t="n">
        <v>1123570</v>
      </c>
      <c r="G1272" t="inlineStr">
        <is>
          <t>Radiology</t>
        </is>
      </c>
      <c r="H1272" t="inlineStr">
        <is>
          <t>technique</t>
        </is>
      </c>
      <c r="I1272" t="inlineStr">
        <is>
          <t>Multidetector helical scanning of the chest performed both before
 and in coordination with intravenous infusion of 100 ml Optiray nonionic
 iodinated contrast [**Doctor Last Name 1309**] timed for optimal opacification of the pulmonary
 arterial circulation reconstructed as contiguous 5- and 2.5-mm thick axial
 images respectively and oblique sagittal and coronal reformats of
 contrast-enhanced images, read in conjunction with CTA on [**2153-3-25**]
 and earlier chest CT since [**2150-5-7**].</t>
        </is>
      </c>
    </row>
    <row r="1273">
      <c r="A1273" t="inlineStr">
        <is>
          <t>1123570-findings-0-0</t>
        </is>
      </c>
      <c r="B1273" t="inlineStr"/>
      <c r="C1273" t="inlineStr"/>
      <c r="D1273">
        <f>HYPERLINK("http://nlpdeep.cs.uic.edu:8080/proofing/t5/1123570-findings-0-0.pdf","t5/1123570-findings-0-0.pdf")</f>
        <v/>
      </c>
      <c r="E1273" t="n">
        <v>120842</v>
      </c>
      <c r="F1273" t="n">
        <v>1123570</v>
      </c>
      <c r="G1273" t="inlineStr">
        <is>
          <t>Radiology</t>
        </is>
      </c>
      <c r="H1273" t="inlineStr">
        <is>
          <t>findings</t>
        </is>
      </c>
      <c r="I1273" t="inlineStr">
        <is>
          <t>Interval calcification in the thoracic aorta is extensive in the arch, and
 somewhat less severe in the ascending and distinctively less severe in the
 descending portions.</t>
        </is>
      </c>
    </row>
    <row r="1274">
      <c r="A1274" t="inlineStr">
        <is>
          <t>1123570-findings-0-0</t>
        </is>
      </c>
      <c r="B1274" t="inlineStr"/>
      <c r="C1274" t="inlineStr"/>
      <c r="D1274">
        <f>HYPERLINK("http://nlpdeep.cs.uic.edu:8080/proofing/gsii/1123570-findings-0-0.pdf","gsii/1123570-findings-0-0.pdf")</f>
        <v/>
      </c>
      <c r="E1274" t="n">
        <v>120842</v>
      </c>
      <c r="F1274" t="n">
        <v>1123570</v>
      </c>
      <c r="G1274" t="inlineStr">
        <is>
          <t>Radiology</t>
        </is>
      </c>
      <c r="H1274" t="inlineStr">
        <is>
          <t>findings</t>
        </is>
      </c>
      <c r="I1274" t="inlineStr">
        <is>
          <t>Interval calcification in the thoracic aorta is extensive in the arch, and
 somewhat less severe in the ascending and distinctively less severe in the
 descending portions.</t>
        </is>
      </c>
    </row>
    <row r="1275">
      <c r="A1275" t="inlineStr">
        <is>
          <t>1123570-findings-0-1</t>
        </is>
      </c>
      <c r="B1275" t="inlineStr"/>
      <c r="C1275" t="inlineStr"/>
      <c r="D1275">
        <f>HYPERLINK("http://nlpdeep.cs.uic.edu:8080/proofing/t5/1123570-findings-0-1.pdf","t5/1123570-findings-0-1.pdf")</f>
        <v/>
      </c>
      <c r="E1275" t="n">
        <v>120842</v>
      </c>
      <c r="F1275" t="n">
        <v>1123570</v>
      </c>
      <c r="G1275" t="inlineStr">
        <is>
          <t>Radiology</t>
        </is>
      </c>
      <c r="H1275" t="inlineStr">
        <is>
          <t>findings</t>
        </is>
      </c>
      <c r="I1275" t="inlineStr">
        <is>
          <t xml:space="preserve"> There are no large mural thrombi or plaque protruding
 into the aortic lumen and the vessel caliber is normal.</t>
        </is>
      </c>
    </row>
    <row r="1276">
      <c r="A1276" t="inlineStr">
        <is>
          <t>1123570-findings-0-1</t>
        </is>
      </c>
      <c r="B1276" t="inlineStr"/>
      <c r="C1276" t="inlineStr"/>
      <c r="D1276">
        <f>HYPERLINK("http://nlpdeep.cs.uic.edu:8080/proofing/gsii/1123570-findings-0-1.pdf","gsii/1123570-findings-0-1.pdf")</f>
        <v/>
      </c>
      <c r="E1276" t="n">
        <v>120842</v>
      </c>
      <c r="F1276" t="n">
        <v>1123570</v>
      </c>
      <c r="G1276" t="inlineStr">
        <is>
          <t>Radiology</t>
        </is>
      </c>
      <c r="H1276" t="inlineStr">
        <is>
          <t>findings</t>
        </is>
      </c>
      <c r="I1276" t="inlineStr">
        <is>
          <t xml:space="preserve"> There are no large mural thrombi or plaque protruding
 into the aortic lumen and the vessel caliber is normal.</t>
        </is>
      </c>
    </row>
    <row r="1277">
      <c r="A1277" t="inlineStr">
        <is>
          <t>1123570-findings-0-2</t>
        </is>
      </c>
      <c r="B1277" t="inlineStr"/>
      <c r="C1277" t="inlineStr"/>
      <c r="D1277">
        <f>HYPERLINK("http://nlpdeep.cs.uic.edu:8080/proofing/t5/1123570-findings-0-2.pdf","t5/1123570-findings-0-2.pdf")</f>
        <v/>
      </c>
      <c r="E1277" t="n">
        <v>120842</v>
      </c>
      <c r="F1277" t="n">
        <v>1123570</v>
      </c>
      <c r="G1277" t="inlineStr">
        <is>
          <t>Radiology</t>
        </is>
      </c>
      <c r="H1277" t="inlineStr">
        <is>
          <t>findings</t>
        </is>
      </c>
      <c r="I1277" t="inlineStr">
        <is>
          <t xml:space="preserve"> There is no
 dissection.</t>
        </is>
      </c>
    </row>
    <row r="1278">
      <c r="A1278" t="inlineStr">
        <is>
          <t>1123570-findings-0-2</t>
        </is>
      </c>
      <c r="B1278" t="inlineStr"/>
      <c r="C1278" t="inlineStr"/>
      <c r="D1278">
        <f>HYPERLINK("http://nlpdeep.cs.uic.edu:8080/proofing/gsii/1123570-findings-0-2.pdf","gsii/1123570-findings-0-2.pdf")</f>
        <v/>
      </c>
      <c r="E1278" t="n">
        <v>120842</v>
      </c>
      <c r="F1278" t="n">
        <v>1123570</v>
      </c>
      <c r="G1278" t="inlineStr">
        <is>
          <t>Radiology</t>
        </is>
      </c>
      <c r="H1278" t="inlineStr">
        <is>
          <t>findings</t>
        </is>
      </c>
      <c r="I1278" t="inlineStr">
        <is>
          <t xml:space="preserve"> There is no
 dissection.</t>
        </is>
      </c>
    </row>
    <row r="1279">
      <c r="A1279" t="inlineStr">
        <is>
          <t>1123570-findings-1-0</t>
        </is>
      </c>
      <c r="B1279" t="inlineStr"/>
      <c r="C1279" t="inlineStr"/>
      <c r="D1279">
        <f>HYPERLINK("http://nlpdeep.cs.uic.edu:8080/proofing/t5/1123570-findings-1-0.pdf","t5/1123570-findings-1-0.pdf")</f>
        <v/>
      </c>
      <c r="E1279" t="n">
        <v>120842</v>
      </c>
      <c r="F1279" t="n">
        <v>1123570</v>
      </c>
      <c r="G1279" t="inlineStr">
        <is>
          <t>Radiology</t>
        </is>
      </c>
      <c r="H1279" t="inlineStr">
        <is>
          <t>findings</t>
        </is>
      </c>
      <c r="I1279" t="inlineStr">
        <is>
          <t xml:space="preserve">
 Excellent opacification of the pulmonary arterial system shows there are no
 pulmonary emboli.</t>
        </is>
      </c>
    </row>
    <row r="1280">
      <c r="A1280" t="inlineStr">
        <is>
          <t>1123570-findings-1-0</t>
        </is>
      </c>
      <c r="B1280" t="inlineStr"/>
      <c r="C1280" t="inlineStr"/>
      <c r="D1280">
        <f>HYPERLINK("http://nlpdeep.cs.uic.edu:8080/proofing/gsii/1123570-findings-1-0.pdf","gsii/1123570-findings-1-0.pdf")</f>
        <v/>
      </c>
      <c r="E1280" t="n">
        <v>120842</v>
      </c>
      <c r="F1280" t="n">
        <v>1123570</v>
      </c>
      <c r="G1280" t="inlineStr">
        <is>
          <t>Radiology</t>
        </is>
      </c>
      <c r="H1280" t="inlineStr">
        <is>
          <t>findings</t>
        </is>
      </c>
      <c r="I1280" t="inlineStr">
        <is>
          <t xml:space="preserve">
 Excellent opacification of the pulmonary arterial system shows there are no
 pulmonary emboli.</t>
        </is>
      </c>
    </row>
    <row r="1281">
      <c r="A1281" t="inlineStr">
        <is>
          <t>1123570-findings-2-0</t>
        </is>
      </c>
      <c r="B1281" t="inlineStr"/>
      <c r="C1281" t="inlineStr"/>
      <c r="D1281">
        <f>HYPERLINK("http://nlpdeep.cs.uic.edu:8080/proofing/t5/1123570-findings-2-0.pdf","t5/1123570-findings-2-0.pdf")</f>
        <v/>
      </c>
      <c r="E1281" t="n">
        <v>120842</v>
      </c>
      <c r="F1281" t="n">
        <v>1123570</v>
      </c>
      <c r="G1281" t="inlineStr">
        <is>
          <t>Radiology</t>
        </is>
      </c>
      <c r="H1281" t="inlineStr">
        <is>
          <t>findings</t>
        </is>
      </c>
      <c r="I1281" t="inlineStr">
        <is>
          <t xml:space="preserve">
 Central lymph nodes are not pathologically enlarged and there is no pleural or
 pericardial effusion.</t>
        </is>
      </c>
    </row>
    <row r="1282">
      <c r="A1282" t="inlineStr">
        <is>
          <t>1123570-findings-2-0</t>
        </is>
      </c>
      <c r="B1282" t="inlineStr"/>
      <c r="C1282" t="inlineStr"/>
      <c r="D1282">
        <f>HYPERLINK("http://nlpdeep.cs.uic.edu:8080/proofing/gsii/1123570-findings-2-0.pdf","gsii/1123570-findings-2-0.pdf")</f>
        <v/>
      </c>
      <c r="E1282" t="n">
        <v>120842</v>
      </c>
      <c r="F1282" t="n">
        <v>1123570</v>
      </c>
      <c r="G1282" t="inlineStr">
        <is>
          <t>Radiology</t>
        </is>
      </c>
      <c r="H1282" t="inlineStr">
        <is>
          <t>findings</t>
        </is>
      </c>
      <c r="I1282" t="inlineStr">
        <is>
          <t xml:space="preserve">
 Central lymph nodes are not pathologically enlarged and there is no pleural or
 pericardial effusion.</t>
        </is>
      </c>
    </row>
    <row r="1283">
      <c r="A1283" t="inlineStr">
        <is>
          <t>1123570-findings-2-1</t>
        </is>
      </c>
      <c r="B1283" t="inlineStr"/>
      <c r="C1283" t="inlineStr"/>
      <c r="D1283">
        <f>HYPERLINK("http://nlpdeep.cs.uic.edu:8080/proofing/t5/1123570-findings-2-1.pdf","t5/1123570-findings-2-1.pdf")</f>
        <v/>
      </c>
      <c r="E1283" t="n">
        <v>120842</v>
      </c>
      <c r="F1283" t="n">
        <v>1123570</v>
      </c>
      <c r="G1283" t="inlineStr">
        <is>
          <t>Radiology</t>
        </is>
      </c>
      <c r="H1283" t="inlineStr">
        <is>
          <t>findings</t>
        </is>
      </c>
      <c r="I1283" t="inlineStr">
        <is>
          <t xml:space="preserve"> Emphysema is mild-to-moderate in the upper lungs,
 minimal elsewhere, unchanged since [**2151-12-30**].</t>
        </is>
      </c>
    </row>
    <row r="1284">
      <c r="A1284" t="inlineStr">
        <is>
          <t>1123570-findings-2-1</t>
        </is>
      </c>
      <c r="B1284" t="inlineStr"/>
      <c r="C1284" t="inlineStr"/>
      <c r="D1284">
        <f>HYPERLINK("http://nlpdeep.cs.uic.edu:8080/proofing/gsii/1123570-findings-2-1.pdf","gsii/1123570-findings-2-1.pdf")</f>
        <v/>
      </c>
      <c r="E1284" t="n">
        <v>120842</v>
      </c>
      <c r="F1284" t="n">
        <v>1123570</v>
      </c>
      <c r="G1284" t="inlineStr">
        <is>
          <t>Radiology</t>
        </is>
      </c>
      <c r="H1284" t="inlineStr">
        <is>
          <t>findings</t>
        </is>
      </c>
      <c r="I1284" t="inlineStr">
        <is>
          <t xml:space="preserve"> Emphysema is mild-to-moderate in the upper lungs,
 minimal elsewhere, unchanged since [**2151-12-30**].</t>
        </is>
      </c>
    </row>
    <row r="1285">
      <c r="A1285" t="inlineStr">
        <is>
          <t>1123570-findings-2-2</t>
        </is>
      </c>
      <c r="B1285" t="inlineStr"/>
      <c r="C1285" t="inlineStr"/>
      <c r="D1285">
        <f>HYPERLINK("http://nlpdeep.cs.uic.edu:8080/proofing/t5/1123570-findings-2-2.pdf","t5/1123570-findings-2-2.pdf")</f>
        <v/>
      </c>
      <c r="E1285" t="n">
        <v>120842</v>
      </c>
      <c r="F1285" t="n">
        <v>1123570</v>
      </c>
      <c r="G1285" t="inlineStr">
        <is>
          <t>Radiology</t>
        </is>
      </c>
      <c r="H1285" t="inlineStr">
        <is>
          <t>findings</t>
        </is>
      </c>
      <c r="I1285" t="inlineStr">
        <is>
          <t xml:space="preserve"> Mild bronchiectasis,
 widespread in the lower lobes has less bronchial wall thickening and
 impaction.</t>
        </is>
      </c>
    </row>
    <row r="1286">
      <c r="A1286" t="inlineStr">
        <is>
          <t>1123570-findings-2-2</t>
        </is>
      </c>
      <c r="B1286" t="inlineStr"/>
      <c r="C1286" t="inlineStr"/>
      <c r="D1286">
        <f>HYPERLINK("http://nlpdeep.cs.uic.edu:8080/proofing/gsii/1123570-findings-2-2.pdf","gsii/1123570-findings-2-2.pdf")</f>
        <v/>
      </c>
      <c r="E1286" t="n">
        <v>120842</v>
      </c>
      <c r="F1286" t="n">
        <v>1123570</v>
      </c>
      <c r="G1286" t="inlineStr">
        <is>
          <t>Radiology</t>
        </is>
      </c>
      <c r="H1286" t="inlineStr">
        <is>
          <t>findings</t>
        </is>
      </c>
      <c r="I1286" t="inlineStr">
        <is>
          <t xml:space="preserve"> Mild bronchiectasis,
 widespread in the lower lobes has less bronchial wall thickening and
 impaction.</t>
        </is>
      </c>
    </row>
    <row r="1287">
      <c r="A1287" t="inlineStr">
        <is>
          <t>1123570-findings-2-3</t>
        </is>
      </c>
      <c r="B1287" t="inlineStr"/>
      <c r="C1287" t="inlineStr"/>
      <c r="D1287">
        <f>HYPERLINK("http://nlpdeep.cs.uic.edu:8080/proofing/t5/1123570-findings-2-3.pdf","t5/1123570-findings-2-3.pdf")</f>
        <v/>
      </c>
      <c r="E1287" t="n">
        <v>120842</v>
      </c>
      <c r="F1287" t="n">
        <v>1123570</v>
      </c>
      <c r="G1287" t="inlineStr">
        <is>
          <t>Radiology</t>
        </is>
      </c>
      <c r="H1287" t="inlineStr">
        <is>
          <t>findings</t>
        </is>
      </c>
      <c r="I1287" t="inlineStr">
        <is>
          <t xml:space="preserve"> A 6-mm non-calcified left lower lobe nodule, 3:63, is unchanged
 since [**2149-11-26**], [**2150-5-7**], and [**2151-12-30**].</t>
        </is>
      </c>
    </row>
    <row r="1288">
      <c r="A1288" t="inlineStr">
        <is>
          <t>1123570-findings-2-3</t>
        </is>
      </c>
      <c r="B1288" t="inlineStr"/>
      <c r="C1288" t="inlineStr"/>
      <c r="D1288">
        <f>HYPERLINK("http://nlpdeep.cs.uic.edu:8080/proofing/gsii/1123570-findings-2-3.pdf","gsii/1123570-findings-2-3.pdf")</f>
        <v/>
      </c>
      <c r="E1288" t="n">
        <v>120842</v>
      </c>
      <c r="F1288" t="n">
        <v>1123570</v>
      </c>
      <c r="G1288" t="inlineStr">
        <is>
          <t>Radiology</t>
        </is>
      </c>
      <c r="H1288" t="inlineStr">
        <is>
          <t>findings</t>
        </is>
      </c>
      <c r="I1288" t="inlineStr">
        <is>
          <t xml:space="preserve"> A 6-mm non-calcified left lower lobe nodule, 3:63, is unchanged
 since [**2149-11-26**], [**2150-5-7**], and [**2151-12-30**].</t>
        </is>
      </c>
    </row>
    <row r="1289">
      <c r="A1289" t="inlineStr">
        <is>
          <t>1123570-impression-0-0</t>
        </is>
      </c>
      <c r="B1289" t="inlineStr"/>
      <c r="C1289" t="inlineStr"/>
      <c r="D1289">
        <f>HYPERLINK("http://nlpdeep.cs.uic.edu:8080/proofing/t5/1123570-impression-0-0.pdf","t5/1123570-impression-0-0.pdf")</f>
        <v/>
      </c>
      <c r="E1289" t="n">
        <v>120842</v>
      </c>
      <c r="F1289" t="n">
        <v>1123570</v>
      </c>
      <c r="G1289" t="inlineStr">
        <is>
          <t>Radiology</t>
        </is>
      </c>
      <c r="H1289" t="inlineStr">
        <is>
          <t>impression</t>
        </is>
      </c>
      <c r="I1289" t="inlineStr">
        <is>
          <t xml:space="preserve"> No pulmonary emboli or aortic dissection.</t>
        </is>
      </c>
    </row>
    <row r="1290">
      <c r="A1290" t="inlineStr">
        <is>
          <t>1123570-impression-0-0</t>
        </is>
      </c>
      <c r="B1290" t="inlineStr"/>
      <c r="C1290" t="inlineStr"/>
      <c r="D1290">
        <f>HYPERLINK("http://nlpdeep.cs.uic.edu:8080/proofing/gsii/1123570-impression-0-0.pdf","gsii/1123570-impression-0-0.pdf")</f>
        <v/>
      </c>
      <c r="E1290" t="n">
        <v>120842</v>
      </c>
      <c r="F1290" t="n">
        <v>1123570</v>
      </c>
      <c r="G1290" t="inlineStr">
        <is>
          <t>Radiology</t>
        </is>
      </c>
      <c r="H1290" t="inlineStr">
        <is>
          <t>impression</t>
        </is>
      </c>
      <c r="I1290" t="inlineStr">
        <is>
          <t xml:space="preserve"> No pulmonary emboli or aortic dissection.</t>
        </is>
      </c>
    </row>
    <row r="1291">
      <c r="A1291" t="inlineStr">
        <is>
          <t>1123570-impression-0-1</t>
        </is>
      </c>
      <c r="B1291" t="inlineStr"/>
      <c r="C1291" t="inlineStr"/>
      <c r="D1291">
        <f>HYPERLINK("http://nlpdeep.cs.uic.edu:8080/proofing/t5/1123570-impression-0-1.pdf","t5/1123570-impression-0-1.pdf")</f>
        <v/>
      </c>
      <c r="E1291" t="n">
        <v>120842</v>
      </c>
      <c r="F1291" t="n">
        <v>1123570</v>
      </c>
      <c r="G1291" t="inlineStr">
        <is>
          <t>Radiology</t>
        </is>
      </c>
      <c r="H1291" t="inlineStr">
        <is>
          <t>impression</t>
        </is>
      </c>
      <c r="I1291" t="inlineStr">
        <is>
          <t xml:space="preserve"> Mild-to-moderate emphysema.</t>
        </is>
      </c>
    </row>
    <row r="1292">
      <c r="A1292" t="inlineStr">
        <is>
          <t>1123570-impression-0-1</t>
        </is>
      </c>
      <c r="B1292" t="inlineStr"/>
      <c r="C1292" t="inlineStr"/>
      <c r="D1292">
        <f>HYPERLINK("http://nlpdeep.cs.uic.edu:8080/proofing/gsii/1123570-impression-0-1.pdf","gsii/1123570-impression-0-1.pdf")</f>
        <v/>
      </c>
      <c r="E1292" t="n">
        <v>120842</v>
      </c>
      <c r="F1292" t="n">
        <v>1123570</v>
      </c>
      <c r="G1292" t="inlineStr">
        <is>
          <t>Radiology</t>
        </is>
      </c>
      <c r="H1292" t="inlineStr">
        <is>
          <t>impression</t>
        </is>
      </c>
      <c r="I1292" t="inlineStr">
        <is>
          <t xml:space="preserve"> Mild-to-moderate emphysema.</t>
        </is>
      </c>
    </row>
    <row r="1293">
      <c r="A1293" t="inlineStr">
        <is>
          <t>1123570-impression-0-2</t>
        </is>
      </c>
      <c r="B1293" t="inlineStr"/>
      <c r="C1293" t="inlineStr"/>
      <c r="D1293">
        <f>HYPERLINK("http://nlpdeep.cs.uic.edu:8080/proofing/t5/1123570-impression-0-2.pdf","t5/1123570-impression-0-2.pdf")</f>
        <v/>
      </c>
      <c r="E1293" t="n">
        <v>120842</v>
      </c>
      <c r="F1293" t="n">
        <v>1123570</v>
      </c>
      <c r="G1293" t="inlineStr">
        <is>
          <t>Radiology</t>
        </is>
      </c>
      <c r="H1293" t="inlineStr">
        <is>
          <t>impression</t>
        </is>
      </c>
      <c r="I1293" t="inlineStr">
        <is>
          <t xml:space="preserve"> Subcentimeter left lower lobe pulmonary nodule, stable since [**2149**].</t>
        </is>
      </c>
    </row>
    <row r="1294">
      <c r="A1294" t="inlineStr">
        <is>
          <t>1123570-impression-0-2</t>
        </is>
      </c>
      <c r="B1294" t="inlineStr"/>
      <c r="C1294" t="inlineStr"/>
      <c r="D1294">
        <f>HYPERLINK("http://nlpdeep.cs.uic.edu:8080/proofing/gsii/1123570-impression-0-2.pdf","gsii/1123570-impression-0-2.pdf")</f>
        <v/>
      </c>
      <c r="E1294" t="n">
        <v>120842</v>
      </c>
      <c r="F1294" t="n">
        <v>1123570</v>
      </c>
      <c r="G1294" t="inlineStr">
        <is>
          <t>Radiology</t>
        </is>
      </c>
      <c r="H1294" t="inlineStr">
        <is>
          <t>impression</t>
        </is>
      </c>
      <c r="I1294" t="inlineStr">
        <is>
          <t xml:space="preserve"> Subcentimeter left lower lobe pulmonary nodule, stable since [**2149**].</t>
        </is>
      </c>
    </row>
    <row r="1295">
      <c r="A1295" t="inlineStr">
        <is>
          <t>1123570-impression-0-3</t>
        </is>
      </c>
      <c r="B1295" t="inlineStr"/>
      <c r="C1295" t="inlineStr"/>
      <c r="D1295">
        <f>HYPERLINK("http://nlpdeep.cs.uic.edu:8080/proofing/t5/1123570-impression-0-3.pdf","t5/1123570-impression-0-3.pdf")</f>
        <v/>
      </c>
      <c r="E1295" t="n">
        <v>120842</v>
      </c>
      <c r="F1295" t="n">
        <v>1123570</v>
      </c>
      <c r="G1295" t="inlineStr">
        <is>
          <t>Radiology</t>
        </is>
      </c>
      <c r="H1295" t="inlineStr">
        <is>
          <t>impression</t>
        </is>
      </c>
      <c r="I1295" t="inlineStr">
        <is>
          <t xml:space="preserve"> No
 followup indicated.</t>
        </is>
      </c>
    </row>
    <row r="1296">
      <c r="A1296" t="inlineStr">
        <is>
          <t>1123570-impression-0-3</t>
        </is>
      </c>
      <c r="B1296" t="inlineStr"/>
      <c r="C1296" t="inlineStr"/>
      <c r="D1296">
        <f>HYPERLINK("http://nlpdeep.cs.uic.edu:8080/proofing/gsii/1123570-impression-0-3.pdf","gsii/1123570-impression-0-3.pdf")</f>
        <v/>
      </c>
      <c r="E1296" t="n">
        <v>120842</v>
      </c>
      <c r="F1296" t="n">
        <v>1123570</v>
      </c>
      <c r="G1296" t="inlineStr">
        <is>
          <t>Radiology</t>
        </is>
      </c>
      <c r="H1296" t="inlineStr">
        <is>
          <t>impression</t>
        </is>
      </c>
      <c r="I1296" t="inlineStr">
        <is>
          <t xml:space="preserve"> No
 followup indicated.</t>
        </is>
      </c>
    </row>
    <row r="1297">
      <c r="A1297" t="inlineStr">
        <is>
          <t>1123570-impression-0-4</t>
        </is>
      </c>
      <c r="B1297" t="inlineStr"/>
      <c r="C1297" t="inlineStr"/>
      <c r="D1297">
        <f>HYPERLINK("http://nlpdeep.cs.uic.edu:8080/proofing/t5/1123570-impression-0-4.pdf","t5/1123570-impression-0-4.pdf")</f>
        <v/>
      </c>
      <c r="E1297" t="n">
        <v>120842</v>
      </c>
      <c r="F1297" t="n">
        <v>1123570</v>
      </c>
      <c r="G1297" t="inlineStr">
        <is>
          <t>Radiology</t>
        </is>
      </c>
      <c r="H1297" t="inlineStr">
        <is>
          <t>impression</t>
        </is>
      </c>
      <c r="I1297" t="inlineStr">
        <is>
          <t xml:space="preserve"> Mild-to-moderate emphysema.</t>
        </is>
      </c>
    </row>
    <row r="1298">
      <c r="A1298" t="inlineStr">
        <is>
          <t>1123570-impression-0-4</t>
        </is>
      </c>
      <c r="B1298" t="inlineStr"/>
      <c r="C1298" t="inlineStr"/>
      <c r="D1298">
        <f>HYPERLINK("http://nlpdeep.cs.uic.edu:8080/proofing/gsii/1123570-impression-0-4.pdf","gsii/1123570-impression-0-4.pdf")</f>
        <v/>
      </c>
      <c r="E1298" t="n">
        <v>120842</v>
      </c>
      <c r="F1298" t="n">
        <v>1123570</v>
      </c>
      <c r="G1298" t="inlineStr">
        <is>
          <t>Radiology</t>
        </is>
      </c>
      <c r="H1298" t="inlineStr">
        <is>
          <t>impression</t>
        </is>
      </c>
      <c r="I1298" t="inlineStr">
        <is>
          <t xml:space="preserve"> Mild-to-moderate emphysema.</t>
        </is>
      </c>
    </row>
    <row r="1299">
      <c r="A1299" t="inlineStr">
        <is>
          <t>1123570-impression-0-5</t>
        </is>
      </c>
      <c r="B1299" t="inlineStr"/>
      <c r="C1299" t="inlineStr"/>
      <c r="D1299">
        <f>HYPERLINK("http://nlpdeep.cs.uic.edu:8080/proofing/t5/1123570-impression-0-5.pdf","t5/1123570-impression-0-5.pdf")</f>
        <v/>
      </c>
      <c r="E1299" t="n">
        <v>120842</v>
      </c>
      <c r="F1299" t="n">
        <v>1123570</v>
      </c>
      <c r="G1299" t="inlineStr">
        <is>
          <t>Radiology</t>
        </is>
      </c>
      <c r="H1299" t="inlineStr">
        <is>
          <t>impression</t>
        </is>
      </c>
      <c r="I1299" t="inlineStr">
        <is>
          <t xml:space="preserve"> Mild bronchiectasis, less inflamed today than
 previously.</t>
        </is>
      </c>
    </row>
    <row r="1300">
      <c r="A1300" t="inlineStr">
        <is>
          <t>1123570-impression-0-5</t>
        </is>
      </c>
      <c r="B1300" t="inlineStr"/>
      <c r="C1300" t="inlineStr"/>
      <c r="D1300">
        <f>HYPERLINK("http://nlpdeep.cs.uic.edu:8080/proofing/gsii/1123570-impression-0-5.pdf","gsii/1123570-impression-0-5.pdf")</f>
        <v/>
      </c>
      <c r="E1300" t="n">
        <v>120842</v>
      </c>
      <c r="F1300" t="n">
        <v>1123570</v>
      </c>
      <c r="G1300" t="inlineStr">
        <is>
          <t>Radiology</t>
        </is>
      </c>
      <c r="H1300" t="inlineStr">
        <is>
          <t>impression</t>
        </is>
      </c>
      <c r="I1300" t="inlineStr">
        <is>
          <t xml:space="preserve"> Mild bronchiectasis, less inflamed today than
 previously.</t>
        </is>
      </c>
    </row>
    <row r="1301">
      <c r="A1301" t="inlineStr">
        <is>
          <t>1123570-impression-0-6</t>
        </is>
      </c>
      <c r="B1301" t="inlineStr"/>
      <c r="C1301" t="inlineStr"/>
      <c r="D1301">
        <f>HYPERLINK("http://nlpdeep.cs.uic.edu:8080/proofing/t5/1123570-impression-0-6.pdf","t5/1123570-impression-0-6.pdf")</f>
        <v/>
      </c>
      <c r="E1301" t="n">
        <v>120842</v>
      </c>
      <c r="F1301" t="n">
        <v>1123570</v>
      </c>
      <c r="G1301" t="inlineStr">
        <is>
          <t>Radiology</t>
        </is>
      </c>
      <c r="H1301" t="inlineStr">
        <is>
          <t>impression</t>
        </is>
      </c>
      <c r="I1301" t="inlineStr">
        <is>
          <t>(Over)</t>
        </is>
      </c>
    </row>
    <row r="1302">
      <c r="A1302" t="inlineStr">
        <is>
          <t>1123570-impression-0-6</t>
        </is>
      </c>
      <c r="B1302" t="inlineStr"/>
      <c r="C1302" t="inlineStr"/>
      <c r="D1302">
        <f>HYPERLINK("http://nlpdeep.cs.uic.edu:8080/proofing/gsii/1123570-impression-0-6.pdf","gsii/1123570-impression-0-6.pdf")</f>
        <v/>
      </c>
      <c r="E1302" t="n">
        <v>120842</v>
      </c>
      <c r="F1302" t="n">
        <v>1123570</v>
      </c>
      <c r="G1302" t="inlineStr">
        <is>
          <t>Radiology</t>
        </is>
      </c>
      <c r="H1302" t="inlineStr">
        <is>
          <t>impression</t>
        </is>
      </c>
      <c r="I1302" t="inlineStr">
        <is>
          <t>(Over)</t>
        </is>
      </c>
    </row>
    <row r="1303">
      <c r="A1303" t="inlineStr">
        <is>
          <t>523177-reason-0-0</t>
        </is>
      </c>
      <c r="B1303" t="inlineStr"/>
      <c r="C1303" t="inlineStr"/>
      <c r="D1303">
        <f>HYPERLINK("http://nlpdeep.cs.uic.edu:8080/proofing/t5/523177-reason-0-0.pdf","t5/523177-reason-0-0.pdf")</f>
        <v/>
      </c>
      <c r="E1303" t="n">
        <v>120842</v>
      </c>
      <c r="F1303" t="n">
        <v>523177</v>
      </c>
      <c r="G1303" t="inlineStr">
        <is>
          <t>Consult</t>
        </is>
      </c>
      <c r="H1303" t="inlineStr">
        <is>
          <t>reason</t>
        </is>
      </c>
      <c r="I1303" t="inlineStr">
        <is>
          <t>?AVNRT vs A</t>
        </is>
      </c>
    </row>
    <row r="1304">
      <c r="A1304" t="inlineStr">
        <is>
          <t>523177-reason-0-0</t>
        </is>
      </c>
      <c r="B1304" t="inlineStr"/>
      <c r="C1304" t="inlineStr"/>
      <c r="D1304">
        <f>HYPERLINK("http://nlpdeep.cs.uic.edu:8080/proofing/gsii/523177-reason-0-0.pdf","gsii/523177-reason-0-0.pdf")</f>
        <v/>
      </c>
      <c r="E1304" t="n">
        <v>120842</v>
      </c>
      <c r="F1304" t="n">
        <v>523177</v>
      </c>
      <c r="G1304" t="inlineStr">
        <is>
          <t>Consult</t>
        </is>
      </c>
      <c r="H1304" t="inlineStr">
        <is>
          <t>reason</t>
        </is>
      </c>
      <c r="I1304" t="inlineStr">
        <is>
          <t>?AVNRT vs A</t>
        </is>
      </c>
    </row>
    <row r="1305">
      <c r="A1305" t="inlineStr">
        <is>
          <t>523177-history-of-present-illness-0-0</t>
        </is>
      </c>
      <c r="B1305" t="inlineStr"/>
      <c r="C1305" t="inlineStr"/>
      <c r="D1305">
        <f>HYPERLINK("http://nlpdeep.cs.uic.edu:8080/proofing/t5/523177-history-of-present-illness-0-0.pdf","t5/523177-history-of-present-illness-0-0.pdf")</f>
        <v/>
      </c>
      <c r="E1305" t="n">
        <v>120842</v>
      </c>
      <c r="F1305" t="n">
        <v>523177</v>
      </c>
      <c r="G1305" t="inlineStr">
        <is>
          <t>Consult</t>
        </is>
      </c>
      <c r="H1305" t="inlineStr">
        <is>
          <t>history-of-present-illness</t>
        </is>
      </c>
      <c r="I1305" t="inlineStr">
        <is>
          <t>73 yo Spanish speaking F with COPD on home O2, diastolic CHF, right TKR
   one month ago who presented to the ED with shortness of breath.</t>
        </is>
      </c>
    </row>
    <row r="1306">
      <c r="A1306" t="inlineStr">
        <is>
          <t>523177-history-of-present-illness-0-0</t>
        </is>
      </c>
      <c r="B1306" t="inlineStr"/>
      <c r="C1306" t="inlineStr"/>
      <c r="D1306">
        <f>HYPERLINK("http://nlpdeep.cs.uic.edu:8080/proofing/gsii/523177-history-of-present-illness-0-0.pdf","gsii/523177-history-of-present-illness-0-0.pdf")</f>
        <v/>
      </c>
      <c r="E1306" t="n">
        <v>120842</v>
      </c>
      <c r="F1306" t="n">
        <v>523177</v>
      </c>
      <c r="G1306" t="inlineStr">
        <is>
          <t>Consult</t>
        </is>
      </c>
      <c r="H1306" t="inlineStr">
        <is>
          <t>history-of-present-illness</t>
        </is>
      </c>
      <c r="I1306" t="inlineStr">
        <is>
          <t>73 yo Spanish speaking F with COPD on home O2, diastolic CHF, right TKR
   one month ago who presented to the ED with shortness of breath.</t>
        </is>
      </c>
    </row>
    <row r="1307">
      <c r="A1307" t="inlineStr">
        <is>
          <t>523177-history-of-present-illness-0-1</t>
        </is>
      </c>
      <c r="B1307" t="inlineStr"/>
      <c r="C1307" t="inlineStr"/>
      <c r="D1307">
        <f>HYPERLINK("http://nlpdeep.cs.uic.edu:8080/proofing/t5/523177-history-of-present-illness-0-1.pdf","t5/523177-history-of-present-illness-0-1.pdf")</f>
        <v/>
      </c>
      <c r="E1307" t="n">
        <v>120842</v>
      </c>
      <c r="F1307" t="n">
        <v>523177</v>
      </c>
      <c r="G1307" t="inlineStr">
        <is>
          <t>Consult</t>
        </is>
      </c>
      <c r="H1307" t="inlineStr">
        <is>
          <t>history-of-present-illness</t>
        </is>
      </c>
      <c r="I1307" t="inlineStr">
        <is>
          <t>In the
   ED she had an episode of SVT (of which she had another episode as
   recently [**3-26**] in the ED, broken with adenosine) that broke with high
   flow oxygen therapy alone.</t>
        </is>
      </c>
    </row>
    <row r="1308">
      <c r="A1308" t="inlineStr">
        <is>
          <t>523177-history-of-present-illness-0-1</t>
        </is>
      </c>
      <c r="B1308" t="inlineStr"/>
      <c r="C1308" t="inlineStr"/>
      <c r="D1308">
        <f>HYPERLINK("http://nlpdeep.cs.uic.edu:8080/proofing/gsii/523177-history-of-present-illness-0-1.pdf","gsii/523177-history-of-present-illness-0-1.pdf")</f>
        <v/>
      </c>
      <c r="E1308" t="n">
        <v>120842</v>
      </c>
      <c r="F1308" t="n">
        <v>523177</v>
      </c>
      <c r="G1308" t="inlineStr">
        <is>
          <t>Consult</t>
        </is>
      </c>
      <c r="H1308" t="inlineStr">
        <is>
          <t>history-of-present-illness</t>
        </is>
      </c>
      <c r="I1308" t="inlineStr">
        <is>
          <t>In the
   ED she had an episode of SVT (of which she had another episode as
   recently [**3-26**] in the ED, broken with adenosine) that broke with high
   flow oxygen therapy alone.</t>
        </is>
      </c>
    </row>
    <row r="1309">
      <c r="A1309" t="inlineStr">
        <is>
          <t>523177-history-of-present-illness-0-2</t>
        </is>
      </c>
      <c r="B1309" t="inlineStr"/>
      <c r="C1309" t="inlineStr"/>
      <c r="D1309">
        <f>HYPERLINK("http://nlpdeep.cs.uic.edu:8080/proofing/t5/523177-history-of-present-illness-0-2.pdf","t5/523177-history-of-present-illness-0-2.pdf")</f>
        <v/>
      </c>
      <c r="E1309" t="n">
        <v>120842</v>
      </c>
      <c r="F1309" t="n">
        <v>523177</v>
      </c>
      <c r="G1309" t="inlineStr">
        <is>
          <t>Consult</t>
        </is>
      </c>
      <c r="H1309" t="inlineStr">
        <is>
          <t>history-of-present-illness</t>
        </is>
      </c>
      <c r="I1309" t="inlineStr">
        <is>
          <t>She was initially admitted to the MICU where
   she had another episode of SVT that also broke with O2 therapy.</t>
        </is>
      </c>
    </row>
    <row r="1310">
      <c r="A1310" t="inlineStr">
        <is>
          <t>523177-history-of-present-illness-0-2</t>
        </is>
      </c>
      <c r="B1310" t="inlineStr"/>
      <c r="C1310" t="inlineStr"/>
      <c r="D1310">
        <f>HYPERLINK("http://nlpdeep.cs.uic.edu:8080/proofing/gsii/523177-history-of-present-illness-0-2.pdf","gsii/523177-history-of-present-illness-0-2.pdf")</f>
        <v/>
      </c>
      <c r="E1310" t="n">
        <v>120842</v>
      </c>
      <c r="F1310" t="n">
        <v>523177</v>
      </c>
      <c r="G1310" t="inlineStr">
        <is>
          <t>Consult</t>
        </is>
      </c>
      <c r="H1310" t="inlineStr">
        <is>
          <t>history-of-present-illness</t>
        </is>
      </c>
      <c r="I1310" t="inlineStr">
        <is>
          <t>She was initially admitted to the MICU where
   she had another episode of SVT that also broke with O2 therapy.</t>
        </is>
      </c>
    </row>
    <row r="1311">
      <c r="A1311" t="inlineStr">
        <is>
          <t>523177-history-of-present-illness-0-3</t>
        </is>
      </c>
      <c r="B1311" t="inlineStr"/>
      <c r="C1311" t="inlineStr"/>
      <c r="D1311">
        <f>HYPERLINK("http://nlpdeep.cs.uic.edu:8080/proofing/t5/523177-history-of-present-illness-0-3.pdf","t5/523177-history-of-present-illness-0-3.pdf")</f>
        <v/>
      </c>
      <c r="E1311" t="n">
        <v>120842</v>
      </c>
      <c r="F1311" t="n">
        <v>523177</v>
      </c>
      <c r="G1311" t="inlineStr">
        <is>
          <t>Consult</t>
        </is>
      </c>
      <c r="H1311" t="inlineStr">
        <is>
          <t>history-of-present-illness</t>
        </is>
      </c>
      <c r="I1311" t="inlineStr">
        <is>
          <t xml:space="preserve">
   [**Hospital **] transfered to the floor but again had an episode of SVT to
   120's and respiratory distress and transfered back to the MICU.</t>
        </is>
      </c>
    </row>
    <row r="1312">
      <c r="A1312" t="inlineStr">
        <is>
          <t>523177-history-of-present-illness-0-3</t>
        </is>
      </c>
      <c r="B1312" t="inlineStr"/>
      <c r="C1312" t="inlineStr"/>
      <c r="D1312">
        <f>HYPERLINK("http://nlpdeep.cs.uic.edu:8080/proofing/gsii/523177-history-of-present-illness-0-3.pdf","gsii/523177-history-of-present-illness-0-3.pdf")</f>
        <v/>
      </c>
      <c r="E1312" t="n">
        <v>120842</v>
      </c>
      <c r="F1312" t="n">
        <v>523177</v>
      </c>
      <c r="G1312" t="inlineStr">
        <is>
          <t>Consult</t>
        </is>
      </c>
      <c r="H1312" t="inlineStr">
        <is>
          <t>history-of-present-illness</t>
        </is>
      </c>
      <c r="I1312" t="inlineStr">
        <is>
          <t xml:space="preserve">
   [**Hospital **] transfered to the floor but again had an episode of SVT to
   120's and respiratory distress and transfered back to the MICU.</t>
        </is>
      </c>
    </row>
    <row r="1313">
      <c r="A1313" t="inlineStr">
        <is>
          <t>523177-history-of-present-illness-0-4</t>
        </is>
      </c>
      <c r="B1313" t="inlineStr"/>
      <c r="C1313" t="inlineStr"/>
      <c r="D1313">
        <f>HYPERLINK("http://nlpdeep.cs.uic.edu:8080/proofing/t5/523177-history-of-present-illness-0-4.pdf","t5/523177-history-of-present-illness-0-4.pdf")</f>
        <v/>
      </c>
      <c r="E1313" t="n">
        <v>120842</v>
      </c>
      <c r="F1313" t="n">
        <v>523177</v>
      </c>
      <c r="G1313" t="inlineStr">
        <is>
          <t>Consult</t>
        </is>
      </c>
      <c r="H1313" t="inlineStr">
        <is>
          <t>history-of-present-illness</t>
        </is>
      </c>
      <c r="I1313" t="inlineStr">
        <is>
          <t>In the
   MICU she was noted to have this episoded of SVT in the setting of cough
   spells despite having started diltiazem 30 mg PO QID on [**2153-4-8**].</t>
        </is>
      </c>
    </row>
    <row r="1314">
      <c r="A1314" t="inlineStr">
        <is>
          <t>523177-history-of-present-illness-0-4</t>
        </is>
      </c>
      <c r="B1314" t="inlineStr"/>
      <c r="C1314" t="inlineStr"/>
      <c r="D1314">
        <f>HYPERLINK("http://nlpdeep.cs.uic.edu:8080/proofing/gsii/523177-history-of-present-illness-0-4.pdf","gsii/523177-history-of-present-illness-0-4.pdf")</f>
        <v/>
      </c>
      <c r="E1314" t="n">
        <v>120842</v>
      </c>
      <c r="F1314" t="n">
        <v>523177</v>
      </c>
      <c r="G1314" t="inlineStr">
        <is>
          <t>Consult</t>
        </is>
      </c>
      <c r="H1314" t="inlineStr">
        <is>
          <t>history-of-present-illness</t>
        </is>
      </c>
      <c r="I1314" t="inlineStr">
        <is>
          <t>In the
   MICU she was noted to have this episoded of SVT in the setting of cough
   spells despite having started diltiazem 30 mg PO QID on [**2153-4-8**].</t>
        </is>
      </c>
    </row>
    <row r="1315">
      <c r="A1315" t="inlineStr">
        <is>
          <t>523177-history-of-present-illness-0-5</t>
        </is>
      </c>
      <c r="B1315" t="inlineStr"/>
      <c r="C1315" t="inlineStr"/>
      <c r="D1315">
        <f>HYPERLINK("http://nlpdeep.cs.uic.edu:8080/proofing/t5/523177-history-of-present-illness-0-5.pdf","t5/523177-history-of-present-illness-0-5.pdf")</f>
        <v/>
      </c>
      <c r="E1315" t="n">
        <v>120842</v>
      </c>
      <c r="F1315" t="n">
        <v>523177</v>
      </c>
      <c r="G1315" t="inlineStr">
        <is>
          <t>Consult</t>
        </is>
      </c>
      <c r="H1315" t="inlineStr">
        <is>
          <t>history-of-present-illness</t>
        </is>
      </c>
      <c r="I1315" t="inlineStr">
        <is>
          <t>Given
   her history of dCHF the medicine team is worried that she might be
   intermittently flashing when she is tachycardic.</t>
        </is>
      </c>
    </row>
    <row r="1316">
      <c r="A1316" t="inlineStr">
        <is>
          <t>523177-history-of-present-illness-0-5</t>
        </is>
      </c>
      <c r="B1316" t="inlineStr"/>
      <c r="C1316" t="inlineStr"/>
      <c r="D1316">
        <f>HYPERLINK("http://nlpdeep.cs.uic.edu:8080/proofing/gsii/523177-history-of-present-illness-0-5.pdf","gsii/523177-history-of-present-illness-0-5.pdf")</f>
        <v/>
      </c>
      <c r="E1316" t="n">
        <v>120842</v>
      </c>
      <c r="F1316" t="n">
        <v>523177</v>
      </c>
      <c r="G1316" t="inlineStr">
        <is>
          <t>Consult</t>
        </is>
      </c>
      <c r="H1316" t="inlineStr">
        <is>
          <t>history-of-present-illness</t>
        </is>
      </c>
      <c r="I1316" t="inlineStr">
        <is>
          <t>Given
   her history of dCHF the medicine team is worried that she might be
   intermittently flashing when she is tachycardic.</t>
        </is>
      </c>
    </row>
    <row r="1317">
      <c r="A1317" t="inlineStr">
        <is>
          <t>523177-history-of-present-illness-1-0</t>
        </is>
      </c>
      <c r="B1317" t="inlineStr"/>
      <c r="C1317" t="inlineStr"/>
      <c r="D1317">
        <f>HYPERLINK("http://nlpdeep.cs.uic.edu:8080/proofing/t5/523177-history-of-present-illness-1-0.pdf","t5/523177-history-of-present-illness-1-0.pdf")</f>
        <v/>
      </c>
      <c r="E1317" t="n">
        <v>120842</v>
      </c>
      <c r="F1317" t="n">
        <v>523177</v>
      </c>
      <c r="G1317" t="inlineStr">
        <is>
          <t>Consult</t>
        </is>
      </c>
      <c r="H1317" t="inlineStr">
        <is>
          <t>history-of-present-illness</t>
        </is>
      </c>
      <c r="I1317" t="inlineStr">
        <is>
          <t xml:space="preserve">
   Upon interviewing the patient she stated that she does not have a
   history of abnormal heart rhythms and that the first episode was the
   one on [**3-26**].</t>
        </is>
      </c>
    </row>
    <row r="1318">
      <c r="A1318" t="inlineStr">
        <is>
          <t>523177-history-of-present-illness-1-0</t>
        </is>
      </c>
      <c r="B1318" t="inlineStr"/>
      <c r="C1318" t="inlineStr"/>
      <c r="D1318">
        <f>HYPERLINK("http://nlpdeep.cs.uic.edu:8080/proofing/gsii/523177-history-of-present-illness-1-0.pdf","gsii/523177-history-of-present-illness-1-0.pdf")</f>
        <v/>
      </c>
      <c r="E1318" t="n">
        <v>120842</v>
      </c>
      <c r="F1318" t="n">
        <v>523177</v>
      </c>
      <c r="G1318" t="inlineStr">
        <is>
          <t>Consult</t>
        </is>
      </c>
      <c r="H1318" t="inlineStr">
        <is>
          <t>history-of-present-illness</t>
        </is>
      </c>
      <c r="I1318" t="inlineStr">
        <is>
          <t xml:space="preserve">
   Upon interviewing the patient she stated that she does not have a
   history of abnormal heart rhythms and that the first episode was the
   one on [**3-26**].</t>
        </is>
      </c>
    </row>
    <row r="1319">
      <c r="A1319" t="inlineStr">
        <is>
          <t>523177-history-of-present-illness-1-1</t>
        </is>
      </c>
      <c r="B1319" t="inlineStr"/>
      <c r="C1319" t="inlineStr"/>
      <c r="D1319">
        <f>HYPERLINK("http://nlpdeep.cs.uic.edu:8080/proofing/t5/523177-history-of-present-illness-1-1.pdf","t5/523177-history-of-present-illness-1-1.pdf")</f>
        <v/>
      </c>
      <c r="E1319" t="n">
        <v>120842</v>
      </c>
      <c r="F1319" t="n">
        <v>523177</v>
      </c>
      <c r="G1319" t="inlineStr">
        <is>
          <t>Consult</t>
        </is>
      </c>
      <c r="H1319" t="inlineStr">
        <is>
          <t>history-of-present-illness</t>
        </is>
      </c>
      <c r="I1319" t="inlineStr">
        <is>
          <t>She reports associated palpitations, chest tightness and
   SOB when she is having these episodes but denies dizziness or
   lightheadedness.</t>
        </is>
      </c>
    </row>
    <row r="1320">
      <c r="A1320" t="inlineStr">
        <is>
          <t>523177-history-of-present-illness-1-1</t>
        </is>
      </c>
      <c r="B1320" t="inlineStr"/>
      <c r="C1320" t="inlineStr"/>
      <c r="D1320">
        <f>HYPERLINK("http://nlpdeep.cs.uic.edu:8080/proofing/gsii/523177-history-of-present-illness-1-1.pdf","gsii/523177-history-of-present-illness-1-1.pdf")</f>
        <v/>
      </c>
      <c r="E1320" t="n">
        <v>120842</v>
      </c>
      <c r="F1320" t="n">
        <v>523177</v>
      </c>
      <c r="G1320" t="inlineStr">
        <is>
          <t>Consult</t>
        </is>
      </c>
      <c r="H1320" t="inlineStr">
        <is>
          <t>history-of-present-illness</t>
        </is>
      </c>
      <c r="I1320" t="inlineStr">
        <is>
          <t>She reports associated palpitations, chest tightness and
   SOB when she is having these episodes but denies dizziness or
   lightheadedness.</t>
        </is>
      </c>
    </row>
    <row r="1321">
      <c r="A1321" t="inlineStr">
        <is>
          <t>523177-history-of-present-illness-1-2</t>
        </is>
      </c>
      <c r="B1321" t="inlineStr"/>
      <c r="C1321" t="inlineStr"/>
      <c r="D1321">
        <f>HYPERLINK("http://nlpdeep.cs.uic.edu:8080/proofing/t5/523177-history-of-present-illness-1-2.pdf","t5/523177-history-of-present-illness-1-2.pdf")</f>
        <v/>
      </c>
      <c r="E1321" t="n">
        <v>120842</v>
      </c>
      <c r="F1321" t="n">
        <v>523177</v>
      </c>
      <c r="G1321" t="inlineStr">
        <is>
          <t>Consult</t>
        </is>
      </c>
      <c r="H1321" t="inlineStr">
        <is>
          <t>history-of-present-illness</t>
        </is>
      </c>
      <c r="I1321" t="inlineStr">
        <is>
          <t xml:space="preserve">
   .</t>
        </is>
      </c>
    </row>
    <row r="1322">
      <c r="A1322" t="inlineStr">
        <is>
          <t>523177-history-of-present-illness-1-2</t>
        </is>
      </c>
      <c r="B1322" t="inlineStr"/>
      <c r="C1322" t="inlineStr"/>
      <c r="D1322">
        <f>HYPERLINK("http://nlpdeep.cs.uic.edu:8080/proofing/gsii/523177-history-of-present-illness-1-2.pdf","gsii/523177-history-of-present-illness-1-2.pdf")</f>
        <v/>
      </c>
      <c r="E1322" t="n">
        <v>120842</v>
      </c>
      <c r="F1322" t="n">
        <v>523177</v>
      </c>
      <c r="G1322" t="inlineStr">
        <is>
          <t>Consult</t>
        </is>
      </c>
      <c r="H1322" t="inlineStr">
        <is>
          <t>history-of-present-illness</t>
        </is>
      </c>
      <c r="I1322" t="inlineStr">
        <is>
          <t xml:space="preserve">
   .</t>
        </is>
      </c>
    </row>
    <row r="1323">
      <c r="A1323" t="inlineStr">
        <is>
          <t>523177-allergies-0-0</t>
        </is>
      </c>
      <c r="B1323" t="inlineStr"/>
      <c r="C1323" t="inlineStr"/>
      <c r="D1323">
        <f>HYPERLINK("http://nlpdeep.cs.uic.edu:8080/proofing/t5/523177-allergies-0-0.pdf","t5/523177-allergies-0-0.pdf")</f>
        <v/>
      </c>
      <c r="E1323" t="n">
        <v>120842</v>
      </c>
      <c r="F1323" t="n">
        <v>523177</v>
      </c>
      <c r="G1323" t="inlineStr">
        <is>
          <t>Consult</t>
        </is>
      </c>
      <c r="H1323" t="inlineStr">
        <is>
          <t>allergies</t>
        </is>
      </c>
      <c r="I1323" t="inlineStr">
        <is>
          <t>H</t>
        </is>
      </c>
    </row>
    <row r="1324">
      <c r="A1324" t="inlineStr">
        <is>
          <t>523177-allergies-0-0</t>
        </is>
      </c>
      <c r="B1324" t="inlineStr"/>
      <c r="C1324" t="inlineStr"/>
      <c r="D1324">
        <f>HYPERLINK("http://nlpdeep.cs.uic.edu:8080/proofing/gsii/523177-allergies-0-0.pdf","gsii/523177-allergies-0-0.pdf")</f>
        <v/>
      </c>
      <c r="E1324" t="n">
        <v>120842</v>
      </c>
      <c r="F1324" t="n">
        <v>523177</v>
      </c>
      <c r="G1324" t="inlineStr">
        <is>
          <t>Consult</t>
        </is>
      </c>
      <c r="H1324" t="inlineStr">
        <is>
          <t>allergies</t>
        </is>
      </c>
      <c r="I1324" t="inlineStr">
        <is>
          <t>H</t>
        </is>
      </c>
    </row>
    <row r="1325">
      <c r="A1325" t="inlineStr">
        <is>
          <t>523177-medication-history-0-0</t>
        </is>
      </c>
      <c r="B1325" t="inlineStr"/>
      <c r="C1325" t="inlineStr"/>
      <c r="D1325">
        <f>HYPERLINK("http://nlpdeep.cs.uic.edu:8080/proofing/t5/523177-medication-history-0-0.pdf","t5/523177-medication-history-0-0.pdf")</f>
        <v/>
      </c>
      <c r="E1325" t="n">
        <v>120842</v>
      </c>
      <c r="F1325" t="n">
        <v>523177</v>
      </c>
      <c r="G1325" t="inlineStr">
        <is>
          <t>Consult</t>
        </is>
      </c>
      <c r="H1325" t="inlineStr">
        <is>
          <t>medication-history</t>
        </is>
      </c>
      <c r="I1325" t="inlineStr">
        <is>
          <t>- Home O2 - 2LPM at rest, 4 LPM with exertion
   - Advair 500-50 twice a day
   - Albuterol neb or MDI Q6H as needed for wheezing, SOB.</t>
        </is>
      </c>
    </row>
    <row r="1326">
      <c r="A1326" t="inlineStr">
        <is>
          <t>523177-medication-history-0-0</t>
        </is>
      </c>
      <c r="B1326" t="inlineStr"/>
      <c r="C1326" t="inlineStr"/>
      <c r="D1326">
        <f>HYPERLINK("http://nlpdeep.cs.uic.edu:8080/proofing/gsii/523177-medication-history-0-0.pdf","gsii/523177-medication-history-0-0.pdf")</f>
        <v/>
      </c>
      <c r="E1326" t="n">
        <v>120842</v>
      </c>
      <c r="F1326" t="n">
        <v>523177</v>
      </c>
      <c r="G1326" t="inlineStr">
        <is>
          <t>Consult</t>
        </is>
      </c>
      <c r="H1326" t="inlineStr">
        <is>
          <t>medication-history</t>
        </is>
      </c>
      <c r="I1326" t="inlineStr">
        <is>
          <t>- Home O2 - 2LPM at rest, 4 LPM with exertion
   - Advair 500-50 twice a day
   - Albuterol neb or MDI Q6H as needed for wheezing, SOB.</t>
        </is>
      </c>
    </row>
    <row r="1327">
      <c r="A1327" t="inlineStr">
        <is>
          <t>523177-medication-history-0-1</t>
        </is>
      </c>
      <c r="B1327" t="inlineStr"/>
      <c r="C1327" t="inlineStr"/>
      <c r="D1327">
        <f>HYPERLINK("http://nlpdeep.cs.uic.edu:8080/proofing/t5/523177-medication-history-0-1.pdf","t5/523177-medication-history-0-1.pdf")</f>
        <v/>
      </c>
      <c r="E1327" t="n">
        <v>120842</v>
      </c>
      <c r="F1327" t="n">
        <v>523177</v>
      </c>
      <c r="G1327" t="inlineStr">
        <is>
          <t>Consult</t>
        </is>
      </c>
      <c r="H1327" t="inlineStr">
        <is>
          <t>medication-history</t>
        </is>
      </c>
      <c r="I1327" t="inlineStr">
        <is>
          <t xml:space="preserve">
   - Captopril 50 mg TID
   - Fluoxetine 20 mg TID
   - Glipizide 5 mg [**Hospital1 7**]
   - Hydrochlorothiazide 12.5 mg DAILY
   - Lorazepam 0.5 mg Q8H as needed for Anxiety.</t>
        </is>
      </c>
    </row>
    <row r="1328">
      <c r="A1328" t="inlineStr">
        <is>
          <t>523177-medication-history-0-1</t>
        </is>
      </c>
      <c r="B1328" t="inlineStr"/>
      <c r="C1328" t="inlineStr"/>
      <c r="D1328">
        <f>HYPERLINK("http://nlpdeep.cs.uic.edu:8080/proofing/gsii/523177-medication-history-0-1.pdf","gsii/523177-medication-history-0-1.pdf")</f>
        <v/>
      </c>
      <c r="E1328" t="n">
        <v>120842</v>
      </c>
      <c r="F1328" t="n">
        <v>523177</v>
      </c>
      <c r="G1328" t="inlineStr">
        <is>
          <t>Consult</t>
        </is>
      </c>
      <c r="H1328" t="inlineStr">
        <is>
          <t>medication-history</t>
        </is>
      </c>
      <c r="I1328" t="inlineStr">
        <is>
          <t xml:space="preserve">
   - Captopril 50 mg TID
   - Fluoxetine 20 mg TID
   - Glipizide 5 mg [**Hospital1 7**]
   - Hydrochlorothiazide 12.5 mg DAILY
   - Lorazepam 0.5 mg Q8H as needed for Anxiety.</t>
        </is>
      </c>
    </row>
    <row r="1329">
      <c r="A1329" t="inlineStr">
        <is>
          <t>523177-medication-history-0-2</t>
        </is>
      </c>
      <c r="B1329" t="inlineStr"/>
      <c r="C1329" t="inlineStr"/>
      <c r="D1329">
        <f>HYPERLINK("http://nlpdeep.cs.uic.edu:8080/proofing/t5/523177-medication-history-0-2.pdf","t5/523177-medication-history-0-2.pdf")</f>
        <v/>
      </c>
      <c r="E1329" t="n">
        <v>120842</v>
      </c>
      <c r="F1329" t="n">
        <v>523177</v>
      </c>
      <c r="G1329" t="inlineStr">
        <is>
          <t>Consult</t>
        </is>
      </c>
      <c r="H1329" t="inlineStr">
        <is>
          <t>medication-history</t>
        </is>
      </c>
      <c r="I1329" t="inlineStr">
        <is>
          <t xml:space="preserve">
   - Metformin 500 mg SR [**Hospital1 7**]
   - Montelukast 10 mg DAILY
   - Simvastatin 40 mg DAILY
   - Spiriva 18 mcg once a day.</t>
        </is>
      </c>
    </row>
    <row r="1330">
      <c r="A1330" t="inlineStr">
        <is>
          <t>523177-medication-history-0-2</t>
        </is>
      </c>
      <c r="B1330" t="inlineStr"/>
      <c r="C1330" t="inlineStr"/>
      <c r="D1330">
        <f>HYPERLINK("http://nlpdeep.cs.uic.edu:8080/proofing/gsii/523177-medication-history-0-2.pdf","gsii/523177-medication-history-0-2.pdf")</f>
        <v/>
      </c>
      <c r="E1330" t="n">
        <v>120842</v>
      </c>
      <c r="F1330" t="n">
        <v>523177</v>
      </c>
      <c r="G1330" t="inlineStr">
        <is>
          <t>Consult</t>
        </is>
      </c>
      <c r="H1330" t="inlineStr">
        <is>
          <t>medication-history</t>
        </is>
      </c>
      <c r="I1330" t="inlineStr">
        <is>
          <t xml:space="preserve">
   - Metformin 500 mg SR [**Hospital1 7**]
   - Montelukast 10 mg DAILY
   - Simvastatin 40 mg DAILY
   - Spiriva 18 mcg once a day.</t>
        </is>
      </c>
    </row>
    <row r="1331">
      <c r="A1331" t="inlineStr">
        <is>
          <t>523177-medication-history-0-3</t>
        </is>
      </c>
      <c r="B1331" t="inlineStr"/>
      <c r="C1331" t="inlineStr"/>
      <c r="D1331">
        <f>HYPERLINK("http://nlpdeep.cs.uic.edu:8080/proofing/t5/523177-medication-history-0-3.pdf","t5/523177-medication-history-0-3.pdf")</f>
        <v/>
      </c>
      <c r="E1331" t="n">
        <v>120842</v>
      </c>
      <c r="F1331" t="n">
        <v>523177</v>
      </c>
      <c r="G1331" t="inlineStr">
        <is>
          <t>Consult</t>
        </is>
      </c>
      <c r="H1331" t="inlineStr">
        <is>
          <t>medication-history</t>
        </is>
      </c>
      <c r="I1331" t="inlineStr">
        <is>
          <t xml:space="preserve">
   - Calcium 500 + D 500 mg(1,250mg)-400 unit twice a day.</t>
        </is>
      </c>
    </row>
    <row r="1332">
      <c r="A1332" t="inlineStr">
        <is>
          <t>523177-medication-history-0-3</t>
        </is>
      </c>
      <c r="B1332" t="inlineStr"/>
      <c r="C1332" t="inlineStr"/>
      <c r="D1332">
        <f>HYPERLINK("http://nlpdeep.cs.uic.edu:8080/proofing/gsii/523177-medication-history-0-3.pdf","gsii/523177-medication-history-0-3.pdf")</f>
        <v/>
      </c>
      <c r="E1332" t="n">
        <v>120842</v>
      </c>
      <c r="F1332" t="n">
        <v>523177</v>
      </c>
      <c r="G1332" t="inlineStr">
        <is>
          <t>Consult</t>
        </is>
      </c>
      <c r="H1332" t="inlineStr">
        <is>
          <t>medication-history</t>
        </is>
      </c>
      <c r="I1332" t="inlineStr">
        <is>
          <t xml:space="preserve">
   - Calcium 500 + D 500 mg(1,250mg)-400 unit twice a day.</t>
        </is>
      </c>
    </row>
    <row r="1333">
      <c r="A1333" t="inlineStr">
        <is>
          <t>523177-medication-history-0-4</t>
        </is>
      </c>
      <c r="B1333" t="inlineStr"/>
      <c r="C1333" t="inlineStr"/>
      <c r="D1333">
        <f>HYPERLINK("http://nlpdeep.cs.uic.edu:8080/proofing/t5/523177-medication-history-0-4.pdf","t5/523177-medication-history-0-4.pdf")</f>
        <v/>
      </c>
      <c r="E1333" t="n">
        <v>120842</v>
      </c>
      <c r="F1333" t="n">
        <v>523177</v>
      </c>
      <c r="G1333" t="inlineStr">
        <is>
          <t>Consult</t>
        </is>
      </c>
      <c r="H1333" t="inlineStr">
        <is>
          <t>medication-history</t>
        </is>
      </c>
      <c r="I1333" t="inlineStr">
        <is>
          <t xml:space="preserve">
   - Enoxaparin 30 mg/0.3 mL SC Q12H for 4 weeks. ***
   - Omeprazole 20 mg once a day.</t>
        </is>
      </c>
    </row>
    <row r="1334">
      <c r="A1334" t="inlineStr">
        <is>
          <t>523177-medication-history-0-4</t>
        </is>
      </c>
      <c r="B1334" t="inlineStr"/>
      <c r="C1334" t="inlineStr"/>
      <c r="D1334">
        <f>HYPERLINK("http://nlpdeep.cs.uic.edu:8080/proofing/gsii/523177-medication-history-0-4.pdf","gsii/523177-medication-history-0-4.pdf")</f>
        <v/>
      </c>
      <c r="E1334" t="n">
        <v>120842</v>
      </c>
      <c r="F1334" t="n">
        <v>523177</v>
      </c>
      <c r="G1334" t="inlineStr">
        <is>
          <t>Consult</t>
        </is>
      </c>
      <c r="H1334" t="inlineStr">
        <is>
          <t>medication-history</t>
        </is>
      </c>
      <c r="I1334" t="inlineStr">
        <is>
          <t xml:space="preserve">
   - Enoxaparin 30 mg/0.3 mL SC Q12H for 4 weeks. ***
   - Omeprazole 20 mg once a day.</t>
        </is>
      </c>
    </row>
    <row r="1335">
      <c r="A1335" t="inlineStr">
        <is>
          <t>523177-medication-history-0-5</t>
        </is>
      </c>
      <c r="B1335" t="inlineStr"/>
      <c r="C1335" t="inlineStr"/>
      <c r="D1335">
        <f>HYPERLINK("http://nlpdeep.cs.uic.edu:8080/proofing/t5/523177-medication-history-0-5.pdf","t5/523177-medication-history-0-5.pdf")</f>
        <v/>
      </c>
      <c r="E1335" t="n">
        <v>120842</v>
      </c>
      <c r="F1335" t="n">
        <v>523177</v>
      </c>
      <c r="G1335" t="inlineStr">
        <is>
          <t>Consult</t>
        </is>
      </c>
      <c r="H1335" t="inlineStr">
        <is>
          <t>medication-history</t>
        </is>
      </c>
      <c r="I1335" t="inlineStr">
        <is>
          <t xml:space="preserve">
   - Docusate Sodium 100 mg [**Hospital1 7**]
   - Senna 8.6 mg Two (2) Tablet PO at bedtime as needed
   - Oxycodone 5 mg: 1-2 Tablets PO Q4H as needed for pain.</t>
        </is>
      </c>
    </row>
    <row r="1336">
      <c r="A1336" t="inlineStr">
        <is>
          <t>523177-medication-history-0-5</t>
        </is>
      </c>
      <c r="B1336" t="inlineStr"/>
      <c r="C1336" t="inlineStr"/>
      <c r="D1336">
        <f>HYPERLINK("http://nlpdeep.cs.uic.edu:8080/proofing/gsii/523177-medication-history-0-5.pdf","gsii/523177-medication-history-0-5.pdf")</f>
        <v/>
      </c>
      <c r="E1336" t="n">
        <v>120842</v>
      </c>
      <c r="F1336" t="n">
        <v>523177</v>
      </c>
      <c r="G1336" t="inlineStr">
        <is>
          <t>Consult</t>
        </is>
      </c>
      <c r="H1336" t="inlineStr">
        <is>
          <t>medication-history</t>
        </is>
      </c>
      <c r="I1336" t="inlineStr">
        <is>
          <t xml:space="preserve">
   - Docusate Sodium 100 mg [**Hospital1 7**]
   - Senna 8.6 mg Two (2) Tablet PO at bedtime as needed
   - Oxycodone 5 mg: 1-2 Tablets PO Q4H as needed for pain.</t>
        </is>
      </c>
    </row>
    <row r="1337">
      <c r="A1337" t="inlineStr">
        <is>
          <t>523177-medication-history-0-6</t>
        </is>
      </c>
      <c r="B1337" t="inlineStr"/>
      <c r="C1337" t="inlineStr"/>
      <c r="D1337">
        <f>HYPERLINK("http://nlpdeep.cs.uic.edu:8080/proofing/t5/523177-medication-history-0-6.pdf","t5/523177-medication-history-0-6.pdf")</f>
        <v/>
      </c>
      <c r="E1337" t="n">
        <v>120842</v>
      </c>
      <c r="F1337" t="n">
        <v>523177</v>
      </c>
      <c r="G1337" t="inlineStr">
        <is>
          <t>Consult</t>
        </is>
      </c>
      <c r="H1337" t="inlineStr">
        <is>
          <t>medication-history</t>
        </is>
      </c>
      <c r="I1337" t="inlineStr">
        <is>
          <t xml:space="preserve">
   - Multivitamin DAILY
   - Ferrous Sulfate 300 mg DAILY
   - Acetaminophen 1000 mg three times a day for 3 weeks.</t>
        </is>
      </c>
    </row>
    <row r="1338">
      <c r="A1338" t="inlineStr">
        <is>
          <t>523177-medication-history-0-6</t>
        </is>
      </c>
      <c r="B1338" t="inlineStr"/>
      <c r="C1338" t="inlineStr"/>
      <c r="D1338">
        <f>HYPERLINK("http://nlpdeep.cs.uic.edu:8080/proofing/gsii/523177-medication-history-0-6.pdf","gsii/523177-medication-history-0-6.pdf")</f>
        <v/>
      </c>
      <c r="E1338" t="n">
        <v>120842</v>
      </c>
      <c r="F1338" t="n">
        <v>523177</v>
      </c>
      <c r="G1338" t="inlineStr">
        <is>
          <t>Consult</t>
        </is>
      </c>
      <c r="H1338" t="inlineStr">
        <is>
          <t>medication-history</t>
        </is>
      </c>
      <c r="I1338" t="inlineStr">
        <is>
          <t xml:space="preserve">
   - Multivitamin DAILY
   - Ferrous Sulfate 300 mg DAILY
   - Acetaminophen 1000 mg three times a day for 3 weeks.</t>
        </is>
      </c>
    </row>
    <row r="1339">
      <c r="A1339" t="inlineStr">
        <is>
          <t>523177-medication-history-0-7</t>
        </is>
      </c>
      <c r="B1339" t="inlineStr"/>
      <c r="C1339" t="inlineStr"/>
      <c r="D1339">
        <f>HYPERLINK("http://nlpdeep.cs.uic.edu:8080/proofing/t5/523177-medication-history-0-7.pdf","t5/523177-medication-history-0-7.pdf")</f>
        <v/>
      </c>
      <c r="E1339" t="n">
        <v>120842</v>
      </c>
      <c r="F1339" t="n">
        <v>523177</v>
      </c>
      <c r="G1339" t="inlineStr">
        <is>
          <t>Consult</t>
        </is>
      </c>
      <c r="H1339" t="inlineStr">
        <is>
          <t>medication-history</t>
        </is>
      </c>
      <c r="I1339" t="inlineStr">
        <is>
          <t xml:space="preserve">
   - Miralax 17 gram Powder once a day as needed for constipation.</t>
        </is>
      </c>
    </row>
    <row r="1340">
      <c r="A1340" t="inlineStr">
        <is>
          <t>523177-medication-history-0-7</t>
        </is>
      </c>
      <c r="B1340" t="inlineStr"/>
      <c r="C1340" t="inlineStr"/>
      <c r="D1340">
        <f>HYPERLINK("http://nlpdeep.cs.uic.edu:8080/proofing/gsii/523177-medication-history-0-7.pdf","gsii/523177-medication-history-0-7.pdf")</f>
        <v/>
      </c>
      <c r="E1340" t="n">
        <v>120842</v>
      </c>
      <c r="F1340" t="n">
        <v>523177</v>
      </c>
      <c r="G1340" t="inlineStr">
        <is>
          <t>Consult</t>
        </is>
      </c>
      <c r="H1340" t="inlineStr">
        <is>
          <t>medication-history</t>
        </is>
      </c>
      <c r="I1340" t="inlineStr">
        <is>
          <t xml:space="preserve">
   - Miralax 17 gram Powder once a day as needed for constipation.</t>
        </is>
      </c>
    </row>
    <row r="1341">
      <c r="A1341" t="inlineStr">
        <is>
          <t>523177-medication-history-0-8</t>
        </is>
      </c>
      <c r="B1341" t="inlineStr"/>
      <c r="C1341" t="inlineStr"/>
      <c r="D1341">
        <f>HYPERLINK("http://nlpdeep.cs.uic.edu:8080/proofing/t5/523177-medication-history-0-8.pdf","t5/523177-medication-history-0-8.pdf")</f>
        <v/>
      </c>
      <c r="E1341" t="n">
        <v>120842</v>
      </c>
      <c r="F1341" t="n">
        <v>523177</v>
      </c>
      <c r="G1341" t="inlineStr">
        <is>
          <t>Consult</t>
        </is>
      </c>
      <c r="H1341" t="inlineStr">
        <is>
          <t>medication-history</t>
        </is>
      </c>
      <c r="I1341" t="inlineStr">
        <is>
          <t xml:space="preserve">
   .</t>
        </is>
      </c>
    </row>
    <row r="1342">
      <c r="A1342" t="inlineStr">
        <is>
          <t>523177-medication-history-0-8</t>
        </is>
      </c>
      <c r="B1342" t="inlineStr"/>
      <c r="C1342" t="inlineStr"/>
      <c r="D1342">
        <f>HYPERLINK("http://nlpdeep.cs.uic.edu:8080/proofing/gsii/523177-medication-history-0-8.pdf","gsii/523177-medication-history-0-8.pdf")</f>
        <v/>
      </c>
      <c r="E1342" t="n">
        <v>120842</v>
      </c>
      <c r="F1342" t="n">
        <v>523177</v>
      </c>
      <c r="G1342" t="inlineStr">
        <is>
          <t>Consult</t>
        </is>
      </c>
      <c r="H1342" t="inlineStr">
        <is>
          <t>medication-history</t>
        </is>
      </c>
      <c r="I1342" t="inlineStr">
        <is>
          <t xml:space="preserve">
   .</t>
        </is>
      </c>
    </row>
    <row r="1343">
      <c r="A1343" t="inlineStr">
        <is>
          <t>523177-current-medications-0-0</t>
        </is>
      </c>
      <c r="B1343" t="inlineStr"/>
      <c r="C1343" t="inlineStr"/>
      <c r="D1343">
        <f>HYPERLINK("http://nlpdeep.cs.uic.edu:8080/proofing/t5/523177-current-medications-0-0.pdf","t5/523177-current-medications-0-0.pdf")</f>
        <v/>
      </c>
      <c r="E1343" t="n">
        <v>120842</v>
      </c>
      <c r="F1343" t="n">
        <v>523177</v>
      </c>
      <c r="G1343" t="inlineStr">
        <is>
          <t>Consult</t>
        </is>
      </c>
      <c r="H1343" t="inlineStr">
        <is>
          <t>current-medications</t>
        </is>
      </c>
      <c r="I1343" t="inlineStr">
        <is>
          <t>Insulin SC
   Ipratropium Bromide Neb 1 NEB IH Q6H
   Levofloxacin 750 mg PO/NG Q24H
   Acetaminophen 325-650 mg PO/NG Q6H:PRN
   MethylPREDNISolone 80 mg IV Q8H
   Albuterol 0.083% Neb Soln 1 NEB IH Q4H:PRN
   Montelukast Sodium 10 mg PO/NG DAILY
   Benzonatate 100 mg PO TID
   Multivitamins 1 TAB PO/NG DAILY
   Bisacodyl 10 mg PO DAILY:PRN
   Mucinex *NF* 600 mg
   Captopril 50 mg PO/NG TID
   Omeprazole 20 mg PO DAILY
   Polyethylene Glycol 17 g PO/NG DAILY1
   Diltiazem 30 mg PO/NG QID
   Senna 1 TAB PO/NG [**Hospital1 7**]
   Docusate Sodium 100 mg PO BID
   Simethicone 40 mg PO/NG QID:PRN
   Ferrous Sulfate 325 mg PO/NG DAILY
   Simvastatin 40 mg PO/NG DAILY
   Fluoxetine 20 mg PO/NG TID
   GlipiZIDE 5 mg PO/NG DAILY
   Heparin 5000 UNIT SC TID
   Vitamin D 1000 UNIT PO/NG DAILY
   Hydrochlorothiazide 25 mg PO/NG DAILY
   Xopenex Neb *NF* 1 neb QID
   .</t>
        </is>
      </c>
    </row>
    <row r="1344">
      <c r="A1344" t="inlineStr">
        <is>
          <t>523177-current-medications-0-0</t>
        </is>
      </c>
      <c r="B1344" t="inlineStr"/>
      <c r="C1344" t="inlineStr"/>
      <c r="D1344">
        <f>HYPERLINK("http://nlpdeep.cs.uic.edu:8080/proofing/gsii/523177-current-medications-0-0.pdf","gsii/523177-current-medications-0-0.pdf")</f>
        <v/>
      </c>
      <c r="E1344" t="n">
        <v>120842</v>
      </c>
      <c r="F1344" t="n">
        <v>523177</v>
      </c>
      <c r="G1344" t="inlineStr">
        <is>
          <t>Consult</t>
        </is>
      </c>
      <c r="H1344" t="inlineStr">
        <is>
          <t>current-medications</t>
        </is>
      </c>
      <c r="I1344" t="inlineStr">
        <is>
          <t>Insulin SC
   Ipratropium Bromide Neb 1 NEB IH Q6H
   Levofloxacin 750 mg PO/NG Q24H
   Acetaminophen 325-650 mg PO/NG Q6H:PRN
   MethylPREDNISolone 80 mg IV Q8H
   Albuterol 0.083% Neb Soln 1 NEB IH Q4H:PRN
   Montelukast Sodium 10 mg PO/NG DAILY
   Benzonatate 100 mg PO TID
   Multivitamins 1 TAB PO/NG DAILY
   Bisacodyl 10 mg PO DAILY:PRN
   Mucinex *NF* 600 mg
   Captopril 50 mg PO/NG TID
   Omeprazole 20 mg PO DAILY
   Polyethylene Glycol 17 g PO/NG DAILY1
   Diltiazem 30 mg PO/NG QID
   Senna 1 TAB PO/NG [**Hospital1 7**]
   Docusate Sodium 100 mg PO BID
   Simethicone 40 mg PO/NG QID:PRN
   Ferrous Sulfate 325 mg PO/NG DAILY
   Simvastatin 40 mg PO/NG DAILY
   Fluoxetine 20 mg PO/NG TID
   GlipiZIDE 5 mg PO/NG DAILY
   Heparin 5000 UNIT SC TID
   Vitamin D 1000 UNIT PO/NG DAILY
   Hydrochlorothiazide 25 mg PO/NG DAILY
   Xopenex Neb *NF* 1 neb QID
   .</t>
        </is>
      </c>
    </row>
    <row r="1345">
      <c r="A1345" t="inlineStr">
        <is>
          <t>523177-past-medical-history-0-0</t>
        </is>
      </c>
      <c r="B1345" t="inlineStr"/>
      <c r="C1345" t="inlineStr"/>
      <c r="D1345">
        <f>HYPERLINK("http://nlpdeep.cs.uic.edu:8080/proofing/t5/523177-past-medical-history-0-0.pdf","t5/523177-past-medical-history-0-0.pdf")</f>
        <v/>
      </c>
      <c r="E1345" t="n">
        <v>120842</v>
      </c>
      <c r="F1345" t="n">
        <v>523177</v>
      </c>
      <c r="G1345" t="inlineStr">
        <is>
          <t>Consult</t>
        </is>
      </c>
      <c r="H1345" t="inlineStr">
        <is>
          <t>past-medical-history</t>
        </is>
      </c>
      <c r="I1345" t="inlineStr">
        <is>
          <t>- COPD/?asthma on home O2 at 2-4LPM.</t>
        </is>
      </c>
    </row>
    <row r="1346">
      <c r="A1346" t="inlineStr">
        <is>
          <t>523177-past-medical-history-0-0</t>
        </is>
      </c>
      <c r="B1346" t="inlineStr"/>
      <c r="C1346" t="inlineStr"/>
      <c r="D1346">
        <f>HYPERLINK("http://nlpdeep.cs.uic.edu:8080/proofing/gsii/523177-past-medical-history-0-0.pdf","gsii/523177-past-medical-history-0-0.pdf")</f>
        <v/>
      </c>
      <c r="E1346" t="n">
        <v>120842</v>
      </c>
      <c r="F1346" t="n">
        <v>523177</v>
      </c>
      <c r="G1346" t="inlineStr">
        <is>
          <t>Consult</t>
        </is>
      </c>
      <c r="H1346" t="inlineStr">
        <is>
          <t>past-medical-history</t>
        </is>
      </c>
      <c r="I1346" t="inlineStr">
        <is>
          <t>- COPD/?asthma on home O2 at 2-4LPM.</t>
        </is>
      </c>
    </row>
    <row r="1347">
      <c r="A1347" t="inlineStr">
        <is>
          <t>523177-past-medical-history-0-1</t>
        </is>
      </c>
      <c r="B1347" t="inlineStr"/>
      <c r="C1347" t="inlineStr"/>
      <c r="D1347">
        <f>HYPERLINK("http://nlpdeep.cs.uic.edu:8080/proofing/t5/523177-past-medical-history-0-1.pdf","t5/523177-past-medical-history-0-1.pdf")</f>
        <v/>
      </c>
      <c r="E1347" t="n">
        <v>120842</v>
      </c>
      <c r="F1347" t="n">
        <v>523177</v>
      </c>
      <c r="G1347" t="inlineStr">
        <is>
          <t>Consult</t>
        </is>
      </c>
      <c r="H1347" t="inlineStr">
        <is>
          <t>past-medical-history</t>
        </is>
      </c>
      <c r="I1347" t="inlineStr">
        <is>
          <t>Spirometry with only mild to
   moderate obstructive defect, FEV1 1.17 (68% predicted) but low DLCO at
   38% predicted.</t>
        </is>
      </c>
    </row>
    <row r="1348">
      <c r="A1348" t="inlineStr">
        <is>
          <t>523177-past-medical-history-0-1</t>
        </is>
      </c>
      <c r="B1348" t="inlineStr"/>
      <c r="C1348" t="inlineStr"/>
      <c r="D1348">
        <f>HYPERLINK("http://nlpdeep.cs.uic.edu:8080/proofing/gsii/523177-past-medical-history-0-1.pdf","gsii/523177-past-medical-history-0-1.pdf")</f>
        <v/>
      </c>
      <c r="E1348" t="n">
        <v>120842</v>
      </c>
      <c r="F1348" t="n">
        <v>523177</v>
      </c>
      <c r="G1348" t="inlineStr">
        <is>
          <t>Consult</t>
        </is>
      </c>
      <c r="H1348" t="inlineStr">
        <is>
          <t>past-medical-history</t>
        </is>
      </c>
      <c r="I1348" t="inlineStr">
        <is>
          <t>Spirometry with only mild to
   moderate obstructive defect, FEV1 1.17 (68% predicted) but low DLCO at
   38% predicted.</t>
        </is>
      </c>
    </row>
    <row r="1349">
      <c r="A1349" t="inlineStr">
        <is>
          <t>523177-past-medical-history-0-2</t>
        </is>
      </c>
      <c r="B1349" t="inlineStr"/>
      <c r="C1349" t="inlineStr"/>
      <c r="D1349">
        <f>HYPERLINK("http://nlpdeep.cs.uic.edu:8080/proofing/t5/523177-past-medical-history-0-2.pdf","t5/523177-past-medical-history-0-2.pdf")</f>
        <v/>
      </c>
      <c r="E1349" t="n">
        <v>120842</v>
      </c>
      <c r="F1349" t="n">
        <v>523177</v>
      </c>
      <c r="G1349" t="inlineStr">
        <is>
          <t>Consult</t>
        </is>
      </c>
      <c r="H1349" t="inlineStr">
        <is>
          <t>past-medical-history</t>
        </is>
      </c>
      <c r="I1349" t="inlineStr">
        <is>
          <t xml:space="preserve">
   - Diastolic CHF and pulmonary hypertension.</t>
        </is>
      </c>
    </row>
    <row r="1350">
      <c r="A1350" t="inlineStr">
        <is>
          <t>523177-past-medical-history-0-2</t>
        </is>
      </c>
      <c r="B1350" t="inlineStr"/>
      <c r="C1350" t="inlineStr"/>
      <c r="D1350">
        <f>HYPERLINK("http://nlpdeep.cs.uic.edu:8080/proofing/gsii/523177-past-medical-history-0-2.pdf","gsii/523177-past-medical-history-0-2.pdf")</f>
        <v/>
      </c>
      <c r="E1350" t="n">
        <v>120842</v>
      </c>
      <c r="F1350" t="n">
        <v>523177</v>
      </c>
      <c r="G1350" t="inlineStr">
        <is>
          <t>Consult</t>
        </is>
      </c>
      <c r="H1350" t="inlineStr">
        <is>
          <t>past-medical-history</t>
        </is>
      </c>
      <c r="I1350" t="inlineStr">
        <is>
          <t xml:space="preserve">
   - Diastolic CHF and pulmonary hypertension.</t>
        </is>
      </c>
    </row>
    <row r="1351">
      <c r="A1351" t="inlineStr">
        <is>
          <t>523177-past-medical-history-0-3</t>
        </is>
      </c>
      <c r="B1351" t="inlineStr"/>
      <c r="C1351" t="inlineStr"/>
      <c r="D1351">
        <f>HYPERLINK("http://nlpdeep.cs.uic.edu:8080/proofing/t5/523177-past-medical-history-0-3.pdf","t5/523177-past-medical-history-0-3.pdf")</f>
        <v/>
      </c>
      <c r="E1351" t="n">
        <v>120842</v>
      </c>
      <c r="F1351" t="n">
        <v>523177</v>
      </c>
      <c r="G1351" t="inlineStr">
        <is>
          <t>Consult</t>
        </is>
      </c>
      <c r="H1351" t="inlineStr">
        <is>
          <t>past-medical-history</t>
        </is>
      </c>
      <c r="I1351" t="inlineStr">
        <is>
          <t>Last TTE [**12/2151**] with EF
   &gt;55%, mild RV dilation with preserved function, estimated TR gradient
   43-63.</t>
        </is>
      </c>
    </row>
    <row r="1352">
      <c r="A1352" t="inlineStr">
        <is>
          <t>523177-past-medical-history-0-3</t>
        </is>
      </c>
      <c r="B1352" t="inlineStr"/>
      <c r="C1352" t="inlineStr"/>
      <c r="D1352">
        <f>HYPERLINK("http://nlpdeep.cs.uic.edu:8080/proofing/gsii/523177-past-medical-history-0-3.pdf","gsii/523177-past-medical-history-0-3.pdf")</f>
        <v/>
      </c>
      <c r="E1352" t="n">
        <v>120842</v>
      </c>
      <c r="F1352" t="n">
        <v>523177</v>
      </c>
      <c r="G1352" t="inlineStr">
        <is>
          <t>Consult</t>
        </is>
      </c>
      <c r="H1352" t="inlineStr">
        <is>
          <t>past-medical-history</t>
        </is>
      </c>
      <c r="I1352" t="inlineStr">
        <is>
          <t>Last TTE [**12/2151**] with EF
   &gt;55%, mild RV dilation with preserved function, estimated TR gradient
   43-63.</t>
        </is>
      </c>
    </row>
    <row r="1353">
      <c r="A1353" t="inlineStr">
        <is>
          <t>523177-past-medical-history-0-4</t>
        </is>
      </c>
      <c r="B1353" t="inlineStr"/>
      <c r="C1353" t="inlineStr"/>
      <c r="D1353">
        <f>HYPERLINK("http://nlpdeep.cs.uic.edu:8080/proofing/t5/523177-past-medical-history-0-4.pdf","t5/523177-past-medical-history-0-4.pdf")</f>
        <v/>
      </c>
      <c r="E1353" t="n">
        <v>120842</v>
      </c>
      <c r="F1353" t="n">
        <v>523177</v>
      </c>
      <c r="G1353" t="inlineStr">
        <is>
          <t>Consult</t>
        </is>
      </c>
      <c r="H1353" t="inlineStr">
        <is>
          <t>past-medical-history</t>
        </is>
      </c>
      <c r="I1353" t="inlineStr">
        <is>
          <t xml:space="preserve">
   - OSA on home CPAP
   - DM type II
   - HTN
   - s/p R TKR [**2153-3-5**], complicated by desaturation due to COPD
   exacerbation, dCHF, and ?narcotics.</t>
        </is>
      </c>
    </row>
    <row r="1354">
      <c r="A1354" t="inlineStr">
        <is>
          <t>523177-past-medical-history-0-4</t>
        </is>
      </c>
      <c r="B1354" t="inlineStr"/>
      <c r="C1354" t="inlineStr"/>
      <c r="D1354">
        <f>HYPERLINK("http://nlpdeep.cs.uic.edu:8080/proofing/gsii/523177-past-medical-history-0-4.pdf","gsii/523177-past-medical-history-0-4.pdf")</f>
        <v/>
      </c>
      <c r="E1354" t="n">
        <v>120842</v>
      </c>
      <c r="F1354" t="n">
        <v>523177</v>
      </c>
      <c r="G1354" t="inlineStr">
        <is>
          <t>Consult</t>
        </is>
      </c>
      <c r="H1354" t="inlineStr">
        <is>
          <t>past-medical-history</t>
        </is>
      </c>
      <c r="I1354" t="inlineStr">
        <is>
          <t xml:space="preserve">
   - OSA on home CPAP
   - DM type II
   - HTN
   - s/p R TKR [**2153-3-5**], complicated by desaturation due to COPD
   exacerbation, dCHF, and ?narcotics.</t>
        </is>
      </c>
    </row>
    <row r="1355">
      <c r="A1355" t="inlineStr">
        <is>
          <t>523177-past-medical-history-0-5</t>
        </is>
      </c>
      <c r="B1355" t="inlineStr"/>
      <c r="C1355" t="inlineStr"/>
      <c r="D1355">
        <f>HYPERLINK("http://nlpdeep.cs.uic.edu:8080/proofing/t5/523177-past-medical-history-0-5.pdf","t5/523177-past-medical-history-0-5.pdf")</f>
        <v/>
      </c>
      <c r="E1355" t="n">
        <v>120842</v>
      </c>
      <c r="F1355" t="n">
        <v>523177</v>
      </c>
      <c r="G1355" t="inlineStr">
        <is>
          <t>Consult</t>
        </is>
      </c>
      <c r="H1355" t="inlineStr">
        <is>
          <t>past-medical-history</t>
        </is>
      </c>
      <c r="I1355" t="inlineStr">
        <is>
          <t>- s/p L TKR
   - History of rectal cancer s/p chemo, XRT, and s/p transanal rectal ca
   excision
   - s/p h</t>
        </is>
      </c>
    </row>
    <row r="1356">
      <c r="A1356" t="inlineStr">
        <is>
          <t>523177-past-medical-history-0-5</t>
        </is>
      </c>
      <c r="B1356" t="inlineStr"/>
      <c r="C1356" t="inlineStr"/>
      <c r="D1356">
        <f>HYPERLINK("http://nlpdeep.cs.uic.edu:8080/proofing/gsii/523177-past-medical-history-0-5.pdf","gsii/523177-past-medical-history-0-5.pdf")</f>
        <v/>
      </c>
      <c r="E1356" t="n">
        <v>120842</v>
      </c>
      <c r="F1356" t="n">
        <v>523177</v>
      </c>
      <c r="G1356" t="inlineStr">
        <is>
          <t>Consult</t>
        </is>
      </c>
      <c r="H1356" t="inlineStr">
        <is>
          <t>past-medical-history</t>
        </is>
      </c>
      <c r="I1356" t="inlineStr">
        <is>
          <t>- s/p L TKR
   - History of rectal cancer s/p chemo, XRT, and s/p transanal rectal ca
   excision
   - s/p h</t>
        </is>
      </c>
    </row>
    <row r="1357">
      <c r="A1357" t="inlineStr">
        <is>
          <t>523177-social-and-family-history-0-0</t>
        </is>
      </c>
      <c r="B1357" t="inlineStr"/>
      <c r="C1357" t="inlineStr"/>
      <c r="D1357">
        <f>HYPERLINK("http://nlpdeep.cs.uic.edu:8080/proofing/t5/523177-social-and-family-history-0-0.pdf","t5/523177-social-and-family-history-0-0.pdf")</f>
        <v/>
      </c>
      <c r="E1357" t="n">
        <v>120842</v>
      </c>
      <c r="F1357" t="n">
        <v>523177</v>
      </c>
      <c r="G1357" t="inlineStr">
        <is>
          <t>Consult</t>
        </is>
      </c>
      <c r="H1357" t="inlineStr">
        <is>
          <t>social-and-family-history</t>
        </is>
      </c>
      <c r="I1357" t="inlineStr">
        <is>
          <t>Has 11 children and 27 grandchildren.</t>
        </is>
      </c>
    </row>
    <row r="1358">
      <c r="A1358" t="inlineStr">
        <is>
          <t>523177-social-and-family-history-0-0</t>
        </is>
      </c>
      <c r="B1358" t="inlineStr"/>
      <c r="C1358" t="inlineStr"/>
      <c r="D1358">
        <f>HYPERLINK("http://nlpdeep.cs.uic.edu:8080/proofing/gsii/523177-social-and-family-history-0-0.pdf","gsii/523177-social-and-family-history-0-0.pdf")</f>
        <v/>
      </c>
      <c r="E1358" t="n">
        <v>120842</v>
      </c>
      <c r="F1358" t="n">
        <v>523177</v>
      </c>
      <c r="G1358" t="inlineStr">
        <is>
          <t>Consult</t>
        </is>
      </c>
      <c r="H1358" t="inlineStr">
        <is>
          <t>social-and-family-history</t>
        </is>
      </c>
      <c r="I1358" t="inlineStr">
        <is>
          <t>Has 11 children and 27 grandchildren.</t>
        </is>
      </c>
    </row>
    <row r="1359">
      <c r="A1359" t="inlineStr">
        <is>
          <t>523177-social-and-family-history-0-1</t>
        </is>
      </c>
      <c r="B1359" t="inlineStr"/>
      <c r="C1359" t="inlineStr"/>
      <c r="D1359">
        <f>HYPERLINK("http://nlpdeep.cs.uic.edu:8080/proofing/t5/523177-social-and-family-history-0-1.pdf","t5/523177-social-and-family-history-0-1.pdf")</f>
        <v/>
      </c>
      <c r="E1359" t="n">
        <v>120842</v>
      </c>
      <c r="F1359" t="n">
        <v>523177</v>
      </c>
      <c r="G1359" t="inlineStr">
        <is>
          <t>Consult</t>
        </is>
      </c>
      <c r="H1359" t="inlineStr">
        <is>
          <t>social-and-family-history</t>
        </is>
      </c>
      <c r="I1359" t="inlineStr">
        <is>
          <t>She lives alone but has help from
   her many children.</t>
        </is>
      </c>
    </row>
    <row r="1360">
      <c r="A1360" t="inlineStr">
        <is>
          <t>523177-social-and-family-history-0-1</t>
        </is>
      </c>
      <c r="B1360" t="inlineStr"/>
      <c r="C1360" t="inlineStr"/>
      <c r="D1360">
        <f>HYPERLINK("http://nlpdeep.cs.uic.edu:8080/proofing/gsii/523177-social-and-family-history-0-1.pdf","gsii/523177-social-and-family-history-0-1.pdf")</f>
        <v/>
      </c>
      <c r="E1360" t="n">
        <v>120842</v>
      </c>
      <c r="F1360" t="n">
        <v>523177</v>
      </c>
      <c r="G1360" t="inlineStr">
        <is>
          <t>Consult</t>
        </is>
      </c>
      <c r="H1360" t="inlineStr">
        <is>
          <t>social-and-family-history</t>
        </is>
      </c>
      <c r="I1360" t="inlineStr">
        <is>
          <t>She lives alone but has help from
   her many children.</t>
        </is>
      </c>
    </row>
    <row r="1361">
      <c r="A1361" t="inlineStr">
        <is>
          <t>523177-social-and-family-history-0-2</t>
        </is>
      </c>
      <c r="B1361" t="inlineStr"/>
      <c r="C1361" t="inlineStr"/>
      <c r="D1361">
        <f>HYPERLINK("http://nlpdeep.cs.uic.edu:8080/proofing/t5/523177-social-and-family-history-0-2.pdf","t5/523177-social-and-family-history-0-2.pdf")</f>
        <v/>
      </c>
      <c r="E1361" t="n">
        <v>120842</v>
      </c>
      <c r="F1361" t="n">
        <v>523177</v>
      </c>
      <c r="G1361" t="inlineStr">
        <is>
          <t>Consult</t>
        </is>
      </c>
      <c r="H1361" t="inlineStr">
        <is>
          <t>social-and-family-history</t>
        </is>
      </c>
      <c r="I1361" t="inlineStr">
        <is>
          <t>Patient is a former smoker with 40-60 pack year
   smoking history but quit over 10 years prior.</t>
        </is>
      </c>
    </row>
    <row r="1362">
      <c r="A1362" t="inlineStr">
        <is>
          <t>523177-social-and-family-history-0-2</t>
        </is>
      </c>
      <c r="B1362" t="inlineStr"/>
      <c r="C1362" t="inlineStr"/>
      <c r="D1362">
        <f>HYPERLINK("http://nlpdeep.cs.uic.edu:8080/proofing/gsii/523177-social-and-family-history-0-2.pdf","gsii/523177-social-and-family-history-0-2.pdf")</f>
        <v/>
      </c>
      <c r="E1362" t="n">
        <v>120842</v>
      </c>
      <c r="F1362" t="n">
        <v>523177</v>
      </c>
      <c r="G1362" t="inlineStr">
        <is>
          <t>Consult</t>
        </is>
      </c>
      <c r="H1362" t="inlineStr">
        <is>
          <t>social-and-family-history</t>
        </is>
      </c>
      <c r="I1362" t="inlineStr">
        <is>
          <t>Patient is a former smoker with 40-60 pack year
   smoking history but quit over 10 years prior.</t>
        </is>
      </c>
    </row>
    <row r="1363">
      <c r="A1363" t="inlineStr">
        <is>
          <t>523177-social-and-family-history-0-3</t>
        </is>
      </c>
      <c r="B1363" t="inlineStr"/>
      <c r="C1363" t="inlineStr"/>
      <c r="D1363">
        <f>HYPERLINK("http://nlpdeep.cs.uic.edu:8080/proofing/t5/523177-social-and-family-history-0-3.pdf","t5/523177-social-and-family-history-0-3.pdf")</f>
        <v/>
      </c>
      <c r="E1363" t="n">
        <v>120842</v>
      </c>
      <c r="F1363" t="n">
        <v>523177</v>
      </c>
      <c r="G1363" t="inlineStr">
        <is>
          <t>Consult</t>
        </is>
      </c>
      <c r="H1363" t="inlineStr">
        <is>
          <t>social-and-family-history</t>
        </is>
      </c>
      <c r="I1363" t="inlineStr">
        <is>
          <t>No alcohol use.</t>
        </is>
      </c>
    </row>
    <row r="1364">
      <c r="A1364" t="inlineStr">
        <is>
          <t>523177-social-and-family-history-0-3</t>
        </is>
      </c>
      <c r="B1364" t="inlineStr"/>
      <c r="C1364" t="inlineStr"/>
      <c r="D1364">
        <f>HYPERLINK("http://nlpdeep.cs.uic.edu:8080/proofing/gsii/523177-social-and-family-history-0-3.pdf","gsii/523177-social-and-family-history-0-3.pdf")</f>
        <v/>
      </c>
      <c r="E1364" t="n">
        <v>120842</v>
      </c>
      <c r="F1364" t="n">
        <v>523177</v>
      </c>
      <c r="G1364" t="inlineStr">
        <is>
          <t>Consult</t>
        </is>
      </c>
      <c r="H1364" t="inlineStr">
        <is>
          <t>social-and-family-history</t>
        </is>
      </c>
      <c r="I1364" t="inlineStr">
        <is>
          <t>No alcohol use.</t>
        </is>
      </c>
    </row>
    <row r="1365">
      <c r="A1365" t="inlineStr">
        <is>
          <t>523177-social-and-family-history-0-4</t>
        </is>
      </c>
      <c r="B1365" t="inlineStr"/>
      <c r="C1365" t="inlineStr"/>
      <c r="D1365">
        <f>HYPERLINK("http://nlpdeep.cs.uic.edu:8080/proofing/t5/523177-social-and-family-history-0-4.pdf","t5/523177-social-and-family-history-0-4.pdf")</f>
        <v/>
      </c>
      <c r="E1365" t="n">
        <v>120842</v>
      </c>
      <c r="F1365" t="n">
        <v>523177</v>
      </c>
      <c r="G1365" t="inlineStr">
        <is>
          <t>Consult</t>
        </is>
      </c>
      <c r="H1365" t="inlineStr">
        <is>
          <t>social-and-family-history</t>
        </is>
      </c>
      <c r="I1365" t="inlineStr">
        <is>
          <t xml:space="preserve">
   Review of systems otherwise negative.</t>
        </is>
      </c>
    </row>
    <row r="1366">
      <c r="A1366" t="inlineStr">
        <is>
          <t>523177-social-and-family-history-0-4</t>
        </is>
      </c>
      <c r="B1366" t="inlineStr"/>
      <c r="C1366" t="inlineStr"/>
      <c r="D1366">
        <f>HYPERLINK("http://nlpdeep.cs.uic.edu:8080/proofing/gsii/523177-social-and-family-history-0-4.pdf","gsii/523177-social-and-family-history-0-4.pdf")</f>
        <v/>
      </c>
      <c r="E1366" t="n">
        <v>120842</v>
      </c>
      <c r="F1366" t="n">
        <v>523177</v>
      </c>
      <c r="G1366" t="inlineStr">
        <is>
          <t>Consult</t>
        </is>
      </c>
      <c r="H1366" t="inlineStr">
        <is>
          <t>social-and-family-history</t>
        </is>
      </c>
      <c r="I1366" t="inlineStr">
        <is>
          <t xml:space="preserve">
   Review of systems otherwise negative.</t>
        </is>
      </c>
    </row>
    <row r="1367">
      <c r="A1367" t="inlineStr">
        <is>
          <t>523177-physical-examination-0-0</t>
        </is>
      </c>
      <c r="B1367" t="inlineStr"/>
      <c r="C1367" t="inlineStr"/>
      <c r="D1367">
        <f>HYPERLINK("http://nlpdeep.cs.uic.edu:8080/proofing/t5/523177-physical-examination-0-0.pdf","t5/523177-physical-examination-0-0.pdf")</f>
        <v/>
      </c>
      <c r="E1367" t="n">
        <v>120842</v>
      </c>
      <c r="F1367" t="n">
        <v>523177</v>
      </c>
      <c r="G1367" t="inlineStr">
        <is>
          <t>Consult</t>
        </is>
      </c>
      <c r="H1367" t="inlineStr">
        <is>
          <t>physical-examination</t>
        </is>
      </c>
      <c r="I1367" t="inlineStr">
        <is>
          <t>VS - Temp 98F, BP 141/53, HR 79, RR 18, O2-sat 97% 3L
   GENERAL -  labored respirtaions but NAD
   NECK - supple, JVP ~8 cm, no carotid bruits, 2+ carotid pulses
   LUNGS - labored respirations with poor air movement and using acessory
   muscles, wheezing throughout.</t>
        </is>
      </c>
    </row>
    <row r="1368">
      <c r="A1368" t="inlineStr">
        <is>
          <t>523177-physical-examination-0-0</t>
        </is>
      </c>
      <c r="B1368" t="inlineStr"/>
      <c r="C1368" t="inlineStr"/>
      <c r="D1368">
        <f>HYPERLINK("http://nlpdeep.cs.uic.edu:8080/proofing/gsii/523177-physical-examination-0-0.pdf","gsii/523177-physical-examination-0-0.pdf")</f>
        <v/>
      </c>
      <c r="E1368" t="n">
        <v>120842</v>
      </c>
      <c r="F1368" t="n">
        <v>523177</v>
      </c>
      <c r="G1368" t="inlineStr">
        <is>
          <t>Consult</t>
        </is>
      </c>
      <c r="H1368" t="inlineStr">
        <is>
          <t>physical-examination</t>
        </is>
      </c>
      <c r="I1368" t="inlineStr">
        <is>
          <t>VS - Temp 98F, BP 141/53, HR 79, RR 18, O2-sat 97% 3L
   GENERAL -  labored respirtaions but NAD
   NECK - supple, JVP ~8 cm, no carotid bruits, 2+ carotid pulses
   LUNGS - labored respirations with poor air movement and using acessory
   muscles, wheezing throughout.</t>
        </is>
      </c>
    </row>
    <row r="1369">
      <c r="A1369" t="inlineStr">
        <is>
          <t>523177-physical-examination-0-1</t>
        </is>
      </c>
      <c r="B1369" t="inlineStr"/>
      <c r="C1369" t="inlineStr"/>
      <c r="D1369">
        <f>HYPERLINK("http://nlpdeep.cs.uic.edu:8080/proofing/t5/523177-physical-examination-0-1.pdf","t5/523177-physical-examination-0-1.pdf")</f>
        <v/>
      </c>
      <c r="E1369" t="n">
        <v>120842</v>
      </c>
      <c r="F1369" t="n">
        <v>523177</v>
      </c>
      <c r="G1369" t="inlineStr">
        <is>
          <t>Consult</t>
        </is>
      </c>
      <c r="H1369" t="inlineStr">
        <is>
          <t>physical-examination</t>
        </is>
      </c>
      <c r="I1369" t="inlineStr">
        <is>
          <t>HEART - PMI non-displaced, RRR, no MRG, nl S1-S2, no S3 or S4 h</t>
        </is>
      </c>
    </row>
    <row r="1370">
      <c r="A1370" t="inlineStr">
        <is>
          <t>523177-physical-examination-0-1</t>
        </is>
      </c>
      <c r="B1370" t="inlineStr"/>
      <c r="C1370" t="inlineStr"/>
      <c r="D1370">
        <f>HYPERLINK("http://nlpdeep.cs.uic.edu:8080/proofing/gsii/523177-physical-examination-0-1.pdf","gsii/523177-physical-examination-0-1.pdf")</f>
        <v/>
      </c>
      <c r="E1370" t="n">
        <v>120842</v>
      </c>
      <c r="F1370" t="n">
        <v>523177</v>
      </c>
      <c r="G1370" t="inlineStr">
        <is>
          <t>Consult</t>
        </is>
      </c>
      <c r="H1370" t="inlineStr">
        <is>
          <t>physical-examination</t>
        </is>
      </c>
      <c r="I1370" t="inlineStr">
        <is>
          <t>HEART - PMI non-displaced, RRR, no MRG, nl S1-S2, no S3 or S4 h</t>
        </is>
      </c>
    </row>
    <row r="1371">
      <c r="A1371" t="inlineStr">
        <is>
          <t>523177-labs-imaging-0-0</t>
        </is>
      </c>
      <c r="B1371" t="inlineStr"/>
      <c r="C1371" t="inlineStr"/>
      <c r="D1371">
        <f>HYPERLINK("http://nlpdeep.cs.uic.edu:8080/proofing/t5/523177-labs-imaging-0-0.pdf","t5/523177-labs-imaging-0-0.pdf")</f>
        <v/>
      </c>
      <c r="E1371" t="n">
        <v>120842</v>
      </c>
      <c r="F1371" t="n">
        <v>523177</v>
      </c>
      <c r="G1371" t="inlineStr">
        <is>
          <t>Consult</t>
        </is>
      </c>
      <c r="H1371" t="inlineStr">
        <is>
          <t>labs-imaging</t>
        </is>
      </c>
      <c r="I1371" t="inlineStr">
        <is>
          <t>.</t>
        </is>
      </c>
    </row>
    <row r="1372">
      <c r="A1372" t="inlineStr">
        <is>
          <t>523177-labs-imaging-0-0</t>
        </is>
      </c>
      <c r="B1372" t="inlineStr"/>
      <c r="C1372" t="inlineStr"/>
      <c r="D1372">
        <f>HYPERLINK("http://nlpdeep.cs.uic.edu:8080/proofing/gsii/523177-labs-imaging-0-0.pdf","gsii/523177-labs-imaging-0-0.pdf")</f>
        <v/>
      </c>
      <c r="E1372" t="n">
        <v>120842</v>
      </c>
      <c r="F1372" t="n">
        <v>523177</v>
      </c>
      <c r="G1372" t="inlineStr">
        <is>
          <t>Consult</t>
        </is>
      </c>
      <c r="H1372" t="inlineStr">
        <is>
          <t>labs-imaging</t>
        </is>
      </c>
      <c r="I1372" t="inlineStr">
        <is>
          <t>.</t>
        </is>
      </c>
    </row>
    <row r="1373">
      <c r="A1373" t="inlineStr">
        <is>
          <t>523177-labs-imaging-0-1</t>
        </is>
      </c>
      <c r="B1373" t="inlineStr"/>
      <c r="C1373" t="inlineStr"/>
      <c r="D1373">
        <f>HYPERLINK("http://nlpdeep.cs.uic.edu:8080/proofing/t5/523177-labs-imaging-0-1.pdf","t5/523177-labs-imaging-0-1.pdf")</f>
        <v/>
      </c>
      <c r="E1373" t="n">
        <v>120842</v>
      </c>
      <c r="F1373" t="n">
        <v>523177</v>
      </c>
      <c r="G1373" t="inlineStr">
        <is>
          <t>Consult</t>
        </is>
      </c>
      <c r="H1373" t="inlineStr">
        <is>
          <t>labs-imaging</t>
        </is>
      </c>
      <c r="I1373" t="inlineStr">
        <is>
          <t xml:space="preserve">
   138   100      20                     11.3
   ---|-------|------&lt; 187   .</t>
        </is>
      </c>
    </row>
    <row r="1374">
      <c r="A1374" t="inlineStr">
        <is>
          <t>523177-labs-imaging-0-1</t>
        </is>
      </c>
      <c r="B1374" t="inlineStr"/>
      <c r="C1374" t="inlineStr"/>
      <c r="D1374">
        <f>HYPERLINK("http://nlpdeep.cs.uic.edu:8080/proofing/gsii/523177-labs-imaging-0-1.pdf","gsii/523177-labs-imaging-0-1.pdf")</f>
        <v/>
      </c>
      <c r="E1374" t="n">
        <v>120842</v>
      </c>
      <c r="F1374" t="n">
        <v>523177</v>
      </c>
      <c r="G1374" t="inlineStr">
        <is>
          <t>Consult</t>
        </is>
      </c>
      <c r="H1374" t="inlineStr">
        <is>
          <t>labs-imaging</t>
        </is>
      </c>
      <c r="I1374" t="inlineStr">
        <is>
          <t xml:space="preserve">
   138   100      20                     11.3
   ---|-------|------&lt; 187   .</t>
        </is>
      </c>
    </row>
    <row r="1375">
      <c r="A1375" t="inlineStr">
        <is>
          <t>523177-assessment-and-plan-0-0</t>
        </is>
      </c>
      <c r="B1375" t="inlineStr"/>
      <c r="C1375" t="inlineStr"/>
      <c r="D1375">
        <f>HYPERLINK("http://nlpdeep.cs.uic.edu:8080/proofing/t5/523177-assessment-and-plan-0-0.pdf","t5/523177-assessment-and-plan-0-0.pdf")</f>
        <v/>
      </c>
      <c r="E1375" t="n">
        <v>120842</v>
      </c>
      <c r="F1375" t="n">
        <v>523177</v>
      </c>
      <c r="G1375" t="inlineStr">
        <is>
          <t>Consult</t>
        </is>
      </c>
      <c r="H1375" t="inlineStr">
        <is>
          <t>assessment-and-plan</t>
        </is>
      </c>
      <c r="I1375" t="inlineStr">
        <is>
          <t>- EKG
s and telemetry strips were reviewed.</t>
        </is>
      </c>
    </row>
    <row r="1376">
      <c r="A1376" t="inlineStr">
        <is>
          <t>523177-assessment-and-plan-0-0</t>
        </is>
      </c>
      <c r="B1376" t="inlineStr"/>
      <c r="C1376" t="inlineStr"/>
      <c r="D1376">
        <f>HYPERLINK("http://nlpdeep.cs.uic.edu:8080/proofing/gsii/523177-assessment-and-plan-0-0.pdf","gsii/523177-assessment-and-plan-0-0.pdf")</f>
        <v/>
      </c>
      <c r="E1376" t="n">
        <v>120842</v>
      </c>
      <c r="F1376" t="n">
        <v>523177</v>
      </c>
      <c r="G1376" t="inlineStr">
        <is>
          <t>Consult</t>
        </is>
      </c>
      <c r="H1376" t="inlineStr">
        <is>
          <t>assessment-and-plan</t>
        </is>
      </c>
      <c r="I1376" t="inlineStr">
        <is>
          <t>- EKG
s and telemetry strips were reviewed.</t>
        </is>
      </c>
    </row>
    <row r="1377">
      <c r="A1377" t="inlineStr">
        <is>
          <t>523177-assessment-and-plan-0-1</t>
        </is>
      </c>
      <c r="B1377" t="inlineStr"/>
      <c r="C1377" t="inlineStr"/>
      <c r="D1377">
        <f>HYPERLINK("http://nlpdeep.cs.uic.edu:8080/proofing/t5/523177-assessment-and-plan-0-1.pdf","t5/523177-assessment-and-plan-0-1.pdf")</f>
        <v/>
      </c>
      <c r="E1377" t="n">
        <v>120842</v>
      </c>
      <c r="F1377" t="n">
        <v>523177</v>
      </c>
      <c r="G1377" t="inlineStr">
        <is>
          <t>Consult</t>
        </is>
      </c>
      <c r="H1377" t="inlineStr">
        <is>
          <t>assessment-and-plan</t>
        </is>
      </c>
      <c r="I1377" t="inlineStr">
        <is>
          <t>Tachycardia is a short RP
   tachycardia likely AVNRT.</t>
        </is>
      </c>
    </row>
    <row r="1378">
      <c r="A1378" t="inlineStr">
        <is>
          <t>523177-assessment-and-plan-0-1</t>
        </is>
      </c>
      <c r="B1378" t="inlineStr"/>
      <c r="C1378" t="inlineStr"/>
      <c r="D1378">
        <f>HYPERLINK("http://nlpdeep.cs.uic.edu:8080/proofing/gsii/523177-assessment-and-plan-0-1.pdf","gsii/523177-assessment-and-plan-0-1.pdf")</f>
        <v/>
      </c>
      <c r="E1378" t="n">
        <v>120842</v>
      </c>
      <c r="F1378" t="n">
        <v>523177</v>
      </c>
      <c r="G1378" t="inlineStr">
        <is>
          <t>Consult</t>
        </is>
      </c>
      <c r="H1378" t="inlineStr">
        <is>
          <t>assessment-and-plan</t>
        </is>
      </c>
      <c r="I1378" t="inlineStr">
        <is>
          <t>Tachycardia is a short RP
   tachycardia likely AVNRT.</t>
        </is>
      </c>
    </row>
    <row r="1379">
      <c r="A1379" t="inlineStr">
        <is>
          <t>523177-assessment-and-plan-0-2</t>
        </is>
      </c>
      <c r="B1379" t="inlineStr"/>
      <c r="C1379" t="inlineStr"/>
      <c r="D1379">
        <f>HYPERLINK("http://nlpdeep.cs.uic.edu:8080/proofing/t5/523177-assessment-and-plan-0-2.pdf","t5/523177-assessment-and-plan-0-2.pdf")</f>
        <v/>
      </c>
      <c r="E1379" t="n">
        <v>120842</v>
      </c>
      <c r="F1379" t="n">
        <v>523177</v>
      </c>
      <c r="G1379" t="inlineStr">
        <is>
          <t>Consult</t>
        </is>
      </c>
      <c r="H1379" t="inlineStr">
        <is>
          <t>assessment-and-plan</t>
        </is>
      </c>
      <c r="I1379" t="inlineStr">
        <is>
          <t xml:space="preserve">
   - Recommendation:
   1)Increase diltiazem to 60mg QID for now and increase as tolerated
   2)Patient will eventually need an ablation procedure when stable
   respiratory status
   3)We will continue to follow up as an inpatient and revaluate for
   inpatient ablation, if procedure deemed not appropriate she will see
   Dr. [**Last Name (STitle) 5152**] and have an elective ablation as an outpatient.</t>
        </is>
      </c>
    </row>
    <row r="1380">
      <c r="A1380" t="inlineStr">
        <is>
          <t>523177-assessment-and-plan-0-2</t>
        </is>
      </c>
      <c r="B1380" t="inlineStr"/>
      <c r="C1380" t="inlineStr"/>
      <c r="D1380">
        <f>HYPERLINK("http://nlpdeep.cs.uic.edu:8080/proofing/gsii/523177-assessment-and-plan-0-2.pdf","gsii/523177-assessment-and-plan-0-2.pdf")</f>
        <v/>
      </c>
      <c r="E1380" t="n">
        <v>120842</v>
      </c>
      <c r="F1380" t="n">
        <v>523177</v>
      </c>
      <c r="G1380" t="inlineStr">
        <is>
          <t>Consult</t>
        </is>
      </c>
      <c r="H1380" t="inlineStr">
        <is>
          <t>assessment-and-plan</t>
        </is>
      </c>
      <c r="I1380" t="inlineStr">
        <is>
          <t xml:space="preserve">
   - Recommendation:
   1)Increase diltiazem to 60mg QID for now and increase as tolerated
   2)Patient will eventually need an ablation procedure when stable
   respiratory status
   3)We will continue to follow up as an inpatient and revaluate for
   inpatient ablation, if procedure deemed not appropriate she will see
   Dr. [**Last Name (STitle) 5152**] and have an elective ablation as an outpatient.</t>
        </is>
      </c>
    </row>
    <row r="1381">
      <c r="A1381" t="inlineStr">
        <is>
          <t>523177-assessment-and-plan-0-3</t>
        </is>
      </c>
      <c r="B1381" t="inlineStr"/>
      <c r="C1381" t="inlineStr"/>
      <c r="D1381">
        <f>HYPERLINK("http://nlpdeep.cs.uic.edu:8080/proofing/t5/523177-assessment-and-plan-0-3.pdf","t5/523177-assessment-and-plan-0-3.pdf")</f>
        <v/>
      </c>
      <c r="E1381" t="n">
        <v>120842</v>
      </c>
      <c r="F1381" t="n">
        <v>523177</v>
      </c>
      <c r="G1381" t="inlineStr">
        <is>
          <t>Consult</t>
        </is>
      </c>
      <c r="H1381" t="inlineStr">
        <is>
          <t>assessment-and-plan</t>
        </is>
      </c>
      <c r="I1381" t="inlineStr">
        <is>
          <t xml:space="preserve">
This patient was seen, discussed and evaluated with
Dr. [**Last Name (STitle) 5152**].</t>
        </is>
      </c>
    </row>
    <row r="1382">
      <c r="A1382" t="inlineStr">
        <is>
          <t>523177-assessment-and-plan-0-3</t>
        </is>
      </c>
      <c r="B1382" t="inlineStr"/>
      <c r="C1382" t="inlineStr"/>
      <c r="D1382">
        <f>HYPERLINK("http://nlpdeep.cs.uic.edu:8080/proofing/gsii/523177-assessment-and-plan-0-3.pdf","gsii/523177-assessment-and-plan-0-3.pdf")</f>
        <v/>
      </c>
      <c r="E1382" t="n">
        <v>120842</v>
      </c>
      <c r="F1382" t="n">
        <v>523177</v>
      </c>
      <c r="G1382" t="inlineStr">
        <is>
          <t>Consult</t>
        </is>
      </c>
      <c r="H1382" t="inlineStr">
        <is>
          <t>assessment-and-plan</t>
        </is>
      </c>
      <c r="I1382" t="inlineStr">
        <is>
          <t xml:space="preserve">
This patient was seen, discussed and evaluated with
Dr. [**Last Name (STitle) 5152**].</t>
        </is>
      </c>
    </row>
    <row r="1383">
      <c r="A1383" t="inlineStr">
        <is>
          <t>523177-assessment-and-plan-0-4</t>
        </is>
      </c>
      <c r="B1383" t="inlineStr"/>
      <c r="C1383" t="inlineStr"/>
      <c r="D1383">
        <f>HYPERLINK("http://nlpdeep.cs.uic.edu:8080/proofing/t5/523177-assessment-and-plan-0-4.pdf","t5/523177-assessment-and-plan-0-4.pdf")</f>
        <v/>
      </c>
      <c r="E1383" t="n">
        <v>120842</v>
      </c>
      <c r="F1383" t="n">
        <v>523177</v>
      </c>
      <c r="G1383" t="inlineStr">
        <is>
          <t>Consult</t>
        </is>
      </c>
      <c r="H1383" t="inlineStr">
        <is>
          <t>assessment-and-plan</t>
        </is>
      </c>
      <c r="I1383" t="inlineStr">
        <is>
          <t>Please see his/her note in the inpatient
medical record for additional comments.</t>
        </is>
      </c>
    </row>
    <row r="1384">
      <c r="A1384" t="inlineStr">
        <is>
          <t>523177-assessment-and-plan-0-4</t>
        </is>
      </c>
      <c r="B1384" t="inlineStr"/>
      <c r="C1384" t="inlineStr"/>
      <c r="D1384">
        <f>HYPERLINK("http://nlpdeep.cs.uic.edu:8080/proofing/gsii/523177-assessment-and-plan-0-4.pdf","gsii/523177-assessment-and-plan-0-4.pdf")</f>
        <v/>
      </c>
      <c r="E1384" t="n">
        <v>120842</v>
      </c>
      <c r="F1384" t="n">
        <v>523177</v>
      </c>
      <c r="G1384" t="inlineStr">
        <is>
          <t>Consult</t>
        </is>
      </c>
      <c r="H1384" t="inlineStr">
        <is>
          <t>assessment-and-plan</t>
        </is>
      </c>
      <c r="I1384" t="inlineStr">
        <is>
          <t>Please see his/her note in the inpatient
medical record for additional comments.</t>
        </is>
      </c>
    </row>
    <row r="1385">
      <c r="A1385" t="inlineStr">
        <is>
          <t>523177-critical-care-attending-addendum-0-0</t>
        </is>
      </c>
      <c r="B1385" t="inlineStr"/>
      <c r="C1385" t="inlineStr"/>
      <c r="D1385">
        <f>HYPERLINK("http://nlpdeep.cs.uic.edu:8080/proofing/t5/523177-critical-care-attending-addendum-0-0.pdf","t5/523177-critical-care-attending-addendum-0-0.pdf")</f>
        <v/>
      </c>
      <c r="E1385" t="n">
        <v>120842</v>
      </c>
      <c r="F1385" t="n">
        <v>523177</v>
      </c>
      <c r="G1385" t="inlineStr">
        <is>
          <t>Consult</t>
        </is>
      </c>
      <c r="H1385" t="inlineStr">
        <is>
          <t>critical-care-attending-addendum</t>
        </is>
      </c>
      <c r="I1385" t="inlineStr">
        <is>
          <t>On this day I saw, examined and was physically present with the
   resident / fellow for the key portions of the services provided.</t>
        </is>
      </c>
    </row>
    <row r="1386">
      <c r="A1386" t="inlineStr">
        <is>
          <t>523177-critical-care-attending-addendum-0-0</t>
        </is>
      </c>
      <c r="B1386" t="inlineStr"/>
      <c r="C1386" t="inlineStr"/>
      <c r="D1386">
        <f>HYPERLINK("http://nlpdeep.cs.uic.edu:8080/proofing/gsii/523177-critical-care-attending-addendum-0-0.pdf","gsii/523177-critical-care-attending-addendum-0-0.pdf")</f>
        <v/>
      </c>
      <c r="E1386" t="n">
        <v>120842</v>
      </c>
      <c r="F1386" t="n">
        <v>523177</v>
      </c>
      <c r="G1386" t="inlineStr">
        <is>
          <t>Consult</t>
        </is>
      </c>
      <c r="H1386" t="inlineStr">
        <is>
          <t>critical-care-attending-addendum</t>
        </is>
      </c>
      <c r="I1386" t="inlineStr">
        <is>
          <t>On this day I saw, examined and was physically present with the
   resident / fellow for the key portions of the services provided.</t>
        </is>
      </c>
    </row>
    <row r="1387">
      <c r="A1387" t="inlineStr">
        <is>
          <t>523177-critical-care-attending-addendum-0-1</t>
        </is>
      </c>
      <c r="B1387" t="inlineStr"/>
      <c r="C1387" t="inlineStr"/>
      <c r="D1387">
        <f>HYPERLINK("http://nlpdeep.cs.uic.edu:8080/proofing/t5/523177-critical-care-attending-addendum-0-1.pdf","t5/523177-critical-care-attending-addendum-0-1.pdf")</f>
        <v/>
      </c>
      <c r="E1387" t="n">
        <v>120842</v>
      </c>
      <c r="F1387" t="n">
        <v>523177</v>
      </c>
      <c r="G1387" t="inlineStr">
        <is>
          <t>Consult</t>
        </is>
      </c>
      <c r="H1387" t="inlineStr">
        <is>
          <t>critical-care-attending-addendum</t>
        </is>
      </c>
      <c r="I1387" t="inlineStr">
        <is>
          <t>I
   agree with the above note and plans.</t>
        </is>
      </c>
    </row>
    <row r="1388">
      <c r="A1388" t="inlineStr">
        <is>
          <t>523177-critical-care-attending-addendum-0-1</t>
        </is>
      </c>
      <c r="B1388" t="inlineStr"/>
      <c r="C1388" t="inlineStr"/>
      <c r="D1388">
        <f>HYPERLINK("http://nlpdeep.cs.uic.edu:8080/proofing/gsii/523177-critical-care-attending-addendum-0-1.pdf","gsii/523177-critical-care-attending-addendum-0-1.pdf")</f>
        <v/>
      </c>
      <c r="E1388" t="n">
        <v>120842</v>
      </c>
      <c r="F1388" t="n">
        <v>523177</v>
      </c>
      <c r="G1388" t="inlineStr">
        <is>
          <t>Consult</t>
        </is>
      </c>
      <c r="H1388" t="inlineStr">
        <is>
          <t>critical-care-attending-addendum</t>
        </is>
      </c>
      <c r="I1388" t="inlineStr">
        <is>
          <t>I
   agree with the above note and plans.</t>
        </is>
      </c>
    </row>
    <row r="1389">
      <c r="A1389" t="inlineStr">
        <is>
          <t>523177-critical-care-attending-addendum-0-2</t>
        </is>
      </c>
      <c r="B1389" t="inlineStr"/>
      <c r="C1389" t="inlineStr"/>
      <c r="D1389">
        <f>HYPERLINK("http://nlpdeep.cs.uic.edu:8080/proofing/t5/523177-critical-care-attending-addendum-0-2.pdf","t5/523177-critical-care-attending-addendum-0-2.pdf")</f>
        <v/>
      </c>
      <c r="E1389" t="n">
        <v>120842</v>
      </c>
      <c r="F1389" t="n">
        <v>523177</v>
      </c>
      <c r="G1389" t="inlineStr">
        <is>
          <t>Consult</t>
        </is>
      </c>
      <c r="H1389" t="inlineStr">
        <is>
          <t>critical-care-attending-addendum</t>
        </is>
      </c>
      <c r="I1389" t="inlineStr">
        <is>
          <t xml:space="preserve">
   I would add the following remarks:
   History
   [**First Name8 (NamePattern2) 54**] [**Doctor Last Name 13723**]
   Nothing to add
   Physical Examination
   Per dr [**Last Name (STitle) **]
   Nothing to add
   Medical Decision Making
   Per Dr [**Last Name (STitle) **]
   nothing to add
   Above discussed extensively with patient.</t>
        </is>
      </c>
    </row>
    <row r="1390">
      <c r="A1390" t="inlineStr">
        <is>
          <t>523177-critical-care-attending-addendum-0-2</t>
        </is>
      </c>
      <c r="B1390" t="inlineStr"/>
      <c r="C1390" t="inlineStr"/>
      <c r="D1390">
        <f>HYPERLINK("http://nlpdeep.cs.uic.edu:8080/proofing/gsii/523177-critical-care-attending-addendum-0-2.pdf","gsii/523177-critical-care-attending-addendum-0-2.pdf")</f>
        <v/>
      </c>
      <c r="E1390" t="n">
        <v>120842</v>
      </c>
      <c r="F1390" t="n">
        <v>523177</v>
      </c>
      <c r="G1390" t="inlineStr">
        <is>
          <t>Consult</t>
        </is>
      </c>
      <c r="H1390" t="inlineStr">
        <is>
          <t>critical-care-attending-addendum</t>
        </is>
      </c>
      <c r="I1390" t="inlineStr">
        <is>
          <t xml:space="preserve">
   I would add the following remarks:
   History
   [**First Name8 (NamePattern2) 54**] [**Doctor Last Name 13723**]
   Nothing to add
   Physical Examination
   Per dr [**Last Name (STitle) **]
   Nothing to add
   Medical Decision Making
   Per Dr [**Last Name (STitle) **]
   nothing to add
   Above discussed extensively with patient.</t>
        </is>
      </c>
    </row>
    <row r="1391">
      <c r="A1391" t="inlineStr">
        <is>
          <t>523177-critical-care-attending-addendum-0-3</t>
        </is>
      </c>
      <c r="B1391" t="inlineStr"/>
      <c r="C1391" t="inlineStr"/>
      <c r="D1391">
        <f>HYPERLINK("http://nlpdeep.cs.uic.edu:8080/proofing/t5/523177-critical-care-attending-addendum-0-3.pdf","t5/523177-critical-care-attending-addendum-0-3.pdf")</f>
        <v/>
      </c>
      <c r="E1391" t="n">
        <v>120842</v>
      </c>
      <c r="F1391" t="n">
        <v>523177</v>
      </c>
      <c r="G1391" t="inlineStr">
        <is>
          <t>Consult</t>
        </is>
      </c>
      <c r="H1391" t="inlineStr">
        <is>
          <t>critical-care-attending-addendum</t>
        </is>
      </c>
      <c r="I1391" t="inlineStr">
        <is>
          <t>Above discussed extensively
   with family member, next of [**Doctor First Name 372**] or health care proxy.</t>
        </is>
      </c>
    </row>
    <row r="1392">
      <c r="A1392" t="inlineStr">
        <is>
          <t>523177-critical-care-attending-addendum-0-3</t>
        </is>
      </c>
      <c r="B1392" t="inlineStr"/>
      <c r="C1392" t="inlineStr"/>
      <c r="D1392">
        <f>HYPERLINK("http://nlpdeep.cs.uic.edu:8080/proofing/gsii/523177-critical-care-attending-addendum-0-3.pdf","gsii/523177-critical-care-attending-addendum-0-3.pdf")</f>
        <v/>
      </c>
      <c r="E1392" t="n">
        <v>120842</v>
      </c>
      <c r="F1392" t="n">
        <v>523177</v>
      </c>
      <c r="G1392" t="inlineStr">
        <is>
          <t>Consult</t>
        </is>
      </c>
      <c r="H1392" t="inlineStr">
        <is>
          <t>critical-care-attending-addendum</t>
        </is>
      </c>
      <c r="I1392" t="inlineStr">
        <is>
          <t>Above discussed extensively
   with family member, next of [**Doctor First Name 372**] or health care proxy.</t>
        </is>
      </c>
    </row>
    <row r="1393">
      <c r="A1393" t="inlineStr">
        <is>
          <t>523177-critical-care-attending-addendum-0-4</t>
        </is>
      </c>
      <c r="B1393" t="inlineStr"/>
      <c r="C1393" t="inlineStr"/>
      <c r="D1393">
        <f>HYPERLINK("http://nlpdeep.cs.uic.edu:8080/proofing/t5/523177-critical-care-attending-addendum-0-4.pdf","t5/523177-critical-care-attending-addendum-0-4.pdf")</f>
        <v/>
      </c>
      <c r="E1393" t="n">
        <v>120842</v>
      </c>
      <c r="F1393" t="n">
        <v>523177</v>
      </c>
      <c r="G1393" t="inlineStr">
        <is>
          <t>Consult</t>
        </is>
      </c>
      <c r="H1393" t="inlineStr">
        <is>
          <t>critical-care-attending-addendum</t>
        </is>
      </c>
      <c r="I1393" t="inlineStr">
        <is>
          <t xml:space="preserve">
   Total time spent on patient care: 60 minutes.</t>
        </is>
      </c>
    </row>
    <row r="1394">
      <c r="A1394" t="inlineStr">
        <is>
          <t>523177-critical-care-attending-addendum-0-4</t>
        </is>
      </c>
      <c r="B1394" t="inlineStr"/>
      <c r="C1394" t="inlineStr"/>
      <c r="D1394">
        <f>HYPERLINK("http://nlpdeep.cs.uic.edu:8080/proofing/gsii/523177-critical-care-attending-addendum-0-4.pdf","gsii/523177-critical-care-attending-addendum-0-4.pdf")</f>
        <v/>
      </c>
      <c r="E1394" t="n">
        <v>120842</v>
      </c>
      <c r="F1394" t="n">
        <v>523177</v>
      </c>
      <c r="G1394" t="inlineStr">
        <is>
          <t>Consult</t>
        </is>
      </c>
      <c r="H1394" t="inlineStr">
        <is>
          <t>critical-care-attending-addendum</t>
        </is>
      </c>
      <c r="I1394" t="inlineStr">
        <is>
          <t xml:space="preserve">
   Total time spent on patient care: 60 minutes.</t>
        </is>
      </c>
    </row>
    <row r="1395">
      <c r="A1395" t="inlineStr">
        <is>
          <t>523177-critical-care-attending-addendum-0-5</t>
        </is>
      </c>
      <c r="B1395" t="inlineStr"/>
      <c r="C1395" t="inlineStr"/>
      <c r="D1395">
        <f>HYPERLINK("http://nlpdeep.cs.uic.edu:8080/proofing/t5/523177-critical-care-attending-addendum-0-5.pdf","t5/523177-critical-care-attending-addendum-0-5.pdf")</f>
        <v/>
      </c>
      <c r="E1395" t="n">
        <v>120842</v>
      </c>
      <c r="F1395" t="n">
        <v>523177</v>
      </c>
      <c r="G1395" t="inlineStr">
        <is>
          <t>Consult</t>
        </is>
      </c>
      <c r="H1395" t="inlineStr">
        <is>
          <t>critical-care-attending-addendum</t>
        </is>
      </c>
      <c r="I1395" t="inlineStr">
        <is>
          <t xml:space="preserve">
   Additional comments:
   Long standing and highly symptomatic SVT most consistent with AVNRT
   Currently has COPD exacerbation and some degree of diastolic congestive
   heart failure.</t>
        </is>
      </c>
    </row>
    <row r="1396">
      <c r="A1396" t="inlineStr">
        <is>
          <t>523177-critical-care-attending-addendum-0-5</t>
        </is>
      </c>
      <c r="B1396" t="inlineStr"/>
      <c r="C1396" t="inlineStr"/>
      <c r="D1396">
        <f>HYPERLINK("http://nlpdeep.cs.uic.edu:8080/proofing/gsii/523177-critical-care-attending-addendum-0-5.pdf","gsii/523177-critical-care-attending-addendum-0-5.pdf")</f>
        <v/>
      </c>
      <c r="E1396" t="n">
        <v>120842</v>
      </c>
      <c r="F1396" t="n">
        <v>523177</v>
      </c>
      <c r="G1396" t="inlineStr">
        <is>
          <t>Consult</t>
        </is>
      </c>
      <c r="H1396" t="inlineStr">
        <is>
          <t>critical-care-attending-addendum</t>
        </is>
      </c>
      <c r="I1396" t="inlineStr">
        <is>
          <t xml:space="preserve">
   Additional comments:
   Long standing and highly symptomatic SVT most consistent with AVNRT
   Currently has COPD exacerbation and some degree of diastolic congestive
   heart failure.</t>
        </is>
      </c>
    </row>
    <row r="1397">
      <c r="A1397" t="inlineStr">
        <is>
          <t>523177-critical-care-attending-addendum-0-6</t>
        </is>
      </c>
      <c r="B1397" t="inlineStr"/>
      <c r="C1397" t="inlineStr"/>
      <c r="D1397">
        <f>HYPERLINK("http://nlpdeep.cs.uic.edu:8080/proofing/t5/523177-critical-care-attending-addendum-0-6.pdf","t5/523177-critical-care-attending-addendum-0-6.pdf")</f>
        <v/>
      </c>
      <c r="E1397" t="n">
        <v>120842</v>
      </c>
      <c r="F1397" t="n">
        <v>523177</v>
      </c>
      <c r="G1397" t="inlineStr">
        <is>
          <t>Consult</t>
        </is>
      </c>
      <c r="H1397" t="inlineStr">
        <is>
          <t>critical-care-attending-addendum</t>
        </is>
      </c>
      <c r="I1397" t="inlineStr">
        <is>
          <t>For now have recommended diltiazem 240 to 300 qd until her pulmonary
   status improves
   Ultimately have recommended ablation once she is able to lie f</t>
        </is>
      </c>
    </row>
    <row r="1398">
      <c r="A1398" t="inlineStr">
        <is>
          <t>523177-critical-care-attending-addendum-0-6</t>
        </is>
      </c>
      <c r="B1398" t="inlineStr"/>
      <c r="C1398" t="inlineStr"/>
      <c r="D1398">
        <f>HYPERLINK("http://nlpdeep.cs.uic.edu:8080/proofing/gsii/523177-critical-care-attending-addendum-0-6.pdf","gsii/523177-critical-care-attending-addendum-0-6.pdf")</f>
        <v/>
      </c>
      <c r="E1398" t="n">
        <v>120842</v>
      </c>
      <c r="F1398" t="n">
        <v>523177</v>
      </c>
      <c r="G1398" t="inlineStr">
        <is>
          <t>Consult</t>
        </is>
      </c>
      <c r="H1398" t="inlineStr">
        <is>
          <t>critical-care-attending-addendum</t>
        </is>
      </c>
      <c r="I1398" t="inlineStr">
        <is>
          <t>For now have recommended diltiazem 240 to 300 qd until her pulmonary
   status improves
   Ultimately have recommended ablation once she is able to lie f</t>
        </is>
      </c>
    </row>
    <row r="1399">
      <c r="A1399" t="inlineStr">
        <is>
          <t>93093-patient-test-information-0-0</t>
        </is>
      </c>
      <c r="B1399" t="inlineStr"/>
      <c r="C1399" t="inlineStr"/>
      <c r="D1399">
        <f>HYPERLINK("http://nlpdeep.cs.uic.edu:8080/proofing/t5/93093-patient-test-information-0-0.pdf","t5/93093-patient-test-information-0-0.pdf")</f>
        <v/>
      </c>
      <c r="E1399" t="n">
        <v>120842</v>
      </c>
      <c r="F1399" t="n">
        <v>93093</v>
      </c>
      <c r="G1399" t="inlineStr">
        <is>
          <t>Echo</t>
        </is>
      </c>
      <c r="H1399" t="inlineStr">
        <is>
          <t>patient-test-information</t>
        </is>
      </c>
      <c r="I1399" t="inlineStr">
        <is>
          <t>Indication: Congestive heart failure.</t>
        </is>
      </c>
    </row>
    <row r="1400">
      <c r="A1400" t="inlineStr">
        <is>
          <t>93093-patient-test-information-0-0</t>
        </is>
      </c>
      <c r="B1400" t="inlineStr"/>
      <c r="C1400" t="inlineStr"/>
      <c r="D1400">
        <f>HYPERLINK("http://nlpdeep.cs.uic.edu:8080/proofing/gsii/93093-patient-test-information-0-0.pdf","gsii/93093-patient-test-information-0-0.pdf")</f>
        <v/>
      </c>
      <c r="E1400" t="n">
        <v>120842</v>
      </c>
      <c r="F1400" t="n">
        <v>93093</v>
      </c>
      <c r="G1400" t="inlineStr">
        <is>
          <t>Echo</t>
        </is>
      </c>
      <c r="H1400" t="inlineStr">
        <is>
          <t>patient-test-information</t>
        </is>
      </c>
      <c r="I1400" t="inlineStr">
        <is>
          <t>Indication: Congestive heart failure.</t>
        </is>
      </c>
    </row>
    <row r="1401">
      <c r="A1401" t="inlineStr">
        <is>
          <t>93093-patient-test-information-0-1</t>
        </is>
      </c>
      <c r="B1401" t="inlineStr"/>
      <c r="C1401" t="inlineStr"/>
      <c r="D1401">
        <f>HYPERLINK("http://nlpdeep.cs.uic.edu:8080/proofing/t5/93093-patient-test-information-0-1.pdf","t5/93093-patient-test-information-0-1.pdf")</f>
        <v/>
      </c>
      <c r="E1401" t="n">
        <v>120842</v>
      </c>
      <c r="F1401" t="n">
        <v>93093</v>
      </c>
      <c r="G1401" t="inlineStr">
        <is>
          <t>Echo</t>
        </is>
      </c>
      <c r="H1401" t="inlineStr">
        <is>
          <t>patient-test-information</t>
        </is>
      </c>
      <c r="I1401" t="inlineStr">
        <is>
          <t xml:space="preserve"> Shortness of breath.</t>
        </is>
      </c>
    </row>
    <row r="1402">
      <c r="A1402" t="inlineStr">
        <is>
          <t>93093-patient-test-information-0-1</t>
        </is>
      </c>
      <c r="B1402" t="inlineStr"/>
      <c r="C1402" t="inlineStr"/>
      <c r="D1402">
        <f>HYPERLINK("http://nlpdeep.cs.uic.edu:8080/proofing/gsii/93093-patient-test-information-0-1.pdf","gsii/93093-patient-test-information-0-1.pdf")</f>
        <v/>
      </c>
      <c r="E1402" t="n">
        <v>120842</v>
      </c>
      <c r="F1402" t="n">
        <v>93093</v>
      </c>
      <c r="G1402" t="inlineStr">
        <is>
          <t>Echo</t>
        </is>
      </c>
      <c r="H1402" t="inlineStr">
        <is>
          <t>patient-test-information</t>
        </is>
      </c>
      <c r="I1402" t="inlineStr">
        <is>
          <t xml:space="preserve"> Shortness of breath.</t>
        </is>
      </c>
    </row>
    <row r="1403">
      <c r="A1403" t="inlineStr">
        <is>
          <t>93093-patient-test-information-0-2</t>
        </is>
      </c>
      <c r="B1403" t="inlineStr"/>
      <c r="C1403" t="inlineStr"/>
      <c r="D1403">
        <f>HYPERLINK("http://nlpdeep.cs.uic.edu:8080/proofing/t5/93093-patient-test-information-0-2.pdf","t5/93093-patient-test-information-0-2.pdf")</f>
        <v/>
      </c>
      <c r="E1403" t="n">
        <v>120842</v>
      </c>
      <c r="F1403" t="n">
        <v>93093</v>
      </c>
      <c r="G1403" t="inlineStr">
        <is>
          <t>Echo</t>
        </is>
      </c>
      <c r="H1403" t="inlineStr">
        <is>
          <t>patient-test-information</t>
        </is>
      </c>
      <c r="I1403" t="inlineStr">
        <is>
          <t>Height: (in) 62
Weight (lb): 140
BSA (m2): 1.64 m2
BP (mm Hg): 130/63
HR (bpm): 66
Status: Inpatient
Date/Time: [**2153-4-9**] at 15:15
Test: Portable TTE (Complete)
Doppler: Full Doppler and color Doppler
Contrast: Saline
Technical Quality: S</t>
        </is>
      </c>
    </row>
    <row r="1404">
      <c r="A1404" t="inlineStr">
        <is>
          <t>93093-patient-test-information-0-2</t>
        </is>
      </c>
      <c r="B1404" t="inlineStr"/>
      <c r="C1404" t="inlineStr"/>
      <c r="D1404">
        <f>HYPERLINK("http://nlpdeep.cs.uic.edu:8080/proofing/gsii/93093-patient-test-information-0-2.pdf","gsii/93093-patient-test-information-0-2.pdf")</f>
        <v/>
      </c>
      <c r="E1404" t="n">
        <v>120842</v>
      </c>
      <c r="F1404" t="n">
        <v>93093</v>
      </c>
      <c r="G1404" t="inlineStr">
        <is>
          <t>Echo</t>
        </is>
      </c>
      <c r="H1404" t="inlineStr">
        <is>
          <t>patient-test-information</t>
        </is>
      </c>
      <c r="I1404" t="inlineStr">
        <is>
          <t>Height: (in) 62
Weight (lb): 140
BSA (m2): 1.64 m2
BP (mm Hg): 130/63
HR (bpm): 66
Status: Inpatient
Date/Time: [**2153-4-9**] at 15:15
Test: Portable TTE (Complete)
Doppler: Full Doppler and color Doppler
Contrast: Saline
Technical Quality: S</t>
        </is>
      </c>
    </row>
    <row r="1405">
      <c r="A1405" t="inlineStr">
        <is>
          <t>93093-findings-0-0</t>
        </is>
      </c>
      <c r="B1405" t="inlineStr"/>
      <c r="C1405" t="inlineStr"/>
      <c r="D1405">
        <f>HYPERLINK("http://nlpdeep.cs.uic.edu:8080/proofing/t5/93093-findings-0-0.pdf","t5/93093-findings-0-0.pdf")</f>
        <v/>
      </c>
      <c r="E1405" t="n">
        <v>120842</v>
      </c>
      <c r="F1405" t="n">
        <v>93093</v>
      </c>
      <c r="G1405" t="inlineStr">
        <is>
          <t>Echo</t>
        </is>
      </c>
      <c r="H1405" t="inlineStr">
        <is>
          <t>findings</t>
        </is>
      </c>
      <c r="I1405" t="inlineStr">
        <is>
          <t>This study was compared to the prior study of [**2151-12-16**].</t>
        </is>
      </c>
    </row>
    <row r="1406">
      <c r="A1406" t="inlineStr">
        <is>
          <t>93093-findings-0-0</t>
        </is>
      </c>
      <c r="B1406" t="inlineStr"/>
      <c r="C1406" t="inlineStr"/>
      <c r="D1406">
        <f>HYPERLINK("http://nlpdeep.cs.uic.edu:8080/proofing/gsii/93093-findings-0-0.pdf","gsii/93093-findings-0-0.pdf")</f>
        <v/>
      </c>
      <c r="E1406" t="n">
        <v>120842</v>
      </c>
      <c r="F1406" t="n">
        <v>93093</v>
      </c>
      <c r="G1406" t="inlineStr">
        <is>
          <t>Echo</t>
        </is>
      </c>
      <c r="H1406" t="inlineStr">
        <is>
          <t>findings</t>
        </is>
      </c>
      <c r="I1406" t="inlineStr">
        <is>
          <t>This study was compared to the prior study of [**2151-12-16**].</t>
        </is>
      </c>
    </row>
    <row r="1407">
      <c r="A1407" t="inlineStr">
        <is>
          <t>93093-findings-1-0</t>
        </is>
      </c>
      <c r="B1407" t="inlineStr"/>
      <c r="C1407" t="inlineStr"/>
      <c r="D1407">
        <f>HYPERLINK("http://nlpdeep.cs.uic.edu:8080/proofing/t5/93093-findings-1-0.pdf","t5/93093-findings-1-0.pdf")</f>
        <v/>
      </c>
      <c r="E1407" t="n">
        <v>120842</v>
      </c>
      <c r="F1407" t="n">
        <v>93093</v>
      </c>
      <c r="G1407" t="inlineStr">
        <is>
          <t>Echo</t>
        </is>
      </c>
      <c r="H1407" t="inlineStr">
        <is>
          <t>findings</t>
        </is>
      </c>
      <c r="I1407" t="inlineStr">
        <is>
          <t xml:space="preserve">
LEFT ATRIUM: Normal LA and RA cavity sizes.</t>
        </is>
      </c>
    </row>
    <row r="1408">
      <c r="A1408" t="inlineStr">
        <is>
          <t>93093-findings-1-0</t>
        </is>
      </c>
      <c r="B1408" t="inlineStr"/>
      <c r="C1408" t="inlineStr"/>
      <c r="D1408">
        <f>HYPERLINK("http://nlpdeep.cs.uic.edu:8080/proofing/gsii/93093-findings-1-0.pdf","gsii/93093-findings-1-0.pdf")</f>
        <v/>
      </c>
      <c r="E1408" t="n">
        <v>120842</v>
      </c>
      <c r="F1408" t="n">
        <v>93093</v>
      </c>
      <c r="G1408" t="inlineStr">
        <is>
          <t>Echo</t>
        </is>
      </c>
      <c r="H1408" t="inlineStr">
        <is>
          <t>findings</t>
        </is>
      </c>
      <c r="I1408" t="inlineStr">
        <is>
          <t xml:space="preserve">
LEFT ATRIUM: Normal LA and RA cavity sizes.</t>
        </is>
      </c>
    </row>
    <row r="1409">
      <c r="A1409" t="inlineStr">
        <is>
          <t>93093-findings-2-0</t>
        </is>
      </c>
      <c r="B1409" t="inlineStr"/>
      <c r="C1409" t="inlineStr"/>
      <c r="D1409">
        <f>HYPERLINK("http://nlpdeep.cs.uic.edu:8080/proofing/t5/93093-findings-2-0.pdf","t5/93093-findings-2-0.pdf")</f>
        <v/>
      </c>
      <c r="E1409" t="n">
        <v>120842</v>
      </c>
      <c r="F1409" t="n">
        <v>93093</v>
      </c>
      <c r="G1409" t="inlineStr">
        <is>
          <t>Echo</t>
        </is>
      </c>
      <c r="H1409" t="inlineStr">
        <is>
          <t>findings</t>
        </is>
      </c>
      <c r="I1409" t="inlineStr">
        <is>
          <t xml:space="preserve">
LEFT VENTRICLE: Mild symmetric LVH with normal cavity size and regional/global
systolic function (LVEF&gt;55%).</t>
        </is>
      </c>
    </row>
    <row r="1410">
      <c r="A1410" t="inlineStr">
        <is>
          <t>93093-findings-2-0</t>
        </is>
      </c>
      <c r="B1410" t="inlineStr"/>
      <c r="C1410" t="inlineStr"/>
      <c r="D1410">
        <f>HYPERLINK("http://nlpdeep.cs.uic.edu:8080/proofing/gsii/93093-findings-2-0.pdf","gsii/93093-findings-2-0.pdf")</f>
        <v/>
      </c>
      <c r="E1410" t="n">
        <v>120842</v>
      </c>
      <c r="F1410" t="n">
        <v>93093</v>
      </c>
      <c r="G1410" t="inlineStr">
        <is>
          <t>Echo</t>
        </is>
      </c>
      <c r="H1410" t="inlineStr">
        <is>
          <t>findings</t>
        </is>
      </c>
      <c r="I1410" t="inlineStr">
        <is>
          <t xml:space="preserve">
LEFT VENTRICLE: Mild symmetric LVH with normal cavity size and regional/global
systolic function (LVEF&gt;55%).</t>
        </is>
      </c>
    </row>
    <row r="1411">
      <c r="A1411" t="inlineStr">
        <is>
          <t>93093-findings-2-1</t>
        </is>
      </c>
      <c r="B1411" t="inlineStr"/>
      <c r="C1411" t="inlineStr"/>
      <c r="D1411">
        <f>HYPERLINK("http://nlpdeep.cs.uic.edu:8080/proofing/t5/93093-findings-2-1.pdf","t5/93093-findings-2-1.pdf")</f>
        <v/>
      </c>
      <c r="E1411" t="n">
        <v>120842</v>
      </c>
      <c r="F1411" t="n">
        <v>93093</v>
      </c>
      <c r="G1411" t="inlineStr">
        <is>
          <t>Echo</t>
        </is>
      </c>
      <c r="H1411" t="inlineStr">
        <is>
          <t>findings</t>
        </is>
      </c>
      <c r="I1411" t="inlineStr">
        <is>
          <t>Estimated cardiac index is normal
(&gt;=2.5L/min/m2).</t>
        </is>
      </c>
    </row>
    <row r="1412">
      <c r="A1412" t="inlineStr">
        <is>
          <t>93093-findings-2-1</t>
        </is>
      </c>
      <c r="B1412" t="inlineStr"/>
      <c r="C1412" t="inlineStr"/>
      <c r="D1412">
        <f>HYPERLINK("http://nlpdeep.cs.uic.edu:8080/proofing/gsii/93093-findings-2-1.pdf","gsii/93093-findings-2-1.pdf")</f>
        <v/>
      </c>
      <c r="E1412" t="n">
        <v>120842</v>
      </c>
      <c r="F1412" t="n">
        <v>93093</v>
      </c>
      <c r="G1412" t="inlineStr">
        <is>
          <t>Echo</t>
        </is>
      </c>
      <c r="H1412" t="inlineStr">
        <is>
          <t>findings</t>
        </is>
      </c>
      <c r="I1412" t="inlineStr">
        <is>
          <t>Estimated cardiac index is normal
(&gt;=2.5L/min/m2).</t>
        </is>
      </c>
    </row>
    <row r="1413">
      <c r="A1413" t="inlineStr">
        <is>
          <t>93093-findings-2-2</t>
        </is>
      </c>
      <c r="B1413" t="inlineStr"/>
      <c r="C1413" t="inlineStr"/>
      <c r="D1413">
        <f>HYPERLINK("http://nlpdeep.cs.uic.edu:8080/proofing/t5/93093-findings-2-2.pdf","t5/93093-findings-2-2.pdf")</f>
        <v/>
      </c>
      <c r="E1413" t="n">
        <v>120842</v>
      </c>
      <c r="F1413" t="n">
        <v>93093</v>
      </c>
      <c r="G1413" t="inlineStr">
        <is>
          <t>Echo</t>
        </is>
      </c>
      <c r="H1413" t="inlineStr">
        <is>
          <t>findings</t>
        </is>
      </c>
      <c r="I1413" t="inlineStr">
        <is>
          <t>No resting LVOT gradient.</t>
        </is>
      </c>
    </row>
    <row r="1414">
      <c r="A1414" t="inlineStr">
        <is>
          <t>93093-findings-2-2</t>
        </is>
      </c>
      <c r="B1414" t="inlineStr"/>
      <c r="C1414" t="inlineStr"/>
      <c r="D1414">
        <f>HYPERLINK("http://nlpdeep.cs.uic.edu:8080/proofing/gsii/93093-findings-2-2.pdf","gsii/93093-findings-2-2.pdf")</f>
        <v/>
      </c>
      <c r="E1414" t="n">
        <v>120842</v>
      </c>
      <c r="F1414" t="n">
        <v>93093</v>
      </c>
      <c r="G1414" t="inlineStr">
        <is>
          <t>Echo</t>
        </is>
      </c>
      <c r="H1414" t="inlineStr">
        <is>
          <t>findings</t>
        </is>
      </c>
      <c r="I1414" t="inlineStr">
        <is>
          <t>No resting LVOT gradient.</t>
        </is>
      </c>
    </row>
    <row r="1415">
      <c r="A1415" t="inlineStr">
        <is>
          <t>93093-findings-3-0</t>
        </is>
      </c>
      <c r="B1415" t="inlineStr"/>
      <c r="C1415" t="inlineStr"/>
      <c r="D1415">
        <f>HYPERLINK("http://nlpdeep.cs.uic.edu:8080/proofing/t5/93093-findings-3-0.pdf","t5/93093-findings-3-0.pdf")</f>
        <v/>
      </c>
      <c r="E1415" t="n">
        <v>120842</v>
      </c>
      <c r="F1415" t="n">
        <v>93093</v>
      </c>
      <c r="G1415" t="inlineStr">
        <is>
          <t>Echo</t>
        </is>
      </c>
      <c r="H1415" t="inlineStr">
        <is>
          <t>findings</t>
        </is>
      </c>
      <c r="I1415" t="inlineStr">
        <is>
          <t xml:space="preserve">
RIGHT VENTRICLE: Moderately dilated RV cavity.</t>
        </is>
      </c>
    </row>
    <row r="1416">
      <c r="A1416" t="inlineStr">
        <is>
          <t>93093-findings-3-0</t>
        </is>
      </c>
      <c r="B1416" t="inlineStr"/>
      <c r="C1416" t="inlineStr"/>
      <c r="D1416">
        <f>HYPERLINK("http://nlpdeep.cs.uic.edu:8080/proofing/gsii/93093-findings-3-0.pdf","gsii/93093-findings-3-0.pdf")</f>
        <v/>
      </c>
      <c r="E1416" t="n">
        <v>120842</v>
      </c>
      <c r="F1416" t="n">
        <v>93093</v>
      </c>
      <c r="G1416" t="inlineStr">
        <is>
          <t>Echo</t>
        </is>
      </c>
      <c r="H1416" t="inlineStr">
        <is>
          <t>findings</t>
        </is>
      </c>
      <c r="I1416" t="inlineStr">
        <is>
          <t xml:space="preserve">
RIGHT VENTRICLE: Moderately dilated RV cavity.</t>
        </is>
      </c>
    </row>
    <row r="1417">
      <c r="A1417" t="inlineStr">
        <is>
          <t>93093-findings-3-1</t>
        </is>
      </c>
      <c r="B1417" t="inlineStr"/>
      <c r="C1417" t="inlineStr"/>
      <c r="D1417">
        <f>HYPERLINK("http://nlpdeep.cs.uic.edu:8080/proofing/t5/93093-findings-3-1.pdf","t5/93093-findings-3-1.pdf")</f>
        <v/>
      </c>
      <c r="E1417" t="n">
        <v>120842</v>
      </c>
      <c r="F1417" t="n">
        <v>93093</v>
      </c>
      <c r="G1417" t="inlineStr">
        <is>
          <t>Echo</t>
        </is>
      </c>
      <c r="H1417" t="inlineStr">
        <is>
          <t>findings</t>
        </is>
      </c>
      <c r="I1417" t="inlineStr">
        <is>
          <t>Borderline normal RV systolic
function.</t>
        </is>
      </c>
    </row>
    <row r="1418">
      <c r="A1418" t="inlineStr">
        <is>
          <t>93093-findings-3-1</t>
        </is>
      </c>
      <c r="B1418" t="inlineStr"/>
      <c r="C1418" t="inlineStr"/>
      <c r="D1418">
        <f>HYPERLINK("http://nlpdeep.cs.uic.edu:8080/proofing/gsii/93093-findings-3-1.pdf","gsii/93093-findings-3-1.pdf")</f>
        <v/>
      </c>
      <c r="E1418" t="n">
        <v>120842</v>
      </c>
      <c r="F1418" t="n">
        <v>93093</v>
      </c>
      <c r="G1418" t="inlineStr">
        <is>
          <t>Echo</t>
        </is>
      </c>
      <c r="H1418" t="inlineStr">
        <is>
          <t>findings</t>
        </is>
      </c>
      <c r="I1418" t="inlineStr">
        <is>
          <t>Borderline normal RV systolic
function.</t>
        </is>
      </c>
    </row>
    <row r="1419">
      <c r="A1419" t="inlineStr">
        <is>
          <t>93093-findings-4-0</t>
        </is>
      </c>
      <c r="B1419" t="inlineStr"/>
      <c r="C1419" t="inlineStr"/>
      <c r="D1419">
        <f>HYPERLINK("http://nlpdeep.cs.uic.edu:8080/proofing/t5/93093-findings-4-0.pdf","t5/93093-findings-4-0.pdf")</f>
        <v/>
      </c>
      <c r="E1419" t="n">
        <v>120842</v>
      </c>
      <c r="F1419" t="n">
        <v>93093</v>
      </c>
      <c r="G1419" t="inlineStr">
        <is>
          <t>Echo</t>
        </is>
      </c>
      <c r="H1419" t="inlineStr">
        <is>
          <t>findings</t>
        </is>
      </c>
      <c r="I1419" t="inlineStr">
        <is>
          <t xml:space="preserve">
AORTA: Normal diameter of aorta at the sinus, ascending and arch levels.</t>
        </is>
      </c>
    </row>
    <row r="1420">
      <c r="A1420" t="inlineStr">
        <is>
          <t>93093-findings-4-0</t>
        </is>
      </c>
      <c r="B1420" t="inlineStr"/>
      <c r="C1420" t="inlineStr"/>
      <c r="D1420">
        <f>HYPERLINK("http://nlpdeep.cs.uic.edu:8080/proofing/gsii/93093-findings-4-0.pdf","gsii/93093-findings-4-0.pdf")</f>
        <v/>
      </c>
      <c r="E1420" t="n">
        <v>120842</v>
      </c>
      <c r="F1420" t="n">
        <v>93093</v>
      </c>
      <c r="G1420" t="inlineStr">
        <is>
          <t>Echo</t>
        </is>
      </c>
      <c r="H1420" t="inlineStr">
        <is>
          <t>findings</t>
        </is>
      </c>
      <c r="I1420" t="inlineStr">
        <is>
          <t xml:space="preserve">
AORTA: Normal diameter of aorta at the sinus, ascending and arch levels.</t>
        </is>
      </c>
    </row>
    <row r="1421">
      <c r="A1421" t="inlineStr">
        <is>
          <t>93093-findings-4-1</t>
        </is>
      </c>
      <c r="B1421" t="inlineStr"/>
      <c r="C1421" t="inlineStr"/>
      <c r="D1421">
        <f>HYPERLINK("http://nlpdeep.cs.uic.edu:8080/proofing/t5/93093-findings-4-1.pdf","t5/93093-findings-4-1.pdf")</f>
        <v/>
      </c>
      <c r="E1421" t="n">
        <v>120842</v>
      </c>
      <c r="F1421" t="n">
        <v>93093</v>
      </c>
      <c r="G1421" t="inlineStr">
        <is>
          <t>Echo</t>
        </is>
      </c>
      <c r="H1421" t="inlineStr">
        <is>
          <t>findings</t>
        </is>
      </c>
      <c r="I1421" t="inlineStr">
        <is>
          <t xml:space="preserve">
Mildly dilated descending aorta.</t>
        </is>
      </c>
    </row>
    <row r="1422">
      <c r="A1422" t="inlineStr">
        <is>
          <t>93093-findings-4-1</t>
        </is>
      </c>
      <c r="B1422" t="inlineStr"/>
      <c r="C1422" t="inlineStr"/>
      <c r="D1422">
        <f>HYPERLINK("http://nlpdeep.cs.uic.edu:8080/proofing/gsii/93093-findings-4-1.pdf","gsii/93093-findings-4-1.pdf")</f>
        <v/>
      </c>
      <c r="E1422" t="n">
        <v>120842</v>
      </c>
      <c r="F1422" t="n">
        <v>93093</v>
      </c>
      <c r="G1422" t="inlineStr">
        <is>
          <t>Echo</t>
        </is>
      </c>
      <c r="H1422" t="inlineStr">
        <is>
          <t>findings</t>
        </is>
      </c>
      <c r="I1422" t="inlineStr">
        <is>
          <t xml:space="preserve">
Mildly dilated descending aorta.</t>
        </is>
      </c>
    </row>
    <row r="1423">
      <c r="A1423" t="inlineStr">
        <is>
          <t>93093-findings-5-0</t>
        </is>
      </c>
      <c r="B1423" t="inlineStr"/>
      <c r="C1423" t="inlineStr"/>
      <c r="D1423">
        <f>HYPERLINK("http://nlpdeep.cs.uic.edu:8080/proofing/t5/93093-findings-5-0.pdf","t5/93093-findings-5-0.pdf")</f>
        <v/>
      </c>
      <c r="E1423" t="n">
        <v>120842</v>
      </c>
      <c r="F1423" t="n">
        <v>93093</v>
      </c>
      <c r="G1423" t="inlineStr">
        <is>
          <t>Echo</t>
        </is>
      </c>
      <c r="H1423" t="inlineStr">
        <is>
          <t>findings</t>
        </is>
      </c>
      <c r="I1423" t="inlineStr">
        <is>
          <t xml:space="preserve">
AORTIC VALVE: Normal aortic valve leaflets (3).</t>
        </is>
      </c>
    </row>
    <row r="1424">
      <c r="A1424" t="inlineStr">
        <is>
          <t>93093-findings-5-0</t>
        </is>
      </c>
      <c r="B1424" t="inlineStr"/>
      <c r="C1424" t="inlineStr"/>
      <c r="D1424">
        <f>HYPERLINK("http://nlpdeep.cs.uic.edu:8080/proofing/gsii/93093-findings-5-0.pdf","gsii/93093-findings-5-0.pdf")</f>
        <v/>
      </c>
      <c r="E1424" t="n">
        <v>120842</v>
      </c>
      <c r="F1424" t="n">
        <v>93093</v>
      </c>
      <c r="G1424" t="inlineStr">
        <is>
          <t>Echo</t>
        </is>
      </c>
      <c r="H1424" t="inlineStr">
        <is>
          <t>findings</t>
        </is>
      </c>
      <c r="I1424" t="inlineStr">
        <is>
          <t xml:space="preserve">
AORTIC VALVE: Normal aortic valve leaflets (3).</t>
        </is>
      </c>
    </row>
    <row r="1425">
      <c r="A1425" t="inlineStr">
        <is>
          <t>93093-findings-5-1</t>
        </is>
      </c>
      <c r="B1425" t="inlineStr"/>
      <c r="C1425" t="inlineStr"/>
      <c r="D1425">
        <f>HYPERLINK("http://nlpdeep.cs.uic.edu:8080/proofing/t5/93093-findings-5-1.pdf","t5/93093-findings-5-1.pdf")</f>
        <v/>
      </c>
      <c r="E1425" t="n">
        <v>120842</v>
      </c>
      <c r="F1425" t="n">
        <v>93093</v>
      </c>
      <c r="G1425" t="inlineStr">
        <is>
          <t>Echo</t>
        </is>
      </c>
      <c r="H1425" t="inlineStr">
        <is>
          <t>findings</t>
        </is>
      </c>
      <c r="I1425" t="inlineStr">
        <is>
          <t>No AS.</t>
        </is>
      </c>
    </row>
    <row r="1426">
      <c r="A1426" t="inlineStr">
        <is>
          <t>93093-findings-5-1</t>
        </is>
      </c>
      <c r="B1426" t="inlineStr"/>
      <c r="C1426" t="inlineStr"/>
      <c r="D1426">
        <f>HYPERLINK("http://nlpdeep.cs.uic.edu:8080/proofing/gsii/93093-findings-5-1.pdf","gsii/93093-findings-5-1.pdf")</f>
        <v/>
      </c>
      <c r="E1426" t="n">
        <v>120842</v>
      </c>
      <c r="F1426" t="n">
        <v>93093</v>
      </c>
      <c r="G1426" t="inlineStr">
        <is>
          <t>Echo</t>
        </is>
      </c>
      <c r="H1426" t="inlineStr">
        <is>
          <t>findings</t>
        </is>
      </c>
      <c r="I1426" t="inlineStr">
        <is>
          <t>No AS.</t>
        </is>
      </c>
    </row>
    <row r="1427">
      <c r="A1427" t="inlineStr">
        <is>
          <t>93093-findings-5-2</t>
        </is>
      </c>
      <c r="B1427" t="inlineStr"/>
      <c r="C1427" t="inlineStr"/>
      <c r="D1427">
        <f>HYPERLINK("http://nlpdeep.cs.uic.edu:8080/proofing/t5/93093-findings-5-2.pdf","t5/93093-findings-5-2.pdf")</f>
        <v/>
      </c>
      <c r="E1427" t="n">
        <v>120842</v>
      </c>
      <c r="F1427" t="n">
        <v>93093</v>
      </c>
      <c r="G1427" t="inlineStr">
        <is>
          <t>Echo</t>
        </is>
      </c>
      <c r="H1427" t="inlineStr">
        <is>
          <t>findings</t>
        </is>
      </c>
      <c r="I1427" t="inlineStr">
        <is>
          <t>No AR.</t>
        </is>
      </c>
    </row>
    <row r="1428">
      <c r="A1428" t="inlineStr">
        <is>
          <t>93093-findings-5-2</t>
        </is>
      </c>
      <c r="B1428" t="inlineStr"/>
      <c r="C1428" t="inlineStr"/>
      <c r="D1428">
        <f>HYPERLINK("http://nlpdeep.cs.uic.edu:8080/proofing/gsii/93093-findings-5-2.pdf","gsii/93093-findings-5-2.pdf")</f>
        <v/>
      </c>
      <c r="E1428" t="n">
        <v>120842</v>
      </c>
      <c r="F1428" t="n">
        <v>93093</v>
      </c>
      <c r="G1428" t="inlineStr">
        <is>
          <t>Echo</t>
        </is>
      </c>
      <c r="H1428" t="inlineStr">
        <is>
          <t>findings</t>
        </is>
      </c>
      <c r="I1428" t="inlineStr">
        <is>
          <t>No AR.</t>
        </is>
      </c>
    </row>
    <row r="1429">
      <c r="A1429" t="inlineStr">
        <is>
          <t>93093-findings-6-0</t>
        </is>
      </c>
      <c r="B1429" t="inlineStr"/>
      <c r="C1429" t="inlineStr"/>
      <c r="D1429">
        <f>HYPERLINK("http://nlpdeep.cs.uic.edu:8080/proofing/t5/93093-findings-6-0.pdf","t5/93093-findings-6-0.pdf")</f>
        <v/>
      </c>
      <c r="E1429" t="n">
        <v>120842</v>
      </c>
      <c r="F1429" t="n">
        <v>93093</v>
      </c>
      <c r="G1429" t="inlineStr">
        <is>
          <t>Echo</t>
        </is>
      </c>
      <c r="H1429" t="inlineStr">
        <is>
          <t>findings</t>
        </is>
      </c>
      <c r="I1429" t="inlineStr">
        <is>
          <t xml:space="preserve">
MITRAL VALVE: Normal mitral valve leaflets with trivial MR.</t>
        </is>
      </c>
    </row>
    <row r="1430">
      <c r="A1430" t="inlineStr">
        <is>
          <t>93093-findings-6-0</t>
        </is>
      </c>
      <c r="B1430" t="inlineStr"/>
      <c r="C1430" t="inlineStr"/>
      <c r="D1430">
        <f>HYPERLINK("http://nlpdeep.cs.uic.edu:8080/proofing/gsii/93093-findings-6-0.pdf","gsii/93093-findings-6-0.pdf")</f>
        <v/>
      </c>
      <c r="E1430" t="n">
        <v>120842</v>
      </c>
      <c r="F1430" t="n">
        <v>93093</v>
      </c>
      <c r="G1430" t="inlineStr">
        <is>
          <t>Echo</t>
        </is>
      </c>
      <c r="H1430" t="inlineStr">
        <is>
          <t>findings</t>
        </is>
      </c>
      <c r="I1430" t="inlineStr">
        <is>
          <t xml:space="preserve">
MITRAL VALVE: Normal mitral valve leaflets with trivial MR.</t>
        </is>
      </c>
    </row>
    <row r="1431">
      <c r="A1431" t="inlineStr">
        <is>
          <t>93093-findings-6-1</t>
        </is>
      </c>
      <c r="B1431" t="inlineStr"/>
      <c r="C1431" t="inlineStr"/>
      <c r="D1431">
        <f>HYPERLINK("http://nlpdeep.cs.uic.edu:8080/proofing/t5/93093-findings-6-1.pdf","t5/93093-findings-6-1.pdf")</f>
        <v/>
      </c>
      <c r="E1431" t="n">
        <v>120842</v>
      </c>
      <c r="F1431" t="n">
        <v>93093</v>
      </c>
      <c r="G1431" t="inlineStr">
        <is>
          <t>Echo</t>
        </is>
      </c>
      <c r="H1431" t="inlineStr">
        <is>
          <t>findings</t>
        </is>
      </c>
      <c r="I1431" t="inlineStr">
        <is>
          <t>No MVP.</t>
        </is>
      </c>
    </row>
    <row r="1432">
      <c r="A1432" t="inlineStr">
        <is>
          <t>93093-findings-6-1</t>
        </is>
      </c>
      <c r="B1432" t="inlineStr"/>
      <c r="C1432" t="inlineStr"/>
      <c r="D1432">
        <f>HYPERLINK("http://nlpdeep.cs.uic.edu:8080/proofing/gsii/93093-findings-6-1.pdf","gsii/93093-findings-6-1.pdf")</f>
        <v/>
      </c>
      <c r="E1432" t="n">
        <v>120842</v>
      </c>
      <c r="F1432" t="n">
        <v>93093</v>
      </c>
      <c r="G1432" t="inlineStr">
        <is>
          <t>Echo</t>
        </is>
      </c>
      <c r="H1432" t="inlineStr">
        <is>
          <t>findings</t>
        </is>
      </c>
      <c r="I1432" t="inlineStr">
        <is>
          <t>No MVP.</t>
        </is>
      </c>
    </row>
    <row r="1433">
      <c r="A1433" t="inlineStr">
        <is>
          <t>93093-findings-7-0</t>
        </is>
      </c>
      <c r="B1433" t="inlineStr"/>
      <c r="C1433" t="inlineStr"/>
      <c r="D1433">
        <f>HYPERLINK("http://nlpdeep.cs.uic.edu:8080/proofing/t5/93093-findings-7-0.pdf","t5/93093-findings-7-0.pdf")</f>
        <v/>
      </c>
      <c r="E1433" t="n">
        <v>120842</v>
      </c>
      <c r="F1433" t="n">
        <v>93093</v>
      </c>
      <c r="G1433" t="inlineStr">
        <is>
          <t>Echo</t>
        </is>
      </c>
      <c r="H1433" t="inlineStr">
        <is>
          <t>findings</t>
        </is>
      </c>
      <c r="I1433" t="inlineStr">
        <is>
          <t xml:space="preserve">
TRICUSPID VALVE: Normal tricuspid valve leaflets.</t>
        </is>
      </c>
    </row>
    <row r="1434">
      <c r="A1434" t="inlineStr">
        <is>
          <t>93093-findings-7-0</t>
        </is>
      </c>
      <c r="B1434" t="inlineStr"/>
      <c r="C1434" t="inlineStr"/>
      <c r="D1434">
        <f>HYPERLINK("http://nlpdeep.cs.uic.edu:8080/proofing/gsii/93093-findings-7-0.pdf","gsii/93093-findings-7-0.pdf")</f>
        <v/>
      </c>
      <c r="E1434" t="n">
        <v>120842</v>
      </c>
      <c r="F1434" t="n">
        <v>93093</v>
      </c>
      <c r="G1434" t="inlineStr">
        <is>
          <t>Echo</t>
        </is>
      </c>
      <c r="H1434" t="inlineStr">
        <is>
          <t>findings</t>
        </is>
      </c>
      <c r="I1434" t="inlineStr">
        <is>
          <t xml:space="preserve">
TRICUSPID VALVE: Normal tricuspid valve leaflets.</t>
        </is>
      </c>
    </row>
    <row r="1435">
      <c r="A1435" t="inlineStr">
        <is>
          <t>93093-findings-7-1</t>
        </is>
      </c>
      <c r="B1435" t="inlineStr"/>
      <c r="C1435" t="inlineStr"/>
      <c r="D1435">
        <f>HYPERLINK("http://nlpdeep.cs.uic.edu:8080/proofing/t5/93093-findings-7-1.pdf","t5/93093-findings-7-1.pdf")</f>
        <v/>
      </c>
      <c r="E1435" t="n">
        <v>120842</v>
      </c>
      <c r="F1435" t="n">
        <v>93093</v>
      </c>
      <c r="G1435" t="inlineStr">
        <is>
          <t>Echo</t>
        </is>
      </c>
      <c r="H1435" t="inlineStr">
        <is>
          <t>findings</t>
        </is>
      </c>
      <c r="I1435" t="inlineStr">
        <is>
          <t>Mild [1+] TR.</t>
        </is>
      </c>
    </row>
    <row r="1436">
      <c r="A1436" t="inlineStr">
        <is>
          <t>93093-findings-7-1</t>
        </is>
      </c>
      <c r="B1436" t="inlineStr"/>
      <c r="C1436" t="inlineStr"/>
      <c r="D1436">
        <f>HYPERLINK("http://nlpdeep.cs.uic.edu:8080/proofing/gsii/93093-findings-7-1.pdf","gsii/93093-findings-7-1.pdf")</f>
        <v/>
      </c>
      <c r="E1436" t="n">
        <v>120842</v>
      </c>
      <c r="F1436" t="n">
        <v>93093</v>
      </c>
      <c r="G1436" t="inlineStr">
        <is>
          <t>Echo</t>
        </is>
      </c>
      <c r="H1436" t="inlineStr">
        <is>
          <t>findings</t>
        </is>
      </c>
      <c r="I1436" t="inlineStr">
        <is>
          <t>Mild [1+] TR.</t>
        </is>
      </c>
    </row>
    <row r="1437">
      <c r="A1437" t="inlineStr">
        <is>
          <t>93093-findings-7-2</t>
        </is>
      </c>
      <c r="B1437" t="inlineStr"/>
      <c r="C1437" t="inlineStr"/>
      <c r="D1437">
        <f>HYPERLINK("http://nlpdeep.cs.uic.edu:8080/proofing/t5/93093-findings-7-2.pdf","t5/93093-findings-7-2.pdf")</f>
        <v/>
      </c>
      <c r="E1437" t="n">
        <v>120842</v>
      </c>
      <c r="F1437" t="n">
        <v>93093</v>
      </c>
      <c r="G1437" t="inlineStr">
        <is>
          <t>Echo</t>
        </is>
      </c>
      <c r="H1437" t="inlineStr">
        <is>
          <t>findings</t>
        </is>
      </c>
      <c r="I1437" t="inlineStr">
        <is>
          <t>Moderate PA
systolic hypertension.</t>
        </is>
      </c>
    </row>
    <row r="1438">
      <c r="A1438" t="inlineStr">
        <is>
          <t>93093-findings-7-2</t>
        </is>
      </c>
      <c r="B1438" t="inlineStr"/>
      <c r="C1438" t="inlineStr"/>
      <c r="D1438">
        <f>HYPERLINK("http://nlpdeep.cs.uic.edu:8080/proofing/gsii/93093-findings-7-2.pdf","gsii/93093-findings-7-2.pdf")</f>
        <v/>
      </c>
      <c r="E1438" t="n">
        <v>120842</v>
      </c>
      <c r="F1438" t="n">
        <v>93093</v>
      </c>
      <c r="G1438" t="inlineStr">
        <is>
          <t>Echo</t>
        </is>
      </c>
      <c r="H1438" t="inlineStr">
        <is>
          <t>findings</t>
        </is>
      </c>
      <c r="I1438" t="inlineStr">
        <is>
          <t>Moderate PA
systolic hypertension.</t>
        </is>
      </c>
    </row>
    <row r="1439">
      <c r="A1439" t="inlineStr">
        <is>
          <t>93093-findings-8-0</t>
        </is>
      </c>
      <c r="B1439" t="inlineStr"/>
      <c r="C1439" t="inlineStr"/>
      <c r="D1439">
        <f>HYPERLINK("http://nlpdeep.cs.uic.edu:8080/proofing/t5/93093-findings-8-0.pdf","t5/93093-findings-8-0.pdf")</f>
        <v/>
      </c>
      <c r="E1439" t="n">
        <v>120842</v>
      </c>
      <c r="F1439" t="n">
        <v>93093</v>
      </c>
      <c r="G1439" t="inlineStr">
        <is>
          <t>Echo</t>
        </is>
      </c>
      <c r="H1439" t="inlineStr">
        <is>
          <t>findings</t>
        </is>
      </c>
      <c r="I1439" t="inlineStr">
        <is>
          <t xml:space="preserve">
PERICARDIUM: There is an anterior space which most likely represents a fat
pad, though a loculated anterior pericardial effusion cannot be excluded.</t>
        </is>
      </c>
    </row>
    <row r="1440">
      <c r="A1440" t="inlineStr">
        <is>
          <t>93093-findings-8-0</t>
        </is>
      </c>
      <c r="B1440" t="inlineStr"/>
      <c r="C1440" t="inlineStr"/>
      <c r="D1440">
        <f>HYPERLINK("http://nlpdeep.cs.uic.edu:8080/proofing/gsii/93093-findings-8-0.pdf","gsii/93093-findings-8-0.pdf")</f>
        <v/>
      </c>
      <c r="E1440" t="n">
        <v>120842</v>
      </c>
      <c r="F1440" t="n">
        <v>93093</v>
      </c>
      <c r="G1440" t="inlineStr">
        <is>
          <t>Echo</t>
        </is>
      </c>
      <c r="H1440" t="inlineStr">
        <is>
          <t>findings</t>
        </is>
      </c>
      <c r="I1440" t="inlineStr">
        <is>
          <t xml:space="preserve">
PERICARDIUM: There is an anterior space which most likely represents a fat
pad, though a loculated anterior pericardial effusion cannot be excluded.</t>
        </is>
      </c>
    </row>
    <row r="1441">
      <c r="A1441" t="inlineStr">
        <is>
          <t>93093-findings-9-0</t>
        </is>
      </c>
      <c r="B1441" t="inlineStr"/>
      <c r="C1441" t="inlineStr"/>
      <c r="D1441">
        <f>HYPERLINK("http://nlpdeep.cs.uic.edu:8080/proofing/t5/93093-findings-9-0.pdf","t5/93093-findings-9-0.pdf")</f>
        <v/>
      </c>
      <c r="E1441" t="n">
        <v>120842</v>
      </c>
      <c r="F1441" t="n">
        <v>93093</v>
      </c>
      <c r="G1441" t="inlineStr">
        <is>
          <t>Echo</t>
        </is>
      </c>
      <c r="H1441" t="inlineStr">
        <is>
          <t>findings</t>
        </is>
      </c>
      <c r="I1441" t="inlineStr">
        <is>
          <t xml:space="preserve">
GENERAL COMMENTS: Contrast study was performed with 2 iv injections of 8 ccs
of agitated normal saline, at rest, and with cough.</t>
        </is>
      </c>
    </row>
    <row r="1442">
      <c r="A1442" t="inlineStr">
        <is>
          <t>93093-findings-9-0</t>
        </is>
      </c>
      <c r="B1442" t="inlineStr"/>
      <c r="C1442" t="inlineStr"/>
      <c r="D1442">
        <f>HYPERLINK("http://nlpdeep.cs.uic.edu:8080/proofing/gsii/93093-findings-9-0.pdf","gsii/93093-findings-9-0.pdf")</f>
        <v/>
      </c>
      <c r="E1442" t="n">
        <v>120842</v>
      </c>
      <c r="F1442" t="n">
        <v>93093</v>
      </c>
      <c r="G1442" t="inlineStr">
        <is>
          <t>Echo</t>
        </is>
      </c>
      <c r="H1442" t="inlineStr">
        <is>
          <t>findings</t>
        </is>
      </c>
      <c r="I1442" t="inlineStr">
        <is>
          <t xml:space="preserve">
GENERAL COMMENTS: Contrast study was performed with 2 iv injections of 8 ccs
of agitated normal saline, at rest, and with cough.</t>
        </is>
      </c>
    </row>
    <row r="1443">
      <c r="A1443" t="inlineStr">
        <is>
          <t>93093-findings-9-1</t>
        </is>
      </c>
      <c r="B1443" t="inlineStr"/>
      <c r="C1443" t="inlineStr"/>
      <c r="D1443">
        <f>HYPERLINK("http://nlpdeep.cs.uic.edu:8080/proofing/t5/93093-findings-9-1.pdf","t5/93093-findings-9-1.pdf")</f>
        <v/>
      </c>
      <c r="E1443" t="n">
        <v>120842</v>
      </c>
      <c r="F1443" t="n">
        <v>93093</v>
      </c>
      <c r="G1443" t="inlineStr">
        <is>
          <t>Echo</t>
        </is>
      </c>
      <c r="H1443" t="inlineStr">
        <is>
          <t>findings</t>
        </is>
      </c>
      <c r="I1443" t="inlineStr">
        <is>
          <t>Suboptimal image quality -
poor echo windows.</t>
        </is>
      </c>
    </row>
    <row r="1444">
      <c r="A1444" t="inlineStr">
        <is>
          <t>93093-findings-9-1</t>
        </is>
      </c>
      <c r="B1444" t="inlineStr"/>
      <c r="C1444" t="inlineStr"/>
      <c r="D1444">
        <f>HYPERLINK("http://nlpdeep.cs.uic.edu:8080/proofing/gsii/93093-findings-9-1.pdf","gsii/93093-findings-9-1.pdf")</f>
        <v/>
      </c>
      <c r="E1444" t="n">
        <v>120842</v>
      </c>
      <c r="F1444" t="n">
        <v>93093</v>
      </c>
      <c r="G1444" t="inlineStr">
        <is>
          <t>Echo</t>
        </is>
      </c>
      <c r="H1444" t="inlineStr">
        <is>
          <t>findings</t>
        </is>
      </c>
      <c r="I1444" t="inlineStr">
        <is>
          <t>Suboptimal image quality -
poor echo windows.</t>
        </is>
      </c>
    </row>
    <row r="1445">
      <c r="A1445" t="inlineStr">
        <is>
          <t>93093-findings-9-2</t>
        </is>
      </c>
      <c r="B1445" t="inlineStr"/>
      <c r="C1445" t="inlineStr"/>
      <c r="D1445">
        <f>HYPERLINK("http://nlpdeep.cs.uic.edu:8080/proofing/t5/93093-findings-9-2.pdf","t5/93093-findings-9-2.pdf")</f>
        <v/>
      </c>
      <c r="E1445" t="n">
        <v>120842</v>
      </c>
      <c r="F1445" t="n">
        <v>93093</v>
      </c>
      <c r="G1445" t="inlineStr">
        <is>
          <t>Echo</t>
        </is>
      </c>
      <c r="H1445" t="inlineStr">
        <is>
          <t>findings</t>
        </is>
      </c>
      <c r="I1445" t="inlineStr">
        <is>
          <t>Echocardiographic results were reviewed by telephone with
the houseofficer caring for the patient.</t>
        </is>
      </c>
    </row>
    <row r="1446">
      <c r="A1446" t="inlineStr">
        <is>
          <t>93093-findings-9-2</t>
        </is>
      </c>
      <c r="B1446" t="inlineStr"/>
      <c r="C1446" t="inlineStr"/>
      <c r="D1446">
        <f>HYPERLINK("http://nlpdeep.cs.uic.edu:8080/proofing/gsii/93093-findings-9-2.pdf","gsii/93093-findings-9-2.pdf")</f>
        <v/>
      </c>
      <c r="E1446" t="n">
        <v>120842</v>
      </c>
      <c r="F1446" t="n">
        <v>93093</v>
      </c>
      <c r="G1446" t="inlineStr">
        <is>
          <t>Echo</t>
        </is>
      </c>
      <c r="H1446" t="inlineStr">
        <is>
          <t>findings</t>
        </is>
      </c>
      <c r="I1446" t="inlineStr">
        <is>
          <t>Echocardiographic results were reviewed by telephone with
the houseofficer caring for the patient.</t>
        </is>
      </c>
    </row>
    <row r="1447">
      <c r="A1447" t="inlineStr">
        <is>
          <t>93093-conclusions-0-0</t>
        </is>
      </c>
      <c r="B1447" t="inlineStr"/>
      <c r="C1447" t="inlineStr"/>
      <c r="D1447">
        <f>HYPERLINK("http://nlpdeep.cs.uic.edu:8080/proofing/t5/93093-conclusions-0-0.pdf","t5/93093-conclusions-0-0.pdf")</f>
        <v/>
      </c>
      <c r="E1447" t="n">
        <v>120842</v>
      </c>
      <c r="F1447" t="n">
        <v>93093</v>
      </c>
      <c r="G1447" t="inlineStr">
        <is>
          <t>Echo</t>
        </is>
      </c>
      <c r="H1447" t="inlineStr">
        <is>
          <t>conclusions</t>
        </is>
      </c>
      <c r="I1447" t="inlineStr">
        <is>
          <t>The left atrium and right atrium are normal in cavity size.</t>
        </is>
      </c>
    </row>
    <row r="1448">
      <c r="A1448" t="inlineStr">
        <is>
          <t>93093-conclusions-0-0</t>
        </is>
      </c>
      <c r="B1448" t="inlineStr"/>
      <c r="C1448" t="inlineStr"/>
      <c r="D1448">
        <f>HYPERLINK("http://nlpdeep.cs.uic.edu:8080/proofing/gsii/93093-conclusions-0-0.pdf","gsii/93093-conclusions-0-0.pdf")</f>
        <v/>
      </c>
      <c r="E1448" t="n">
        <v>120842</v>
      </c>
      <c r="F1448" t="n">
        <v>93093</v>
      </c>
      <c r="G1448" t="inlineStr">
        <is>
          <t>Echo</t>
        </is>
      </c>
      <c r="H1448" t="inlineStr">
        <is>
          <t>conclusions</t>
        </is>
      </c>
      <c r="I1448" t="inlineStr">
        <is>
          <t>The left atrium and right atrium are normal in cavity size.</t>
        </is>
      </c>
    </row>
    <row r="1449">
      <c r="A1449" t="inlineStr">
        <is>
          <t>93093-conclusions-0-1</t>
        </is>
      </c>
      <c r="B1449" t="inlineStr"/>
      <c r="C1449" t="inlineStr"/>
      <c r="D1449">
        <f>HYPERLINK("http://nlpdeep.cs.uic.edu:8080/proofing/t5/93093-conclusions-0-1.pdf","t5/93093-conclusions-0-1.pdf")</f>
        <v/>
      </c>
      <c r="E1449" t="n">
        <v>120842</v>
      </c>
      <c r="F1449" t="n">
        <v>93093</v>
      </c>
      <c r="G1449" t="inlineStr">
        <is>
          <t>Echo</t>
        </is>
      </c>
      <c r="H1449" t="inlineStr">
        <is>
          <t>conclusions</t>
        </is>
      </c>
      <c r="I1449" t="inlineStr">
        <is>
          <t>There is premature
appearance of contrast in the left atrium after Valsalva release c/w a small
PFO (more prominent microbubbles are seen with cough - but they appear late
and c/w transpulmonic flow).</t>
        </is>
      </c>
    </row>
    <row r="1450">
      <c r="A1450" t="inlineStr">
        <is>
          <t>93093-conclusions-0-1</t>
        </is>
      </c>
      <c r="B1450" t="inlineStr"/>
      <c r="C1450" t="inlineStr"/>
      <c r="D1450">
        <f>HYPERLINK("http://nlpdeep.cs.uic.edu:8080/proofing/gsii/93093-conclusions-0-1.pdf","gsii/93093-conclusions-0-1.pdf")</f>
        <v/>
      </c>
      <c r="E1450" t="n">
        <v>120842</v>
      </c>
      <c r="F1450" t="n">
        <v>93093</v>
      </c>
      <c r="G1450" t="inlineStr">
        <is>
          <t>Echo</t>
        </is>
      </c>
      <c r="H1450" t="inlineStr">
        <is>
          <t>conclusions</t>
        </is>
      </c>
      <c r="I1450" t="inlineStr">
        <is>
          <t>There is premature
appearance of contrast in the left atrium after Valsalva release c/w a small
PFO (more prominent microbubbles are seen with cough - but they appear late
and c/w transpulmonic flow).</t>
        </is>
      </c>
    </row>
    <row r="1451">
      <c r="A1451" t="inlineStr">
        <is>
          <t>93093-conclusions-0-2</t>
        </is>
      </c>
      <c r="B1451" t="inlineStr"/>
      <c r="C1451" t="inlineStr"/>
      <c r="D1451">
        <f>HYPERLINK("http://nlpdeep.cs.uic.edu:8080/proofing/t5/93093-conclusions-0-2.pdf","t5/93093-conclusions-0-2.pdf")</f>
        <v/>
      </c>
      <c r="E1451" t="n">
        <v>120842</v>
      </c>
      <c r="F1451" t="n">
        <v>93093</v>
      </c>
      <c r="G1451" t="inlineStr">
        <is>
          <t>Echo</t>
        </is>
      </c>
      <c r="H1451" t="inlineStr">
        <is>
          <t>conclusions</t>
        </is>
      </c>
      <c r="I1451" t="inlineStr">
        <is>
          <t>There is mild symmetric left ventricular
hypertrophy with normal cavity size and regional/global systolic function
(LVEF&gt;55%).</t>
        </is>
      </c>
    </row>
    <row r="1452">
      <c r="A1452" t="inlineStr">
        <is>
          <t>93093-conclusions-0-2</t>
        </is>
      </c>
      <c r="B1452" t="inlineStr"/>
      <c r="C1452" t="inlineStr"/>
      <c r="D1452">
        <f>HYPERLINK("http://nlpdeep.cs.uic.edu:8080/proofing/gsii/93093-conclusions-0-2.pdf","gsii/93093-conclusions-0-2.pdf")</f>
        <v/>
      </c>
      <c r="E1452" t="n">
        <v>120842</v>
      </c>
      <c r="F1452" t="n">
        <v>93093</v>
      </c>
      <c r="G1452" t="inlineStr">
        <is>
          <t>Echo</t>
        </is>
      </c>
      <c r="H1452" t="inlineStr">
        <is>
          <t>conclusions</t>
        </is>
      </c>
      <c r="I1452" t="inlineStr">
        <is>
          <t>There is mild symmetric left ventricular
hypertrophy with normal cavity size and regional/global systolic function
(LVEF&gt;55%).</t>
        </is>
      </c>
    </row>
    <row r="1453">
      <c r="A1453" t="inlineStr">
        <is>
          <t>93093-conclusions-0-3</t>
        </is>
      </c>
      <c r="B1453" t="inlineStr"/>
      <c r="C1453" t="inlineStr"/>
      <c r="D1453">
        <f>HYPERLINK("http://nlpdeep.cs.uic.edu:8080/proofing/t5/93093-conclusions-0-3.pdf","t5/93093-conclusions-0-3.pdf")</f>
        <v/>
      </c>
      <c r="E1453" t="n">
        <v>120842</v>
      </c>
      <c r="F1453" t="n">
        <v>93093</v>
      </c>
      <c r="G1453" t="inlineStr">
        <is>
          <t>Echo</t>
        </is>
      </c>
      <c r="H1453" t="inlineStr">
        <is>
          <t>conclusions</t>
        </is>
      </c>
      <c r="I1453" t="inlineStr">
        <is>
          <t>The estimated cardiac index is normal (&gt;=2.5L/min/m2).</t>
        </is>
      </c>
    </row>
    <row r="1454">
      <c r="A1454" t="inlineStr">
        <is>
          <t>93093-conclusions-0-3</t>
        </is>
      </c>
      <c r="B1454" t="inlineStr"/>
      <c r="C1454" t="inlineStr"/>
      <c r="D1454">
        <f>HYPERLINK("http://nlpdeep.cs.uic.edu:8080/proofing/gsii/93093-conclusions-0-3.pdf","gsii/93093-conclusions-0-3.pdf")</f>
        <v/>
      </c>
      <c r="E1454" t="n">
        <v>120842</v>
      </c>
      <c r="F1454" t="n">
        <v>93093</v>
      </c>
      <c r="G1454" t="inlineStr">
        <is>
          <t>Echo</t>
        </is>
      </c>
      <c r="H1454" t="inlineStr">
        <is>
          <t>conclusions</t>
        </is>
      </c>
      <c r="I1454" t="inlineStr">
        <is>
          <t>The estimated cardiac index is normal (&gt;=2.5L/min/m2).</t>
        </is>
      </c>
    </row>
    <row r="1455">
      <c r="A1455" t="inlineStr">
        <is>
          <t>93093-conclusions-0-4</t>
        </is>
      </c>
      <c r="B1455" t="inlineStr"/>
      <c r="C1455" t="inlineStr"/>
      <c r="D1455">
        <f>HYPERLINK("http://nlpdeep.cs.uic.edu:8080/proofing/t5/93093-conclusions-0-4.pdf","t5/93093-conclusions-0-4.pdf")</f>
        <v/>
      </c>
      <c r="E1455" t="n">
        <v>120842</v>
      </c>
      <c r="F1455" t="n">
        <v>93093</v>
      </c>
      <c r="G1455" t="inlineStr">
        <is>
          <t>Echo</t>
        </is>
      </c>
      <c r="H1455" t="inlineStr">
        <is>
          <t>conclusions</t>
        </is>
      </c>
      <c r="I1455" t="inlineStr">
        <is>
          <t>The right
ventricular cavity is moderately dilated with borderline normal free wall
function.</t>
        </is>
      </c>
    </row>
    <row r="1456">
      <c r="A1456" t="inlineStr">
        <is>
          <t>93093-conclusions-0-4</t>
        </is>
      </c>
      <c r="B1456" t="inlineStr"/>
      <c r="C1456" t="inlineStr"/>
      <c r="D1456">
        <f>HYPERLINK("http://nlpdeep.cs.uic.edu:8080/proofing/gsii/93093-conclusions-0-4.pdf","gsii/93093-conclusions-0-4.pdf")</f>
        <v/>
      </c>
      <c r="E1456" t="n">
        <v>120842</v>
      </c>
      <c r="F1456" t="n">
        <v>93093</v>
      </c>
      <c r="G1456" t="inlineStr">
        <is>
          <t>Echo</t>
        </is>
      </c>
      <c r="H1456" t="inlineStr">
        <is>
          <t>conclusions</t>
        </is>
      </c>
      <c r="I1456" t="inlineStr">
        <is>
          <t>The right
ventricular cavity is moderately dilated with borderline normal free wall
function.</t>
        </is>
      </c>
    </row>
    <row r="1457">
      <c r="A1457" t="inlineStr">
        <is>
          <t>93093-conclusions-0-5</t>
        </is>
      </c>
      <c r="B1457" t="inlineStr"/>
      <c r="C1457" t="inlineStr"/>
      <c r="D1457">
        <f>HYPERLINK("http://nlpdeep.cs.uic.edu:8080/proofing/t5/93093-conclusions-0-5.pdf","t5/93093-conclusions-0-5.pdf")</f>
        <v/>
      </c>
      <c r="E1457" t="n">
        <v>120842</v>
      </c>
      <c r="F1457" t="n">
        <v>93093</v>
      </c>
      <c r="G1457" t="inlineStr">
        <is>
          <t>Echo</t>
        </is>
      </c>
      <c r="H1457" t="inlineStr">
        <is>
          <t>conclusions</t>
        </is>
      </c>
      <c r="I1457" t="inlineStr">
        <is>
          <t>The diameters of aorta at the sinus, ascending and arch levels are
normal.</t>
        </is>
      </c>
    </row>
    <row r="1458">
      <c r="A1458" t="inlineStr">
        <is>
          <t>93093-conclusions-0-5</t>
        </is>
      </c>
      <c r="B1458" t="inlineStr"/>
      <c r="C1458" t="inlineStr"/>
      <c r="D1458">
        <f>HYPERLINK("http://nlpdeep.cs.uic.edu:8080/proofing/gsii/93093-conclusions-0-5.pdf","gsii/93093-conclusions-0-5.pdf")</f>
        <v/>
      </c>
      <c r="E1458" t="n">
        <v>120842</v>
      </c>
      <c r="F1458" t="n">
        <v>93093</v>
      </c>
      <c r="G1458" t="inlineStr">
        <is>
          <t>Echo</t>
        </is>
      </c>
      <c r="H1458" t="inlineStr">
        <is>
          <t>conclusions</t>
        </is>
      </c>
      <c r="I1458" t="inlineStr">
        <is>
          <t>The diameters of aorta at the sinus, ascending and arch levels are
normal.</t>
        </is>
      </c>
    </row>
    <row r="1459">
      <c r="A1459" t="inlineStr">
        <is>
          <t>93093-conclusions-0-6</t>
        </is>
      </c>
      <c r="B1459" t="inlineStr"/>
      <c r="C1459" t="inlineStr"/>
      <c r="D1459">
        <f>HYPERLINK("http://nlpdeep.cs.uic.edu:8080/proofing/t5/93093-conclusions-0-6.pdf","t5/93093-conclusions-0-6.pdf")</f>
        <v/>
      </c>
      <c r="E1459" t="n">
        <v>120842</v>
      </c>
      <c r="F1459" t="n">
        <v>93093</v>
      </c>
      <c r="G1459" t="inlineStr">
        <is>
          <t>Echo</t>
        </is>
      </c>
      <c r="H1459" t="inlineStr">
        <is>
          <t>conclusions</t>
        </is>
      </c>
      <c r="I1459" t="inlineStr">
        <is>
          <t>The descending thoracic aorta is mildly dilated.</t>
        </is>
      </c>
    </row>
    <row r="1460">
      <c r="A1460" t="inlineStr">
        <is>
          <t>93093-conclusions-0-6</t>
        </is>
      </c>
      <c r="B1460" t="inlineStr"/>
      <c r="C1460" t="inlineStr"/>
      <c r="D1460">
        <f>HYPERLINK("http://nlpdeep.cs.uic.edu:8080/proofing/gsii/93093-conclusions-0-6.pdf","gsii/93093-conclusions-0-6.pdf")</f>
        <v/>
      </c>
      <c r="E1460" t="n">
        <v>120842</v>
      </c>
      <c r="F1460" t="n">
        <v>93093</v>
      </c>
      <c r="G1460" t="inlineStr">
        <is>
          <t>Echo</t>
        </is>
      </c>
      <c r="H1460" t="inlineStr">
        <is>
          <t>conclusions</t>
        </is>
      </c>
      <c r="I1460" t="inlineStr">
        <is>
          <t>The descending thoracic aorta is mildly dilated.</t>
        </is>
      </c>
    </row>
    <row r="1461">
      <c r="A1461" t="inlineStr">
        <is>
          <t>93093-conclusions-0-7</t>
        </is>
      </c>
      <c r="B1461" t="inlineStr"/>
      <c r="C1461" t="inlineStr"/>
      <c r="D1461">
        <f>HYPERLINK("http://nlpdeep.cs.uic.edu:8080/proofing/t5/93093-conclusions-0-7.pdf","t5/93093-conclusions-0-7.pdf")</f>
        <v/>
      </c>
      <c r="E1461" t="n">
        <v>120842</v>
      </c>
      <c r="F1461" t="n">
        <v>93093</v>
      </c>
      <c r="G1461" t="inlineStr">
        <is>
          <t>Echo</t>
        </is>
      </c>
      <c r="H1461" t="inlineStr">
        <is>
          <t>conclusions</t>
        </is>
      </c>
      <c r="I1461" t="inlineStr">
        <is>
          <t>The aortic valve
leaflets (3) appear structurally normal with good leaflet excursion and no
aortic regurgitation.</t>
        </is>
      </c>
    </row>
    <row r="1462">
      <c r="A1462" t="inlineStr">
        <is>
          <t>93093-conclusions-0-7</t>
        </is>
      </c>
      <c r="B1462" t="inlineStr"/>
      <c r="C1462" t="inlineStr"/>
      <c r="D1462">
        <f>HYPERLINK("http://nlpdeep.cs.uic.edu:8080/proofing/gsii/93093-conclusions-0-7.pdf","gsii/93093-conclusions-0-7.pdf")</f>
        <v/>
      </c>
      <c r="E1462" t="n">
        <v>120842</v>
      </c>
      <c r="F1462" t="n">
        <v>93093</v>
      </c>
      <c r="G1462" t="inlineStr">
        <is>
          <t>Echo</t>
        </is>
      </c>
      <c r="H1462" t="inlineStr">
        <is>
          <t>conclusions</t>
        </is>
      </c>
      <c r="I1462" t="inlineStr">
        <is>
          <t>The aortic valve
leaflets (3) appear structurally normal with good leaflet excursion and no
aortic regurgitation.</t>
        </is>
      </c>
    </row>
    <row r="1463">
      <c r="A1463" t="inlineStr">
        <is>
          <t>93093-conclusions-0-8</t>
        </is>
      </c>
      <c r="B1463" t="inlineStr"/>
      <c r="C1463" t="inlineStr"/>
      <c r="D1463">
        <f>HYPERLINK("http://nlpdeep.cs.uic.edu:8080/proofing/t5/93093-conclusions-0-8.pdf","t5/93093-conclusions-0-8.pdf")</f>
        <v/>
      </c>
      <c r="E1463" t="n">
        <v>120842</v>
      </c>
      <c r="F1463" t="n">
        <v>93093</v>
      </c>
      <c r="G1463" t="inlineStr">
        <is>
          <t>Echo</t>
        </is>
      </c>
      <c r="H1463" t="inlineStr">
        <is>
          <t>conclusions</t>
        </is>
      </c>
      <c r="I1463" t="inlineStr">
        <is>
          <t>The mitral valve appears structurally normal with
trivial mitral regurgitation.</t>
        </is>
      </c>
    </row>
    <row r="1464">
      <c r="A1464" t="inlineStr">
        <is>
          <t>93093-conclusions-0-8</t>
        </is>
      </c>
      <c r="B1464" t="inlineStr"/>
      <c r="C1464" t="inlineStr"/>
      <c r="D1464">
        <f>HYPERLINK("http://nlpdeep.cs.uic.edu:8080/proofing/gsii/93093-conclusions-0-8.pdf","gsii/93093-conclusions-0-8.pdf")</f>
        <v/>
      </c>
      <c r="E1464" t="n">
        <v>120842</v>
      </c>
      <c r="F1464" t="n">
        <v>93093</v>
      </c>
      <c r="G1464" t="inlineStr">
        <is>
          <t>Echo</t>
        </is>
      </c>
      <c r="H1464" t="inlineStr">
        <is>
          <t>conclusions</t>
        </is>
      </c>
      <c r="I1464" t="inlineStr">
        <is>
          <t>The mitral valve appears structurally normal with
trivial mitral regurgitation.</t>
        </is>
      </c>
    </row>
    <row r="1465">
      <c r="A1465" t="inlineStr">
        <is>
          <t>93093-conclusions-0-9</t>
        </is>
      </c>
      <c r="B1465" t="inlineStr"/>
      <c r="C1465" t="inlineStr"/>
      <c r="D1465">
        <f>HYPERLINK("http://nlpdeep.cs.uic.edu:8080/proofing/t5/93093-conclusions-0-9.pdf","t5/93093-conclusions-0-9.pdf")</f>
        <v/>
      </c>
      <c r="E1465" t="n">
        <v>120842</v>
      </c>
      <c r="F1465" t="n">
        <v>93093</v>
      </c>
      <c r="G1465" t="inlineStr">
        <is>
          <t>Echo</t>
        </is>
      </c>
      <c r="H1465" t="inlineStr">
        <is>
          <t>conclusions</t>
        </is>
      </c>
      <c r="I1465" t="inlineStr">
        <is>
          <t>There is no mitral valve prolapse.</t>
        </is>
      </c>
    </row>
    <row r="1466">
      <c r="A1466" t="inlineStr">
        <is>
          <t>93093-conclusions-0-9</t>
        </is>
      </c>
      <c r="B1466" t="inlineStr"/>
      <c r="C1466" t="inlineStr"/>
      <c r="D1466">
        <f>HYPERLINK("http://nlpdeep.cs.uic.edu:8080/proofing/gsii/93093-conclusions-0-9.pdf","gsii/93093-conclusions-0-9.pdf")</f>
        <v/>
      </c>
      <c r="E1466" t="n">
        <v>120842</v>
      </c>
      <c r="F1466" t="n">
        <v>93093</v>
      </c>
      <c r="G1466" t="inlineStr">
        <is>
          <t>Echo</t>
        </is>
      </c>
      <c r="H1466" t="inlineStr">
        <is>
          <t>conclusions</t>
        </is>
      </c>
      <c r="I1466" t="inlineStr">
        <is>
          <t>There is no mitral valve prolapse.</t>
        </is>
      </c>
    </row>
    <row r="1467">
      <c r="A1467" t="inlineStr">
        <is>
          <t>93093-conclusions-0-10</t>
        </is>
      </c>
      <c r="B1467" t="inlineStr"/>
      <c r="C1467" t="inlineStr"/>
      <c r="D1467">
        <f>HYPERLINK("http://nlpdeep.cs.uic.edu:8080/proofing/t5/93093-conclusions-0-10.pdf","t5/93093-conclusions-0-10.pdf")</f>
        <v/>
      </c>
      <c r="E1467" t="n">
        <v>120842</v>
      </c>
      <c r="F1467" t="n">
        <v>93093</v>
      </c>
      <c r="G1467" t="inlineStr">
        <is>
          <t>Echo</t>
        </is>
      </c>
      <c r="H1467" t="inlineStr">
        <is>
          <t>conclusions</t>
        </is>
      </c>
      <c r="I1467" t="inlineStr">
        <is>
          <t>There is
moderate pulmonary artery systolic hypertension.</t>
        </is>
      </c>
    </row>
    <row r="1468">
      <c r="A1468" t="inlineStr">
        <is>
          <t>93093-conclusions-0-10</t>
        </is>
      </c>
      <c r="B1468" t="inlineStr"/>
      <c r="C1468" t="inlineStr"/>
      <c r="D1468">
        <f>HYPERLINK("http://nlpdeep.cs.uic.edu:8080/proofing/gsii/93093-conclusions-0-10.pdf","gsii/93093-conclusions-0-10.pdf")</f>
        <v/>
      </c>
      <c r="E1468" t="n">
        <v>120842</v>
      </c>
      <c r="F1468" t="n">
        <v>93093</v>
      </c>
      <c r="G1468" t="inlineStr">
        <is>
          <t>Echo</t>
        </is>
      </c>
      <c r="H1468" t="inlineStr">
        <is>
          <t>conclusions</t>
        </is>
      </c>
      <c r="I1468" t="inlineStr">
        <is>
          <t>There is
moderate pulmonary artery systolic hypertension.</t>
        </is>
      </c>
    </row>
    <row r="1469">
      <c r="A1469" t="inlineStr">
        <is>
          <t>93093-conclusions-0-11</t>
        </is>
      </c>
      <c r="B1469" t="inlineStr"/>
      <c r="C1469" t="inlineStr"/>
      <c r="D1469">
        <f>HYPERLINK("http://nlpdeep.cs.uic.edu:8080/proofing/t5/93093-conclusions-0-11.pdf","t5/93093-conclusions-0-11.pdf")</f>
        <v/>
      </c>
      <c r="E1469" t="n">
        <v>120842</v>
      </c>
      <c r="F1469" t="n">
        <v>93093</v>
      </c>
      <c r="G1469" t="inlineStr">
        <is>
          <t>Echo</t>
        </is>
      </c>
      <c r="H1469" t="inlineStr">
        <is>
          <t>conclusions</t>
        </is>
      </c>
      <c r="I1469" t="inlineStr">
        <is>
          <t>There is an anterior space
which most likely represents a fat pad.</t>
        </is>
      </c>
    </row>
    <row r="1470">
      <c r="A1470" t="inlineStr">
        <is>
          <t>93093-conclusions-0-11</t>
        </is>
      </c>
      <c r="B1470" t="inlineStr"/>
      <c r="C1470" t="inlineStr"/>
      <c r="D1470">
        <f>HYPERLINK("http://nlpdeep.cs.uic.edu:8080/proofing/gsii/93093-conclusions-0-11.pdf","gsii/93093-conclusions-0-11.pdf")</f>
        <v/>
      </c>
      <c r="E1470" t="n">
        <v>120842</v>
      </c>
      <c r="F1470" t="n">
        <v>93093</v>
      </c>
      <c r="G1470" t="inlineStr">
        <is>
          <t>Echo</t>
        </is>
      </c>
      <c r="H1470" t="inlineStr">
        <is>
          <t>conclusions</t>
        </is>
      </c>
      <c r="I1470" t="inlineStr">
        <is>
          <t>There is an anterior space
which most likely represents a fat pad.</t>
        </is>
      </c>
    </row>
    <row r="1471">
      <c r="A1471" t="inlineStr">
        <is>
          <t>93093-comparison-0-0</t>
        </is>
      </c>
      <c r="B1471" t="inlineStr"/>
      <c r="C1471" t="inlineStr"/>
      <c r="D1471">
        <f>HYPERLINK("http://nlpdeep.cs.uic.edu:8080/proofing/t5/93093-comparison-0-0.pdf","t5/93093-comparison-0-0.pdf")</f>
        <v/>
      </c>
      <c r="E1471" t="n">
        <v>120842</v>
      </c>
      <c r="F1471" t="n">
        <v>93093</v>
      </c>
      <c r="G1471" t="inlineStr">
        <is>
          <t>Echo</t>
        </is>
      </c>
      <c r="H1471" t="inlineStr">
        <is>
          <t>comparison</t>
        </is>
      </c>
      <c r="I1471" t="inlineStr">
        <is>
          <t xml:space="preserve">
Compared with the prior study (images reviewed) of [**2151-12-16**], a small patent
foramen ovale with transient right-to-left flow is now identified.</t>
        </is>
      </c>
    </row>
    <row r="1472">
      <c r="A1472" t="inlineStr">
        <is>
          <t>93093-comparison-0-0</t>
        </is>
      </c>
      <c r="B1472" t="inlineStr"/>
      <c r="C1472" t="inlineStr"/>
      <c r="D1472">
        <f>HYPERLINK("http://nlpdeep.cs.uic.edu:8080/proofing/gsii/93093-comparison-0-0.pdf","gsii/93093-comparison-0-0.pdf")</f>
        <v/>
      </c>
      <c r="E1472" t="n">
        <v>120842</v>
      </c>
      <c r="F1472" t="n">
        <v>93093</v>
      </c>
      <c r="G1472" t="inlineStr">
        <is>
          <t>Echo</t>
        </is>
      </c>
      <c r="H1472" t="inlineStr">
        <is>
          <t>comparison</t>
        </is>
      </c>
      <c r="I1472" t="inlineStr">
        <is>
          <t xml:space="preserve">
Compared with the prior study (images reviewed) of [**2151-12-16**], a small patent
foramen ovale with transient right-to-left flow is now identified.</t>
        </is>
      </c>
    </row>
    <row r="1473">
      <c r="A1473" t="inlineStr">
        <is>
          <t>93093-clinical-implications-0-0</t>
        </is>
      </c>
      <c r="B1473" t="inlineStr"/>
      <c r="C1473" t="inlineStr"/>
      <c r="D1473">
        <f>HYPERLINK("http://nlpdeep.cs.uic.edu:8080/proofing/t5/93093-clinical-implications-0-0.pdf","t5/93093-clinical-implications-0-0.pdf")</f>
        <v/>
      </c>
      <c r="E1473" t="n">
        <v>120842</v>
      </c>
      <c r="F1473" t="n">
        <v>93093</v>
      </c>
      <c r="G1473" t="inlineStr">
        <is>
          <t>Echo</t>
        </is>
      </c>
      <c r="H1473" t="inlineStr">
        <is>
          <t>clinical-implications</t>
        </is>
      </c>
      <c r="I1473" t="inlineStr">
        <is>
          <t>Based on [**2150**] AHA endocarditis prophylaxis recommendations, the echo findings
indicate prophylaxis is NOT recommended.</t>
        </is>
      </c>
    </row>
    <row r="1474">
      <c r="A1474" t="inlineStr">
        <is>
          <t>93093-clinical-implications-0-0</t>
        </is>
      </c>
      <c r="B1474" t="inlineStr"/>
      <c r="C1474" t="inlineStr"/>
      <c r="D1474">
        <f>HYPERLINK("http://nlpdeep.cs.uic.edu:8080/proofing/gsii/93093-clinical-implications-0-0.pdf","gsii/93093-clinical-implications-0-0.pdf")</f>
        <v/>
      </c>
      <c r="E1474" t="n">
        <v>120842</v>
      </c>
      <c r="F1474" t="n">
        <v>93093</v>
      </c>
      <c r="G1474" t="inlineStr">
        <is>
          <t>Echo</t>
        </is>
      </c>
      <c r="H1474" t="inlineStr">
        <is>
          <t>clinical-implications</t>
        </is>
      </c>
      <c r="I1474" t="inlineStr">
        <is>
          <t>Based on [**2150**] AHA endocarditis prophylaxis recommendations, the echo findings
indicate prophylaxis is NOT recommended.</t>
        </is>
      </c>
    </row>
    <row r="1475">
      <c r="A1475" t="inlineStr">
        <is>
          <t>93093-clinical-implications-0-1</t>
        </is>
      </c>
      <c r="B1475" t="inlineStr"/>
      <c r="C1475" t="inlineStr"/>
      <c r="D1475">
        <f>HYPERLINK("http://nlpdeep.cs.uic.edu:8080/proofing/t5/93093-clinical-implications-0-1.pdf","t5/93093-clinical-implications-0-1.pdf")</f>
        <v/>
      </c>
      <c r="E1475" t="n">
        <v>120842</v>
      </c>
      <c r="F1475" t="n">
        <v>93093</v>
      </c>
      <c r="G1475" t="inlineStr">
        <is>
          <t>Echo</t>
        </is>
      </c>
      <c r="H1475" t="inlineStr">
        <is>
          <t>clinical-implications</t>
        </is>
      </c>
      <c r="I1475" t="inlineStr">
        <is>
          <t>Clinical decisions regarding the need
for prophylaxis should be based on clinical and echocardiographic data.</t>
        </is>
      </c>
    </row>
    <row r="1476">
      <c r="A1476" t="inlineStr">
        <is>
          <t>93093-clinical-implications-0-1</t>
        </is>
      </c>
      <c r="B1476" t="inlineStr"/>
      <c r="C1476" t="inlineStr"/>
      <c r="D1476">
        <f>HYPERLINK("http://nlpdeep.cs.uic.edu:8080/proofing/gsii/93093-clinical-implications-0-1.pdf","gsii/93093-clinical-implications-0-1.pdf")</f>
        <v/>
      </c>
      <c r="E1476" t="n">
        <v>120842</v>
      </c>
      <c r="F1476" t="n">
        <v>93093</v>
      </c>
      <c r="G1476" t="inlineStr">
        <is>
          <t>Echo</t>
        </is>
      </c>
      <c r="H1476" t="inlineStr">
        <is>
          <t>clinical-implications</t>
        </is>
      </c>
      <c r="I1476" t="inlineStr">
        <is>
          <t>Clinical decisions regarding the need
for prophylaxis should be based on clinical and echocardiographic data.</t>
        </is>
      </c>
    </row>
    <row r="1477">
      <c r="A1477" t="inlineStr">
        <is>
          <t>1123496-reason-0-0</t>
        </is>
      </c>
      <c r="B1477" t="inlineStr"/>
      <c r="C1477" t="inlineStr"/>
      <c r="D1477">
        <f>HYPERLINK("http://nlpdeep.cs.uic.edu:8080/proofing/t5/1123496-reason-0-0.pdf","t5/1123496-reason-0-0.pdf")</f>
        <v/>
      </c>
      <c r="E1477" t="n">
        <v>120842</v>
      </c>
      <c r="F1477" t="n">
        <v>1123496</v>
      </c>
      <c r="G1477" t="inlineStr">
        <is>
          <t>Radiology</t>
        </is>
      </c>
      <c r="H1477" t="inlineStr">
        <is>
          <t>reason</t>
        </is>
      </c>
      <c r="I1477" t="inlineStr">
        <is>
          <t>Consolidation or infiltration.</t>
        </is>
      </c>
    </row>
    <row r="1478">
      <c r="A1478" t="inlineStr">
        <is>
          <t>1123496-reason-0-0</t>
        </is>
      </c>
      <c r="B1478" t="inlineStr"/>
      <c r="C1478" t="inlineStr"/>
      <c r="D1478">
        <f>HYPERLINK("http://nlpdeep.cs.uic.edu:8080/proofing/gsii/1123496-reason-0-0.pdf","gsii/1123496-reason-0-0.pdf")</f>
        <v/>
      </c>
      <c r="E1478" t="n">
        <v>120842</v>
      </c>
      <c r="F1478" t="n">
        <v>1123496</v>
      </c>
      <c r="G1478" t="inlineStr">
        <is>
          <t>Radiology</t>
        </is>
      </c>
      <c r="H1478" t="inlineStr">
        <is>
          <t>reason</t>
        </is>
      </c>
      <c r="I1478" t="inlineStr">
        <is>
          <t>Consolidation or infiltration.</t>
        </is>
      </c>
    </row>
    <row r="1479">
      <c r="A1479" t="inlineStr">
        <is>
          <t>1123496-medical-condition-0-0</t>
        </is>
      </c>
      <c r="B1479" t="inlineStr"/>
      <c r="C1479" t="inlineStr"/>
      <c r="D1479">
        <f>HYPERLINK("http://nlpdeep.cs.uic.edu:8080/proofing/t5/1123496-medical-condition-0-0.pdf","t5/1123496-medical-condition-0-0.pdf")</f>
        <v/>
      </c>
      <c r="E1479" t="n">
        <v>120842</v>
      </c>
      <c r="F1479" t="n">
        <v>1123496</v>
      </c>
      <c r="G1479" t="inlineStr">
        <is>
          <t>Radiology</t>
        </is>
      </c>
      <c r="H1479" t="inlineStr">
        <is>
          <t>medical-condition</t>
        </is>
      </c>
      <c r="I1479" t="inlineStr">
        <is>
          <t>73 year old woman with COPD flare, now arhythmia, please evaulate for
  pneumonia.</t>
        </is>
      </c>
    </row>
    <row r="1480">
      <c r="A1480" t="inlineStr">
        <is>
          <t>1123496-medical-condition-0-0</t>
        </is>
      </c>
      <c r="B1480" t="inlineStr"/>
      <c r="C1480" t="inlineStr"/>
      <c r="D1480">
        <f>HYPERLINK("http://nlpdeep.cs.uic.edu:8080/proofing/gsii/1123496-medical-condition-0-0.pdf","gsii/1123496-medical-condition-0-0.pdf")</f>
        <v/>
      </c>
      <c r="E1480" t="n">
        <v>120842</v>
      </c>
      <c r="F1480" t="n">
        <v>1123496</v>
      </c>
      <c r="G1480" t="inlineStr">
        <is>
          <t>Radiology</t>
        </is>
      </c>
      <c r="H1480" t="inlineStr">
        <is>
          <t>medical-condition</t>
        </is>
      </c>
      <c r="I1480" t="inlineStr">
        <is>
          <t>73 year old woman with COPD flare, now arhythmia, please evaulate for
  pneumonia.</t>
        </is>
      </c>
    </row>
    <row r="1481">
      <c r="A1481" t="inlineStr">
        <is>
          <t>1123496-indication-0-0</t>
        </is>
      </c>
      <c r="B1481" t="inlineStr"/>
      <c r="C1481" t="inlineStr"/>
      <c r="D1481">
        <f>HYPERLINK("http://nlpdeep.cs.uic.edu:8080/proofing/t5/1123496-indication-0-0.pdf","t5/1123496-indication-0-0.pdf")</f>
        <v/>
      </c>
      <c r="E1481" t="n">
        <v>120842</v>
      </c>
      <c r="F1481" t="n">
        <v>1123496</v>
      </c>
      <c r="G1481" t="inlineStr">
        <is>
          <t>Radiology</t>
        </is>
      </c>
      <c r="H1481" t="inlineStr">
        <is>
          <t>indication</t>
        </is>
      </c>
      <c r="I1481" t="inlineStr">
        <is>
          <t>COPD, arrhythmia, evaluation for pneumonia.</t>
        </is>
      </c>
    </row>
    <row r="1482">
      <c r="A1482" t="inlineStr">
        <is>
          <t>1123496-indication-0-0</t>
        </is>
      </c>
      <c r="B1482" t="inlineStr"/>
      <c r="C1482" t="inlineStr"/>
      <c r="D1482">
        <f>HYPERLINK("http://nlpdeep.cs.uic.edu:8080/proofing/gsii/1123496-indication-0-0.pdf","gsii/1123496-indication-0-0.pdf")</f>
        <v/>
      </c>
      <c r="E1482" t="n">
        <v>120842</v>
      </c>
      <c r="F1482" t="n">
        <v>1123496</v>
      </c>
      <c r="G1482" t="inlineStr">
        <is>
          <t>Radiology</t>
        </is>
      </c>
      <c r="H1482" t="inlineStr">
        <is>
          <t>indication</t>
        </is>
      </c>
      <c r="I1482" t="inlineStr">
        <is>
          <t>COPD, arrhythmia, evaluation for pneumonia.</t>
        </is>
      </c>
    </row>
    <row r="1483">
      <c r="A1483" t="inlineStr">
        <is>
          <t>1123496-comparison-0-0</t>
        </is>
      </c>
      <c r="B1483" t="inlineStr"/>
      <c r="C1483" t="inlineStr"/>
      <c r="D1483">
        <f>HYPERLINK("http://nlpdeep.cs.uic.edu:8080/proofing/t5/1123496-comparison-0-0.pdf","t5/1123496-comparison-0-0.pdf")</f>
        <v/>
      </c>
      <c r="E1483" t="n">
        <v>120842</v>
      </c>
      <c r="F1483" t="n">
        <v>1123496</v>
      </c>
      <c r="G1483" t="inlineStr">
        <is>
          <t>Radiology</t>
        </is>
      </c>
      <c r="H1483" t="inlineStr">
        <is>
          <t>comparison</t>
        </is>
      </c>
      <c r="I1483" t="inlineStr">
        <is>
          <t>[**2153-4-6**].</t>
        </is>
      </c>
    </row>
    <row r="1484">
      <c r="A1484" t="inlineStr">
        <is>
          <t>1123496-comparison-0-0</t>
        </is>
      </c>
      <c r="B1484" t="inlineStr"/>
      <c r="C1484" t="inlineStr"/>
      <c r="D1484">
        <f>HYPERLINK("http://nlpdeep.cs.uic.edu:8080/proofing/gsii/1123496-comparison-0-0.pdf","gsii/1123496-comparison-0-0.pdf")</f>
        <v/>
      </c>
      <c r="E1484" t="n">
        <v>120842</v>
      </c>
      <c r="F1484" t="n">
        <v>1123496</v>
      </c>
      <c r="G1484" t="inlineStr">
        <is>
          <t>Radiology</t>
        </is>
      </c>
      <c r="H1484" t="inlineStr">
        <is>
          <t>comparison</t>
        </is>
      </c>
      <c r="I1484" t="inlineStr">
        <is>
          <t>[**2153-4-6**].</t>
        </is>
      </c>
    </row>
    <row r="1485">
      <c r="A1485" t="inlineStr">
        <is>
          <t>1123496-findings-0-0</t>
        </is>
      </c>
      <c r="B1485" t="inlineStr"/>
      <c r="C1485" t="inlineStr"/>
      <c r="D1485">
        <f>HYPERLINK("http://nlpdeep.cs.uic.edu:8080/proofing/t5/1123496-findings-0-0.pdf","t5/1123496-findings-0-0.pdf")</f>
        <v/>
      </c>
      <c r="E1485" t="n">
        <v>120842</v>
      </c>
      <c r="F1485" t="n">
        <v>1123496</v>
      </c>
      <c r="G1485" t="inlineStr">
        <is>
          <t>Radiology</t>
        </is>
      </c>
      <c r="H1485" t="inlineStr">
        <is>
          <t>findings</t>
        </is>
      </c>
      <c r="I1485" t="inlineStr">
        <is>
          <t>As compared to the previous radiograph, the examination is limited
 by moderate respiratory motion artifacts.</t>
        </is>
      </c>
    </row>
    <row r="1486">
      <c r="A1486" t="inlineStr">
        <is>
          <t>1123496-findings-0-0</t>
        </is>
      </c>
      <c r="B1486" t="inlineStr"/>
      <c r="C1486" t="inlineStr"/>
      <c r="D1486">
        <f>HYPERLINK("http://nlpdeep.cs.uic.edu:8080/proofing/gsii/1123496-findings-0-0.pdf","gsii/1123496-findings-0-0.pdf")</f>
        <v/>
      </c>
      <c r="E1486" t="n">
        <v>120842</v>
      </c>
      <c r="F1486" t="n">
        <v>1123496</v>
      </c>
      <c r="G1486" t="inlineStr">
        <is>
          <t>Radiology</t>
        </is>
      </c>
      <c r="H1486" t="inlineStr">
        <is>
          <t>findings</t>
        </is>
      </c>
      <c r="I1486" t="inlineStr">
        <is>
          <t>As compared to the previous radiograph, the examination is limited
 by moderate respiratory motion artifacts.</t>
        </is>
      </c>
    </row>
    <row r="1487">
      <c r="A1487" t="inlineStr">
        <is>
          <t>1123496-findings-1-0</t>
        </is>
      </c>
      <c r="B1487" t="inlineStr"/>
      <c r="C1487" t="inlineStr"/>
      <c r="D1487">
        <f>HYPERLINK("http://nlpdeep.cs.uic.edu:8080/proofing/t5/1123496-findings-1-0.pdf","t5/1123496-findings-1-0.pdf")</f>
        <v/>
      </c>
      <c r="E1487" t="n">
        <v>120842</v>
      </c>
      <c r="F1487" t="n">
        <v>1123496</v>
      </c>
      <c r="G1487" t="inlineStr">
        <is>
          <t>Radiology</t>
        </is>
      </c>
      <c r="H1487" t="inlineStr">
        <is>
          <t>findings</t>
        </is>
      </c>
      <c r="I1487" t="inlineStr">
        <is>
          <t xml:space="preserve">
 There is no evidence of newly appeared focal parenchymal opacity suggesting
 pneumonia.</t>
        </is>
      </c>
    </row>
    <row r="1488">
      <c r="A1488" t="inlineStr">
        <is>
          <t>1123496-findings-1-0</t>
        </is>
      </c>
      <c r="B1488" t="inlineStr"/>
      <c r="C1488" t="inlineStr"/>
      <c r="D1488">
        <f>HYPERLINK("http://nlpdeep.cs.uic.edu:8080/proofing/gsii/1123496-findings-1-0.pdf","gsii/1123496-findings-1-0.pdf")</f>
        <v/>
      </c>
      <c r="E1488" t="n">
        <v>120842</v>
      </c>
      <c r="F1488" t="n">
        <v>1123496</v>
      </c>
      <c r="G1488" t="inlineStr">
        <is>
          <t>Radiology</t>
        </is>
      </c>
      <c r="H1488" t="inlineStr">
        <is>
          <t>findings</t>
        </is>
      </c>
      <c r="I1488" t="inlineStr">
        <is>
          <t xml:space="preserve">
 There is no evidence of newly appeared focal parenchymal opacity suggesting
 pneumonia.</t>
        </is>
      </c>
    </row>
    <row r="1489">
      <c r="A1489" t="inlineStr">
        <is>
          <t>1123496-findings-1-1</t>
        </is>
      </c>
      <c r="B1489" t="inlineStr"/>
      <c r="C1489" t="inlineStr"/>
      <c r="D1489">
        <f>HYPERLINK("http://nlpdeep.cs.uic.edu:8080/proofing/t5/1123496-findings-1-1.pdf","t5/1123496-findings-1-1.pdf")</f>
        <v/>
      </c>
      <c r="E1489" t="n">
        <v>120842</v>
      </c>
      <c r="F1489" t="n">
        <v>1123496</v>
      </c>
      <c r="G1489" t="inlineStr">
        <is>
          <t>Radiology</t>
        </is>
      </c>
      <c r="H1489" t="inlineStr">
        <is>
          <t>findings</t>
        </is>
      </c>
      <c r="I1489" t="inlineStr">
        <is>
          <t xml:space="preserve"> The only potential pathologic finding is a small area of
 hypoventilation at the left lung base.</t>
        </is>
      </c>
    </row>
    <row r="1490">
      <c r="A1490" t="inlineStr">
        <is>
          <t>1123496-findings-1-1</t>
        </is>
      </c>
      <c r="B1490" t="inlineStr"/>
      <c r="C1490" t="inlineStr"/>
      <c r="D1490">
        <f>HYPERLINK("http://nlpdeep.cs.uic.edu:8080/proofing/gsii/1123496-findings-1-1.pdf","gsii/1123496-findings-1-1.pdf")</f>
        <v/>
      </c>
      <c r="E1490" t="n">
        <v>120842</v>
      </c>
      <c r="F1490" t="n">
        <v>1123496</v>
      </c>
      <c r="G1490" t="inlineStr">
        <is>
          <t>Radiology</t>
        </is>
      </c>
      <c r="H1490" t="inlineStr">
        <is>
          <t>findings</t>
        </is>
      </c>
      <c r="I1490" t="inlineStr">
        <is>
          <t xml:space="preserve"> The only potential pathologic finding is a small area of
 hypoventilation at the left lung base.</t>
        </is>
      </c>
    </row>
    <row r="1491">
      <c r="A1491" t="inlineStr">
        <is>
          <t>1123496-findings-1-2</t>
        </is>
      </c>
      <c r="B1491" t="inlineStr"/>
      <c r="C1491" t="inlineStr"/>
      <c r="D1491">
        <f>HYPERLINK("http://nlpdeep.cs.uic.edu:8080/proofing/t5/1123496-findings-1-2.pdf","t5/1123496-findings-1-2.pdf")</f>
        <v/>
      </c>
      <c r="E1491" t="n">
        <v>120842</v>
      </c>
      <c r="F1491" t="n">
        <v>1123496</v>
      </c>
      <c r="G1491" t="inlineStr">
        <is>
          <t>Radiology</t>
        </is>
      </c>
      <c r="H1491" t="inlineStr">
        <is>
          <t>findings</t>
        </is>
      </c>
      <c r="I1491" t="inlineStr">
        <is>
          <t xml:space="preserve"> Unchanged size of the cardiac
 silhouette.</t>
        </is>
      </c>
    </row>
    <row r="1492">
      <c r="A1492" t="inlineStr">
        <is>
          <t>1123496-findings-1-2</t>
        </is>
      </c>
      <c r="B1492" t="inlineStr"/>
      <c r="C1492" t="inlineStr"/>
      <c r="D1492">
        <f>HYPERLINK("http://nlpdeep.cs.uic.edu:8080/proofing/gsii/1123496-findings-1-2.pdf","gsii/1123496-findings-1-2.pdf")</f>
        <v/>
      </c>
      <c r="E1492" t="n">
        <v>120842</v>
      </c>
      <c r="F1492" t="n">
        <v>1123496</v>
      </c>
      <c r="G1492" t="inlineStr">
        <is>
          <t>Radiology</t>
        </is>
      </c>
      <c r="H1492" t="inlineStr">
        <is>
          <t>findings</t>
        </is>
      </c>
      <c r="I1492" t="inlineStr">
        <is>
          <t xml:space="preserve"> Unchanged size of the cardiac
 silhouette.</t>
        </is>
      </c>
    </row>
    <row r="1493">
      <c r="A1493" t="inlineStr">
        <is>
          <t>1123496-findings-1-3</t>
        </is>
      </c>
      <c r="B1493" t="inlineStr"/>
      <c r="C1493" t="inlineStr"/>
      <c r="D1493">
        <f>HYPERLINK("http://nlpdeep.cs.uic.edu:8080/proofing/t5/1123496-findings-1-3.pdf","t5/1123496-findings-1-3.pdf")</f>
        <v/>
      </c>
      <c r="E1493" t="n">
        <v>120842</v>
      </c>
      <c r="F1493" t="n">
        <v>1123496</v>
      </c>
      <c r="G1493" t="inlineStr">
        <is>
          <t>Radiology</t>
        </is>
      </c>
      <c r="H1493" t="inlineStr">
        <is>
          <t>findings</t>
        </is>
      </c>
      <c r="I1493" t="inlineStr">
        <is>
          <t xml:space="preserve"> No evidence of pulmonary edema.</t>
        </is>
      </c>
    </row>
    <row r="1494">
      <c r="A1494" t="inlineStr">
        <is>
          <t>1123496-findings-1-3</t>
        </is>
      </c>
      <c r="B1494" t="inlineStr"/>
      <c r="C1494" t="inlineStr"/>
      <c r="D1494">
        <f>HYPERLINK("http://nlpdeep.cs.uic.edu:8080/proofing/gsii/1123496-findings-1-3.pdf","gsii/1123496-findings-1-3.pdf")</f>
        <v/>
      </c>
      <c r="E1494" t="n">
        <v>120842</v>
      </c>
      <c r="F1494" t="n">
        <v>1123496</v>
      </c>
      <c r="G1494" t="inlineStr">
        <is>
          <t>Radiology</t>
        </is>
      </c>
      <c r="H1494" t="inlineStr">
        <is>
          <t>findings</t>
        </is>
      </c>
      <c r="I1494" t="inlineStr">
        <is>
          <t xml:space="preserve"> No evidence of pulmonary edema.</t>
        </is>
      </c>
    </row>
    <row r="1495">
      <c r="A1495" t="inlineStr">
        <is>
          <t>1123496-findings-1-4</t>
        </is>
      </c>
      <c r="B1495" t="inlineStr"/>
      <c r="C1495" t="inlineStr"/>
      <c r="D1495">
        <f>HYPERLINK("http://nlpdeep.cs.uic.edu:8080/proofing/t5/1123496-findings-1-4.pdf","t5/1123496-findings-1-4.pdf")</f>
        <v/>
      </c>
      <c r="E1495" t="n">
        <v>120842</v>
      </c>
      <c r="F1495" t="n">
        <v>1123496</v>
      </c>
      <c r="G1495" t="inlineStr">
        <is>
          <t>Radiology</t>
        </is>
      </c>
      <c r="H1495" t="inlineStr">
        <is>
          <t>findings</t>
        </is>
      </c>
      <c r="I1495" t="inlineStr">
        <is>
          <t xml:space="preserve"> Moderate tortuosity of the
 thoracic aorta.</t>
        </is>
      </c>
    </row>
    <row r="1496">
      <c r="A1496" t="inlineStr">
        <is>
          <t>1123496-findings-1-4</t>
        </is>
      </c>
      <c r="B1496" t="inlineStr"/>
      <c r="C1496" t="inlineStr"/>
      <c r="D1496">
        <f>HYPERLINK("http://nlpdeep.cs.uic.edu:8080/proofing/gsii/1123496-findings-1-4.pdf","gsii/1123496-findings-1-4.pdf")</f>
        <v/>
      </c>
      <c r="E1496" t="n">
        <v>120842</v>
      </c>
      <c r="F1496" t="n">
        <v>1123496</v>
      </c>
      <c r="G1496" t="inlineStr">
        <is>
          <t>Radiology</t>
        </is>
      </c>
      <c r="H1496" t="inlineStr">
        <is>
          <t>findings</t>
        </is>
      </c>
      <c r="I1496" t="inlineStr">
        <is>
          <t xml:space="preserve"> Moderate tortuosity of the
 thoracic aorta.</t>
        </is>
      </c>
    </row>
    <row r="1497">
      <c r="A1497" t="inlineStr">
        <is>
          <t>522939-chief-complaint-0-0</t>
        </is>
      </c>
      <c r="B1497" t="inlineStr"/>
      <c r="C1497" t="inlineStr"/>
      <c r="D1497">
        <f>HYPERLINK("http://nlpdeep.cs.uic.edu:8080/proofing/t5/522939-chief-complaint-0-0.pdf","t5/522939-chief-complaint-0-0.pdf")</f>
        <v/>
      </c>
      <c r="E1497" t="n">
        <v>120842</v>
      </c>
      <c r="F1497" t="n">
        <v>522939</v>
      </c>
      <c r="G1497" t="inlineStr">
        <is>
          <t>Physician</t>
        </is>
      </c>
      <c r="H1497" t="inlineStr">
        <is>
          <t>chief-complaint</t>
        </is>
      </c>
      <c r="I1497" t="inlineStr">
        <is>
          <t>d</t>
        </is>
      </c>
    </row>
    <row r="1498">
      <c r="A1498" t="inlineStr">
        <is>
          <t>522939-chief-complaint-0-0</t>
        </is>
      </c>
      <c r="B1498" t="inlineStr"/>
      <c r="C1498" t="inlineStr"/>
      <c r="D1498">
        <f>HYPERLINK("http://nlpdeep.cs.uic.edu:8080/proofing/gsii/522939-chief-complaint-0-0.pdf","gsii/522939-chief-complaint-0-0.pdf")</f>
        <v/>
      </c>
      <c r="E1498" t="n">
        <v>120842</v>
      </c>
      <c r="F1498" t="n">
        <v>522939</v>
      </c>
      <c r="G1498" t="inlineStr">
        <is>
          <t>Physician</t>
        </is>
      </c>
      <c r="H1498" t="inlineStr">
        <is>
          <t>chief-complaint</t>
        </is>
      </c>
      <c r="I1498" t="inlineStr">
        <is>
          <t>d</t>
        </is>
      </c>
    </row>
    <row r="1499">
      <c r="A1499" t="inlineStr">
        <is>
          <t>522939-history-of-present-illness-0-0</t>
        </is>
      </c>
      <c r="B1499" t="inlineStr"/>
      <c r="C1499" t="inlineStr"/>
      <c r="D1499">
        <f>HYPERLINK("http://nlpdeep.cs.uic.edu:8080/proofing/t5/522939-history-of-present-illness-0-0.pdf","t5/522939-history-of-present-illness-0-0.pdf")</f>
        <v/>
      </c>
      <c r="E1499" t="n">
        <v>120842</v>
      </c>
      <c r="F1499" t="n">
        <v>522939</v>
      </c>
      <c r="G1499" t="inlineStr">
        <is>
          <t>Physician</t>
        </is>
      </c>
      <c r="H1499" t="inlineStr">
        <is>
          <t>history-of-present-illness</t>
        </is>
      </c>
      <c r="I1499" t="inlineStr">
        <is>
          <t>73F with COPD on home O2 and nebs, diastolic CHF, TKR one month
   ago, presented to ED on [**4-6**] with shortness of breath.</t>
        </is>
      </c>
    </row>
    <row r="1500">
      <c r="A1500" t="inlineStr">
        <is>
          <t>522939-history-of-present-illness-0-0</t>
        </is>
      </c>
      <c r="B1500" t="inlineStr"/>
      <c r="C1500" t="inlineStr"/>
      <c r="D1500">
        <f>HYPERLINK("http://nlpdeep.cs.uic.edu:8080/proofing/gsii/522939-history-of-present-illness-0-0.pdf","gsii/522939-history-of-present-illness-0-0.pdf")</f>
        <v/>
      </c>
      <c r="E1500" t="n">
        <v>120842</v>
      </c>
      <c r="F1500" t="n">
        <v>522939</v>
      </c>
      <c r="G1500" t="inlineStr">
        <is>
          <t>Physician</t>
        </is>
      </c>
      <c r="H1500" t="inlineStr">
        <is>
          <t>history-of-present-illness</t>
        </is>
      </c>
      <c r="I1500" t="inlineStr">
        <is>
          <t>73F with COPD on home O2 and nebs, diastolic CHF, TKR one month
   ago, presented to ED on [**4-6**] with shortness of breath.</t>
        </is>
      </c>
    </row>
    <row r="1501">
      <c r="A1501" t="inlineStr">
        <is>
          <t>522939-history-of-present-illness-0-1</t>
        </is>
      </c>
      <c r="B1501" t="inlineStr"/>
      <c r="C1501" t="inlineStr"/>
      <c r="D1501">
        <f>HYPERLINK("http://nlpdeep.cs.uic.edu:8080/proofing/t5/522939-history-of-present-illness-0-1.pdf","t5/522939-history-of-present-illness-0-1.pdf")</f>
        <v/>
      </c>
      <c r="E1501" t="n">
        <v>120842</v>
      </c>
      <c r="F1501" t="n">
        <v>522939</v>
      </c>
      <c r="G1501" t="inlineStr">
        <is>
          <t>Physician</t>
        </is>
      </c>
      <c r="H1501" t="inlineStr">
        <is>
          <t>history-of-present-illness</t>
        </is>
      </c>
      <c r="I1501" t="inlineStr">
        <is>
          <t>She came to the
   ICU and went to the floor the same day, on the floor developed
   respiratory distress and tachycardia, and now is returning to the ICU.</t>
        </is>
      </c>
    </row>
    <row r="1502">
      <c r="A1502" t="inlineStr">
        <is>
          <t>522939-history-of-present-illness-0-1</t>
        </is>
      </c>
      <c r="B1502" t="inlineStr"/>
      <c r="C1502" t="inlineStr"/>
      <c r="D1502">
        <f>HYPERLINK("http://nlpdeep.cs.uic.edu:8080/proofing/gsii/522939-history-of-present-illness-0-1.pdf","gsii/522939-history-of-present-illness-0-1.pdf")</f>
        <v/>
      </c>
      <c r="E1502" t="n">
        <v>120842</v>
      </c>
      <c r="F1502" t="n">
        <v>522939</v>
      </c>
      <c r="G1502" t="inlineStr">
        <is>
          <t>Physician</t>
        </is>
      </c>
      <c r="H1502" t="inlineStr">
        <is>
          <t>history-of-present-illness</t>
        </is>
      </c>
      <c r="I1502" t="inlineStr">
        <is>
          <t>She came to the
   ICU and went to the floor the same day, on the floor developed
   respiratory distress and tachycardia, and now is returning to the ICU.</t>
        </is>
      </c>
    </row>
    <row r="1503">
      <c r="A1503" t="inlineStr">
        <is>
          <t>522939-history-of-present-illness-0-2</t>
        </is>
      </c>
      <c r="B1503" t="inlineStr"/>
      <c r="C1503" t="inlineStr"/>
      <c r="D1503">
        <f>HYPERLINK("http://nlpdeep.cs.uic.edu:8080/proofing/t5/522939-history-of-present-illness-0-2.pdf","t5/522939-history-of-present-illness-0-2.pdf")</f>
        <v/>
      </c>
      <c r="E1503" t="n">
        <v>120842</v>
      </c>
      <c r="F1503" t="n">
        <v>522939</v>
      </c>
      <c r="G1503" t="inlineStr">
        <is>
          <t>Physician</t>
        </is>
      </c>
      <c r="H1503" t="inlineStr">
        <is>
          <t>history-of-present-illness</t>
        </is>
      </c>
      <c r="I1503" t="inlineStr">
        <is>
          <t xml:space="preserve">
   On the floor she was tachycardic to the 120s, in either AVNRT or AVRT,
   despite Diltiazem 20 mg PO.</t>
        </is>
      </c>
    </row>
    <row r="1504">
      <c r="A1504" t="inlineStr">
        <is>
          <t>522939-history-of-present-illness-0-2</t>
        </is>
      </c>
      <c r="B1504" t="inlineStr"/>
      <c r="C1504" t="inlineStr"/>
      <c r="D1504">
        <f>HYPERLINK("http://nlpdeep.cs.uic.edu:8080/proofing/gsii/522939-history-of-present-illness-0-2.pdf","gsii/522939-history-of-present-illness-0-2.pdf")</f>
        <v/>
      </c>
      <c r="E1504" t="n">
        <v>120842</v>
      </c>
      <c r="F1504" t="n">
        <v>522939</v>
      </c>
      <c r="G1504" t="inlineStr">
        <is>
          <t>Physician</t>
        </is>
      </c>
      <c r="H1504" t="inlineStr">
        <is>
          <t>history-of-present-illness</t>
        </is>
      </c>
      <c r="I1504" t="inlineStr">
        <is>
          <t xml:space="preserve">
   On the floor she was tachycardic to the 120s, in either AVNRT or AVRT,
   despite Diltiazem 20 mg PO.</t>
        </is>
      </c>
    </row>
    <row r="1505">
      <c r="A1505" t="inlineStr">
        <is>
          <t>522939-history-of-present-illness-0-3</t>
        </is>
      </c>
      <c r="B1505" t="inlineStr"/>
      <c r="C1505" t="inlineStr"/>
      <c r="D1505">
        <f>HYPERLINK("http://nlpdeep.cs.uic.edu:8080/proofing/t5/522939-history-of-present-illness-0-3.pdf","t5/522939-history-of-present-illness-0-3.pdf")</f>
        <v/>
      </c>
      <c r="E1505" t="n">
        <v>120842</v>
      </c>
      <c r="F1505" t="n">
        <v>522939</v>
      </c>
      <c r="G1505" t="inlineStr">
        <is>
          <t>Physician</t>
        </is>
      </c>
      <c r="H1505" t="inlineStr">
        <is>
          <t>history-of-present-illness</t>
        </is>
      </c>
      <c r="I1505" t="inlineStr">
        <is>
          <t>She had an ABG of 7.43/43/72 on a NRM.</t>
        </is>
      </c>
    </row>
    <row r="1506">
      <c r="A1506" t="inlineStr">
        <is>
          <t>522939-history-of-present-illness-0-3</t>
        </is>
      </c>
      <c r="B1506" t="inlineStr"/>
      <c r="C1506" t="inlineStr"/>
      <c r="D1506">
        <f>HYPERLINK("http://nlpdeep.cs.uic.edu:8080/proofing/gsii/522939-history-of-present-illness-0-3.pdf","gsii/522939-history-of-present-illness-0-3.pdf")</f>
        <v/>
      </c>
      <c r="E1506" t="n">
        <v>120842</v>
      </c>
      <c r="F1506" t="n">
        <v>522939</v>
      </c>
      <c r="G1506" t="inlineStr">
        <is>
          <t>Physician</t>
        </is>
      </c>
      <c r="H1506" t="inlineStr">
        <is>
          <t>history-of-present-illness</t>
        </is>
      </c>
      <c r="I1506" t="inlineStr">
        <is>
          <t>She had an ABG of 7.43/43/72 on a NRM.</t>
        </is>
      </c>
    </row>
    <row r="1507">
      <c r="A1507" t="inlineStr">
        <is>
          <t>522939-history-of-present-illness-0-4</t>
        </is>
      </c>
      <c r="B1507" t="inlineStr"/>
      <c r="C1507" t="inlineStr"/>
      <c r="D1507">
        <f>HYPERLINK("http://nlpdeep.cs.uic.edu:8080/proofing/t5/522939-history-of-present-illness-0-4.pdf","t5/522939-history-of-present-illness-0-4.pdf")</f>
        <v/>
      </c>
      <c r="E1507" t="n">
        <v>120842</v>
      </c>
      <c r="F1507" t="n">
        <v>522939</v>
      </c>
      <c r="G1507" t="inlineStr">
        <is>
          <t>Physician</t>
        </is>
      </c>
      <c r="H1507" t="inlineStr">
        <is>
          <t>history-of-present-illness</t>
        </is>
      </c>
      <c r="I1507" t="inlineStr">
        <is>
          <t xml:space="preserve">
   Prior to admission she had had worsening dyspnea for 1-2 weeks at home.</t>
        </is>
      </c>
    </row>
    <row r="1508">
      <c r="A1508" t="inlineStr">
        <is>
          <t>522939-history-of-present-illness-0-4</t>
        </is>
      </c>
      <c r="B1508" t="inlineStr"/>
      <c r="C1508" t="inlineStr"/>
      <c r="D1508">
        <f>HYPERLINK("http://nlpdeep.cs.uic.edu:8080/proofing/gsii/522939-history-of-present-illness-0-4.pdf","gsii/522939-history-of-present-illness-0-4.pdf")</f>
        <v/>
      </c>
      <c r="E1508" t="n">
        <v>120842</v>
      </c>
      <c r="F1508" t="n">
        <v>522939</v>
      </c>
      <c r="G1508" t="inlineStr">
        <is>
          <t>Physician</t>
        </is>
      </c>
      <c r="H1508" t="inlineStr">
        <is>
          <t>history-of-present-illness</t>
        </is>
      </c>
      <c r="I1508" t="inlineStr">
        <is>
          <t xml:space="preserve">
   Prior to admission she had had worsening dyspnea for 1-2 weeks at home.</t>
        </is>
      </c>
    </row>
    <row r="1509">
      <c r="A1509" t="inlineStr">
        <is>
          <t>522939-history-of-present-illness-0-5</t>
        </is>
      </c>
      <c r="B1509" t="inlineStr"/>
      <c r="C1509" t="inlineStr"/>
      <c r="D1509">
        <f>HYPERLINK("http://nlpdeep.cs.uic.edu:8080/proofing/t5/522939-history-of-present-illness-0-5.pdf","t5/522939-history-of-present-illness-0-5.pdf")</f>
        <v/>
      </c>
      <c r="E1509" t="n">
        <v>120842</v>
      </c>
      <c r="F1509" t="n">
        <v>522939</v>
      </c>
      <c r="G1509" t="inlineStr">
        <is>
          <t>Physician</t>
        </is>
      </c>
      <c r="H1509" t="inlineStr">
        <is>
          <t>history-of-present-illness</t>
        </is>
      </c>
      <c r="I1509" t="inlineStr">
        <is>
          <t xml:space="preserve">
   Started on azithromycin and steroids last week as an outpatient without
   improvement.</t>
        </is>
      </c>
    </row>
    <row r="1510">
      <c r="A1510" t="inlineStr">
        <is>
          <t>522939-history-of-present-illness-0-5</t>
        </is>
      </c>
      <c r="B1510" t="inlineStr"/>
      <c r="C1510" t="inlineStr"/>
      <c r="D1510">
        <f>HYPERLINK("http://nlpdeep.cs.uic.edu:8080/proofing/gsii/522939-history-of-present-illness-0-5.pdf","gsii/522939-history-of-present-illness-0-5.pdf")</f>
        <v/>
      </c>
      <c r="E1510" t="n">
        <v>120842</v>
      </c>
      <c r="F1510" t="n">
        <v>522939</v>
      </c>
      <c r="G1510" t="inlineStr">
        <is>
          <t>Physician</t>
        </is>
      </c>
      <c r="H1510" t="inlineStr">
        <is>
          <t>history-of-present-illness</t>
        </is>
      </c>
      <c r="I1510" t="inlineStr">
        <is>
          <t xml:space="preserve">
   Started on azithromycin and steroids last week as an outpatient without
   improvement.</t>
        </is>
      </c>
    </row>
    <row r="1511">
      <c r="A1511" t="inlineStr">
        <is>
          <t>522939-history-of-present-illness-0-6</t>
        </is>
      </c>
      <c r="B1511" t="inlineStr"/>
      <c r="C1511" t="inlineStr"/>
      <c r="D1511">
        <f>HYPERLINK("http://nlpdeep.cs.uic.edu:8080/proofing/t5/522939-history-of-present-illness-0-6.pdf","t5/522939-history-of-present-illness-0-6.pdf")</f>
        <v/>
      </c>
      <c r="E1511" t="n">
        <v>120842</v>
      </c>
      <c r="F1511" t="n">
        <v>522939</v>
      </c>
      <c r="G1511" t="inlineStr">
        <is>
          <t>Physician</t>
        </is>
      </c>
      <c r="H1511" t="inlineStr">
        <is>
          <t>history-of-present-illness</t>
        </is>
      </c>
      <c r="I1511" t="inlineStr">
        <is>
          <t>She has gotten both influenza and pneumonia vaccinations.</t>
        </is>
      </c>
    </row>
    <row r="1512">
      <c r="A1512" t="inlineStr">
        <is>
          <t>522939-history-of-present-illness-0-6</t>
        </is>
      </c>
      <c r="B1512" t="inlineStr"/>
      <c r="C1512" t="inlineStr"/>
      <c r="D1512">
        <f>HYPERLINK("http://nlpdeep.cs.uic.edu:8080/proofing/gsii/522939-history-of-present-illness-0-6.pdf","gsii/522939-history-of-present-illness-0-6.pdf")</f>
        <v/>
      </c>
      <c r="E1512" t="n">
        <v>120842</v>
      </c>
      <c r="F1512" t="n">
        <v>522939</v>
      </c>
      <c r="G1512" t="inlineStr">
        <is>
          <t>Physician</t>
        </is>
      </c>
      <c r="H1512" t="inlineStr">
        <is>
          <t>history-of-present-illness</t>
        </is>
      </c>
      <c r="I1512" t="inlineStr">
        <is>
          <t>She has gotten both influenza and pneumonia vaccinations.</t>
        </is>
      </c>
    </row>
    <row r="1513">
      <c r="A1513" t="inlineStr">
        <is>
          <t>522939-history-of-present-illness-0-7</t>
        </is>
      </c>
      <c r="B1513" t="inlineStr"/>
      <c r="C1513" t="inlineStr"/>
      <c r="D1513">
        <f>HYPERLINK("http://nlpdeep.cs.uic.edu:8080/proofing/t5/522939-history-of-present-illness-0-7.pdf","t5/522939-history-of-present-illness-0-7.pdf")</f>
        <v/>
      </c>
      <c r="E1513" t="n">
        <v>120842</v>
      </c>
      <c r="F1513" t="n">
        <v>522939</v>
      </c>
      <c r="G1513" t="inlineStr">
        <is>
          <t>Physician</t>
        </is>
      </c>
      <c r="H1513" t="inlineStr">
        <is>
          <t>history-of-present-illness</t>
        </is>
      </c>
      <c r="I1513" t="inlineStr">
        <is>
          <t xml:space="preserve">
   Never intubated.</t>
        </is>
      </c>
    </row>
    <row r="1514">
      <c r="A1514" t="inlineStr">
        <is>
          <t>522939-history-of-present-illness-0-7</t>
        </is>
      </c>
      <c r="B1514" t="inlineStr"/>
      <c r="C1514" t="inlineStr"/>
      <c r="D1514">
        <f>HYPERLINK("http://nlpdeep.cs.uic.edu:8080/proofing/gsii/522939-history-of-present-illness-0-7.pdf","gsii/522939-history-of-present-illness-0-7.pdf")</f>
        <v/>
      </c>
      <c r="E1514" t="n">
        <v>120842</v>
      </c>
      <c r="F1514" t="n">
        <v>522939</v>
      </c>
      <c r="G1514" t="inlineStr">
        <is>
          <t>Physician</t>
        </is>
      </c>
      <c r="H1514" t="inlineStr">
        <is>
          <t>history-of-present-illness</t>
        </is>
      </c>
      <c r="I1514" t="inlineStr">
        <is>
          <t xml:space="preserve">
   Never intubated.</t>
        </is>
      </c>
    </row>
    <row r="1515">
      <c r="A1515" t="inlineStr">
        <is>
          <t>522939-history-of-present-illness-0-8</t>
        </is>
      </c>
      <c r="B1515" t="inlineStr"/>
      <c r="C1515" t="inlineStr"/>
      <c r="D1515">
        <f>HYPERLINK("http://nlpdeep.cs.uic.edu:8080/proofing/t5/522939-history-of-present-illness-0-8.pdf","t5/522939-history-of-present-illness-0-8.pdf")</f>
        <v/>
      </c>
      <c r="E1515" t="n">
        <v>120842</v>
      </c>
      <c r="F1515" t="n">
        <v>522939</v>
      </c>
      <c r="G1515" t="inlineStr">
        <is>
          <t>Physician</t>
        </is>
      </c>
      <c r="H1515" t="inlineStr">
        <is>
          <t>history-of-present-illness</t>
        </is>
      </c>
      <c r="I1515" t="inlineStr">
        <is>
          <t xml:space="preserve">
   In the ED on [**4-6**], initial vs were: P82 132/84 R26 90% on ?O2,
   ultimately put on ventimask oxygen at 4 LPM.</t>
        </is>
      </c>
    </row>
    <row r="1516">
      <c r="A1516" t="inlineStr">
        <is>
          <t>522939-history-of-present-illness-0-8</t>
        </is>
      </c>
      <c r="B1516" t="inlineStr"/>
      <c r="C1516" t="inlineStr"/>
      <c r="D1516">
        <f>HYPERLINK("http://nlpdeep.cs.uic.edu:8080/proofing/gsii/522939-history-of-present-illness-0-8.pdf","gsii/522939-history-of-present-illness-0-8.pdf")</f>
        <v/>
      </c>
      <c r="E1516" t="n">
        <v>120842</v>
      </c>
      <c r="F1516" t="n">
        <v>522939</v>
      </c>
      <c r="G1516" t="inlineStr">
        <is>
          <t>Physician</t>
        </is>
      </c>
      <c r="H1516" t="inlineStr">
        <is>
          <t>history-of-present-illness</t>
        </is>
      </c>
      <c r="I1516" t="inlineStr">
        <is>
          <t xml:space="preserve">
   In the ED on [**4-6**], initial vs were: P82 132/84 R26 90% on ?O2,
   ultimately put on ventimask oxygen at 4 LPM.</t>
        </is>
      </c>
    </row>
    <row r="1517">
      <c r="A1517" t="inlineStr">
        <is>
          <t>522939-history-of-present-illness-0-9</t>
        </is>
      </c>
      <c r="B1517" t="inlineStr"/>
      <c r="C1517" t="inlineStr"/>
      <c r="D1517">
        <f>HYPERLINK("http://nlpdeep.cs.uic.edu:8080/proofing/t5/522939-history-of-present-illness-0-9.pdf","t5/522939-history-of-present-illness-0-9.pdf")</f>
        <v/>
      </c>
      <c r="E1517" t="n">
        <v>120842</v>
      </c>
      <c r="F1517" t="n">
        <v>522939</v>
      </c>
      <c r="G1517" t="inlineStr">
        <is>
          <t>Physician</t>
        </is>
      </c>
      <c r="H1517" t="inlineStr">
        <is>
          <t>history-of-present-illness</t>
        </is>
      </c>
      <c r="I1517" t="inlineStr">
        <is>
          <t>WBCs 10.9 with normal
   diff, lactate 3.1.</t>
        </is>
      </c>
    </row>
    <row r="1518">
      <c r="A1518" t="inlineStr">
        <is>
          <t>522939-history-of-present-illness-0-9</t>
        </is>
      </c>
      <c r="B1518" t="inlineStr"/>
      <c r="C1518" t="inlineStr"/>
      <c r="D1518">
        <f>HYPERLINK("http://nlpdeep.cs.uic.edu:8080/proofing/gsii/522939-history-of-present-illness-0-9.pdf","gsii/522939-history-of-present-illness-0-9.pdf")</f>
        <v/>
      </c>
      <c r="E1518" t="n">
        <v>120842</v>
      </c>
      <c r="F1518" t="n">
        <v>522939</v>
      </c>
      <c r="G1518" t="inlineStr">
        <is>
          <t>Physician</t>
        </is>
      </c>
      <c r="H1518" t="inlineStr">
        <is>
          <t>history-of-present-illness</t>
        </is>
      </c>
      <c r="I1518" t="inlineStr">
        <is>
          <t>WBCs 10.9 with normal
   diff, lactate 3.1.</t>
        </is>
      </c>
    </row>
    <row r="1519">
      <c r="A1519" t="inlineStr">
        <is>
          <t>522939-history-of-present-illness-0-10</t>
        </is>
      </c>
      <c r="B1519" t="inlineStr"/>
      <c r="C1519" t="inlineStr"/>
      <c r="D1519">
        <f>HYPERLINK("http://nlpdeep.cs.uic.edu:8080/proofing/t5/522939-history-of-present-illness-0-10.pdf","t5/522939-history-of-present-illness-0-10.pdf")</f>
        <v/>
      </c>
      <c r="E1519" t="n">
        <v>120842</v>
      </c>
      <c r="F1519" t="n">
        <v>522939</v>
      </c>
      <c r="G1519" t="inlineStr">
        <is>
          <t>Physician</t>
        </is>
      </c>
      <c r="H1519" t="inlineStr">
        <is>
          <t>history-of-present-illness</t>
        </is>
      </c>
      <c r="I1519" t="inlineStr">
        <is>
          <t>Patient was given Levofloxacin, Ceftriaxone,
   Solumedrol 125 mg, and nebs.</t>
        </is>
      </c>
    </row>
    <row r="1520">
      <c r="A1520" t="inlineStr">
        <is>
          <t>522939-history-of-present-illness-0-10</t>
        </is>
      </c>
      <c r="B1520" t="inlineStr"/>
      <c r="C1520" t="inlineStr"/>
      <c r="D1520">
        <f>HYPERLINK("http://nlpdeep.cs.uic.edu:8080/proofing/gsii/522939-history-of-present-illness-0-10.pdf","gsii/522939-history-of-present-illness-0-10.pdf")</f>
        <v/>
      </c>
      <c r="E1520" t="n">
        <v>120842</v>
      </c>
      <c r="F1520" t="n">
        <v>522939</v>
      </c>
      <c r="G1520" t="inlineStr">
        <is>
          <t>Physician</t>
        </is>
      </c>
      <c r="H1520" t="inlineStr">
        <is>
          <t>history-of-present-illness</t>
        </is>
      </c>
      <c r="I1520" t="inlineStr">
        <is>
          <t>Patient was given Levofloxacin, Ceftriaxone,
   Solumedrol 125 mg, and nebs.</t>
        </is>
      </c>
    </row>
    <row r="1521">
      <c r="A1521" t="inlineStr">
        <is>
          <t>522939-history-of-present-illness-0-11</t>
        </is>
      </c>
      <c r="B1521" t="inlineStr"/>
      <c r="C1521" t="inlineStr"/>
      <c r="D1521">
        <f>HYPERLINK("http://nlpdeep.cs.uic.edu:8080/proofing/t5/522939-history-of-present-illness-0-11.pdf","t5/522939-history-of-present-illness-0-11.pdf")</f>
        <v/>
      </c>
      <c r="E1521" t="n">
        <v>120842</v>
      </c>
      <c r="F1521" t="n">
        <v>522939</v>
      </c>
      <c r="G1521" t="inlineStr">
        <is>
          <t>Physician</t>
        </is>
      </c>
      <c r="H1521" t="inlineStr">
        <is>
          <t>history-of-present-illness</t>
        </is>
      </c>
      <c r="I1521" t="inlineStr">
        <is>
          <t>She went into SVT in the emergency room
   (has history of this - last in ED on [**3-26**], broke with adenosine, CTA
   neg for PE) which broke with oxygen therapy alone (did not end up
   getting adenosine).</t>
        </is>
      </c>
    </row>
    <row r="1522">
      <c r="A1522" t="inlineStr">
        <is>
          <t>522939-history-of-present-illness-0-11</t>
        </is>
      </c>
      <c r="B1522" t="inlineStr"/>
      <c r="C1522" t="inlineStr"/>
      <c r="D1522">
        <f>HYPERLINK("http://nlpdeep.cs.uic.edu:8080/proofing/gsii/522939-history-of-present-illness-0-11.pdf","gsii/522939-history-of-present-illness-0-11.pdf")</f>
        <v/>
      </c>
      <c r="E1522" t="n">
        <v>120842</v>
      </c>
      <c r="F1522" t="n">
        <v>522939</v>
      </c>
      <c r="G1522" t="inlineStr">
        <is>
          <t>Physician</t>
        </is>
      </c>
      <c r="H1522" t="inlineStr">
        <is>
          <t>history-of-present-illness</t>
        </is>
      </c>
      <c r="I1522" t="inlineStr">
        <is>
          <t>She went into SVT in the emergency room
   (has history of this - last in ED on [**3-26**], broke with adenosine, CTA
   neg for PE) which broke with oxygen therapy alone (did not end up
   getting adenosine).</t>
        </is>
      </c>
    </row>
    <row r="1523">
      <c r="A1523" t="inlineStr">
        <is>
          <t>522939-history-of-present-illness-1-0</t>
        </is>
      </c>
      <c r="B1523" t="inlineStr"/>
      <c r="C1523" t="inlineStr"/>
      <c r="D1523">
        <f>HYPERLINK("http://nlpdeep.cs.uic.edu:8080/proofing/t5/522939-history-of-present-illness-1-0.pdf","t5/522939-history-of-present-illness-1-0.pdf")</f>
        <v/>
      </c>
      <c r="E1523" t="n">
        <v>120842</v>
      </c>
      <c r="F1523" t="n">
        <v>522939</v>
      </c>
      <c r="G1523" t="inlineStr">
        <is>
          <t>Physician</t>
        </is>
      </c>
      <c r="H1523" t="inlineStr">
        <is>
          <t>history-of-present-illness</t>
        </is>
      </c>
      <c r="I1523" t="inlineStr">
        <is>
          <t xml:space="preserve">
   In the ICU on [**4-6**], patient confirmed history as above.</t>
        </is>
      </c>
    </row>
    <row r="1524">
      <c r="A1524" t="inlineStr">
        <is>
          <t>522939-history-of-present-illness-1-0</t>
        </is>
      </c>
      <c r="B1524" t="inlineStr"/>
      <c r="C1524" t="inlineStr"/>
      <c r="D1524">
        <f>HYPERLINK("http://nlpdeep.cs.uic.edu:8080/proofing/gsii/522939-history-of-present-illness-1-0.pdf","gsii/522939-history-of-present-illness-1-0.pdf")</f>
        <v/>
      </c>
      <c r="E1524" t="n">
        <v>120842</v>
      </c>
      <c r="F1524" t="n">
        <v>522939</v>
      </c>
      <c r="G1524" t="inlineStr">
        <is>
          <t>Physician</t>
        </is>
      </c>
      <c r="H1524" t="inlineStr">
        <is>
          <t>history-of-present-illness</t>
        </is>
      </c>
      <c r="I1524" t="inlineStr">
        <is>
          <t xml:space="preserve">
   In the ICU on [**4-6**], patient confirmed history as above.</t>
        </is>
      </c>
    </row>
    <row r="1525">
      <c r="A1525" t="inlineStr">
        <is>
          <t>522939-history-of-present-illness-1-1</t>
        </is>
      </c>
      <c r="B1525" t="inlineStr"/>
      <c r="C1525" t="inlineStr"/>
      <c r="D1525">
        <f>HYPERLINK("http://nlpdeep.cs.uic.edu:8080/proofing/t5/522939-history-of-present-illness-1-1.pdf","t5/522939-history-of-present-illness-1-1.pdf")</f>
        <v/>
      </c>
      <c r="E1525" t="n">
        <v>120842</v>
      </c>
      <c r="F1525" t="n">
        <v>522939</v>
      </c>
      <c r="G1525" t="inlineStr">
        <is>
          <t>Physician</t>
        </is>
      </c>
      <c r="H1525" t="inlineStr">
        <is>
          <t>history-of-present-illness</t>
        </is>
      </c>
      <c r="I1525" t="inlineStr">
        <is>
          <t>Daughters
   additionally add that she left rehab around [**2153-3-22**] and 'hasn't been
   herself since'.</t>
        </is>
      </c>
    </row>
    <row r="1526">
      <c r="A1526" t="inlineStr">
        <is>
          <t>522939-history-of-present-illness-1-1</t>
        </is>
      </c>
      <c r="B1526" t="inlineStr"/>
      <c r="C1526" t="inlineStr"/>
      <c r="D1526">
        <f>HYPERLINK("http://nlpdeep.cs.uic.edu:8080/proofing/gsii/522939-history-of-present-illness-1-1.pdf","gsii/522939-history-of-present-illness-1-1.pdf")</f>
        <v/>
      </c>
      <c r="E1526" t="n">
        <v>120842</v>
      </c>
      <c r="F1526" t="n">
        <v>522939</v>
      </c>
      <c r="G1526" t="inlineStr">
        <is>
          <t>Physician</t>
        </is>
      </c>
      <c r="H1526" t="inlineStr">
        <is>
          <t>history-of-present-illness</t>
        </is>
      </c>
      <c r="I1526" t="inlineStr">
        <is>
          <t>Daughters
   additionally add that she left rehab around [**2153-3-22**] and 'hasn't been
   herself since'.</t>
        </is>
      </c>
    </row>
    <row r="1527">
      <c r="A1527" t="inlineStr">
        <is>
          <t>522939-history-of-present-illness-1-2</t>
        </is>
      </c>
      <c r="B1527" t="inlineStr"/>
      <c r="C1527" t="inlineStr"/>
      <c r="D1527">
        <f>HYPERLINK("http://nlpdeep.cs.uic.edu:8080/proofing/t5/522939-history-of-present-illness-1-2.pdf","t5/522939-history-of-present-illness-1-2.pdf")</f>
        <v/>
      </c>
      <c r="E1527" t="n">
        <v>120842</v>
      </c>
      <c r="F1527" t="n">
        <v>522939</v>
      </c>
      <c r="G1527" t="inlineStr">
        <is>
          <t>Physician</t>
        </is>
      </c>
      <c r="H1527" t="inlineStr">
        <is>
          <t>history-of-present-illness</t>
        </is>
      </c>
      <c r="I1527" t="inlineStr">
        <is>
          <t>At baseline is on 2L NC and unable to ambulate stairs
   recently due to TKR.</t>
        </is>
      </c>
    </row>
    <row r="1528">
      <c r="A1528" t="inlineStr">
        <is>
          <t>522939-history-of-present-illness-1-2</t>
        </is>
      </c>
      <c r="B1528" t="inlineStr"/>
      <c r="C1528" t="inlineStr"/>
      <c r="D1528">
        <f>HYPERLINK("http://nlpdeep.cs.uic.edu:8080/proofing/gsii/522939-history-of-present-illness-1-2.pdf","gsii/522939-history-of-present-illness-1-2.pdf")</f>
        <v/>
      </c>
      <c r="E1528" t="n">
        <v>120842</v>
      </c>
      <c r="F1528" t="n">
        <v>522939</v>
      </c>
      <c r="G1528" t="inlineStr">
        <is>
          <t>Physician</t>
        </is>
      </c>
      <c r="H1528" t="inlineStr">
        <is>
          <t>history-of-present-illness</t>
        </is>
      </c>
      <c r="I1528" t="inlineStr">
        <is>
          <t>At baseline is on 2L NC and unable to ambulate stairs
   recently due to TKR.</t>
        </is>
      </c>
    </row>
    <row r="1529">
      <c r="A1529" t="inlineStr">
        <is>
          <t>522939-history-of-present-illness-1-3</t>
        </is>
      </c>
      <c r="B1529" t="inlineStr"/>
      <c r="C1529" t="inlineStr"/>
      <c r="D1529">
        <f>HYPERLINK("http://nlpdeep.cs.uic.edu:8080/proofing/t5/522939-history-of-present-illness-1-3.pdf","t5/522939-history-of-present-illness-1-3.pdf")</f>
        <v/>
      </c>
      <c r="E1529" t="n">
        <v>120842</v>
      </c>
      <c r="F1529" t="n">
        <v>522939</v>
      </c>
      <c r="G1529" t="inlineStr">
        <is>
          <t>Physician</t>
        </is>
      </c>
      <c r="H1529" t="inlineStr">
        <is>
          <t>history-of-present-illness</t>
        </is>
      </c>
      <c r="I1529" t="inlineStr">
        <is>
          <t>Has felt warm recently, no fever or chills.</t>
        </is>
      </c>
    </row>
    <row r="1530">
      <c r="A1530" t="inlineStr">
        <is>
          <t>522939-history-of-present-illness-1-3</t>
        </is>
      </c>
      <c r="B1530" t="inlineStr"/>
      <c r="C1530" t="inlineStr"/>
      <c r="D1530">
        <f>HYPERLINK("http://nlpdeep.cs.uic.edu:8080/proofing/gsii/522939-history-of-present-illness-1-3.pdf","gsii/522939-history-of-present-illness-1-3.pdf")</f>
        <v/>
      </c>
      <c r="E1530" t="n">
        <v>120842</v>
      </c>
      <c r="F1530" t="n">
        <v>522939</v>
      </c>
      <c r="G1530" t="inlineStr">
        <is>
          <t>Physician</t>
        </is>
      </c>
      <c r="H1530" t="inlineStr">
        <is>
          <t>history-of-present-illness</t>
        </is>
      </c>
      <c r="I1530" t="inlineStr">
        <is>
          <t>Has felt warm recently, no fever or chills.</t>
        </is>
      </c>
    </row>
    <row r="1531">
      <c r="A1531" t="inlineStr">
        <is>
          <t>522939-history-of-present-illness-1-4</t>
        </is>
      </c>
      <c r="B1531" t="inlineStr"/>
      <c r="C1531" t="inlineStr"/>
      <c r="D1531">
        <f>HYPERLINK("http://nlpdeep.cs.uic.edu:8080/proofing/t5/522939-history-of-present-illness-1-4.pdf","t5/522939-history-of-present-illness-1-4.pdf")</f>
        <v/>
      </c>
      <c r="E1531" t="n">
        <v>120842</v>
      </c>
      <c r="F1531" t="n">
        <v>522939</v>
      </c>
      <c r="G1531" t="inlineStr">
        <is>
          <t>Physician</t>
        </is>
      </c>
      <c r="H1531" t="inlineStr">
        <is>
          <t>history-of-present-illness</t>
        </is>
      </c>
      <c r="I1531" t="inlineStr">
        <is>
          <t>No
   myalgia, arthralgia.</t>
        </is>
      </c>
    </row>
    <row r="1532">
      <c r="A1532" t="inlineStr">
        <is>
          <t>522939-history-of-present-illness-1-4</t>
        </is>
      </c>
      <c r="B1532" t="inlineStr"/>
      <c r="C1532" t="inlineStr"/>
      <c r="D1532">
        <f>HYPERLINK("http://nlpdeep.cs.uic.edu:8080/proofing/gsii/522939-history-of-present-illness-1-4.pdf","gsii/522939-history-of-present-illness-1-4.pdf")</f>
        <v/>
      </c>
      <c r="E1532" t="n">
        <v>120842</v>
      </c>
      <c r="F1532" t="n">
        <v>522939</v>
      </c>
      <c r="G1532" t="inlineStr">
        <is>
          <t>Physician</t>
        </is>
      </c>
      <c r="H1532" t="inlineStr">
        <is>
          <t>history-of-present-illness</t>
        </is>
      </c>
      <c r="I1532" t="inlineStr">
        <is>
          <t>No
   myalgia, arthralgia.</t>
        </is>
      </c>
    </row>
    <row r="1533">
      <c r="A1533" t="inlineStr">
        <is>
          <t>522939-history-of-present-illness-1-5</t>
        </is>
      </c>
      <c r="B1533" t="inlineStr"/>
      <c r="C1533" t="inlineStr"/>
      <c r="D1533">
        <f>HYPERLINK("http://nlpdeep.cs.uic.edu:8080/proofing/t5/522939-history-of-present-illness-1-5.pdf","t5/522939-history-of-present-illness-1-5.pdf")</f>
        <v/>
      </c>
      <c r="E1533" t="n">
        <v>120842</v>
      </c>
      <c r="F1533" t="n">
        <v>522939</v>
      </c>
      <c r="G1533" t="inlineStr">
        <is>
          <t>Physician</t>
        </is>
      </c>
      <c r="H1533" t="inlineStr">
        <is>
          <t>history-of-present-illness</t>
        </is>
      </c>
      <c r="I1533" t="inlineStr">
        <is>
          <t>No N/V/D or dysuria.</t>
        </is>
      </c>
    </row>
    <row r="1534">
      <c r="A1534" t="inlineStr">
        <is>
          <t>522939-history-of-present-illness-1-5</t>
        </is>
      </c>
      <c r="B1534" t="inlineStr"/>
      <c r="C1534" t="inlineStr"/>
      <c r="D1534">
        <f>HYPERLINK("http://nlpdeep.cs.uic.edu:8080/proofing/gsii/522939-history-of-present-illness-1-5.pdf","gsii/522939-history-of-present-illness-1-5.pdf")</f>
        <v/>
      </c>
      <c r="E1534" t="n">
        <v>120842</v>
      </c>
      <c r="F1534" t="n">
        <v>522939</v>
      </c>
      <c r="G1534" t="inlineStr">
        <is>
          <t>Physician</t>
        </is>
      </c>
      <c r="H1534" t="inlineStr">
        <is>
          <t>history-of-present-illness</t>
        </is>
      </c>
      <c r="I1534" t="inlineStr">
        <is>
          <t>No N/V/D or dysuria.</t>
        </is>
      </c>
    </row>
    <row r="1535">
      <c r="A1535" t="inlineStr">
        <is>
          <t>522939-history-of-present-illness-1-6</t>
        </is>
      </c>
      <c r="B1535" t="inlineStr"/>
      <c r="C1535" t="inlineStr"/>
      <c r="D1535">
        <f>HYPERLINK("http://nlpdeep.cs.uic.edu:8080/proofing/t5/522939-history-of-present-illness-1-6.pdf","t5/522939-history-of-present-illness-1-6.pdf")</f>
        <v/>
      </c>
      <c r="E1535" t="n">
        <v>120842</v>
      </c>
      <c r="F1535" t="n">
        <v>522939</v>
      </c>
      <c r="G1535" t="inlineStr">
        <is>
          <t>Physician</t>
        </is>
      </c>
      <c r="H1535" t="inlineStr">
        <is>
          <t>history-of-present-illness</t>
        </is>
      </c>
      <c r="I1535" t="inlineStr">
        <is>
          <t>No known sick contacts.</t>
        </is>
      </c>
    </row>
    <row r="1536">
      <c r="A1536" t="inlineStr">
        <is>
          <t>522939-history-of-present-illness-1-6</t>
        </is>
      </c>
      <c r="B1536" t="inlineStr"/>
      <c r="C1536" t="inlineStr"/>
      <c r="D1536">
        <f>HYPERLINK("http://nlpdeep.cs.uic.edu:8080/proofing/gsii/522939-history-of-present-illness-1-6.pdf","gsii/522939-history-of-present-illness-1-6.pdf")</f>
        <v/>
      </c>
      <c r="E1536" t="n">
        <v>120842</v>
      </c>
      <c r="F1536" t="n">
        <v>522939</v>
      </c>
      <c r="G1536" t="inlineStr">
        <is>
          <t>Physician</t>
        </is>
      </c>
      <c r="H1536" t="inlineStr">
        <is>
          <t>history-of-present-illness</t>
        </is>
      </c>
      <c r="I1536" t="inlineStr">
        <is>
          <t>No known sick contacts.</t>
        </is>
      </c>
    </row>
    <row r="1537">
      <c r="A1537" t="inlineStr">
        <is>
          <t>522939-history-of-present-illness-1-7</t>
        </is>
      </c>
      <c r="B1537" t="inlineStr"/>
      <c r="C1537" t="inlineStr"/>
      <c r="D1537">
        <f>HYPERLINK("http://nlpdeep.cs.uic.edu:8080/proofing/t5/522939-history-of-present-illness-1-7.pdf","t5/522939-history-of-present-illness-1-7.pdf")</f>
        <v/>
      </c>
      <c r="E1537" t="n">
        <v>120842</v>
      </c>
      <c r="F1537" t="n">
        <v>522939</v>
      </c>
      <c r="G1537" t="inlineStr">
        <is>
          <t>Physician</t>
        </is>
      </c>
      <c r="H1537" t="inlineStr">
        <is>
          <t>history-of-present-illness</t>
        </is>
      </c>
      <c r="I1537" t="inlineStr">
        <is>
          <t xml:space="preserve">
   Also with HA due to 'coughing' and minimally productive cough.</t>
        </is>
      </c>
    </row>
    <row r="1538">
      <c r="A1538" t="inlineStr">
        <is>
          <t>522939-history-of-present-illness-1-7</t>
        </is>
      </c>
      <c r="B1538" t="inlineStr"/>
      <c r="C1538" t="inlineStr"/>
      <c r="D1538">
        <f>HYPERLINK("http://nlpdeep.cs.uic.edu:8080/proofing/gsii/522939-history-of-present-illness-1-7.pdf","gsii/522939-history-of-present-illness-1-7.pdf")</f>
        <v/>
      </c>
      <c r="E1538" t="n">
        <v>120842</v>
      </c>
      <c r="F1538" t="n">
        <v>522939</v>
      </c>
      <c r="G1538" t="inlineStr">
        <is>
          <t>Physician</t>
        </is>
      </c>
      <c r="H1538" t="inlineStr">
        <is>
          <t>history-of-present-illness</t>
        </is>
      </c>
      <c r="I1538" t="inlineStr">
        <is>
          <t xml:space="preserve">
   Also with HA due to 'coughing' and minimally productive cough.</t>
        </is>
      </c>
    </row>
    <row r="1539">
      <c r="A1539" t="inlineStr">
        <is>
          <t>522939-allergies-0-0</t>
        </is>
      </c>
      <c r="B1539" t="inlineStr"/>
      <c r="C1539" t="inlineStr"/>
      <c r="D1539">
        <f>HYPERLINK("http://nlpdeep.cs.uic.edu:8080/proofing/t5/522939-allergies-0-0.pdf","t5/522939-allergies-0-0.pdf")</f>
        <v/>
      </c>
      <c r="E1539" t="n">
        <v>120842</v>
      </c>
      <c r="F1539" t="n">
        <v>522939</v>
      </c>
      <c r="G1539" t="inlineStr">
        <is>
          <t>Physician</t>
        </is>
      </c>
      <c r="H1539" t="inlineStr">
        <is>
          <t>allergies</t>
        </is>
      </c>
      <c r="I1539" t="inlineStr">
        <is>
          <t>Hay fever (Nasal) (Homeopathic Drugs)
   Cough; s</t>
        </is>
      </c>
    </row>
    <row r="1540">
      <c r="A1540" t="inlineStr">
        <is>
          <t>522939-allergies-0-0</t>
        </is>
      </c>
      <c r="B1540" t="inlineStr"/>
      <c r="C1540" t="inlineStr"/>
      <c r="D1540">
        <f>HYPERLINK("http://nlpdeep.cs.uic.edu:8080/proofing/gsii/522939-allergies-0-0.pdf","gsii/522939-allergies-0-0.pdf")</f>
        <v/>
      </c>
      <c r="E1540" t="n">
        <v>120842</v>
      </c>
      <c r="F1540" t="n">
        <v>522939</v>
      </c>
      <c r="G1540" t="inlineStr">
        <is>
          <t>Physician</t>
        </is>
      </c>
      <c r="H1540" t="inlineStr">
        <is>
          <t>allergies</t>
        </is>
      </c>
      <c r="I1540" t="inlineStr">
        <is>
          <t>Hay fever (Nasal) (Homeopathic Drugs)
   Cough; s</t>
        </is>
      </c>
    </row>
    <row r="1541">
      <c r="A1541" t="inlineStr">
        <is>
          <t>522939-other-medications-0-0</t>
        </is>
      </c>
      <c r="B1541" t="inlineStr"/>
      <c r="C1541" t="inlineStr"/>
      <c r="D1541">
        <f>HYPERLINK("http://nlpdeep.cs.uic.edu:8080/proofing/t5/522939-other-medications-0-0.pdf","t5/522939-other-medications-0-0.pdf")</f>
        <v/>
      </c>
      <c r="E1541" t="n">
        <v>120842</v>
      </c>
      <c r="F1541" t="n">
        <v>522939</v>
      </c>
      <c r="G1541" t="inlineStr">
        <is>
          <t>Physician</t>
        </is>
      </c>
      <c r="H1541" t="inlineStr">
        <is>
          <t>other-medications</t>
        </is>
      </c>
      <c r="I1541" t="inlineStr">
        <is>
          <t>Heparin Sodium (Prophylaxis) - [**2153-4-8**] 10:56 PM
   Other medications:
   - Home O2 - 2LPM at rest, 4 LPM with exertion
   - Advair 500-50 twice a day
   - Albuterol neb or MDI Q6H as needed for wheezing, SOB
   - Captopril 50 mg TID
   - Fluoxetine 20 mg TID
   - Glipizide 5 mg Daily
   - Lorazepam 0.5 mg [**Hospital1 7**] as needed for Anxiety.</t>
        </is>
      </c>
    </row>
    <row r="1542">
      <c r="A1542" t="inlineStr">
        <is>
          <t>522939-other-medications-0-0</t>
        </is>
      </c>
      <c r="B1542" t="inlineStr"/>
      <c r="C1542" t="inlineStr"/>
      <c r="D1542">
        <f>HYPERLINK("http://nlpdeep.cs.uic.edu:8080/proofing/gsii/522939-other-medications-0-0.pdf","gsii/522939-other-medications-0-0.pdf")</f>
        <v/>
      </c>
      <c r="E1542" t="n">
        <v>120842</v>
      </c>
      <c r="F1542" t="n">
        <v>522939</v>
      </c>
      <c r="G1542" t="inlineStr">
        <is>
          <t>Physician</t>
        </is>
      </c>
      <c r="H1542" t="inlineStr">
        <is>
          <t>other-medications</t>
        </is>
      </c>
      <c r="I1542" t="inlineStr">
        <is>
          <t>Heparin Sodium (Prophylaxis) - [**2153-4-8**] 10:56 PM
   Other medications:
   - Home O2 - 2LPM at rest, 4 LPM with exertion
   - Advair 500-50 twice a day
   - Albuterol neb or MDI Q6H as needed for wheezing, SOB
   - Captopril 50 mg TID
   - Fluoxetine 20 mg TID
   - Glipizide 5 mg Daily
   - Lorazepam 0.5 mg [**Hospital1 7**] as needed for Anxiety.</t>
        </is>
      </c>
    </row>
    <row r="1543">
      <c r="A1543" t="inlineStr">
        <is>
          <t>522939-other-medications-0-1</t>
        </is>
      </c>
      <c r="B1543" t="inlineStr"/>
      <c r="C1543" t="inlineStr"/>
      <c r="D1543">
        <f>HYPERLINK("http://nlpdeep.cs.uic.edu:8080/proofing/t5/522939-other-medications-0-1.pdf","t5/522939-other-medications-0-1.pdf")</f>
        <v/>
      </c>
      <c r="E1543" t="n">
        <v>120842</v>
      </c>
      <c r="F1543" t="n">
        <v>522939</v>
      </c>
      <c r="G1543" t="inlineStr">
        <is>
          <t>Physician</t>
        </is>
      </c>
      <c r="H1543" t="inlineStr">
        <is>
          <t>other-medications</t>
        </is>
      </c>
      <c r="I1543" t="inlineStr">
        <is>
          <t xml:space="preserve">
   - Metformin 500 mg SR [**Hospital1 7**]
   - Montelukast 10 mg DAILY
   - Simvastatin 40 mg DAILY
   - Spiriva 18 mcg once a day.</t>
        </is>
      </c>
    </row>
    <row r="1544">
      <c r="A1544" t="inlineStr">
        <is>
          <t>522939-other-medications-0-1</t>
        </is>
      </c>
      <c r="B1544" t="inlineStr"/>
      <c r="C1544" t="inlineStr"/>
      <c r="D1544">
        <f>HYPERLINK("http://nlpdeep.cs.uic.edu:8080/proofing/gsii/522939-other-medications-0-1.pdf","gsii/522939-other-medications-0-1.pdf")</f>
        <v/>
      </c>
      <c r="E1544" t="n">
        <v>120842</v>
      </c>
      <c r="F1544" t="n">
        <v>522939</v>
      </c>
      <c r="G1544" t="inlineStr">
        <is>
          <t>Physician</t>
        </is>
      </c>
      <c r="H1544" t="inlineStr">
        <is>
          <t>other-medications</t>
        </is>
      </c>
      <c r="I1544" t="inlineStr">
        <is>
          <t xml:space="preserve">
   - Metformin 500 mg SR [**Hospital1 7**]
   - Montelukast 10 mg DAILY
   - Simvastatin 40 mg DAILY
   - Spiriva 18 mcg once a day.</t>
        </is>
      </c>
    </row>
    <row r="1545">
      <c r="A1545" t="inlineStr">
        <is>
          <t>522939-other-medications-0-2</t>
        </is>
      </c>
      <c r="B1545" t="inlineStr"/>
      <c r="C1545" t="inlineStr"/>
      <c r="D1545">
        <f>HYPERLINK("http://nlpdeep.cs.uic.edu:8080/proofing/t5/522939-other-medications-0-2.pdf","t5/522939-other-medications-0-2.pdf")</f>
        <v/>
      </c>
      <c r="E1545" t="n">
        <v>120842</v>
      </c>
      <c r="F1545" t="n">
        <v>522939</v>
      </c>
      <c r="G1545" t="inlineStr">
        <is>
          <t>Physician</t>
        </is>
      </c>
      <c r="H1545" t="inlineStr">
        <is>
          <t>other-medications</t>
        </is>
      </c>
      <c r="I1545" t="inlineStr">
        <is>
          <t xml:space="preserve">
   - Calcium 500 + D 500 mg(1,250mg)-400 unit twice a day.</t>
        </is>
      </c>
    </row>
    <row r="1546">
      <c r="A1546" t="inlineStr">
        <is>
          <t>522939-other-medications-0-2</t>
        </is>
      </c>
      <c r="B1546" t="inlineStr"/>
      <c r="C1546" t="inlineStr"/>
      <c r="D1546">
        <f>HYPERLINK("http://nlpdeep.cs.uic.edu:8080/proofing/gsii/522939-other-medications-0-2.pdf","gsii/522939-other-medications-0-2.pdf")</f>
        <v/>
      </c>
      <c r="E1546" t="n">
        <v>120842</v>
      </c>
      <c r="F1546" t="n">
        <v>522939</v>
      </c>
      <c r="G1546" t="inlineStr">
        <is>
          <t>Physician</t>
        </is>
      </c>
      <c r="H1546" t="inlineStr">
        <is>
          <t>other-medications</t>
        </is>
      </c>
      <c r="I1546" t="inlineStr">
        <is>
          <t xml:space="preserve">
   - Calcium 500 + D 500 mg(1,250mg)-400 unit twice a day.</t>
        </is>
      </c>
    </row>
    <row r="1547">
      <c r="A1547" t="inlineStr">
        <is>
          <t>522939-other-medications-0-3</t>
        </is>
      </c>
      <c r="B1547" t="inlineStr"/>
      <c r="C1547" t="inlineStr"/>
      <c r="D1547">
        <f>HYPERLINK("http://nlpdeep.cs.uic.edu:8080/proofing/t5/522939-other-medications-0-3.pdf","t5/522939-other-medications-0-3.pdf")</f>
        <v/>
      </c>
      <c r="E1547" t="n">
        <v>120842</v>
      </c>
      <c r="F1547" t="n">
        <v>522939</v>
      </c>
      <c r="G1547" t="inlineStr">
        <is>
          <t>Physician</t>
        </is>
      </c>
      <c r="H1547" t="inlineStr">
        <is>
          <t>other-medications</t>
        </is>
      </c>
      <c r="I1547" t="inlineStr">
        <is>
          <t xml:space="preserve">
   - Enoxaparin 30 mg/0.3 mL SC Q12H for 4 weeks.</t>
        </is>
      </c>
    </row>
    <row r="1548">
      <c r="A1548" t="inlineStr">
        <is>
          <t>522939-other-medications-0-3</t>
        </is>
      </c>
      <c r="B1548" t="inlineStr"/>
      <c r="C1548" t="inlineStr"/>
      <c r="D1548">
        <f>HYPERLINK("http://nlpdeep.cs.uic.edu:8080/proofing/gsii/522939-other-medications-0-3.pdf","gsii/522939-other-medications-0-3.pdf")</f>
        <v/>
      </c>
      <c r="E1548" t="n">
        <v>120842</v>
      </c>
      <c r="F1548" t="n">
        <v>522939</v>
      </c>
      <c r="G1548" t="inlineStr">
        <is>
          <t>Physician</t>
        </is>
      </c>
      <c r="H1548" t="inlineStr">
        <is>
          <t>other-medications</t>
        </is>
      </c>
      <c r="I1548" t="inlineStr">
        <is>
          <t xml:space="preserve">
   - Enoxaparin 30 mg/0.3 mL SC Q12H for 4 weeks.</t>
        </is>
      </c>
    </row>
    <row r="1549">
      <c r="A1549" t="inlineStr">
        <is>
          <t>522939-other-medications-0-4</t>
        </is>
      </c>
      <c r="B1549" t="inlineStr"/>
      <c r="C1549" t="inlineStr"/>
      <c r="D1549">
        <f>HYPERLINK("http://nlpdeep.cs.uic.edu:8080/proofing/t5/522939-other-medications-0-4.pdf","t5/522939-other-medications-0-4.pdf")</f>
        <v/>
      </c>
      <c r="E1549" t="n">
        <v>120842</v>
      </c>
      <c r="F1549" t="n">
        <v>522939</v>
      </c>
      <c r="G1549" t="inlineStr">
        <is>
          <t>Physician</t>
        </is>
      </c>
      <c r="H1549" t="inlineStr">
        <is>
          <t>other-medications</t>
        </is>
      </c>
      <c r="I1549" t="inlineStr">
        <is>
          <t xml:space="preserve"> Stopped [**4-1**]
   - Omeprazole 20 mg once a day.</t>
        </is>
      </c>
    </row>
    <row r="1550">
      <c r="A1550" t="inlineStr">
        <is>
          <t>522939-other-medications-0-4</t>
        </is>
      </c>
      <c r="B1550" t="inlineStr"/>
      <c r="C1550" t="inlineStr"/>
      <c r="D1550">
        <f>HYPERLINK("http://nlpdeep.cs.uic.edu:8080/proofing/gsii/522939-other-medications-0-4.pdf","gsii/522939-other-medications-0-4.pdf")</f>
        <v/>
      </c>
      <c r="E1550" t="n">
        <v>120842</v>
      </c>
      <c r="F1550" t="n">
        <v>522939</v>
      </c>
      <c r="G1550" t="inlineStr">
        <is>
          <t>Physician</t>
        </is>
      </c>
      <c r="H1550" t="inlineStr">
        <is>
          <t>other-medications</t>
        </is>
      </c>
      <c r="I1550" t="inlineStr">
        <is>
          <t xml:space="preserve"> Stopped [**4-1**]
   - Omeprazole 20 mg once a day.</t>
        </is>
      </c>
    </row>
    <row r="1551">
      <c r="A1551" t="inlineStr">
        <is>
          <t>522939-other-medications-0-5</t>
        </is>
      </c>
      <c r="B1551" t="inlineStr"/>
      <c r="C1551" t="inlineStr"/>
      <c r="D1551">
        <f>HYPERLINK("http://nlpdeep.cs.uic.edu:8080/proofing/t5/522939-other-medications-0-5.pdf","t5/522939-other-medications-0-5.pdf")</f>
        <v/>
      </c>
      <c r="E1551" t="n">
        <v>120842</v>
      </c>
      <c r="F1551" t="n">
        <v>522939</v>
      </c>
      <c r="G1551" t="inlineStr">
        <is>
          <t>Physician</t>
        </is>
      </c>
      <c r="H1551" t="inlineStr">
        <is>
          <t>other-medications</t>
        </is>
      </c>
      <c r="I1551" t="inlineStr">
        <is>
          <t>- Docusate Sodium 100 mg [**Hospital1 7**]
   - Multivitamin DAILY
   - Ferrous Sulfate 300 mg DAILY
   - Vitamin D 1000 IU daily
   - Robitussin DM PRN Cough s</t>
        </is>
      </c>
    </row>
    <row r="1552">
      <c r="A1552" t="inlineStr">
        <is>
          <t>522939-other-medications-0-5</t>
        </is>
      </c>
      <c r="B1552" t="inlineStr"/>
      <c r="C1552" t="inlineStr"/>
      <c r="D1552">
        <f>HYPERLINK("http://nlpdeep.cs.uic.edu:8080/proofing/gsii/522939-other-medications-0-5.pdf","gsii/522939-other-medications-0-5.pdf")</f>
        <v/>
      </c>
      <c r="E1552" t="n">
        <v>120842</v>
      </c>
      <c r="F1552" t="n">
        <v>522939</v>
      </c>
      <c r="G1552" t="inlineStr">
        <is>
          <t>Physician</t>
        </is>
      </c>
      <c r="H1552" t="inlineStr">
        <is>
          <t>other-medications</t>
        </is>
      </c>
      <c r="I1552" t="inlineStr">
        <is>
          <t>- Docusate Sodium 100 mg [**Hospital1 7**]
   - Multivitamin DAILY
   - Ferrous Sulfate 300 mg DAILY
   - Vitamin D 1000 IU daily
   - Robitussin DM PRN Cough s</t>
        </is>
      </c>
    </row>
    <row r="1553">
      <c r="A1553" t="inlineStr">
        <is>
          <t>522939-past-medical-history-0-0</t>
        </is>
      </c>
      <c r="B1553" t="inlineStr"/>
      <c r="C1553" t="inlineStr"/>
      <c r="D1553">
        <f>HYPERLINK("http://nlpdeep.cs.uic.edu:8080/proofing/t5/522939-past-medical-history-0-0.pdf","t5/522939-past-medical-history-0-0.pdf")</f>
        <v/>
      </c>
      <c r="E1553" t="n">
        <v>120842</v>
      </c>
      <c r="F1553" t="n">
        <v>522939</v>
      </c>
      <c r="G1553" t="inlineStr">
        <is>
          <t>Physician</t>
        </is>
      </c>
      <c r="H1553" t="inlineStr">
        <is>
          <t>past-medical-history</t>
        </is>
      </c>
      <c r="I1553" t="inlineStr">
        <is>
          <t>- COPD/?asthma on home O2 at 2-4LPM.</t>
        </is>
      </c>
    </row>
    <row r="1554">
      <c r="A1554" t="inlineStr">
        <is>
          <t>522939-past-medical-history-0-0</t>
        </is>
      </c>
      <c r="B1554" t="inlineStr"/>
      <c r="C1554" t="inlineStr"/>
      <c r="D1554">
        <f>HYPERLINK("http://nlpdeep.cs.uic.edu:8080/proofing/gsii/522939-past-medical-history-0-0.pdf","gsii/522939-past-medical-history-0-0.pdf")</f>
        <v/>
      </c>
      <c r="E1554" t="n">
        <v>120842</v>
      </c>
      <c r="F1554" t="n">
        <v>522939</v>
      </c>
      <c r="G1554" t="inlineStr">
        <is>
          <t>Physician</t>
        </is>
      </c>
      <c r="H1554" t="inlineStr">
        <is>
          <t>past-medical-history</t>
        </is>
      </c>
      <c r="I1554" t="inlineStr">
        <is>
          <t>- COPD/?asthma on home O2 at 2-4LPM.</t>
        </is>
      </c>
    </row>
    <row r="1555">
      <c r="A1555" t="inlineStr">
        <is>
          <t>522939-past-medical-history-0-1</t>
        </is>
      </c>
      <c r="B1555" t="inlineStr"/>
      <c r="C1555" t="inlineStr"/>
      <c r="D1555">
        <f>HYPERLINK("http://nlpdeep.cs.uic.edu:8080/proofing/t5/522939-past-medical-history-0-1.pdf","t5/522939-past-medical-history-0-1.pdf")</f>
        <v/>
      </c>
      <c r="E1555" t="n">
        <v>120842</v>
      </c>
      <c r="F1555" t="n">
        <v>522939</v>
      </c>
      <c r="G1555" t="inlineStr">
        <is>
          <t>Physician</t>
        </is>
      </c>
      <c r="H1555" t="inlineStr">
        <is>
          <t>past-medical-history</t>
        </is>
      </c>
      <c r="I1555" t="inlineStr">
        <is>
          <t>Spirometry with only mild to
   moderate obstructive defect, FEV1 1.17 (68% predicted) but low DLCO at
   38% predicted.</t>
        </is>
      </c>
    </row>
    <row r="1556">
      <c r="A1556" t="inlineStr">
        <is>
          <t>522939-past-medical-history-0-1</t>
        </is>
      </c>
      <c r="B1556" t="inlineStr"/>
      <c r="C1556" t="inlineStr"/>
      <c r="D1556">
        <f>HYPERLINK("http://nlpdeep.cs.uic.edu:8080/proofing/gsii/522939-past-medical-history-0-1.pdf","gsii/522939-past-medical-history-0-1.pdf")</f>
        <v/>
      </c>
      <c r="E1556" t="n">
        <v>120842</v>
      </c>
      <c r="F1556" t="n">
        <v>522939</v>
      </c>
      <c r="G1556" t="inlineStr">
        <is>
          <t>Physician</t>
        </is>
      </c>
      <c r="H1556" t="inlineStr">
        <is>
          <t>past-medical-history</t>
        </is>
      </c>
      <c r="I1556" t="inlineStr">
        <is>
          <t>Spirometry with only mild to
   moderate obstructive defect, FEV1 1.17 (68% predicted) but low DLCO at
   38% predicted.</t>
        </is>
      </c>
    </row>
    <row r="1557">
      <c r="A1557" t="inlineStr">
        <is>
          <t>522939-past-medical-history-0-2</t>
        </is>
      </c>
      <c r="B1557" t="inlineStr"/>
      <c r="C1557" t="inlineStr"/>
      <c r="D1557">
        <f>HYPERLINK("http://nlpdeep.cs.uic.edu:8080/proofing/t5/522939-past-medical-history-0-2.pdf","t5/522939-past-medical-history-0-2.pdf")</f>
        <v/>
      </c>
      <c r="E1557" t="n">
        <v>120842</v>
      </c>
      <c r="F1557" t="n">
        <v>522939</v>
      </c>
      <c r="G1557" t="inlineStr">
        <is>
          <t>Physician</t>
        </is>
      </c>
      <c r="H1557" t="inlineStr">
        <is>
          <t>past-medical-history</t>
        </is>
      </c>
      <c r="I1557" t="inlineStr">
        <is>
          <t xml:space="preserve">
   - Diastolic CHF and pulmonary hypertension.</t>
        </is>
      </c>
    </row>
    <row r="1558">
      <c r="A1558" t="inlineStr">
        <is>
          <t>522939-past-medical-history-0-2</t>
        </is>
      </c>
      <c r="B1558" t="inlineStr"/>
      <c r="C1558" t="inlineStr"/>
      <c r="D1558">
        <f>HYPERLINK("http://nlpdeep.cs.uic.edu:8080/proofing/gsii/522939-past-medical-history-0-2.pdf","gsii/522939-past-medical-history-0-2.pdf")</f>
        <v/>
      </c>
      <c r="E1558" t="n">
        <v>120842</v>
      </c>
      <c r="F1558" t="n">
        <v>522939</v>
      </c>
      <c r="G1558" t="inlineStr">
        <is>
          <t>Physician</t>
        </is>
      </c>
      <c r="H1558" t="inlineStr">
        <is>
          <t>past-medical-history</t>
        </is>
      </c>
      <c r="I1558" t="inlineStr">
        <is>
          <t xml:space="preserve">
   - Diastolic CHF and pulmonary hypertension.</t>
        </is>
      </c>
    </row>
    <row r="1559">
      <c r="A1559" t="inlineStr">
        <is>
          <t>522939-past-medical-history-0-3</t>
        </is>
      </c>
      <c r="B1559" t="inlineStr"/>
      <c r="C1559" t="inlineStr"/>
      <c r="D1559">
        <f>HYPERLINK("http://nlpdeep.cs.uic.edu:8080/proofing/t5/522939-past-medical-history-0-3.pdf","t5/522939-past-medical-history-0-3.pdf")</f>
        <v/>
      </c>
      <c r="E1559" t="n">
        <v>120842</v>
      </c>
      <c r="F1559" t="n">
        <v>522939</v>
      </c>
      <c r="G1559" t="inlineStr">
        <is>
          <t>Physician</t>
        </is>
      </c>
      <c r="H1559" t="inlineStr">
        <is>
          <t>past-medical-history</t>
        </is>
      </c>
      <c r="I1559" t="inlineStr">
        <is>
          <t>Last TTE [**12/2151**] with EF
   &gt;55%, mild RV dilation with preserved function, estimated TR gradient
   43-63.</t>
        </is>
      </c>
    </row>
    <row r="1560">
      <c r="A1560" t="inlineStr">
        <is>
          <t>522939-past-medical-history-0-3</t>
        </is>
      </c>
      <c r="B1560" t="inlineStr"/>
      <c r="C1560" t="inlineStr"/>
      <c r="D1560">
        <f>HYPERLINK("http://nlpdeep.cs.uic.edu:8080/proofing/gsii/522939-past-medical-history-0-3.pdf","gsii/522939-past-medical-history-0-3.pdf")</f>
        <v/>
      </c>
      <c r="E1560" t="n">
        <v>120842</v>
      </c>
      <c r="F1560" t="n">
        <v>522939</v>
      </c>
      <c r="G1560" t="inlineStr">
        <is>
          <t>Physician</t>
        </is>
      </c>
      <c r="H1560" t="inlineStr">
        <is>
          <t>past-medical-history</t>
        </is>
      </c>
      <c r="I1560" t="inlineStr">
        <is>
          <t>Last TTE [**12/2151**] with EF
   &gt;55%, mild RV dilation with preserved function, estimated TR gradient
   43-63.</t>
        </is>
      </c>
    </row>
    <row r="1561">
      <c r="A1561" t="inlineStr">
        <is>
          <t>522939-past-medical-history-0-4</t>
        </is>
      </c>
      <c r="B1561" t="inlineStr"/>
      <c r="C1561" t="inlineStr"/>
      <c r="D1561">
        <f>HYPERLINK("http://nlpdeep.cs.uic.edu:8080/proofing/t5/522939-past-medical-history-0-4.pdf","t5/522939-past-medical-history-0-4.pdf")</f>
        <v/>
      </c>
      <c r="E1561" t="n">
        <v>120842</v>
      </c>
      <c r="F1561" t="n">
        <v>522939</v>
      </c>
      <c r="G1561" t="inlineStr">
        <is>
          <t>Physician</t>
        </is>
      </c>
      <c r="H1561" t="inlineStr">
        <is>
          <t>past-medical-history</t>
        </is>
      </c>
      <c r="I1561" t="inlineStr">
        <is>
          <t xml:space="preserve">
   - OSA on home CPAP
   - DM type II
   - HTN
   - s/p R TKR [**2153-3-5**], complicated by desaturation due to COPD
   exacerbation, dCHF, and ?narcotics.</t>
        </is>
      </c>
    </row>
    <row r="1562">
      <c r="A1562" t="inlineStr">
        <is>
          <t>522939-past-medical-history-0-4</t>
        </is>
      </c>
      <c r="B1562" t="inlineStr"/>
      <c r="C1562" t="inlineStr"/>
      <c r="D1562">
        <f>HYPERLINK("http://nlpdeep.cs.uic.edu:8080/proofing/gsii/522939-past-medical-history-0-4.pdf","gsii/522939-past-medical-history-0-4.pdf")</f>
        <v/>
      </c>
      <c r="E1562" t="n">
        <v>120842</v>
      </c>
      <c r="F1562" t="n">
        <v>522939</v>
      </c>
      <c r="G1562" t="inlineStr">
        <is>
          <t>Physician</t>
        </is>
      </c>
      <c r="H1562" t="inlineStr">
        <is>
          <t>past-medical-history</t>
        </is>
      </c>
      <c r="I1562" t="inlineStr">
        <is>
          <t xml:space="preserve">
   - OSA on home CPAP
   - DM type II
   - HTN
   - s/p R TKR [**2153-3-5**], complicated by desaturation due to COPD
   exacerbation, dCHF, and ?narcotics.</t>
        </is>
      </c>
    </row>
    <row r="1563">
      <c r="A1563" t="inlineStr">
        <is>
          <t>522939-past-medical-history-0-5</t>
        </is>
      </c>
      <c r="B1563" t="inlineStr"/>
      <c r="C1563" t="inlineStr"/>
      <c r="D1563">
        <f>HYPERLINK("http://nlpdeep.cs.uic.edu:8080/proofing/t5/522939-past-medical-history-0-5.pdf","t5/522939-past-medical-history-0-5.pdf")</f>
        <v/>
      </c>
      <c r="E1563" t="n">
        <v>120842</v>
      </c>
      <c r="F1563" t="n">
        <v>522939</v>
      </c>
      <c r="G1563" t="inlineStr">
        <is>
          <t>Physician</t>
        </is>
      </c>
      <c r="H1563" t="inlineStr">
        <is>
          <t>past-medical-history</t>
        </is>
      </c>
      <c r="I1563" t="inlineStr">
        <is>
          <t>- s/p L TKR
   - History of rectal cancer s/p chemo, XRT, and s/p transanal rectal ca
   excision
   - s/p hysterectomy
   - Anxiety / D</t>
        </is>
      </c>
    </row>
    <row r="1564">
      <c r="A1564" t="inlineStr">
        <is>
          <t>522939-past-medical-history-0-5</t>
        </is>
      </c>
      <c r="B1564" t="inlineStr"/>
      <c r="C1564" t="inlineStr"/>
      <c r="D1564">
        <f>HYPERLINK("http://nlpdeep.cs.uic.edu:8080/proofing/gsii/522939-past-medical-history-0-5.pdf","gsii/522939-past-medical-history-0-5.pdf")</f>
        <v/>
      </c>
      <c r="E1564" t="n">
        <v>120842</v>
      </c>
      <c r="F1564" t="n">
        <v>522939</v>
      </c>
      <c r="G1564" t="inlineStr">
        <is>
          <t>Physician</t>
        </is>
      </c>
      <c r="H1564" t="inlineStr">
        <is>
          <t>past-medical-history</t>
        </is>
      </c>
      <c r="I1564" t="inlineStr">
        <is>
          <t>- s/p L TKR
   - History of rectal cancer s/p chemo, XRT, and s/p transanal rectal ca
   excision
   - s/p hysterectomy
   - Anxiety / D</t>
        </is>
      </c>
    </row>
    <row r="1565">
      <c r="A1565" t="inlineStr">
        <is>
          <t>522939-family-history-0-0</t>
        </is>
      </c>
      <c r="B1565" t="inlineStr"/>
      <c r="C1565" t="inlineStr"/>
      <c r="D1565">
        <f>HYPERLINK("http://nlpdeep.cs.uic.edu:8080/proofing/t5/522939-family-history-0-0.pdf","t5/522939-family-history-0-0.pdf")</f>
        <v/>
      </c>
      <c r="E1565" t="n">
        <v>120842</v>
      </c>
      <c r="F1565" t="n">
        <v>522939</v>
      </c>
      <c r="G1565" t="inlineStr">
        <is>
          <t>Physician</t>
        </is>
      </c>
      <c r="H1565" t="inlineStr">
        <is>
          <t>family-history</t>
        </is>
      </c>
      <c r="I1565" t="inlineStr">
        <is>
          <t>Has 11 children and 27 grandchildren.</t>
        </is>
      </c>
    </row>
    <row r="1566">
      <c r="A1566" t="inlineStr">
        <is>
          <t>522939-family-history-0-0</t>
        </is>
      </c>
      <c r="B1566" t="inlineStr"/>
      <c r="C1566" t="inlineStr"/>
      <c r="D1566">
        <f>HYPERLINK("http://nlpdeep.cs.uic.edu:8080/proofing/gsii/522939-family-history-0-0.pdf","gsii/522939-family-history-0-0.pdf")</f>
        <v/>
      </c>
      <c r="E1566" t="n">
        <v>120842</v>
      </c>
      <c r="F1566" t="n">
        <v>522939</v>
      </c>
      <c r="G1566" t="inlineStr">
        <is>
          <t>Physician</t>
        </is>
      </c>
      <c r="H1566" t="inlineStr">
        <is>
          <t>family-history</t>
        </is>
      </c>
      <c r="I1566" t="inlineStr">
        <is>
          <t>Has 11 children and 27 grandchildren.</t>
        </is>
      </c>
    </row>
    <row r="1567">
      <c r="A1567" t="inlineStr">
        <is>
          <t>522939-family-history-0-1</t>
        </is>
      </c>
      <c r="B1567" t="inlineStr"/>
      <c r="C1567" t="inlineStr"/>
      <c r="D1567">
        <f>HYPERLINK("http://nlpdeep.cs.uic.edu:8080/proofing/t5/522939-family-history-0-1.pdf","t5/522939-family-history-0-1.pdf")</f>
        <v/>
      </c>
      <c r="E1567" t="n">
        <v>120842</v>
      </c>
      <c r="F1567" t="n">
        <v>522939</v>
      </c>
      <c r="G1567" t="inlineStr">
        <is>
          <t>Physician</t>
        </is>
      </c>
      <c r="H1567" t="inlineStr">
        <is>
          <t>family-history</t>
        </is>
      </c>
      <c r="I1567" t="inlineStr">
        <is>
          <t>She lives alone but has help from
   her many children.</t>
        </is>
      </c>
    </row>
    <row r="1568">
      <c r="A1568" t="inlineStr">
        <is>
          <t>522939-family-history-0-1</t>
        </is>
      </c>
      <c r="B1568" t="inlineStr"/>
      <c r="C1568" t="inlineStr"/>
      <c r="D1568">
        <f>HYPERLINK("http://nlpdeep.cs.uic.edu:8080/proofing/gsii/522939-family-history-0-1.pdf","gsii/522939-family-history-0-1.pdf")</f>
        <v/>
      </c>
      <c r="E1568" t="n">
        <v>120842</v>
      </c>
      <c r="F1568" t="n">
        <v>522939</v>
      </c>
      <c r="G1568" t="inlineStr">
        <is>
          <t>Physician</t>
        </is>
      </c>
      <c r="H1568" t="inlineStr">
        <is>
          <t>family-history</t>
        </is>
      </c>
      <c r="I1568" t="inlineStr">
        <is>
          <t>She lives alone but has help from
   her many children.</t>
        </is>
      </c>
    </row>
    <row r="1569">
      <c r="A1569" t="inlineStr">
        <is>
          <t>522939-social-history-0-0</t>
        </is>
      </c>
      <c r="B1569" t="inlineStr"/>
      <c r="C1569" t="inlineStr"/>
      <c r="D1569">
        <f>HYPERLINK("http://nlpdeep.cs.uic.edu:8080/proofing/t5/522939-social-history-0-0.pdf","t5/522939-social-history-0-0.pdf")</f>
        <v/>
      </c>
      <c r="E1569" t="n">
        <v>120842</v>
      </c>
      <c r="F1569" t="n">
        <v>522939</v>
      </c>
      <c r="G1569" t="inlineStr">
        <is>
          <t>Physician</t>
        </is>
      </c>
      <c r="H1569" t="inlineStr">
        <is>
          <t>social-history</t>
        </is>
      </c>
      <c r="I1569" t="inlineStr">
        <is>
          <t>Patient is a former smoker with 40-60 pack year
   smoking history but quit over 10 years prior.</t>
        </is>
      </c>
    </row>
    <row r="1570">
      <c r="A1570" t="inlineStr">
        <is>
          <t>522939-social-history-0-0</t>
        </is>
      </c>
      <c r="B1570" t="inlineStr"/>
      <c r="C1570" t="inlineStr"/>
      <c r="D1570">
        <f>HYPERLINK("http://nlpdeep.cs.uic.edu:8080/proofing/gsii/522939-social-history-0-0.pdf","gsii/522939-social-history-0-0.pdf")</f>
        <v/>
      </c>
      <c r="E1570" t="n">
        <v>120842</v>
      </c>
      <c r="F1570" t="n">
        <v>522939</v>
      </c>
      <c r="G1570" t="inlineStr">
        <is>
          <t>Physician</t>
        </is>
      </c>
      <c r="H1570" t="inlineStr">
        <is>
          <t>social-history</t>
        </is>
      </c>
      <c r="I1570" t="inlineStr">
        <is>
          <t>Patient is a former smoker with 40-60 pack year
   smoking history but quit over 10 years prior.</t>
        </is>
      </c>
    </row>
    <row r="1571">
      <c r="A1571" t="inlineStr">
        <is>
          <t>522939-social-history-0-1</t>
        </is>
      </c>
      <c r="B1571" t="inlineStr"/>
      <c r="C1571" t="inlineStr"/>
      <c r="D1571">
        <f>HYPERLINK("http://nlpdeep.cs.uic.edu:8080/proofing/t5/522939-social-history-0-1.pdf","t5/522939-social-history-0-1.pdf")</f>
        <v/>
      </c>
      <c r="E1571" t="n">
        <v>120842</v>
      </c>
      <c r="F1571" t="n">
        <v>522939</v>
      </c>
      <c r="G1571" t="inlineStr">
        <is>
          <t>Physician</t>
        </is>
      </c>
      <c r="H1571" t="inlineStr">
        <is>
          <t>social-history</t>
        </is>
      </c>
      <c r="I1571" t="inlineStr">
        <is>
          <t xml:space="preserve"> No alcohol use.</t>
        </is>
      </c>
    </row>
    <row r="1572">
      <c r="A1572" t="inlineStr">
        <is>
          <t>522939-social-history-0-1</t>
        </is>
      </c>
      <c r="B1572" t="inlineStr"/>
      <c r="C1572" t="inlineStr"/>
      <c r="D1572">
        <f>HYPERLINK("http://nlpdeep.cs.uic.edu:8080/proofing/gsii/522939-social-history-0-1.pdf","gsii/522939-social-history-0-1.pdf")</f>
        <v/>
      </c>
      <c r="E1572" t="n">
        <v>120842</v>
      </c>
      <c r="F1572" t="n">
        <v>522939</v>
      </c>
      <c r="G1572" t="inlineStr">
        <is>
          <t>Physician</t>
        </is>
      </c>
      <c r="H1572" t="inlineStr">
        <is>
          <t>social-history</t>
        </is>
      </c>
      <c r="I1572" t="inlineStr">
        <is>
          <t xml:space="preserve"> No alcohol use.</t>
        </is>
      </c>
    </row>
    <row r="1573">
      <c r="A1573" t="inlineStr">
        <is>
          <t>522939-review-of-systems-0-0</t>
        </is>
      </c>
      <c r="B1573" t="inlineStr"/>
      <c r="C1573" t="inlineStr"/>
      <c r="D1573">
        <f>HYPERLINK("http://nlpdeep.cs.uic.edu:8080/proofing/t5/522939-review-of-systems-0-0.pdf","t5/522939-review-of-systems-0-0.pdf")</f>
        <v/>
      </c>
      <c r="E1573" t="n">
        <v>120842</v>
      </c>
      <c r="F1573" t="n">
        <v>522939</v>
      </c>
      <c r="G1573" t="inlineStr">
        <is>
          <t>Physician</t>
        </is>
      </c>
      <c r="H1573" t="inlineStr">
        <is>
          <t>review-of-systems</t>
        </is>
      </c>
      <c r="I1573" t="inlineStr">
        <is>
          <t>(+) Per HPI
   (-) Denies fever, chills, night sweats, recent weight loss or gain.</t>
        </is>
      </c>
    </row>
    <row r="1574">
      <c r="A1574" t="inlineStr">
        <is>
          <t>522939-review-of-systems-0-0</t>
        </is>
      </c>
      <c r="B1574" t="inlineStr"/>
      <c r="C1574" t="inlineStr"/>
      <c r="D1574">
        <f>HYPERLINK("http://nlpdeep.cs.uic.edu:8080/proofing/gsii/522939-review-of-systems-0-0.pdf","gsii/522939-review-of-systems-0-0.pdf")</f>
        <v/>
      </c>
      <c r="E1574" t="n">
        <v>120842</v>
      </c>
      <c r="F1574" t="n">
        <v>522939</v>
      </c>
      <c r="G1574" t="inlineStr">
        <is>
          <t>Physician</t>
        </is>
      </c>
      <c r="H1574" t="inlineStr">
        <is>
          <t>review-of-systems</t>
        </is>
      </c>
      <c r="I1574" t="inlineStr">
        <is>
          <t>(+) Per HPI
   (-) Denies fever, chills, night sweats, recent weight loss or gain.</t>
        </is>
      </c>
    </row>
    <row r="1575">
      <c r="A1575" t="inlineStr">
        <is>
          <t>522939-review-of-systems-0-1</t>
        </is>
      </c>
      <c r="B1575" t="inlineStr"/>
      <c r="C1575" t="inlineStr"/>
      <c r="D1575">
        <f>HYPERLINK("http://nlpdeep.cs.uic.edu:8080/proofing/t5/522939-review-of-systems-0-1.pdf","t5/522939-review-of-systems-0-1.pdf")</f>
        <v/>
      </c>
      <c r="E1575" t="n">
        <v>120842</v>
      </c>
      <c r="F1575" t="n">
        <v>522939</v>
      </c>
      <c r="G1575" t="inlineStr">
        <is>
          <t>Physician</t>
        </is>
      </c>
      <c r="H1575" t="inlineStr">
        <is>
          <t>review-of-systems</t>
        </is>
      </c>
      <c r="I1575" t="inlineStr">
        <is>
          <t xml:space="preserve">
   Denies sinus tenderness, rhinorrhea or congestion.</t>
        </is>
      </c>
    </row>
    <row r="1576">
      <c r="A1576" t="inlineStr">
        <is>
          <t>522939-review-of-systems-0-1</t>
        </is>
      </c>
      <c r="B1576" t="inlineStr"/>
      <c r="C1576" t="inlineStr"/>
      <c r="D1576">
        <f>HYPERLINK("http://nlpdeep.cs.uic.edu:8080/proofing/gsii/522939-review-of-systems-0-1.pdf","gsii/522939-review-of-systems-0-1.pdf")</f>
        <v/>
      </c>
      <c r="E1576" t="n">
        <v>120842</v>
      </c>
      <c r="F1576" t="n">
        <v>522939</v>
      </c>
      <c r="G1576" t="inlineStr">
        <is>
          <t>Physician</t>
        </is>
      </c>
      <c r="H1576" t="inlineStr">
        <is>
          <t>review-of-systems</t>
        </is>
      </c>
      <c r="I1576" t="inlineStr">
        <is>
          <t xml:space="preserve">
   Denies sinus tenderness, rhinorrhea or congestion.</t>
        </is>
      </c>
    </row>
    <row r="1577">
      <c r="A1577" t="inlineStr">
        <is>
          <t>522939-review-of-systems-0-2</t>
        </is>
      </c>
      <c r="B1577" t="inlineStr"/>
      <c r="C1577" t="inlineStr"/>
      <c r="D1577">
        <f>HYPERLINK("http://nlpdeep.cs.uic.edu:8080/proofing/t5/522939-review-of-systems-0-2.pdf","t5/522939-review-of-systems-0-2.pdf")</f>
        <v/>
      </c>
      <c r="E1577" t="n">
        <v>120842</v>
      </c>
      <c r="F1577" t="n">
        <v>522939</v>
      </c>
      <c r="G1577" t="inlineStr">
        <is>
          <t>Physician</t>
        </is>
      </c>
      <c r="H1577" t="inlineStr">
        <is>
          <t>review-of-systems</t>
        </is>
      </c>
      <c r="I1577" t="inlineStr">
        <is>
          <t>Denied chest pain or
   tightness, palpitations.</t>
        </is>
      </c>
    </row>
    <row r="1578">
      <c r="A1578" t="inlineStr">
        <is>
          <t>522939-review-of-systems-0-2</t>
        </is>
      </c>
      <c r="B1578" t="inlineStr"/>
      <c r="C1578" t="inlineStr"/>
      <c r="D1578">
        <f>HYPERLINK("http://nlpdeep.cs.uic.edu:8080/proofing/gsii/522939-review-of-systems-0-2.pdf","gsii/522939-review-of-systems-0-2.pdf")</f>
        <v/>
      </c>
      <c r="E1578" t="n">
        <v>120842</v>
      </c>
      <c r="F1578" t="n">
        <v>522939</v>
      </c>
      <c r="G1578" t="inlineStr">
        <is>
          <t>Physician</t>
        </is>
      </c>
      <c r="H1578" t="inlineStr">
        <is>
          <t>review-of-systems</t>
        </is>
      </c>
      <c r="I1578" t="inlineStr">
        <is>
          <t>Denied chest pain or
   tightness, palpitations.</t>
        </is>
      </c>
    </row>
    <row r="1579">
      <c r="A1579" t="inlineStr">
        <is>
          <t>522939-review-of-systems-0-3</t>
        </is>
      </c>
      <c r="B1579" t="inlineStr"/>
      <c r="C1579" t="inlineStr"/>
      <c r="D1579">
        <f>HYPERLINK("http://nlpdeep.cs.uic.edu:8080/proofing/t5/522939-review-of-systems-0-3.pdf","t5/522939-review-of-systems-0-3.pdf")</f>
        <v/>
      </c>
      <c r="E1579" t="n">
        <v>120842</v>
      </c>
      <c r="F1579" t="n">
        <v>522939</v>
      </c>
      <c r="G1579" t="inlineStr">
        <is>
          <t>Physician</t>
        </is>
      </c>
      <c r="H1579" t="inlineStr">
        <is>
          <t>review-of-systems</t>
        </is>
      </c>
      <c r="I1579" t="inlineStr">
        <is>
          <t>Denied nausea, vomiting, diarrhea,
   constipation or abdominal pain.</t>
        </is>
      </c>
    </row>
    <row r="1580">
      <c r="A1580" t="inlineStr">
        <is>
          <t>522939-review-of-systems-0-3</t>
        </is>
      </c>
      <c r="B1580" t="inlineStr"/>
      <c r="C1580" t="inlineStr"/>
      <c r="D1580">
        <f>HYPERLINK("http://nlpdeep.cs.uic.edu:8080/proofing/gsii/522939-review-of-systems-0-3.pdf","gsii/522939-review-of-systems-0-3.pdf")</f>
        <v/>
      </c>
      <c r="E1580" t="n">
        <v>120842</v>
      </c>
      <c r="F1580" t="n">
        <v>522939</v>
      </c>
      <c r="G1580" t="inlineStr">
        <is>
          <t>Physician</t>
        </is>
      </c>
      <c r="H1580" t="inlineStr">
        <is>
          <t>review-of-systems</t>
        </is>
      </c>
      <c r="I1580" t="inlineStr">
        <is>
          <t>Denied nausea, vomiting, diarrhea,
   constipation or abdominal pain.</t>
        </is>
      </c>
    </row>
    <row r="1581">
      <c r="A1581" t="inlineStr">
        <is>
          <t>522939-review-of-systems-0-4</t>
        </is>
      </c>
      <c r="B1581" t="inlineStr"/>
      <c r="C1581" t="inlineStr"/>
      <c r="D1581">
        <f>HYPERLINK("http://nlpdeep.cs.uic.edu:8080/proofing/t5/522939-review-of-systems-0-4.pdf","t5/522939-review-of-systems-0-4.pdf")</f>
        <v/>
      </c>
      <c r="E1581" t="n">
        <v>120842</v>
      </c>
      <c r="F1581" t="n">
        <v>522939</v>
      </c>
      <c r="G1581" t="inlineStr">
        <is>
          <t>Physician</t>
        </is>
      </c>
      <c r="H1581" t="inlineStr">
        <is>
          <t>review-of-systems</t>
        </is>
      </c>
      <c r="I1581" t="inlineStr">
        <is>
          <t>No recent change in bowel or bladder
   habits.</t>
        </is>
      </c>
    </row>
    <row r="1582">
      <c r="A1582" t="inlineStr">
        <is>
          <t>522939-review-of-systems-0-4</t>
        </is>
      </c>
      <c r="B1582" t="inlineStr"/>
      <c r="C1582" t="inlineStr"/>
      <c r="D1582">
        <f>HYPERLINK("http://nlpdeep.cs.uic.edu:8080/proofing/gsii/522939-review-of-systems-0-4.pdf","gsii/522939-review-of-systems-0-4.pdf")</f>
        <v/>
      </c>
      <c r="E1582" t="n">
        <v>120842</v>
      </c>
      <c r="F1582" t="n">
        <v>522939</v>
      </c>
      <c r="G1582" t="inlineStr">
        <is>
          <t>Physician</t>
        </is>
      </c>
      <c r="H1582" t="inlineStr">
        <is>
          <t>review-of-systems</t>
        </is>
      </c>
      <c r="I1582" t="inlineStr">
        <is>
          <t>No recent change in bowel or bladder
   habits.</t>
        </is>
      </c>
    </row>
    <row r="1583">
      <c r="A1583" t="inlineStr">
        <is>
          <t>522939-review-of-systems-0-5</t>
        </is>
      </c>
      <c r="B1583" t="inlineStr"/>
      <c r="C1583" t="inlineStr"/>
      <c r="D1583">
        <f>HYPERLINK("http://nlpdeep.cs.uic.edu:8080/proofing/t5/522939-review-of-systems-0-5.pdf","t5/522939-review-of-systems-0-5.pdf")</f>
        <v/>
      </c>
      <c r="E1583" t="n">
        <v>120842</v>
      </c>
      <c r="F1583" t="n">
        <v>522939</v>
      </c>
      <c r="G1583" t="inlineStr">
        <is>
          <t>Physician</t>
        </is>
      </c>
      <c r="H1583" t="inlineStr">
        <is>
          <t>review-of-systems</t>
        </is>
      </c>
      <c r="I1583" t="inlineStr">
        <is>
          <t>No dysuria.</t>
        </is>
      </c>
    </row>
    <row r="1584">
      <c r="A1584" t="inlineStr">
        <is>
          <t>522939-review-of-systems-0-5</t>
        </is>
      </c>
      <c r="B1584" t="inlineStr"/>
      <c r="C1584" t="inlineStr"/>
      <c r="D1584">
        <f>HYPERLINK("http://nlpdeep.cs.uic.edu:8080/proofing/gsii/522939-review-of-systems-0-5.pdf","gsii/522939-review-of-systems-0-5.pdf")</f>
        <v/>
      </c>
      <c r="E1584" t="n">
        <v>120842</v>
      </c>
      <c r="F1584" t="n">
        <v>522939</v>
      </c>
      <c r="G1584" t="inlineStr">
        <is>
          <t>Physician</t>
        </is>
      </c>
      <c r="H1584" t="inlineStr">
        <is>
          <t>review-of-systems</t>
        </is>
      </c>
      <c r="I1584" t="inlineStr">
        <is>
          <t>No dysuria.</t>
        </is>
      </c>
    </row>
    <row r="1585">
      <c r="A1585" t="inlineStr">
        <is>
          <t>522939-review-of-systems-0-6</t>
        </is>
      </c>
      <c r="B1585" t="inlineStr"/>
      <c r="C1585" t="inlineStr"/>
      <c r="D1585">
        <f>HYPERLINK("http://nlpdeep.cs.uic.edu:8080/proofing/t5/522939-review-of-systems-0-6.pdf","t5/522939-review-of-systems-0-6.pdf")</f>
        <v/>
      </c>
      <c r="E1585" t="n">
        <v>120842</v>
      </c>
      <c r="F1585" t="n">
        <v>522939</v>
      </c>
      <c r="G1585" t="inlineStr">
        <is>
          <t>Physician</t>
        </is>
      </c>
      <c r="H1585" t="inlineStr">
        <is>
          <t>review-of-systems</t>
        </is>
      </c>
      <c r="I1585" t="inlineStr">
        <is>
          <t>Denied arthralgias or myalgias.</t>
        </is>
      </c>
    </row>
    <row r="1586">
      <c r="A1586" t="inlineStr">
        <is>
          <t>522939-review-of-systems-0-6</t>
        </is>
      </c>
      <c r="B1586" t="inlineStr"/>
      <c r="C1586" t="inlineStr"/>
      <c r="D1586">
        <f>HYPERLINK("http://nlpdeep.cs.uic.edu:8080/proofing/gsii/522939-review-of-systems-0-6.pdf","gsii/522939-review-of-systems-0-6.pdf")</f>
        <v/>
      </c>
      <c r="E1586" t="n">
        <v>120842</v>
      </c>
      <c r="F1586" t="n">
        <v>522939</v>
      </c>
      <c r="G1586" t="inlineStr">
        <is>
          <t>Physician</t>
        </is>
      </c>
      <c r="H1586" t="inlineStr">
        <is>
          <t>review-of-systems</t>
        </is>
      </c>
      <c r="I1586" t="inlineStr">
        <is>
          <t>Denied arthralgias or myalgias.</t>
        </is>
      </c>
    </row>
    <row r="1587">
      <c r="A1587" t="inlineStr">
        <is>
          <t>522939-flowsheet-data-vitals-0-0</t>
        </is>
      </c>
      <c r="B1587" t="inlineStr"/>
      <c r="C1587" t="inlineStr"/>
      <c r="D1587">
        <f>HYPERLINK("http://nlpdeep.cs.uic.edu:8080/proofing/t5/522939-flowsheet-data-vitals-0-0.pdf","t5/522939-flowsheet-data-vitals-0-0.pdf")</f>
        <v/>
      </c>
      <c r="E1587" t="n">
        <v>120842</v>
      </c>
      <c r="F1587" t="n">
        <v>522939</v>
      </c>
      <c r="G1587" t="inlineStr">
        <is>
          <t>Physician</t>
        </is>
      </c>
      <c r="H1587" t="inlineStr">
        <is>
          <t>flowsheet-data-vitals</t>
        </is>
      </c>
      <c r="I1587" t="inlineStr">
        <is>
          <t>Vital Signs
   Hemodynamic monitoring
   Fluid Balance
                                                                  24 hours
                                                               Since [**55**] AM
   Tmax: 36.4
C (97.6
   Tcurrent: 36.4
C (97.6
   HR: 97 (97 - 138) bpm
   BP: 149/57(83) {128/57(83) - 149/69(83)} mmHg
   RR: 30 (23 - 30) insp/min
   SpO2: 98%
   Heart rhythm: SR (Sinus Rhythm)
   Height: 24 Inch
                  Total In:
                                                                    509 mL
                  PO:
                                                                    300 mL
                  TF:
   IVF:
                                                                    209 mL
   Blood products:
   Total out:
                                                                  1,550 mL
                                                                    450 mL
   Urine:
                                                                  1,550 mL
                                                                    450 mL
   NG:
   Stool:
   Drains:
   Balance:
                                                                 -1,041 mL
                                                                   -450 mL
   Respiratory
   SpO2: 98%</t>
        </is>
      </c>
    </row>
    <row r="1588">
      <c r="A1588" t="inlineStr">
        <is>
          <t>522939-flowsheet-data-vitals-0-0</t>
        </is>
      </c>
      <c r="B1588" t="inlineStr"/>
      <c r="C1588" t="inlineStr"/>
      <c r="D1588">
        <f>HYPERLINK("http://nlpdeep.cs.uic.edu:8080/proofing/gsii/522939-flowsheet-data-vitals-0-0.pdf","gsii/522939-flowsheet-data-vitals-0-0.pdf")</f>
        <v/>
      </c>
      <c r="E1588" t="n">
        <v>120842</v>
      </c>
      <c r="F1588" t="n">
        <v>522939</v>
      </c>
      <c r="G1588" t="inlineStr">
        <is>
          <t>Physician</t>
        </is>
      </c>
      <c r="H1588" t="inlineStr">
        <is>
          <t>flowsheet-data-vitals</t>
        </is>
      </c>
      <c r="I1588" t="inlineStr">
        <is>
          <t>Vital Signs
   Hemodynamic monitoring
   Fluid Balance
                                                                  24 hours
                                                               Since [**55**] AM
   Tmax: 36.4
C (97.6
   Tcurrent: 36.4
C (97.6
   HR: 97 (97 - 138) bpm
   BP: 149/57(83) {128/57(83) - 149/69(83)} mmHg
   RR: 30 (23 - 30) insp/min
   SpO2: 98%
   Heart rhythm: SR (Sinus Rhythm)
   Height: 24 Inch
                  Total In:
                                                                    509 mL
                  PO:
                                                                    300 mL
                  TF:
   IVF:
                                                                    209 mL
   Blood products:
   Total out:
                                                                  1,550 mL
                                                                    450 mL
   Urine:
                                                                  1,550 mL
                                                                    450 mL
   NG:
   Stool:
   Drains:
   Balance:
                                                                 -1,041 mL
                                                                   -450 mL
   Respiratory
   SpO2: 98%</t>
        </is>
      </c>
    </row>
    <row r="1589">
      <c r="A1589" t="inlineStr">
        <is>
          <t>522939-physical-examination-0-0</t>
        </is>
      </c>
      <c r="B1589" t="inlineStr"/>
      <c r="C1589" t="inlineStr"/>
      <c r="D1589">
        <f>HYPERLINK("http://nlpdeep.cs.uic.edu:8080/proofing/t5/522939-physical-examination-0-0.pdf","t5/522939-physical-examination-0-0.pdf")</f>
        <v/>
      </c>
      <c r="E1589" t="n">
        <v>120842</v>
      </c>
      <c r="F1589" t="n">
        <v>522939</v>
      </c>
      <c r="G1589" t="inlineStr">
        <is>
          <t>Physician</t>
        </is>
      </c>
      <c r="H1589" t="inlineStr">
        <is>
          <t>physical-examination</t>
        </is>
      </c>
      <c r="I1589" t="inlineStr">
        <is>
          <t>Vitals: T: 97.6   BP: 128/69 P: 85, but transiently also in 130s R: 20
   O2: 96% on face mask
   General: Alert, oriented, no acute distress
   HEENT: Sclera anicteric, MMM, oropharynx clear
   Lungs: Expiratory wheezes
   CV: Regular rate and rhythm, normal S1 + S2, no murmurs, rubs, gallops
   Abdomen: soft, non-tender, non-distended, bowel sounds present, no
   rebound tenderness or guarding
   Ext: warm, well perfused, 2+ pulses, no clubbing, cyanosis or edema.</t>
        </is>
      </c>
    </row>
    <row r="1590">
      <c r="A1590" t="inlineStr">
        <is>
          <t>522939-physical-examination-0-0</t>
        </is>
      </c>
      <c r="B1590" t="inlineStr"/>
      <c r="C1590" t="inlineStr"/>
      <c r="D1590">
        <f>HYPERLINK("http://nlpdeep.cs.uic.edu:8080/proofing/gsii/522939-physical-examination-0-0.pdf","gsii/522939-physical-examination-0-0.pdf")</f>
        <v/>
      </c>
      <c r="E1590" t="n">
        <v>120842</v>
      </c>
      <c r="F1590" t="n">
        <v>522939</v>
      </c>
      <c r="G1590" t="inlineStr">
        <is>
          <t>Physician</t>
        </is>
      </c>
      <c r="H1590" t="inlineStr">
        <is>
          <t>physical-examination</t>
        </is>
      </c>
      <c r="I1590" t="inlineStr">
        <is>
          <t>Vitals: T: 97.6   BP: 128/69 P: 85, but transiently also in 130s R: 20
   O2: 96% on face mask
   General: Alert, oriented, no acute distress
   HEENT: Sclera anicteric, MMM, oropharynx clear
   Lungs: Expiratory wheezes
   CV: Regular rate and rhythm, normal S1 + S2, no murmurs, rubs, gallops
   Abdomen: soft, non-tender, non-distended, bowel sounds present, no
   rebound tenderness or guarding
   Ext: warm, well perfused, 2+ pulses, no clubbing, cyanosis or edema.</t>
        </is>
      </c>
    </row>
    <row r="1591">
      <c r="A1591" t="inlineStr">
        <is>
          <t>522939-physical-examination-0-1</t>
        </is>
      </c>
      <c r="B1591" t="inlineStr"/>
      <c r="C1591" t="inlineStr"/>
      <c r="D1591">
        <f>HYPERLINK("http://nlpdeep.cs.uic.edu:8080/proofing/t5/522939-physical-examination-0-1.pdf","t5/522939-physical-examination-0-1.pdf")</f>
        <v/>
      </c>
      <c r="E1591" t="n">
        <v>120842</v>
      </c>
      <c r="F1591" t="n">
        <v>522939</v>
      </c>
      <c r="G1591" t="inlineStr">
        <is>
          <t>Physician</t>
        </is>
      </c>
      <c r="H1591" t="inlineStr">
        <is>
          <t>physical-examination</t>
        </is>
      </c>
      <c r="I1591" t="inlineStr">
        <is>
          <t>No
   signs of infection at knee incision, well h</t>
        </is>
      </c>
    </row>
    <row r="1592">
      <c r="A1592" t="inlineStr">
        <is>
          <t>522939-physical-examination-0-1</t>
        </is>
      </c>
      <c r="B1592" t="inlineStr"/>
      <c r="C1592" t="inlineStr"/>
      <c r="D1592">
        <f>HYPERLINK("http://nlpdeep.cs.uic.edu:8080/proofing/gsii/522939-physical-examination-0-1.pdf","gsii/522939-physical-examination-0-1.pdf")</f>
        <v/>
      </c>
      <c r="E1592" t="n">
        <v>120842</v>
      </c>
      <c r="F1592" t="n">
        <v>522939</v>
      </c>
      <c r="G1592" t="inlineStr">
        <is>
          <t>Physician</t>
        </is>
      </c>
      <c r="H1592" t="inlineStr">
        <is>
          <t>physical-examination</t>
        </is>
      </c>
      <c r="I1592" t="inlineStr">
        <is>
          <t>No
   signs of infection at knee incision, well h</t>
        </is>
      </c>
    </row>
    <row r="1593">
      <c r="A1593" t="inlineStr">
        <is>
          <t>522939-labs-imaging-0-0</t>
        </is>
      </c>
      <c r="B1593" t="inlineStr"/>
      <c r="C1593" t="inlineStr"/>
      <c r="D1593">
        <f>HYPERLINK("http://nlpdeep.cs.uic.edu:8080/proofing/t5/522939-labs-imaging-0-0.pdf","t5/522939-labs-imaging-0-0.pdf")</f>
        <v/>
      </c>
      <c r="E1593" t="n">
        <v>120842</v>
      </c>
      <c r="F1593" t="n">
        <v>522939</v>
      </c>
      <c r="G1593" t="inlineStr">
        <is>
          <t>Physician</t>
        </is>
      </c>
      <c r="H1593" t="inlineStr">
        <is>
          <t>labs-imaging</t>
        </is>
      </c>
      <c r="I1593" t="inlineStr">
        <is>
          <t>249 K/uL
   10.1 g/dL
   239
   0.6 mg/dL
   12 mg/dL
   32 mEq/L
   101 mEq/L
   4.1 mEq/L
   139 mEq/L
   31.4 %
   8.0 K/uL
        [image002.jpg]
                                  [**2149-2-10**]
                          2:33 A2/26/[**2153**]  09:13 PM
                                  [**2149-2-14**]
                         10:20 P2/27/[**2153**]  03:32 AM
                                  [**2149-2-15**]
                          1:20 P2/28/[**2153**]  10:00 PM
                                  [**2149-2-16**]
                                   11:50 P
                                  [**2149-2-17**]
                                   1:20 A
                                  [**2149-2-18**]
                                   7:20 P
                                  1//11/006
                                   1:23 P
                                  [**2149-3-13**]
                                   1:20 P
                                  [**2149-3-13**]
                                   11:20 P
                                  [**2149-3-13**]
                                   4:20 P
   WBC
                                     8.0
   Hct
                                    31.4
   Plt
                                     249
   Cr
                                     0.6
   TropT
                                    &lt;0.01
   Glucose
                                     212
                                     239
   Other labs: CK / CKMB / Troponin-T:87//&lt;0.01, Lactic Acid:1.6 mmol/L,
   Ca++:9.3 mg/dL, Mg++:2.0 mg/dL, PO4:3.5 mg/dL
   [**4-6**]:  Cardiac enzymes: CK85/MB-/Tn&lt;0.01 -&gt; CK87/MB-/Tn&lt;0.01
   CXR: Even clearer than from [**4-6**], no signs of fluid o/l, hyperinflated
   lungs.</t>
        </is>
      </c>
    </row>
    <row r="1594">
      <c r="A1594" t="inlineStr">
        <is>
          <t>522939-labs-imaging-0-0</t>
        </is>
      </c>
      <c r="B1594" t="inlineStr"/>
      <c r="C1594" t="inlineStr"/>
      <c r="D1594">
        <f>HYPERLINK("http://nlpdeep.cs.uic.edu:8080/proofing/gsii/522939-labs-imaging-0-0.pdf","gsii/522939-labs-imaging-0-0.pdf")</f>
        <v/>
      </c>
      <c r="E1594" t="n">
        <v>120842</v>
      </c>
      <c r="F1594" t="n">
        <v>522939</v>
      </c>
      <c r="G1594" t="inlineStr">
        <is>
          <t>Physician</t>
        </is>
      </c>
      <c r="H1594" t="inlineStr">
        <is>
          <t>labs-imaging</t>
        </is>
      </c>
      <c r="I1594" t="inlineStr">
        <is>
          <t>249 K/uL
   10.1 g/dL
   239
   0.6 mg/dL
   12 mg/dL
   32 mEq/L
   101 mEq/L
   4.1 mEq/L
   139 mEq/L
   31.4 %
   8.0 K/uL
        [image002.jpg]
                                  [**2149-2-10**]
                          2:33 A2/26/[**2153**]  09:13 PM
                                  [**2149-2-14**]
                         10:20 P2/27/[**2153**]  03:32 AM
                                  [**2149-2-15**]
                          1:20 P2/28/[**2153**]  10:00 PM
                                  [**2149-2-16**]
                                   11:50 P
                                  [**2149-2-17**]
                                   1:20 A
                                  [**2149-2-18**]
                                   7:20 P
                                  1//11/006
                                   1:23 P
                                  [**2149-3-13**]
                                   1:20 P
                                  [**2149-3-13**]
                                   11:20 P
                                  [**2149-3-13**]
                                   4:20 P
   WBC
                                     8.0
   Hct
                                    31.4
   Plt
                                     249
   Cr
                                     0.6
   TropT
                                    &lt;0.01
   Glucose
                                     212
                                     239
   Other labs: CK / CKMB / Troponin-T:87//&lt;0.01, Lactic Acid:1.6 mmol/L,
   Ca++:9.3 mg/dL, Mg++:2.0 mg/dL, PO4:3.5 mg/dL
   [**4-6**]:  Cardiac enzymes: CK85/MB-/Tn&lt;0.01 -&gt; CK87/MB-/Tn&lt;0.01
   CXR: Even clearer than from [**4-6**], no signs of fluid o/l, hyperinflated
   lungs.</t>
        </is>
      </c>
    </row>
    <row r="1595">
      <c r="A1595" t="inlineStr">
        <is>
          <t>522939-labs-imaging-0-1</t>
        </is>
      </c>
      <c r="B1595" t="inlineStr"/>
      <c r="C1595" t="inlineStr"/>
      <c r="D1595">
        <f>HYPERLINK("http://nlpdeep.cs.uic.edu:8080/proofing/t5/522939-labs-imaging-0-1.pdf","t5/522939-labs-imaging-0-1.pdf")</f>
        <v/>
      </c>
      <c r="E1595" t="n">
        <v>120842</v>
      </c>
      <c r="F1595" t="n">
        <v>522939</v>
      </c>
      <c r="G1595" t="inlineStr">
        <is>
          <t>Physician</t>
        </is>
      </c>
      <c r="H1595" t="inlineStr">
        <is>
          <t>labs-imaging</t>
        </is>
      </c>
      <c r="I1595" t="inlineStr">
        <is>
          <t>Compared to [**4-6**], may be clearer in RML.</t>
        </is>
      </c>
    </row>
    <row r="1596">
      <c r="A1596" t="inlineStr">
        <is>
          <t>522939-labs-imaging-0-1</t>
        </is>
      </c>
      <c r="B1596" t="inlineStr"/>
      <c r="C1596" t="inlineStr"/>
      <c r="D1596">
        <f>HYPERLINK("http://nlpdeep.cs.uic.edu:8080/proofing/gsii/522939-labs-imaging-0-1.pdf","gsii/522939-labs-imaging-0-1.pdf")</f>
        <v/>
      </c>
      <c r="E1596" t="n">
        <v>120842</v>
      </c>
      <c r="F1596" t="n">
        <v>522939</v>
      </c>
      <c r="G1596" t="inlineStr">
        <is>
          <t>Physician</t>
        </is>
      </c>
      <c r="H1596" t="inlineStr">
        <is>
          <t>labs-imaging</t>
        </is>
      </c>
      <c r="I1596" t="inlineStr">
        <is>
          <t>Compared to [**4-6**], may be clearer in RML.</t>
        </is>
      </c>
    </row>
    <row r="1597">
      <c r="A1597" t="inlineStr">
        <is>
          <t>522939-labs-imaging-0-2</t>
        </is>
      </c>
      <c r="B1597" t="inlineStr"/>
      <c r="C1597" t="inlineStr"/>
      <c r="D1597">
        <f>HYPERLINK("http://nlpdeep.cs.uic.edu:8080/proofing/t5/522939-labs-imaging-0-2.pdf","t5/522939-labs-imaging-0-2.pdf")</f>
        <v/>
      </c>
      <c r="E1597" t="n">
        <v>120842</v>
      </c>
      <c r="F1597" t="n">
        <v>522939</v>
      </c>
      <c r="G1597" t="inlineStr">
        <is>
          <t>Physician</t>
        </is>
      </c>
      <c r="H1597" t="inlineStr">
        <is>
          <t>labs-imaging</t>
        </is>
      </c>
      <c r="I1597" t="inlineStr">
        <is>
          <t xml:space="preserve">
   Echo in [**2151**]: Moderate to severe pulmonary hypertension.</t>
        </is>
      </c>
    </row>
    <row r="1598">
      <c r="A1598" t="inlineStr">
        <is>
          <t>522939-labs-imaging-0-2</t>
        </is>
      </c>
      <c r="B1598" t="inlineStr"/>
      <c r="C1598" t="inlineStr"/>
      <c r="D1598">
        <f>HYPERLINK("http://nlpdeep.cs.uic.edu:8080/proofing/gsii/522939-labs-imaging-0-2.pdf","gsii/522939-labs-imaging-0-2.pdf")</f>
        <v/>
      </c>
      <c r="E1598" t="n">
        <v>120842</v>
      </c>
      <c r="F1598" t="n">
        <v>522939</v>
      </c>
      <c r="G1598" t="inlineStr">
        <is>
          <t>Physician</t>
        </is>
      </c>
      <c r="H1598" t="inlineStr">
        <is>
          <t>labs-imaging</t>
        </is>
      </c>
      <c r="I1598" t="inlineStr">
        <is>
          <t xml:space="preserve">
   Echo in [**2151**]: Moderate to severe pulmonary hypertension.</t>
        </is>
      </c>
    </row>
    <row r="1599">
      <c r="A1599" t="inlineStr">
        <is>
          <t>522939-labs-imaging-0-3</t>
        </is>
      </c>
      <c r="B1599" t="inlineStr"/>
      <c r="C1599" t="inlineStr"/>
      <c r="D1599">
        <f>HYPERLINK("http://nlpdeep.cs.uic.edu:8080/proofing/t5/522939-labs-imaging-0-3.pdf","t5/522939-labs-imaging-0-3.pdf")</f>
        <v/>
      </c>
      <c r="E1599" t="n">
        <v>120842</v>
      </c>
      <c r="F1599" t="n">
        <v>522939</v>
      </c>
      <c r="G1599" t="inlineStr">
        <is>
          <t>Physician</t>
        </is>
      </c>
      <c r="H1599" t="inlineStr">
        <is>
          <t>labs-imaging</t>
        </is>
      </c>
      <c r="I1599" t="inlineStr">
        <is>
          <t>Moderate
   symmetric LV hypertrophy with preserved systolic function.</t>
        </is>
      </c>
    </row>
    <row r="1600">
      <c r="A1600" t="inlineStr">
        <is>
          <t>522939-labs-imaging-0-3</t>
        </is>
      </c>
      <c r="B1600" t="inlineStr"/>
      <c r="C1600" t="inlineStr"/>
      <c r="D1600">
        <f>HYPERLINK("http://nlpdeep.cs.uic.edu:8080/proofing/gsii/522939-labs-imaging-0-3.pdf","gsii/522939-labs-imaging-0-3.pdf")</f>
        <v/>
      </c>
      <c r="E1600" t="n">
        <v>120842</v>
      </c>
      <c r="F1600" t="n">
        <v>522939</v>
      </c>
      <c r="G1600" t="inlineStr">
        <is>
          <t>Physician</t>
        </is>
      </c>
      <c r="H1600" t="inlineStr">
        <is>
          <t>labs-imaging</t>
        </is>
      </c>
      <c r="I1600" t="inlineStr">
        <is>
          <t>Moderate
   symmetric LV hypertrophy with preserved systolic function.</t>
        </is>
      </c>
    </row>
    <row r="1601">
      <c r="A1601" t="inlineStr">
        <is>
          <t>522939-labs-imaging-0-4</t>
        </is>
      </c>
      <c r="B1601" t="inlineStr"/>
      <c r="C1601" t="inlineStr"/>
      <c r="D1601">
        <f>HYPERLINK("http://nlpdeep.cs.uic.edu:8080/proofing/t5/522939-labs-imaging-0-4.pdf","t5/522939-labs-imaging-0-4.pdf")</f>
        <v/>
      </c>
      <c r="E1601" t="n">
        <v>120842</v>
      </c>
      <c r="F1601" t="n">
        <v>522939</v>
      </c>
      <c r="G1601" t="inlineStr">
        <is>
          <t>Physician</t>
        </is>
      </c>
      <c r="H1601" t="inlineStr">
        <is>
          <t>labs-imaging</t>
        </is>
      </c>
      <c r="I1601" t="inlineStr">
        <is>
          <t>Mildly
   dilated RV with preserved systolic function.</t>
        </is>
      </c>
    </row>
    <row r="1602">
      <c r="A1602" t="inlineStr">
        <is>
          <t>522939-labs-imaging-0-4</t>
        </is>
      </c>
      <c r="B1602" t="inlineStr"/>
      <c r="C1602" t="inlineStr"/>
      <c r="D1602">
        <f>HYPERLINK("http://nlpdeep.cs.uic.edu:8080/proofing/gsii/522939-labs-imaging-0-4.pdf","gsii/522939-labs-imaging-0-4.pdf")</f>
        <v/>
      </c>
      <c r="E1602" t="n">
        <v>120842</v>
      </c>
      <c r="F1602" t="n">
        <v>522939</v>
      </c>
      <c r="G1602" t="inlineStr">
        <is>
          <t>Physician</t>
        </is>
      </c>
      <c r="H1602" t="inlineStr">
        <is>
          <t>labs-imaging</t>
        </is>
      </c>
      <c r="I1602" t="inlineStr">
        <is>
          <t>Mildly
   dilated RV with preserved systolic function.</t>
        </is>
      </c>
    </row>
    <row r="1603">
      <c r="A1603" t="inlineStr">
        <is>
          <t>522939-labs-imaging-0-5</t>
        </is>
      </c>
      <c r="B1603" t="inlineStr"/>
      <c r="C1603" t="inlineStr"/>
      <c r="D1603">
        <f>HYPERLINK("http://nlpdeep.cs.uic.edu:8080/proofing/t5/522939-labs-imaging-0-5.pdf","t5/522939-labs-imaging-0-5.pdf")</f>
        <v/>
      </c>
      <c r="E1603" t="n">
        <v>120842</v>
      </c>
      <c r="F1603" t="n">
        <v>522939</v>
      </c>
      <c r="G1603" t="inlineStr">
        <is>
          <t>Physician</t>
        </is>
      </c>
      <c r="H1603" t="inlineStr">
        <is>
          <t>labs-imaging</t>
        </is>
      </c>
      <c r="I1603" t="inlineStr">
        <is>
          <t xml:space="preserve">
   CTA [**3-25**]:
   1.</t>
        </is>
      </c>
    </row>
    <row r="1604">
      <c r="A1604" t="inlineStr">
        <is>
          <t>522939-labs-imaging-0-5</t>
        </is>
      </c>
      <c r="B1604" t="inlineStr"/>
      <c r="C1604" t="inlineStr"/>
      <c r="D1604">
        <f>HYPERLINK("http://nlpdeep.cs.uic.edu:8080/proofing/gsii/522939-labs-imaging-0-5.pdf","gsii/522939-labs-imaging-0-5.pdf")</f>
        <v/>
      </c>
      <c r="E1604" t="n">
        <v>120842</v>
      </c>
      <c r="F1604" t="n">
        <v>522939</v>
      </c>
      <c r="G1604" t="inlineStr">
        <is>
          <t>Physician</t>
        </is>
      </c>
      <c r="H1604" t="inlineStr">
        <is>
          <t>labs-imaging</t>
        </is>
      </c>
      <c r="I1604" t="inlineStr">
        <is>
          <t xml:space="preserve">
   CTA [**3-25**]:
   1.</t>
        </is>
      </c>
    </row>
    <row r="1605">
      <c r="A1605" t="inlineStr">
        <is>
          <t>522939-labs-imaging-0-6</t>
        </is>
      </c>
      <c r="B1605" t="inlineStr"/>
      <c r="C1605" t="inlineStr"/>
      <c r="D1605">
        <f>HYPERLINK("http://nlpdeep.cs.uic.edu:8080/proofing/t5/522939-labs-imaging-0-6.pdf","t5/522939-labs-imaging-0-6.pdf")</f>
        <v/>
      </c>
      <c r="E1605" t="n">
        <v>120842</v>
      </c>
      <c r="F1605" t="n">
        <v>522939</v>
      </c>
      <c r="G1605" t="inlineStr">
        <is>
          <t>Physician</t>
        </is>
      </c>
      <c r="H1605" t="inlineStr">
        <is>
          <t>labs-imaging</t>
        </is>
      </c>
      <c r="I1605" t="inlineStr">
        <is>
          <t>No evidence of pulmonary embolism.</t>
        </is>
      </c>
    </row>
    <row r="1606">
      <c r="A1606" t="inlineStr">
        <is>
          <t>522939-labs-imaging-0-6</t>
        </is>
      </c>
      <c r="B1606" t="inlineStr"/>
      <c r="C1606" t="inlineStr"/>
      <c r="D1606">
        <f>HYPERLINK("http://nlpdeep.cs.uic.edu:8080/proofing/gsii/522939-labs-imaging-0-6.pdf","gsii/522939-labs-imaging-0-6.pdf")</f>
        <v/>
      </c>
      <c r="E1606" t="n">
        <v>120842</v>
      </c>
      <c r="F1606" t="n">
        <v>522939</v>
      </c>
      <c r="G1606" t="inlineStr">
        <is>
          <t>Physician</t>
        </is>
      </c>
      <c r="H1606" t="inlineStr">
        <is>
          <t>labs-imaging</t>
        </is>
      </c>
      <c r="I1606" t="inlineStr">
        <is>
          <t>No evidence of pulmonary embolism.</t>
        </is>
      </c>
    </row>
    <row r="1607">
      <c r="A1607" t="inlineStr">
        <is>
          <t>522939-labs-imaging-0-7</t>
        </is>
      </c>
      <c r="B1607" t="inlineStr"/>
      <c r="C1607" t="inlineStr"/>
      <c r="D1607">
        <f>HYPERLINK("http://nlpdeep.cs.uic.edu:8080/proofing/t5/522939-labs-imaging-0-7.pdf","t5/522939-labs-imaging-0-7.pdf")</f>
        <v/>
      </c>
      <c r="E1607" t="n">
        <v>120842</v>
      </c>
      <c r="F1607" t="n">
        <v>522939</v>
      </c>
      <c r="G1607" t="inlineStr">
        <is>
          <t>Physician</t>
        </is>
      </c>
      <c r="H1607" t="inlineStr">
        <is>
          <t>labs-imaging</t>
        </is>
      </c>
      <c r="I1607" t="inlineStr">
        <is>
          <t>Emphysema, with stable pulmonary nodules within the left lower and
   right upper lobes.</t>
        </is>
      </c>
    </row>
    <row r="1608">
      <c r="A1608" t="inlineStr">
        <is>
          <t>522939-labs-imaging-0-7</t>
        </is>
      </c>
      <c r="B1608" t="inlineStr"/>
      <c r="C1608" t="inlineStr"/>
      <c r="D1608">
        <f>HYPERLINK("http://nlpdeep.cs.uic.edu:8080/proofing/gsii/522939-labs-imaging-0-7.pdf","gsii/522939-labs-imaging-0-7.pdf")</f>
        <v/>
      </c>
      <c r="E1608" t="n">
        <v>120842</v>
      </c>
      <c r="F1608" t="n">
        <v>522939</v>
      </c>
      <c r="G1608" t="inlineStr">
        <is>
          <t>Physician</t>
        </is>
      </c>
      <c r="H1608" t="inlineStr">
        <is>
          <t>labs-imaging</t>
        </is>
      </c>
      <c r="I1608" t="inlineStr">
        <is>
          <t>Emphysema, with stable pulmonary nodules within the left lower and
   right upper lobes.</t>
        </is>
      </c>
    </row>
    <row r="1609">
      <c r="A1609" t="inlineStr">
        <is>
          <t>522939-assessment-and-plan-0-0</t>
        </is>
      </c>
      <c r="B1609" t="inlineStr"/>
      <c r="C1609" t="inlineStr"/>
      <c r="D1609">
        <f>HYPERLINK("http://nlpdeep.cs.uic.edu:8080/proofing/t5/522939-assessment-and-plan-0-0.pdf","t5/522939-assessment-and-plan-0-0.pdf")</f>
        <v/>
      </c>
      <c r="E1609" t="n">
        <v>120842</v>
      </c>
      <c r="F1609" t="n">
        <v>522939</v>
      </c>
      <c r="G1609" t="inlineStr">
        <is>
          <t>Physician</t>
        </is>
      </c>
      <c r="H1609" t="inlineStr">
        <is>
          <t>assessment-and-plan</t>
        </is>
      </c>
      <c r="I1609" t="inlineStr">
        <is>
          <t>73-year-old female with COPD/RAD on home O2, diastolic CHF, recent TKR,
   presenting with respiratory distress and tachycardia.</t>
        </is>
      </c>
    </row>
    <row r="1610">
      <c r="A1610" t="inlineStr">
        <is>
          <t>522939-assessment-and-plan-0-0</t>
        </is>
      </c>
      <c r="B1610" t="inlineStr"/>
      <c r="C1610" t="inlineStr"/>
      <c r="D1610">
        <f>HYPERLINK("http://nlpdeep.cs.uic.edu:8080/proofing/gsii/522939-assessment-and-plan-0-0.pdf","gsii/522939-assessment-and-plan-0-0.pdf")</f>
        <v/>
      </c>
      <c r="E1610" t="n">
        <v>120842</v>
      </c>
      <c r="F1610" t="n">
        <v>522939</v>
      </c>
      <c r="G1610" t="inlineStr">
        <is>
          <t>Physician</t>
        </is>
      </c>
      <c r="H1610" t="inlineStr">
        <is>
          <t>assessment-and-plan</t>
        </is>
      </c>
      <c r="I1610" t="inlineStr">
        <is>
          <t>73-year-old female with COPD/RAD on home O2, diastolic CHF, recent TKR,
   presenting with respiratory distress and tachycardia.</t>
        </is>
      </c>
    </row>
    <row r="1611">
      <c r="A1611" t="inlineStr">
        <is>
          <t>522939-assessment-and-plan-0-1</t>
        </is>
      </c>
      <c r="B1611" t="inlineStr"/>
      <c r="C1611" t="inlineStr"/>
      <c r="D1611">
        <f>HYPERLINK("http://nlpdeep.cs.uic.edu:8080/proofing/t5/522939-assessment-and-plan-0-1.pdf","t5/522939-assessment-and-plan-0-1.pdf")</f>
        <v/>
      </c>
      <c r="E1611" t="n">
        <v>120842</v>
      </c>
      <c r="F1611" t="n">
        <v>522939</v>
      </c>
      <c r="G1611" t="inlineStr">
        <is>
          <t>Physician</t>
        </is>
      </c>
      <c r="H1611" t="inlineStr">
        <is>
          <t>assessment-and-plan</t>
        </is>
      </c>
      <c r="I1611" t="inlineStr">
        <is>
          <t xml:space="preserve">
   # Respiratory distress &amp; Leukocytosis: White count doubled from 8 to
   15.</t>
        </is>
      </c>
    </row>
    <row r="1612">
      <c r="A1612" t="inlineStr">
        <is>
          <t>522939-assessment-and-plan-0-1</t>
        </is>
      </c>
      <c r="B1612" t="inlineStr"/>
      <c r="C1612" t="inlineStr"/>
      <c r="D1612">
        <f>HYPERLINK("http://nlpdeep.cs.uic.edu:8080/proofing/gsii/522939-assessment-and-plan-0-1.pdf","gsii/522939-assessment-and-plan-0-1.pdf")</f>
        <v/>
      </c>
      <c r="E1612" t="n">
        <v>120842</v>
      </c>
      <c r="F1612" t="n">
        <v>522939</v>
      </c>
      <c r="G1612" t="inlineStr">
        <is>
          <t>Physician</t>
        </is>
      </c>
      <c r="H1612" t="inlineStr">
        <is>
          <t>assessment-and-plan</t>
        </is>
      </c>
      <c r="I1612" t="inlineStr">
        <is>
          <t xml:space="preserve">
   # Respiratory distress &amp; Leukocytosis: White count doubled from 8 to
   15.</t>
        </is>
      </c>
    </row>
    <row r="1613">
      <c r="A1613" t="inlineStr">
        <is>
          <t>522939-assessment-and-plan-0-2</t>
        </is>
      </c>
      <c r="B1613" t="inlineStr"/>
      <c r="C1613" t="inlineStr"/>
      <c r="D1613">
        <f>HYPERLINK("http://nlpdeep.cs.uic.edu:8080/proofing/t5/522939-assessment-and-plan-0-2.pdf","t5/522939-assessment-and-plan-0-2.pdf")</f>
        <v/>
      </c>
      <c r="E1613" t="n">
        <v>120842</v>
      </c>
      <c r="F1613" t="n">
        <v>522939</v>
      </c>
      <c r="G1613" t="inlineStr">
        <is>
          <t>Physician</t>
        </is>
      </c>
      <c r="H1613" t="inlineStr">
        <is>
          <t>assessment-and-plan</t>
        </is>
      </c>
      <c r="I1613" t="inlineStr">
        <is>
          <t>She did receive steroids in ED 2 days ago, or she could be mounting
   an infection again.</t>
        </is>
      </c>
    </row>
    <row r="1614">
      <c r="A1614" t="inlineStr">
        <is>
          <t>522939-assessment-and-plan-0-2</t>
        </is>
      </c>
      <c r="B1614" t="inlineStr"/>
      <c r="C1614" t="inlineStr"/>
      <c r="D1614">
        <f>HYPERLINK("http://nlpdeep.cs.uic.edu:8080/proofing/gsii/522939-assessment-and-plan-0-2.pdf","gsii/522939-assessment-and-plan-0-2.pdf")</f>
        <v/>
      </c>
      <c r="E1614" t="n">
        <v>120842</v>
      </c>
      <c r="F1614" t="n">
        <v>522939</v>
      </c>
      <c r="G1614" t="inlineStr">
        <is>
          <t>Physician</t>
        </is>
      </c>
      <c r="H1614" t="inlineStr">
        <is>
          <t>assessment-and-plan</t>
        </is>
      </c>
      <c r="I1614" t="inlineStr">
        <is>
          <t>She did receive steroids in ED 2 days ago, or she could be mounting
   an infection again.</t>
        </is>
      </c>
    </row>
    <row r="1615">
      <c r="A1615" t="inlineStr">
        <is>
          <t>522939-assessment-and-plan-0-3</t>
        </is>
      </c>
      <c r="B1615" t="inlineStr"/>
      <c r="C1615" t="inlineStr"/>
      <c r="D1615">
        <f>HYPERLINK("http://nlpdeep.cs.uic.edu:8080/proofing/t5/522939-assessment-and-plan-0-3.pdf","t5/522939-assessment-and-plan-0-3.pdf")</f>
        <v/>
      </c>
      <c r="E1615" t="n">
        <v>120842</v>
      </c>
      <c r="F1615" t="n">
        <v>522939</v>
      </c>
      <c r="G1615" t="inlineStr">
        <is>
          <t>Physician</t>
        </is>
      </c>
      <c r="H1615" t="inlineStr">
        <is>
          <t>assessment-and-plan</t>
        </is>
      </c>
      <c r="I1615" t="inlineStr">
        <is>
          <t>CXR looks clear.</t>
        </is>
      </c>
    </row>
    <row r="1616">
      <c r="A1616" t="inlineStr">
        <is>
          <t>522939-assessment-and-plan-0-3</t>
        </is>
      </c>
      <c r="B1616" t="inlineStr"/>
      <c r="C1616" t="inlineStr"/>
      <c r="D1616">
        <f>HYPERLINK("http://nlpdeep.cs.uic.edu:8080/proofing/gsii/522939-assessment-and-plan-0-3.pdf","gsii/522939-assessment-and-plan-0-3.pdf")</f>
        <v/>
      </c>
      <c r="E1616" t="n">
        <v>120842</v>
      </c>
      <c r="F1616" t="n">
        <v>522939</v>
      </c>
      <c r="G1616" t="inlineStr">
        <is>
          <t>Physician</t>
        </is>
      </c>
      <c r="H1616" t="inlineStr">
        <is>
          <t>assessment-and-plan</t>
        </is>
      </c>
      <c r="I1616" t="inlineStr">
        <is>
          <t>CXR looks clear.</t>
        </is>
      </c>
    </row>
    <row r="1617">
      <c r="A1617" t="inlineStr">
        <is>
          <t>522939-assessment-and-plan-0-4</t>
        </is>
      </c>
      <c r="B1617" t="inlineStr"/>
      <c r="C1617" t="inlineStr"/>
      <c r="D1617">
        <f>HYPERLINK("http://nlpdeep.cs.uic.edu:8080/proofing/t5/522939-assessment-and-plan-0-4.pdf","t5/522939-assessment-and-plan-0-4.pdf")</f>
        <v/>
      </c>
      <c r="E1617" t="n">
        <v>120842</v>
      </c>
      <c r="F1617" t="n">
        <v>522939</v>
      </c>
      <c r="G1617" t="inlineStr">
        <is>
          <t>Physician</t>
        </is>
      </c>
      <c r="H1617" t="inlineStr">
        <is>
          <t>assessment-and-plan</t>
        </is>
      </c>
      <c r="I1617" t="inlineStr">
        <is>
          <t>COPD mild per most recent PFTs
   [**2153**].</t>
        </is>
      </c>
    </row>
    <row r="1618">
      <c r="A1618" t="inlineStr">
        <is>
          <t>522939-assessment-and-plan-0-4</t>
        </is>
      </c>
      <c r="B1618" t="inlineStr"/>
      <c r="C1618" t="inlineStr"/>
      <c r="D1618">
        <f>HYPERLINK("http://nlpdeep.cs.uic.edu:8080/proofing/gsii/522939-assessment-and-plan-0-4.pdf","gsii/522939-assessment-and-plan-0-4.pdf")</f>
        <v/>
      </c>
      <c r="E1618" t="n">
        <v>120842</v>
      </c>
      <c r="F1618" t="n">
        <v>522939</v>
      </c>
      <c r="G1618" t="inlineStr">
        <is>
          <t>Physician</t>
        </is>
      </c>
      <c r="H1618" t="inlineStr">
        <is>
          <t>assessment-and-plan</t>
        </is>
      </c>
      <c r="I1618" t="inlineStr">
        <is>
          <t>COPD mild per most recent PFTs
   [**2153**].</t>
        </is>
      </c>
    </row>
    <row r="1619">
      <c r="A1619" t="inlineStr">
        <is>
          <t>522939-assessment-and-plan-0-5</t>
        </is>
      </c>
      <c r="B1619" t="inlineStr"/>
      <c r="C1619" t="inlineStr"/>
      <c r="D1619">
        <f>HYPERLINK("http://nlpdeep.cs.uic.edu:8080/proofing/t5/522939-assessment-and-plan-0-5.pdf","t5/522939-assessment-and-plan-0-5.pdf")</f>
        <v/>
      </c>
      <c r="E1619" t="n">
        <v>120842</v>
      </c>
      <c r="F1619" t="n">
        <v>522939</v>
      </c>
      <c r="G1619" t="inlineStr">
        <is>
          <t>Physician</t>
        </is>
      </c>
      <c r="H1619" t="inlineStr">
        <is>
          <t>assessment-and-plan</t>
        </is>
      </c>
      <c r="I1619" t="inlineStr">
        <is>
          <t>Possibly etiologies include PNA, COPD exacerbation, heart
   failure, coronary ischemia or possibly PE.</t>
        </is>
      </c>
    </row>
    <row r="1620">
      <c r="A1620" t="inlineStr">
        <is>
          <t>522939-assessment-and-plan-0-5</t>
        </is>
      </c>
      <c r="B1620" t="inlineStr"/>
      <c r="C1620" t="inlineStr"/>
      <c r="D1620">
        <f>HYPERLINK("http://nlpdeep.cs.uic.edu:8080/proofing/gsii/522939-assessment-and-plan-0-5.pdf","gsii/522939-assessment-and-plan-0-5.pdf")</f>
        <v/>
      </c>
      <c r="E1620" t="n">
        <v>120842</v>
      </c>
      <c r="F1620" t="n">
        <v>522939</v>
      </c>
      <c r="G1620" t="inlineStr">
        <is>
          <t>Physician</t>
        </is>
      </c>
      <c r="H1620" t="inlineStr">
        <is>
          <t>assessment-and-plan</t>
        </is>
      </c>
      <c r="I1620" t="inlineStr">
        <is>
          <t>Possibly etiologies include PNA, COPD exacerbation, heart
   failure, coronary ischemia or possibly PE.</t>
        </is>
      </c>
    </row>
    <row r="1621">
      <c r="A1621" t="inlineStr">
        <is>
          <t>522939-assessment-and-plan-0-6</t>
        </is>
      </c>
      <c r="B1621" t="inlineStr"/>
      <c r="C1621" t="inlineStr"/>
      <c r="D1621">
        <f>HYPERLINK("http://nlpdeep.cs.uic.edu:8080/proofing/t5/522939-assessment-and-plan-0-6.pdf","t5/522939-assessment-and-plan-0-6.pdf")</f>
        <v/>
      </c>
      <c r="E1621" t="n">
        <v>120842</v>
      </c>
      <c r="F1621" t="n">
        <v>522939</v>
      </c>
      <c r="G1621" t="inlineStr">
        <is>
          <t>Physician</t>
        </is>
      </c>
      <c r="H1621" t="inlineStr">
        <is>
          <t>assessment-and-plan</t>
        </is>
      </c>
      <c r="I1621" t="inlineStr">
        <is>
          <t>CTA negative in ED on [**3-25**].</t>
        </is>
      </c>
    </row>
    <row r="1622">
      <c r="A1622" t="inlineStr">
        <is>
          <t>522939-assessment-and-plan-0-6</t>
        </is>
      </c>
      <c r="B1622" t="inlineStr"/>
      <c r="C1622" t="inlineStr"/>
      <c r="D1622">
        <f>HYPERLINK("http://nlpdeep.cs.uic.edu:8080/proofing/gsii/522939-assessment-and-plan-0-6.pdf","gsii/522939-assessment-and-plan-0-6.pdf")</f>
        <v/>
      </c>
      <c r="E1622" t="n">
        <v>120842</v>
      </c>
      <c r="F1622" t="n">
        <v>522939</v>
      </c>
      <c r="G1622" t="inlineStr">
        <is>
          <t>Physician</t>
        </is>
      </c>
      <c r="H1622" t="inlineStr">
        <is>
          <t>assessment-and-plan</t>
        </is>
      </c>
      <c r="I1622" t="inlineStr">
        <is>
          <t>CTA negative in ED on [**3-25**].</t>
        </is>
      </c>
    </row>
    <row r="1623">
      <c r="A1623" t="inlineStr">
        <is>
          <t>522939-assessment-and-plan-0-7</t>
        </is>
      </c>
      <c r="B1623" t="inlineStr"/>
      <c r="C1623" t="inlineStr"/>
      <c r="D1623">
        <f>HYPERLINK("http://nlpdeep.cs.uic.edu:8080/proofing/t5/522939-assessment-and-plan-0-7.pdf","t5/522939-assessment-and-plan-0-7.pdf")</f>
        <v/>
      </c>
      <c r="E1623" t="n">
        <v>120842</v>
      </c>
      <c r="F1623" t="n">
        <v>522939</v>
      </c>
      <c r="G1623" t="inlineStr">
        <is>
          <t>Physician</t>
        </is>
      </c>
      <c r="H1623" t="inlineStr">
        <is>
          <t>assessment-and-plan</t>
        </is>
      </c>
      <c r="I1623" t="inlineStr">
        <is>
          <t xml:space="preserve">
   She is s/p total knee replacement 1 month ago but was on 1 month of
   Lovenox post-operatively (she confirms), on heparin SQ here.</t>
        </is>
      </c>
    </row>
    <row r="1624">
      <c r="A1624" t="inlineStr">
        <is>
          <t>522939-assessment-and-plan-0-7</t>
        </is>
      </c>
      <c r="B1624" t="inlineStr"/>
      <c r="C1624" t="inlineStr"/>
      <c r="D1624">
        <f>HYPERLINK("http://nlpdeep.cs.uic.edu:8080/proofing/gsii/522939-assessment-and-plan-0-7.pdf","gsii/522939-assessment-and-plan-0-7.pdf")</f>
        <v/>
      </c>
      <c r="E1624" t="n">
        <v>120842</v>
      </c>
      <c r="F1624" t="n">
        <v>522939</v>
      </c>
      <c r="G1624" t="inlineStr">
        <is>
          <t>Physician</t>
        </is>
      </c>
      <c r="H1624" t="inlineStr">
        <is>
          <t>assessment-and-plan</t>
        </is>
      </c>
      <c r="I1624" t="inlineStr">
        <is>
          <t xml:space="preserve">
   She is s/p total knee replacement 1 month ago but was on 1 month of
   Lovenox post-operatively (she confirms), on heparin SQ here.</t>
        </is>
      </c>
    </row>
    <row r="1625">
      <c r="A1625" t="inlineStr">
        <is>
          <t>522939-assessment-and-plan-0-8</t>
        </is>
      </c>
      <c r="B1625" t="inlineStr"/>
      <c r="C1625" t="inlineStr"/>
      <c r="D1625">
        <f>HYPERLINK("http://nlpdeep.cs.uic.edu:8080/proofing/t5/522939-assessment-and-plan-0-8.pdf","t5/522939-assessment-and-plan-0-8.pdf")</f>
        <v/>
      </c>
      <c r="E1625" t="n">
        <v>120842</v>
      </c>
      <c r="F1625" t="n">
        <v>522939</v>
      </c>
      <c r="G1625" t="inlineStr">
        <is>
          <t>Physician</t>
        </is>
      </c>
      <c r="H1625" t="inlineStr">
        <is>
          <t>assessment-and-plan</t>
        </is>
      </c>
      <c r="I1625" t="inlineStr">
        <is>
          <t>Had CEs
   trended before, no chest pain.</t>
        </is>
      </c>
    </row>
    <row r="1626">
      <c r="A1626" t="inlineStr">
        <is>
          <t>522939-assessment-and-plan-0-8</t>
        </is>
      </c>
      <c r="B1626" t="inlineStr"/>
      <c r="C1626" t="inlineStr"/>
      <c r="D1626">
        <f>HYPERLINK("http://nlpdeep.cs.uic.edu:8080/proofing/gsii/522939-assessment-and-plan-0-8.pdf","gsii/522939-assessment-and-plan-0-8.pdf")</f>
        <v/>
      </c>
      <c r="E1626" t="n">
        <v>120842</v>
      </c>
      <c r="F1626" t="n">
        <v>522939</v>
      </c>
      <c r="G1626" t="inlineStr">
        <is>
          <t>Physician</t>
        </is>
      </c>
      <c r="H1626" t="inlineStr">
        <is>
          <t>assessment-and-plan</t>
        </is>
      </c>
      <c r="I1626" t="inlineStr">
        <is>
          <t>Had CEs
   trended before, no chest pain.</t>
        </is>
      </c>
    </row>
    <row r="1627">
      <c r="A1627" t="inlineStr">
        <is>
          <t>522939-assessment-and-plan-0-9</t>
        </is>
      </c>
      <c r="B1627" t="inlineStr"/>
      <c r="C1627" t="inlineStr"/>
      <c r="D1627">
        <f>HYPERLINK("http://nlpdeep.cs.uic.edu:8080/proofing/t5/522939-assessment-and-plan-0-9.pdf","t5/522939-assessment-and-plan-0-9.pdf")</f>
        <v/>
      </c>
      <c r="E1627" t="n">
        <v>120842</v>
      </c>
      <c r="F1627" t="n">
        <v>522939</v>
      </c>
      <c r="G1627" t="inlineStr">
        <is>
          <t>Physician</t>
        </is>
      </c>
      <c r="H1627" t="inlineStr">
        <is>
          <t>assessment-and-plan</t>
        </is>
      </c>
      <c r="I1627" t="inlineStr">
        <is>
          <t>Diffuse wheezing most c/w COPD.</t>
        </is>
      </c>
    </row>
    <row r="1628">
      <c r="A1628" t="inlineStr">
        <is>
          <t>522939-assessment-and-plan-0-9</t>
        </is>
      </c>
      <c r="B1628" t="inlineStr"/>
      <c r="C1628" t="inlineStr"/>
      <c r="D1628">
        <f>HYPERLINK("http://nlpdeep.cs.uic.edu:8080/proofing/gsii/522939-assessment-and-plan-0-9.pdf","gsii/522939-assessment-and-plan-0-9.pdf")</f>
        <v/>
      </c>
      <c r="E1628" t="n">
        <v>120842</v>
      </c>
      <c r="F1628" t="n">
        <v>522939</v>
      </c>
      <c r="G1628" t="inlineStr">
        <is>
          <t>Physician</t>
        </is>
      </c>
      <c r="H1628" t="inlineStr">
        <is>
          <t>assessment-and-plan</t>
        </is>
      </c>
      <c r="I1628" t="inlineStr">
        <is>
          <t>Diffuse wheezing most c/w COPD.</t>
        </is>
      </c>
    </row>
    <row r="1629">
      <c r="A1629" t="inlineStr">
        <is>
          <t>522939-assessment-and-plan-0-10</t>
        </is>
      </c>
      <c r="B1629" t="inlineStr"/>
      <c r="C1629" t="inlineStr"/>
      <c r="D1629">
        <f>HYPERLINK("http://nlpdeep.cs.uic.edu:8080/proofing/t5/522939-assessment-and-plan-0-10.pdf","t5/522939-assessment-and-plan-0-10.pdf")</f>
        <v/>
      </c>
      <c r="E1629" t="n">
        <v>120842</v>
      </c>
      <c r="F1629" t="n">
        <v>522939</v>
      </c>
      <c r="G1629" t="inlineStr">
        <is>
          <t>Physician</t>
        </is>
      </c>
      <c r="H1629" t="inlineStr">
        <is>
          <t>assessment-and-plan</t>
        </is>
      </c>
      <c r="I1629" t="inlineStr"/>
    </row>
    <row r="1630">
      <c r="A1630" t="inlineStr">
        <is>
          <t>522939-assessment-and-plan-0-10</t>
        </is>
      </c>
      <c r="B1630" t="inlineStr"/>
      <c r="C1630" t="inlineStr"/>
      <c r="D1630">
        <f>HYPERLINK("http://nlpdeep.cs.uic.edu:8080/proofing/gsii/522939-assessment-and-plan-0-10.pdf","gsii/522939-assessment-and-plan-0-10.pdf")</f>
        <v/>
      </c>
      <c r="E1630" t="n">
        <v>120842</v>
      </c>
      <c r="F1630" t="n">
        <v>522939</v>
      </c>
      <c r="G1630" t="inlineStr">
        <is>
          <t>Physician</t>
        </is>
      </c>
      <c r="H1630" t="inlineStr">
        <is>
          <t>assessment-and-plan</t>
        </is>
      </c>
      <c r="I1630" t="inlineStr"/>
    </row>
    <row r="1631">
      <c r="A1631" t="inlineStr">
        <is>
          <t>522939-assessment-and-plan-1-0</t>
        </is>
      </c>
      <c r="B1631" t="inlineStr"/>
      <c r="C1631" t="inlineStr"/>
      <c r="D1631">
        <f>HYPERLINK("http://nlpdeep.cs.uic.edu:8080/proofing/t5/522939-assessment-and-plan-1-0.pdf","t5/522939-assessment-and-plan-1-0.pdf")</f>
        <v/>
      </c>
      <c r="E1631" t="n">
        <v>120842</v>
      </c>
      <c r="F1631" t="n">
        <v>522939</v>
      </c>
      <c r="G1631" t="inlineStr">
        <is>
          <t>Physician</t>
        </is>
      </c>
      <c r="H1631" t="inlineStr">
        <is>
          <t>assessment-and-plan</t>
        </is>
      </c>
      <c r="I1631" t="inlineStr">
        <is>
          <t xml:space="preserve">
   # Tachycardia: AVNRT vs.</t>
        </is>
      </c>
    </row>
    <row r="1632">
      <c r="A1632" t="inlineStr">
        <is>
          <t>522939-assessment-and-plan-1-0</t>
        </is>
      </c>
      <c r="B1632" t="inlineStr"/>
      <c r="C1632" t="inlineStr"/>
      <c r="D1632">
        <f>HYPERLINK("http://nlpdeep.cs.uic.edu:8080/proofing/gsii/522939-assessment-and-plan-1-0.pdf","gsii/522939-assessment-and-plan-1-0.pdf")</f>
        <v/>
      </c>
      <c r="E1632" t="n">
        <v>120842</v>
      </c>
      <c r="F1632" t="n">
        <v>522939</v>
      </c>
      <c r="G1632" t="inlineStr">
        <is>
          <t>Physician</t>
        </is>
      </c>
      <c r="H1632" t="inlineStr">
        <is>
          <t>assessment-and-plan</t>
        </is>
      </c>
      <c r="I1632" t="inlineStr">
        <is>
          <t xml:space="preserve">
   # Tachycardia: AVNRT vs.</t>
        </is>
      </c>
    </row>
    <row r="1633">
      <c r="A1633" t="inlineStr">
        <is>
          <t>522939-assessment-and-plan-1-1</t>
        </is>
      </c>
      <c r="B1633" t="inlineStr"/>
      <c r="C1633" t="inlineStr"/>
      <c r="D1633">
        <f>HYPERLINK("http://nlpdeep.cs.uic.edu:8080/proofing/t5/522939-assessment-and-plan-1-1.pdf","t5/522939-assessment-and-plan-1-1.pdf")</f>
        <v/>
      </c>
      <c r="E1633" t="n">
        <v>120842</v>
      </c>
      <c r="F1633" t="n">
        <v>522939</v>
      </c>
      <c r="G1633" t="inlineStr">
        <is>
          <t>Physician</t>
        </is>
      </c>
      <c r="H1633" t="inlineStr">
        <is>
          <t>assessment-and-plan</t>
        </is>
      </c>
      <c r="I1633" t="inlineStr">
        <is>
          <t>ART.</t>
        </is>
      </c>
    </row>
    <row r="1634">
      <c r="A1634" t="inlineStr">
        <is>
          <t>522939-assessment-and-plan-1-1</t>
        </is>
      </c>
      <c r="B1634" t="inlineStr"/>
      <c r="C1634" t="inlineStr"/>
      <c r="D1634">
        <f>HYPERLINK("http://nlpdeep.cs.uic.edu:8080/proofing/gsii/522939-assessment-and-plan-1-1.pdf","gsii/522939-assessment-and-plan-1-1.pdf")</f>
        <v/>
      </c>
      <c r="E1634" t="n">
        <v>120842</v>
      </c>
      <c r="F1634" t="n">
        <v>522939</v>
      </c>
      <c r="G1634" t="inlineStr">
        <is>
          <t>Physician</t>
        </is>
      </c>
      <c r="H1634" t="inlineStr">
        <is>
          <t>assessment-and-plan</t>
        </is>
      </c>
      <c r="I1634" t="inlineStr">
        <is>
          <t>ART.</t>
        </is>
      </c>
    </row>
    <row r="1635">
      <c r="A1635" t="inlineStr">
        <is>
          <t>522939-assessment-and-plan-1-2</t>
        </is>
      </c>
      <c r="B1635" t="inlineStr"/>
      <c r="C1635" t="inlineStr"/>
      <c r="D1635">
        <f>HYPERLINK("http://nlpdeep.cs.uic.edu:8080/proofing/t5/522939-assessment-and-plan-1-2.pdf","t5/522939-assessment-and-plan-1-2.pdf")</f>
        <v/>
      </c>
      <c r="E1635" t="n">
        <v>120842</v>
      </c>
      <c r="F1635" t="n">
        <v>522939</v>
      </c>
      <c r="G1635" t="inlineStr">
        <is>
          <t>Physician</t>
        </is>
      </c>
      <c r="H1635" t="inlineStr">
        <is>
          <t>assessment-and-plan</t>
        </is>
      </c>
      <c r="I1635" t="inlineStr">
        <is>
          <t>As a COPD patient she's at risk for
   atrial arrhythmias.</t>
        </is>
      </c>
    </row>
    <row r="1636">
      <c r="A1636" t="inlineStr">
        <is>
          <t>522939-assessment-and-plan-1-2</t>
        </is>
      </c>
      <c r="B1636" t="inlineStr"/>
      <c r="C1636" t="inlineStr"/>
      <c r="D1636">
        <f>HYPERLINK("http://nlpdeep.cs.uic.edu:8080/proofing/gsii/522939-assessment-and-plan-1-2.pdf","gsii/522939-assessment-and-plan-1-2.pdf")</f>
        <v/>
      </c>
      <c r="E1636" t="n">
        <v>120842</v>
      </c>
      <c r="F1636" t="n">
        <v>522939</v>
      </c>
      <c r="G1636" t="inlineStr">
        <is>
          <t>Physician</t>
        </is>
      </c>
      <c r="H1636" t="inlineStr">
        <is>
          <t>assessment-and-plan</t>
        </is>
      </c>
      <c r="I1636" t="inlineStr">
        <is>
          <t>As a COPD patient she's at risk for
   atrial arrhythmias.</t>
        </is>
      </c>
    </row>
    <row r="1637">
      <c r="A1637" t="inlineStr">
        <is>
          <t>522939-assessment-and-plan-1-3</t>
        </is>
      </c>
      <c r="B1637" t="inlineStr"/>
      <c r="C1637" t="inlineStr"/>
      <c r="D1637">
        <f>HYPERLINK("http://nlpdeep.cs.uic.edu:8080/proofing/t5/522939-assessment-and-plan-1-3.pdf","t5/522939-assessment-and-plan-1-3.pdf")</f>
        <v/>
      </c>
      <c r="E1637" t="n">
        <v>120842</v>
      </c>
      <c r="F1637" t="n">
        <v>522939</v>
      </c>
      <c r="G1637" t="inlineStr">
        <is>
          <t>Physician</t>
        </is>
      </c>
      <c r="H1637" t="inlineStr">
        <is>
          <t>assessment-and-plan</t>
        </is>
      </c>
      <c r="I1637" t="inlineStr">
        <is>
          <t>Seems to go into arrhythmias after her barking
   coughs.</t>
        </is>
      </c>
    </row>
    <row r="1638">
      <c r="A1638" t="inlineStr">
        <is>
          <t>522939-assessment-and-plan-1-3</t>
        </is>
      </c>
      <c r="B1638" t="inlineStr"/>
      <c r="C1638" t="inlineStr"/>
      <c r="D1638">
        <f>HYPERLINK("http://nlpdeep.cs.uic.edu:8080/proofing/gsii/522939-assessment-and-plan-1-3.pdf","gsii/522939-assessment-and-plan-1-3.pdf")</f>
        <v/>
      </c>
      <c r="E1638" t="n">
        <v>120842</v>
      </c>
      <c r="F1638" t="n">
        <v>522939</v>
      </c>
      <c r="G1638" t="inlineStr">
        <is>
          <t>Physician</t>
        </is>
      </c>
      <c r="H1638" t="inlineStr">
        <is>
          <t>assessment-and-plan</t>
        </is>
      </c>
      <c r="I1638" t="inlineStr">
        <is>
          <t>Seems to go into arrhythmias after her barking
   coughs.</t>
        </is>
      </c>
    </row>
    <row r="1639">
      <c r="A1639" t="inlineStr">
        <is>
          <t>522939-assessment-and-plan-1-4</t>
        </is>
      </c>
      <c r="B1639" t="inlineStr"/>
      <c r="C1639" t="inlineStr"/>
      <c r="D1639">
        <f>HYPERLINK("http://nlpdeep.cs.uic.edu:8080/proofing/t5/522939-assessment-and-plan-1-4.pdf","t5/522939-assessment-and-plan-1-4.pdf")</f>
        <v/>
      </c>
      <c r="E1639" t="n">
        <v>120842</v>
      </c>
      <c r="F1639" t="n">
        <v>522939</v>
      </c>
      <c r="G1639" t="inlineStr">
        <is>
          <t>Physician</t>
        </is>
      </c>
      <c r="H1639" t="inlineStr">
        <is>
          <t>assessment-and-plan</t>
        </is>
      </c>
      <c r="I1639" t="inlineStr">
        <is>
          <t xml:space="preserve">
   - continue Tessalon [**Doctor Last Name **], Mucinex to knock back her cough
   - cards c/s in AM
   - continue PO Diltiazem
   - Echo in AM
   # Diastolic CHF.</t>
        </is>
      </c>
    </row>
    <row r="1640">
      <c r="A1640" t="inlineStr">
        <is>
          <t>522939-assessment-and-plan-1-4</t>
        </is>
      </c>
      <c r="B1640" t="inlineStr"/>
      <c r="C1640" t="inlineStr"/>
      <c r="D1640">
        <f>HYPERLINK("http://nlpdeep.cs.uic.edu:8080/proofing/gsii/522939-assessment-and-plan-1-4.pdf","gsii/522939-assessment-and-plan-1-4.pdf")</f>
        <v/>
      </c>
      <c r="E1640" t="n">
        <v>120842</v>
      </c>
      <c r="F1640" t="n">
        <v>522939</v>
      </c>
      <c r="G1640" t="inlineStr">
        <is>
          <t>Physician</t>
        </is>
      </c>
      <c r="H1640" t="inlineStr">
        <is>
          <t>assessment-and-plan</t>
        </is>
      </c>
      <c r="I1640" t="inlineStr">
        <is>
          <t xml:space="preserve">
   - continue Tessalon [**Doctor Last Name **], Mucinex to knock back her cough
   - cards c/s in AM
   - continue PO Diltiazem
   - Echo in AM
   # Diastolic CHF.</t>
        </is>
      </c>
    </row>
    <row r="1641">
      <c r="A1641" t="inlineStr">
        <is>
          <t>522939-assessment-and-plan-1-5</t>
        </is>
      </c>
      <c r="B1641" t="inlineStr"/>
      <c r="C1641" t="inlineStr"/>
      <c r="D1641">
        <f>HYPERLINK("http://nlpdeep.cs.uic.edu:8080/proofing/t5/522939-assessment-and-plan-1-5.pdf","t5/522939-assessment-and-plan-1-5.pdf")</f>
        <v/>
      </c>
      <c r="E1641" t="n">
        <v>120842</v>
      </c>
      <c r="F1641" t="n">
        <v>522939</v>
      </c>
      <c r="G1641" t="inlineStr">
        <is>
          <t>Physician</t>
        </is>
      </c>
      <c r="H1641" t="inlineStr">
        <is>
          <t>assessment-and-plan</t>
        </is>
      </c>
      <c r="I1641" t="inlineStr">
        <is>
          <t>Rate control key for her will be key.</t>
        </is>
      </c>
    </row>
    <row r="1642">
      <c r="A1642" t="inlineStr">
        <is>
          <t>522939-assessment-and-plan-1-5</t>
        </is>
      </c>
      <c r="B1642" t="inlineStr"/>
      <c r="C1642" t="inlineStr"/>
      <c r="D1642">
        <f>HYPERLINK("http://nlpdeep.cs.uic.edu:8080/proofing/gsii/522939-assessment-and-plan-1-5.pdf","gsii/522939-assessment-and-plan-1-5.pdf")</f>
        <v/>
      </c>
      <c r="E1642" t="n">
        <v>120842</v>
      </c>
      <c r="F1642" t="n">
        <v>522939</v>
      </c>
      <c r="G1642" t="inlineStr">
        <is>
          <t>Physician</t>
        </is>
      </c>
      <c r="H1642" t="inlineStr">
        <is>
          <t>assessment-and-plan</t>
        </is>
      </c>
      <c r="I1642" t="inlineStr">
        <is>
          <t>Rate control key for her will be key.</t>
        </is>
      </c>
    </row>
    <row r="1643">
      <c r="A1643" t="inlineStr">
        <is>
          <t>522939-assessment-and-plan-1-6</t>
        </is>
      </c>
      <c r="B1643" t="inlineStr"/>
      <c r="C1643" t="inlineStr"/>
      <c r="D1643">
        <f>HYPERLINK("http://nlpdeep.cs.uic.edu:8080/proofing/t5/522939-assessment-and-plan-1-6.pdf","t5/522939-assessment-and-plan-1-6.pdf")</f>
        <v/>
      </c>
      <c r="E1643" t="n">
        <v>120842</v>
      </c>
      <c r="F1643" t="n">
        <v>522939</v>
      </c>
      <c r="G1643" t="inlineStr">
        <is>
          <t>Physician</t>
        </is>
      </c>
      <c r="H1643" t="inlineStr">
        <is>
          <t>assessment-and-plan</t>
        </is>
      </c>
      <c r="I1643" t="inlineStr">
        <is>
          <t>Her chest Xray
   shows no fluid overload, not a diuresis candidate now.</t>
        </is>
      </c>
    </row>
    <row r="1644">
      <c r="A1644" t="inlineStr">
        <is>
          <t>522939-assessment-and-plan-1-6</t>
        </is>
      </c>
      <c r="B1644" t="inlineStr"/>
      <c r="C1644" t="inlineStr"/>
      <c r="D1644">
        <f>HYPERLINK("http://nlpdeep.cs.uic.edu:8080/proofing/gsii/522939-assessment-and-plan-1-6.pdf","gsii/522939-assessment-and-plan-1-6.pdf")</f>
        <v/>
      </c>
      <c r="E1644" t="n">
        <v>120842</v>
      </c>
      <c r="F1644" t="n">
        <v>522939</v>
      </c>
      <c r="G1644" t="inlineStr">
        <is>
          <t>Physician</t>
        </is>
      </c>
      <c r="H1644" t="inlineStr">
        <is>
          <t>assessment-and-plan</t>
        </is>
      </c>
      <c r="I1644" t="inlineStr">
        <is>
          <t>Her chest Xray
   shows no fluid overload, not a diuresis candidate now.</t>
        </is>
      </c>
    </row>
    <row r="1645">
      <c r="A1645" t="inlineStr">
        <is>
          <t>522939-assessment-and-plan-1-7</t>
        </is>
      </c>
      <c r="B1645" t="inlineStr"/>
      <c r="C1645" t="inlineStr"/>
      <c r="D1645">
        <f>HYPERLINK("http://nlpdeep.cs.uic.edu:8080/proofing/t5/522939-assessment-and-plan-1-7.pdf","t5/522939-assessment-and-plan-1-7.pdf")</f>
        <v/>
      </c>
      <c r="E1645" t="n">
        <v>120842</v>
      </c>
      <c r="F1645" t="n">
        <v>522939</v>
      </c>
      <c r="G1645" t="inlineStr">
        <is>
          <t>Physician</t>
        </is>
      </c>
      <c r="H1645" t="inlineStr">
        <is>
          <t>assessment-and-plan</t>
        </is>
      </c>
      <c r="I1645" t="inlineStr">
        <is>
          <t xml:space="preserve">
   - Continue ACEI.</t>
        </is>
      </c>
    </row>
    <row r="1646">
      <c r="A1646" t="inlineStr">
        <is>
          <t>522939-assessment-and-plan-1-7</t>
        </is>
      </c>
      <c r="B1646" t="inlineStr"/>
      <c r="C1646" t="inlineStr"/>
      <c r="D1646">
        <f>HYPERLINK("http://nlpdeep.cs.uic.edu:8080/proofing/gsii/522939-assessment-and-plan-1-7.pdf","gsii/522939-assessment-and-plan-1-7.pdf")</f>
        <v/>
      </c>
      <c r="E1646" t="n">
        <v>120842</v>
      </c>
      <c r="F1646" t="n">
        <v>522939</v>
      </c>
      <c r="G1646" t="inlineStr">
        <is>
          <t>Physician</t>
        </is>
      </c>
      <c r="H1646" t="inlineStr">
        <is>
          <t>assessment-and-plan</t>
        </is>
      </c>
      <c r="I1646" t="inlineStr">
        <is>
          <t xml:space="preserve">
   - Continue ACEI.</t>
        </is>
      </c>
    </row>
    <row r="1647">
      <c r="A1647" t="inlineStr">
        <is>
          <t>522939-assessment-and-plan-1-8</t>
        </is>
      </c>
      <c r="B1647" t="inlineStr"/>
      <c r="C1647" t="inlineStr"/>
      <c r="D1647">
        <f>HYPERLINK("http://nlpdeep.cs.uic.edu:8080/proofing/t5/522939-assessment-and-plan-1-8.pdf","t5/522939-assessment-and-plan-1-8.pdf")</f>
        <v/>
      </c>
      <c r="E1647" t="n">
        <v>120842</v>
      </c>
      <c r="F1647" t="n">
        <v>522939</v>
      </c>
      <c r="G1647" t="inlineStr">
        <is>
          <t>Physician</t>
        </is>
      </c>
      <c r="H1647" t="inlineStr">
        <is>
          <t>assessment-and-plan</t>
        </is>
      </c>
      <c r="I1647" t="inlineStr"/>
    </row>
    <row r="1648">
      <c r="A1648" t="inlineStr">
        <is>
          <t>522939-assessment-and-plan-1-8</t>
        </is>
      </c>
      <c r="B1648" t="inlineStr"/>
      <c r="C1648" t="inlineStr"/>
      <c r="D1648">
        <f>HYPERLINK("http://nlpdeep.cs.uic.edu:8080/proofing/gsii/522939-assessment-and-plan-1-8.pdf","gsii/522939-assessment-and-plan-1-8.pdf")</f>
        <v/>
      </c>
      <c r="E1648" t="n">
        <v>120842</v>
      </c>
      <c r="F1648" t="n">
        <v>522939</v>
      </c>
      <c r="G1648" t="inlineStr">
        <is>
          <t>Physician</t>
        </is>
      </c>
      <c r="H1648" t="inlineStr">
        <is>
          <t>assessment-and-plan</t>
        </is>
      </c>
      <c r="I1648" t="inlineStr"/>
    </row>
    <row r="1649">
      <c r="A1649" t="inlineStr">
        <is>
          <t>522939-assessment-and-plan-2-0</t>
        </is>
      </c>
      <c r="B1649" t="inlineStr"/>
      <c r="C1649" t="inlineStr"/>
      <c r="D1649">
        <f>HYPERLINK("http://nlpdeep.cs.uic.edu:8080/proofing/t5/522939-assessment-and-plan-2-0.pdf","t5/522939-assessment-and-plan-2-0.pdf")</f>
        <v/>
      </c>
      <c r="E1649" t="n">
        <v>120842</v>
      </c>
      <c r="F1649" t="n">
        <v>522939</v>
      </c>
      <c r="G1649" t="inlineStr">
        <is>
          <t>Physician</t>
        </is>
      </c>
      <c r="H1649" t="inlineStr">
        <is>
          <t>assessment-and-plan</t>
        </is>
      </c>
      <c r="I1649" t="inlineStr">
        <is>
          <t xml:space="preserve">
   # DM type II.</t>
        </is>
      </c>
    </row>
    <row r="1650">
      <c r="A1650" t="inlineStr">
        <is>
          <t>522939-assessment-and-plan-2-0</t>
        </is>
      </c>
      <c r="B1650" t="inlineStr"/>
      <c r="C1650" t="inlineStr"/>
      <c r="D1650">
        <f>HYPERLINK("http://nlpdeep.cs.uic.edu:8080/proofing/gsii/522939-assessment-and-plan-2-0.pdf","gsii/522939-assessment-and-plan-2-0.pdf")</f>
        <v/>
      </c>
      <c r="E1650" t="n">
        <v>120842</v>
      </c>
      <c r="F1650" t="n">
        <v>522939</v>
      </c>
      <c r="G1650" t="inlineStr">
        <is>
          <t>Physician</t>
        </is>
      </c>
      <c r="H1650" t="inlineStr">
        <is>
          <t>assessment-and-plan</t>
        </is>
      </c>
      <c r="I1650" t="inlineStr">
        <is>
          <t xml:space="preserve">
   # DM type II.</t>
        </is>
      </c>
    </row>
    <row r="1651">
      <c r="A1651" t="inlineStr">
        <is>
          <t>522939-assessment-and-plan-2-1</t>
        </is>
      </c>
      <c r="B1651" t="inlineStr"/>
      <c r="C1651" t="inlineStr"/>
      <c r="D1651">
        <f>HYPERLINK("http://nlpdeep.cs.uic.edu:8080/proofing/t5/522939-assessment-and-plan-2-1.pdf","t5/522939-assessment-and-plan-2-1.pdf")</f>
        <v/>
      </c>
      <c r="E1651" t="n">
        <v>120842</v>
      </c>
      <c r="F1651" t="n">
        <v>522939</v>
      </c>
      <c r="G1651" t="inlineStr">
        <is>
          <t>Physician</t>
        </is>
      </c>
      <c r="H1651" t="inlineStr">
        <is>
          <t>assessment-and-plan</t>
        </is>
      </c>
      <c r="I1651" t="inlineStr">
        <is>
          <t xml:space="preserve">
   - ISS.</t>
        </is>
      </c>
    </row>
    <row r="1652">
      <c r="A1652" t="inlineStr">
        <is>
          <t>522939-assessment-and-plan-2-1</t>
        </is>
      </c>
      <c r="B1652" t="inlineStr"/>
      <c r="C1652" t="inlineStr"/>
      <c r="D1652">
        <f>HYPERLINK("http://nlpdeep.cs.uic.edu:8080/proofing/gsii/522939-assessment-and-plan-2-1.pdf","gsii/522939-assessment-and-plan-2-1.pdf")</f>
        <v/>
      </c>
      <c r="E1652" t="n">
        <v>120842</v>
      </c>
      <c r="F1652" t="n">
        <v>522939</v>
      </c>
      <c r="G1652" t="inlineStr">
        <is>
          <t>Physician</t>
        </is>
      </c>
      <c r="H1652" t="inlineStr">
        <is>
          <t>assessment-and-plan</t>
        </is>
      </c>
      <c r="I1652" t="inlineStr">
        <is>
          <t xml:space="preserve">
   - ISS.</t>
        </is>
      </c>
    </row>
    <row r="1653">
      <c r="A1653" t="inlineStr">
        <is>
          <t>522939-assessment-and-plan-2-2</t>
        </is>
      </c>
      <c r="B1653" t="inlineStr"/>
      <c r="C1653" t="inlineStr"/>
      <c r="D1653">
        <f>HYPERLINK("http://nlpdeep.cs.uic.edu:8080/proofing/t5/522939-assessment-and-plan-2-2.pdf","t5/522939-assessment-and-plan-2-2.pdf")</f>
        <v/>
      </c>
      <c r="E1653" t="n">
        <v>120842</v>
      </c>
      <c r="F1653" t="n">
        <v>522939</v>
      </c>
      <c r="G1653" t="inlineStr">
        <is>
          <t>Physician</t>
        </is>
      </c>
      <c r="H1653" t="inlineStr">
        <is>
          <t>assessment-and-plan</t>
        </is>
      </c>
      <c r="I1653" t="inlineStr">
        <is>
          <t xml:space="preserve">
   - Hold metformin for now.</t>
        </is>
      </c>
    </row>
    <row r="1654">
      <c r="A1654" t="inlineStr">
        <is>
          <t>522939-assessment-and-plan-2-2</t>
        </is>
      </c>
      <c r="B1654" t="inlineStr"/>
      <c r="C1654" t="inlineStr"/>
      <c r="D1654">
        <f>HYPERLINK("http://nlpdeep.cs.uic.edu:8080/proofing/gsii/522939-assessment-and-plan-2-2.pdf","gsii/522939-assessment-and-plan-2-2.pdf")</f>
        <v/>
      </c>
      <c r="E1654" t="n">
        <v>120842</v>
      </c>
      <c r="F1654" t="n">
        <v>522939</v>
      </c>
      <c r="G1654" t="inlineStr">
        <is>
          <t>Physician</t>
        </is>
      </c>
      <c r="H1654" t="inlineStr">
        <is>
          <t>assessment-and-plan</t>
        </is>
      </c>
      <c r="I1654" t="inlineStr">
        <is>
          <t xml:space="preserve">
   - Hold metformin for now.</t>
        </is>
      </c>
    </row>
    <row r="1655">
      <c r="A1655" t="inlineStr">
        <is>
          <t>522939-assessment-and-plan-2-3</t>
        </is>
      </c>
      <c r="B1655" t="inlineStr"/>
      <c r="C1655" t="inlineStr"/>
      <c r="D1655">
        <f>HYPERLINK("http://nlpdeep.cs.uic.edu:8080/proofing/t5/522939-assessment-and-plan-2-3.pdf","t5/522939-assessment-and-plan-2-3.pdf")</f>
        <v/>
      </c>
      <c r="E1655" t="n">
        <v>120842</v>
      </c>
      <c r="F1655" t="n">
        <v>522939</v>
      </c>
      <c r="G1655" t="inlineStr">
        <is>
          <t>Physician</t>
        </is>
      </c>
      <c r="H1655" t="inlineStr">
        <is>
          <t>assessment-and-plan</t>
        </is>
      </c>
      <c r="I1655" t="inlineStr">
        <is>
          <t xml:space="preserve">
   - +/- glipizide.</t>
        </is>
      </c>
    </row>
    <row r="1656">
      <c r="A1656" t="inlineStr">
        <is>
          <t>522939-assessment-and-plan-2-3</t>
        </is>
      </c>
      <c r="B1656" t="inlineStr"/>
      <c r="C1656" t="inlineStr"/>
      <c r="D1656">
        <f>HYPERLINK("http://nlpdeep.cs.uic.edu:8080/proofing/gsii/522939-assessment-and-plan-2-3.pdf","gsii/522939-assessment-and-plan-2-3.pdf")</f>
        <v/>
      </c>
      <c r="E1656" t="n">
        <v>120842</v>
      </c>
      <c r="F1656" t="n">
        <v>522939</v>
      </c>
      <c r="G1656" t="inlineStr">
        <is>
          <t>Physician</t>
        </is>
      </c>
      <c r="H1656" t="inlineStr">
        <is>
          <t>assessment-and-plan</t>
        </is>
      </c>
      <c r="I1656" t="inlineStr">
        <is>
          <t xml:space="preserve">
   - +/- glipizide.</t>
        </is>
      </c>
    </row>
    <row r="1657">
      <c r="A1657" t="inlineStr">
        <is>
          <t>522939-assessment-and-plan-3-0</t>
        </is>
      </c>
      <c r="B1657" t="inlineStr"/>
      <c r="C1657" t="inlineStr"/>
      <c r="D1657">
        <f>HYPERLINK("http://nlpdeep.cs.uic.edu:8080/proofing/t5/522939-assessment-and-plan-3-0.pdf","t5/522939-assessment-and-plan-3-0.pdf")</f>
        <v/>
      </c>
      <c r="E1657" t="n">
        <v>120842</v>
      </c>
      <c r="F1657" t="n">
        <v>522939</v>
      </c>
      <c r="G1657" t="inlineStr">
        <is>
          <t>Physician</t>
        </is>
      </c>
      <c r="H1657" t="inlineStr">
        <is>
          <t>assessment-and-plan</t>
        </is>
      </c>
      <c r="I1657" t="inlineStr">
        <is>
          <t xml:space="preserve">
   # Hypertension.</t>
        </is>
      </c>
    </row>
    <row r="1658">
      <c r="A1658" t="inlineStr">
        <is>
          <t>522939-assessment-and-plan-3-0</t>
        </is>
      </c>
      <c r="B1658" t="inlineStr"/>
      <c r="C1658" t="inlineStr"/>
      <c r="D1658">
        <f>HYPERLINK("http://nlpdeep.cs.uic.edu:8080/proofing/gsii/522939-assessment-and-plan-3-0.pdf","gsii/522939-assessment-and-plan-3-0.pdf")</f>
        <v/>
      </c>
      <c r="E1658" t="n">
        <v>120842</v>
      </c>
      <c r="F1658" t="n">
        <v>522939</v>
      </c>
      <c r="G1658" t="inlineStr">
        <is>
          <t>Physician</t>
        </is>
      </c>
      <c r="H1658" t="inlineStr">
        <is>
          <t>assessment-and-plan</t>
        </is>
      </c>
      <c r="I1658" t="inlineStr">
        <is>
          <t xml:space="preserve">
   # Hypertension.</t>
        </is>
      </c>
    </row>
    <row r="1659">
      <c r="A1659" t="inlineStr">
        <is>
          <t>522939-assessment-and-plan-3-1</t>
        </is>
      </c>
      <c r="B1659" t="inlineStr"/>
      <c r="C1659" t="inlineStr"/>
      <c r="D1659">
        <f>HYPERLINK("http://nlpdeep.cs.uic.edu:8080/proofing/t5/522939-assessment-and-plan-3-1.pdf","t5/522939-assessment-and-plan-3-1.pdf")</f>
        <v/>
      </c>
      <c r="E1659" t="n">
        <v>120842</v>
      </c>
      <c r="F1659" t="n">
        <v>522939</v>
      </c>
      <c r="G1659" t="inlineStr">
        <is>
          <t>Physician</t>
        </is>
      </c>
      <c r="H1659" t="inlineStr">
        <is>
          <t>assessment-and-plan</t>
        </is>
      </c>
      <c r="I1659" t="inlineStr">
        <is>
          <t xml:space="preserve">
   - Captopril and HCTZ.</t>
        </is>
      </c>
    </row>
    <row r="1660">
      <c r="A1660" t="inlineStr">
        <is>
          <t>522939-assessment-and-plan-3-1</t>
        </is>
      </c>
      <c r="B1660" t="inlineStr"/>
      <c r="C1660" t="inlineStr"/>
      <c r="D1660">
        <f>HYPERLINK("http://nlpdeep.cs.uic.edu:8080/proofing/gsii/522939-assessment-and-plan-3-1.pdf","gsii/522939-assessment-and-plan-3-1.pdf")</f>
        <v/>
      </c>
      <c r="E1660" t="n">
        <v>120842</v>
      </c>
      <c r="F1660" t="n">
        <v>522939</v>
      </c>
      <c r="G1660" t="inlineStr">
        <is>
          <t>Physician</t>
        </is>
      </c>
      <c r="H1660" t="inlineStr">
        <is>
          <t>assessment-and-plan</t>
        </is>
      </c>
      <c r="I1660" t="inlineStr">
        <is>
          <t xml:space="preserve">
   - Captopril and HCTZ.</t>
        </is>
      </c>
    </row>
    <row r="1661">
      <c r="A1661" t="inlineStr">
        <is>
          <t>522939-assessment-and-plan-4-0</t>
        </is>
      </c>
      <c r="B1661" t="inlineStr"/>
      <c r="C1661" t="inlineStr"/>
      <c r="D1661">
        <f>HYPERLINK("http://nlpdeep.cs.uic.edu:8080/proofing/t5/522939-assessment-and-plan-4-0.pdf","t5/522939-assessment-and-plan-4-0.pdf")</f>
        <v/>
      </c>
      <c r="E1661" t="n">
        <v>120842</v>
      </c>
      <c r="F1661" t="n">
        <v>522939</v>
      </c>
      <c r="G1661" t="inlineStr">
        <is>
          <t>Physician</t>
        </is>
      </c>
      <c r="H1661" t="inlineStr">
        <is>
          <t>assessment-and-plan</t>
        </is>
      </c>
      <c r="I1661" t="inlineStr">
        <is>
          <t xml:space="preserve">
   # Anemia.</t>
        </is>
      </c>
    </row>
    <row r="1662">
      <c r="A1662" t="inlineStr">
        <is>
          <t>522939-assessment-and-plan-4-0</t>
        </is>
      </c>
      <c r="B1662" t="inlineStr"/>
      <c r="C1662" t="inlineStr"/>
      <c r="D1662">
        <f>HYPERLINK("http://nlpdeep.cs.uic.edu:8080/proofing/gsii/522939-assessment-and-plan-4-0.pdf","gsii/522939-assessment-and-plan-4-0.pdf")</f>
        <v/>
      </c>
      <c r="E1662" t="n">
        <v>120842</v>
      </c>
      <c r="F1662" t="n">
        <v>522939</v>
      </c>
      <c r="G1662" t="inlineStr">
        <is>
          <t>Physician</t>
        </is>
      </c>
      <c r="H1662" t="inlineStr">
        <is>
          <t>assessment-and-plan</t>
        </is>
      </c>
      <c r="I1662" t="inlineStr">
        <is>
          <t xml:space="preserve">
   # Anemia.</t>
        </is>
      </c>
    </row>
    <row r="1663">
      <c r="A1663" t="inlineStr">
        <is>
          <t>522939-assessment-and-plan-4-1</t>
        </is>
      </c>
      <c r="B1663" t="inlineStr"/>
      <c r="C1663" t="inlineStr"/>
      <c r="D1663">
        <f>HYPERLINK("http://nlpdeep.cs.uic.edu:8080/proofing/t5/522939-assessment-and-plan-4-1.pdf","t5/522939-assessment-and-plan-4-1.pdf")</f>
        <v/>
      </c>
      <c r="E1663" t="n">
        <v>120842</v>
      </c>
      <c r="F1663" t="n">
        <v>522939</v>
      </c>
      <c r="G1663" t="inlineStr">
        <is>
          <t>Physician</t>
        </is>
      </c>
      <c r="H1663" t="inlineStr">
        <is>
          <t>assessment-and-plan</t>
        </is>
      </c>
      <c r="I1663" t="inlineStr">
        <is>
          <t>More or less at baseline.</t>
        </is>
      </c>
    </row>
    <row r="1664">
      <c r="A1664" t="inlineStr">
        <is>
          <t>522939-assessment-and-plan-4-1</t>
        </is>
      </c>
      <c r="B1664" t="inlineStr"/>
      <c r="C1664" t="inlineStr"/>
      <c r="D1664">
        <f>HYPERLINK("http://nlpdeep.cs.uic.edu:8080/proofing/gsii/522939-assessment-and-plan-4-1.pdf","gsii/522939-assessment-and-plan-4-1.pdf")</f>
        <v/>
      </c>
      <c r="E1664" t="n">
        <v>120842</v>
      </c>
      <c r="F1664" t="n">
        <v>522939</v>
      </c>
      <c r="G1664" t="inlineStr">
        <is>
          <t>Physician</t>
        </is>
      </c>
      <c r="H1664" t="inlineStr">
        <is>
          <t>assessment-and-plan</t>
        </is>
      </c>
      <c r="I1664" t="inlineStr">
        <is>
          <t>More or less at baseline.</t>
        </is>
      </c>
    </row>
    <row r="1665">
      <c r="A1665" t="inlineStr">
        <is>
          <t>522939-assessment-and-plan-4-2</t>
        </is>
      </c>
      <c r="B1665" t="inlineStr"/>
      <c r="C1665" t="inlineStr"/>
      <c r="D1665">
        <f>HYPERLINK("http://nlpdeep.cs.uic.edu:8080/proofing/t5/522939-assessment-and-plan-4-2.pdf","t5/522939-assessment-and-plan-4-2.pdf")</f>
        <v/>
      </c>
      <c r="E1665" t="n">
        <v>120842</v>
      </c>
      <c r="F1665" t="n">
        <v>522939</v>
      </c>
      <c r="G1665" t="inlineStr">
        <is>
          <t>Physician</t>
        </is>
      </c>
      <c r="H1665" t="inlineStr">
        <is>
          <t>assessment-and-plan</t>
        </is>
      </c>
      <c r="I1665" t="inlineStr">
        <is>
          <t xml:space="preserve">
   - Monitor.</t>
        </is>
      </c>
    </row>
    <row r="1666">
      <c r="A1666" t="inlineStr">
        <is>
          <t>522939-assessment-and-plan-4-2</t>
        </is>
      </c>
      <c r="B1666" t="inlineStr"/>
      <c r="C1666" t="inlineStr"/>
      <c r="D1666">
        <f>HYPERLINK("http://nlpdeep.cs.uic.edu:8080/proofing/gsii/522939-assessment-and-plan-4-2.pdf","gsii/522939-assessment-and-plan-4-2.pdf")</f>
        <v/>
      </c>
      <c r="E1666" t="n">
        <v>120842</v>
      </c>
      <c r="F1666" t="n">
        <v>522939</v>
      </c>
      <c r="G1666" t="inlineStr">
        <is>
          <t>Physician</t>
        </is>
      </c>
      <c r="H1666" t="inlineStr">
        <is>
          <t>assessment-and-plan</t>
        </is>
      </c>
      <c r="I1666" t="inlineStr">
        <is>
          <t xml:space="preserve">
   - Monitor.</t>
        </is>
      </c>
    </row>
    <row r="1667">
      <c r="A1667" t="inlineStr">
        <is>
          <t>522939-assessment-and-plan-5-0</t>
        </is>
      </c>
      <c r="B1667" t="inlineStr"/>
      <c r="C1667" t="inlineStr"/>
      <c r="D1667">
        <f>HYPERLINK("http://nlpdeep.cs.uic.edu:8080/proofing/t5/522939-assessment-and-plan-5-0.pdf","t5/522939-assessment-and-plan-5-0.pdf")</f>
        <v/>
      </c>
      <c r="E1667" t="n">
        <v>120842</v>
      </c>
      <c r="F1667" t="n">
        <v>522939</v>
      </c>
      <c r="G1667" t="inlineStr">
        <is>
          <t>Physician</t>
        </is>
      </c>
      <c r="H1667" t="inlineStr">
        <is>
          <t>assessment-and-plan</t>
        </is>
      </c>
      <c r="I1667" t="inlineStr">
        <is>
          <t>FEN: No IVF, replete electrolytes, regular diet
   Prophylaxis: Subutaneous heparin
   Access: peripherals
   20 Gauge - [**2153-4-8**] 09:30 P</t>
        </is>
      </c>
    </row>
    <row r="1668">
      <c r="A1668" t="inlineStr">
        <is>
          <t>522939-assessment-and-plan-5-0</t>
        </is>
      </c>
      <c r="B1668" t="inlineStr"/>
      <c r="C1668" t="inlineStr"/>
      <c r="D1668">
        <f>HYPERLINK("http://nlpdeep.cs.uic.edu:8080/proofing/gsii/522939-assessment-and-plan-5-0.pdf","gsii/522939-assessment-and-plan-5-0.pdf")</f>
        <v/>
      </c>
      <c r="E1668" t="n">
        <v>120842</v>
      </c>
      <c r="F1668" t="n">
        <v>522939</v>
      </c>
      <c r="G1668" t="inlineStr">
        <is>
          <t>Physician</t>
        </is>
      </c>
      <c r="H1668" t="inlineStr">
        <is>
          <t>assessment-and-plan</t>
        </is>
      </c>
      <c r="I1668" t="inlineStr">
        <is>
          <t>FEN: No IVF, replete electrolytes, regular diet
   Prophylaxis: Subutaneous heparin
   Access: peripherals
   20 Gauge - [**2153-4-8**] 09:30 P</t>
        </is>
      </c>
    </row>
    <row r="1669">
      <c r="A1669" t="inlineStr">
        <is>
          <t>522939-code-status-0-0</t>
        </is>
      </c>
      <c r="B1669" t="inlineStr"/>
      <c r="C1669" t="inlineStr"/>
      <c r="D1669">
        <f>HYPERLINK("http://nlpdeep.cs.uic.edu:8080/proofing/t5/522939-code-status-0-0.pdf","t5/522939-code-status-0-0.pdf")</f>
        <v/>
      </c>
      <c r="E1669" t="n">
        <v>120842</v>
      </c>
      <c r="F1669" t="n">
        <v>522939</v>
      </c>
      <c r="G1669" t="inlineStr">
        <is>
          <t>Physician</t>
        </is>
      </c>
      <c r="H1669" t="inlineStr">
        <is>
          <t>code-status</t>
        </is>
      </c>
      <c r="I1669" t="inlineStr">
        <is>
          <t>Full (confirmed on admission)</t>
        </is>
      </c>
    </row>
    <row r="1670">
      <c r="A1670" t="inlineStr">
        <is>
          <t>522939-code-status-0-0</t>
        </is>
      </c>
      <c r="B1670" t="inlineStr"/>
      <c r="C1670" t="inlineStr"/>
      <c r="D1670">
        <f>HYPERLINK("http://nlpdeep.cs.uic.edu:8080/proofing/gsii/522939-code-status-0-0.pdf","gsii/522939-code-status-0-0.pdf")</f>
        <v/>
      </c>
      <c r="E1670" t="n">
        <v>120842</v>
      </c>
      <c r="F1670" t="n">
        <v>522939</v>
      </c>
      <c r="G1670" t="inlineStr">
        <is>
          <t>Physician</t>
        </is>
      </c>
      <c r="H1670" t="inlineStr">
        <is>
          <t>code-status</t>
        </is>
      </c>
      <c r="I1670" t="inlineStr">
        <is>
          <t>Full (confirmed on admission)</t>
        </is>
      </c>
    </row>
    <row r="1671">
      <c r="A1671" t="inlineStr">
        <is>
          <t>522939-communication-0-0</t>
        </is>
      </c>
      <c r="B1671" t="inlineStr"/>
      <c r="C1671" t="inlineStr"/>
      <c r="D1671">
        <f>HYPERLINK("http://nlpdeep.cs.uic.edu:8080/proofing/t5/522939-communication-0-0.pdf","t5/522939-communication-0-0.pdf")</f>
        <v/>
      </c>
      <c r="E1671" t="n">
        <v>120842</v>
      </c>
      <c r="F1671" t="n">
        <v>522939</v>
      </c>
      <c r="G1671" t="inlineStr">
        <is>
          <t>Physician</t>
        </is>
      </c>
      <c r="H1671" t="inlineStr">
        <is>
          <t>communication</t>
        </is>
      </c>
      <c r="I1671" t="inlineStr">
        <is>
          <t>P</t>
        </is>
      </c>
    </row>
    <row r="1672">
      <c r="A1672" t="inlineStr">
        <is>
          <t>522939-communication-0-0</t>
        </is>
      </c>
      <c r="B1672" t="inlineStr"/>
      <c r="C1672" t="inlineStr"/>
      <c r="D1672">
        <f>HYPERLINK("http://nlpdeep.cs.uic.edu:8080/proofing/gsii/522939-communication-0-0.pdf","gsii/522939-communication-0-0.pdf")</f>
        <v/>
      </c>
      <c r="E1672" t="n">
        <v>120842</v>
      </c>
      <c r="F1672" t="n">
        <v>522939</v>
      </c>
      <c r="G1672" t="inlineStr">
        <is>
          <t>Physician</t>
        </is>
      </c>
      <c r="H1672" t="inlineStr">
        <is>
          <t>communication</t>
        </is>
      </c>
      <c r="I1672" t="inlineStr">
        <is>
          <t>P</t>
        </is>
      </c>
    </row>
    <row r="1673">
      <c r="A1673" t="inlineStr">
        <is>
          <t>522939-disposition-0-0</t>
        </is>
      </c>
      <c r="B1673" t="inlineStr"/>
      <c r="C1673" t="inlineStr"/>
      <c r="D1673">
        <f>HYPERLINK("http://nlpdeep.cs.uic.edu:8080/proofing/t5/522939-disposition-0-0.pdf","t5/522939-disposition-0-0.pdf")</f>
        <v/>
      </c>
      <c r="E1673" t="n">
        <v>120842</v>
      </c>
      <c r="F1673" t="n">
        <v>522939</v>
      </c>
      <c r="G1673" t="inlineStr">
        <is>
          <t>Physician</t>
        </is>
      </c>
      <c r="H1673" t="inlineStr">
        <is>
          <t>disposition</t>
        </is>
      </c>
      <c r="I1673" t="inlineStr">
        <is>
          <t>ICU)</t>
        </is>
      </c>
    </row>
    <row r="1674">
      <c r="A1674" t="inlineStr">
        <is>
          <t>522939-disposition-0-0</t>
        </is>
      </c>
      <c r="B1674" t="inlineStr"/>
      <c r="C1674" t="inlineStr"/>
      <c r="D1674">
        <f>HYPERLINK("http://nlpdeep.cs.uic.edu:8080/proofing/gsii/522939-disposition-0-0.pdf","gsii/522939-disposition-0-0.pdf")</f>
        <v/>
      </c>
      <c r="E1674" t="n">
        <v>120842</v>
      </c>
      <c r="F1674" t="n">
        <v>522939</v>
      </c>
      <c r="G1674" t="inlineStr">
        <is>
          <t>Physician</t>
        </is>
      </c>
      <c r="H1674" t="inlineStr">
        <is>
          <t>disposition</t>
        </is>
      </c>
      <c r="I1674" t="inlineStr">
        <is>
          <t>ICU)</t>
        </is>
      </c>
    </row>
    <row r="1675">
      <c r="A1675" t="inlineStr">
        <is>
          <t>522939-critical-care-attending-addendum-0-0</t>
        </is>
      </c>
      <c r="B1675" t="inlineStr"/>
      <c r="C1675" t="inlineStr"/>
      <c r="D1675">
        <f>HYPERLINK("http://nlpdeep.cs.uic.edu:8080/proofing/t5/522939-critical-care-attending-addendum-0-0.pdf","t5/522939-critical-care-attending-addendum-0-0.pdf")</f>
        <v/>
      </c>
      <c r="E1675" t="n">
        <v>120842</v>
      </c>
      <c r="F1675" t="n">
        <v>522939</v>
      </c>
      <c r="G1675" t="inlineStr">
        <is>
          <t>Physician</t>
        </is>
      </c>
      <c r="H1675" t="inlineStr">
        <is>
          <t>critical-care-attending-addendum</t>
        </is>
      </c>
      <c r="I1675" t="inlineStr">
        <is>
          <t>------
   [**Known lastname **]: 73 y/o with COPD (home oxygen), diastolic heart failure, and
   recent total knee replacement initially admitted to MICU 2 days ago for
   COPD exacerbation and SVT.</t>
        </is>
      </c>
    </row>
    <row r="1676">
      <c r="A1676" t="inlineStr">
        <is>
          <t>522939-critical-care-attending-addendum-0-0</t>
        </is>
      </c>
      <c r="B1676" t="inlineStr"/>
      <c r="C1676" t="inlineStr"/>
      <c r="D1676">
        <f>HYPERLINK("http://nlpdeep.cs.uic.edu:8080/proofing/gsii/522939-critical-care-attending-addendum-0-0.pdf","gsii/522939-critical-care-attending-addendum-0-0.pdf")</f>
        <v/>
      </c>
      <c r="E1676" t="n">
        <v>120842</v>
      </c>
      <c r="F1676" t="n">
        <v>522939</v>
      </c>
      <c r="G1676" t="inlineStr">
        <is>
          <t>Physician</t>
        </is>
      </c>
      <c r="H1676" t="inlineStr">
        <is>
          <t>critical-care-attending-addendum</t>
        </is>
      </c>
      <c r="I1676" t="inlineStr">
        <is>
          <t>------
   [**Known lastname **]: 73 y/o with COPD (home oxygen), diastolic heart failure, and
   recent total knee replacement initially admitted to MICU 2 days ago for
   COPD exacerbation and SVT.</t>
        </is>
      </c>
    </row>
    <row r="1677">
      <c r="A1677" t="inlineStr">
        <is>
          <t>522939-critical-care-attending-addendum-0-1</t>
        </is>
      </c>
      <c r="B1677" t="inlineStr"/>
      <c r="C1677" t="inlineStr"/>
      <c r="D1677">
        <f>HYPERLINK("http://nlpdeep.cs.uic.edu:8080/proofing/t5/522939-critical-care-attending-addendum-0-1.pdf","t5/522939-critical-care-attending-addendum-0-1.pdf")</f>
        <v/>
      </c>
      <c r="E1677" t="n">
        <v>120842</v>
      </c>
      <c r="F1677" t="n">
        <v>522939</v>
      </c>
      <c r="G1677" t="inlineStr">
        <is>
          <t>Physician</t>
        </is>
      </c>
      <c r="H1677" t="inlineStr">
        <is>
          <t>critical-care-attending-addendum</t>
        </is>
      </c>
      <c r="I1677" t="inlineStr">
        <is>
          <t xml:space="preserve"> Transferred to the floor but returns to ICU
   today following an episode of respiratory distress and tachycardia.</t>
        </is>
      </c>
    </row>
    <row r="1678">
      <c r="A1678" t="inlineStr">
        <is>
          <t>522939-critical-care-attending-addendum-0-1</t>
        </is>
      </c>
      <c r="B1678" t="inlineStr"/>
      <c r="C1678" t="inlineStr"/>
      <c r="D1678">
        <f>HYPERLINK("http://nlpdeep.cs.uic.edu:8080/proofing/gsii/522939-critical-care-attending-addendum-0-1.pdf","gsii/522939-critical-care-attending-addendum-0-1.pdf")</f>
        <v/>
      </c>
      <c r="E1678" t="n">
        <v>120842</v>
      </c>
      <c r="F1678" t="n">
        <v>522939</v>
      </c>
      <c r="G1678" t="inlineStr">
        <is>
          <t>Physician</t>
        </is>
      </c>
      <c r="H1678" t="inlineStr">
        <is>
          <t>critical-care-attending-addendum</t>
        </is>
      </c>
      <c r="I1678" t="inlineStr">
        <is>
          <t xml:space="preserve"> Transferred to the floor but returns to ICU
   today following an episode of respiratory distress and tachycardia.</t>
        </is>
      </c>
    </row>
    <row r="1679">
      <c r="A1679" t="inlineStr">
        <is>
          <t>522939-critical-care-attending-addendum-0-2</t>
        </is>
      </c>
      <c r="B1679" t="inlineStr"/>
      <c r="C1679" t="inlineStr"/>
      <c r="D1679">
        <f>HYPERLINK("http://nlpdeep.cs.uic.edu:8080/proofing/t5/522939-critical-care-attending-addendum-0-2.pdf","t5/522939-critical-care-attending-addendum-0-2.pdf")</f>
        <v/>
      </c>
      <c r="E1679" t="n">
        <v>120842</v>
      </c>
      <c r="F1679" t="n">
        <v>522939</v>
      </c>
      <c r="G1679" t="inlineStr">
        <is>
          <t>Physician</t>
        </is>
      </c>
      <c r="H1679" t="inlineStr">
        <is>
          <t>critical-care-attending-addendum</t>
        </is>
      </c>
      <c r="I1679" t="inlineStr">
        <is>
          <t xml:space="preserve">
   CXR without infiltrate.</t>
        </is>
      </c>
    </row>
    <row r="1680">
      <c r="A1680" t="inlineStr">
        <is>
          <t>522939-critical-care-attending-addendum-0-2</t>
        </is>
      </c>
      <c r="B1680" t="inlineStr"/>
      <c r="C1680" t="inlineStr"/>
      <c r="D1680">
        <f>HYPERLINK("http://nlpdeep.cs.uic.edu:8080/proofing/gsii/522939-critical-care-attending-addendum-0-2.pdf","gsii/522939-critical-care-attending-addendum-0-2.pdf")</f>
        <v/>
      </c>
      <c r="E1680" t="n">
        <v>120842</v>
      </c>
      <c r="F1680" t="n">
        <v>522939</v>
      </c>
      <c r="G1680" t="inlineStr">
        <is>
          <t>Physician</t>
        </is>
      </c>
      <c r="H1680" t="inlineStr">
        <is>
          <t>critical-care-attending-addendum</t>
        </is>
      </c>
      <c r="I1680" t="inlineStr">
        <is>
          <t xml:space="preserve">
   CXR without infiltrate.</t>
        </is>
      </c>
    </row>
    <row r="1681">
      <c r="A1681" t="inlineStr">
        <is>
          <t>522939-critical-care-attending-addendum-0-3</t>
        </is>
      </c>
      <c r="B1681" t="inlineStr"/>
      <c r="C1681" t="inlineStr"/>
      <c r="D1681">
        <f>HYPERLINK("http://nlpdeep.cs.uic.edu:8080/proofing/t5/522939-critical-care-attending-addendum-0-3.pdf","t5/522939-critical-care-attending-addendum-0-3.pdf")</f>
        <v/>
      </c>
      <c r="E1681" t="n">
        <v>120842</v>
      </c>
      <c r="F1681" t="n">
        <v>522939</v>
      </c>
      <c r="G1681" t="inlineStr">
        <is>
          <t>Physician</t>
        </is>
      </c>
      <c r="H1681" t="inlineStr">
        <is>
          <t>critical-care-attending-addendum</t>
        </is>
      </c>
      <c r="I1681" t="inlineStr">
        <is>
          <t xml:space="preserve"> WBC increased to 15, Hct 32, Plt 286, Cr 0.6.</t>
        </is>
      </c>
    </row>
    <row r="1682">
      <c r="A1682" t="inlineStr">
        <is>
          <t>522939-critical-care-attending-addendum-0-3</t>
        </is>
      </c>
      <c r="B1682" t="inlineStr"/>
      <c r="C1682" t="inlineStr"/>
      <c r="D1682">
        <f>HYPERLINK("http://nlpdeep.cs.uic.edu:8080/proofing/gsii/522939-critical-care-attending-addendum-0-3.pdf","gsii/522939-critical-care-attending-addendum-0-3.pdf")</f>
        <v/>
      </c>
      <c r="E1682" t="n">
        <v>120842</v>
      </c>
      <c r="F1682" t="n">
        <v>522939</v>
      </c>
      <c r="G1682" t="inlineStr">
        <is>
          <t>Physician</t>
        </is>
      </c>
      <c r="H1682" t="inlineStr">
        <is>
          <t>critical-care-attending-addendum</t>
        </is>
      </c>
      <c r="I1682" t="inlineStr">
        <is>
          <t xml:space="preserve"> WBC increased to 15, Hct 32, Plt 286, Cr 0.6.</t>
        </is>
      </c>
    </row>
    <row r="1683">
      <c r="A1683" t="inlineStr">
        <is>
          <t>522939-critical-care-attending-addendum-0-4</t>
        </is>
      </c>
      <c r="B1683" t="inlineStr"/>
      <c r="C1683" t="inlineStr"/>
      <c r="D1683">
        <f>HYPERLINK("http://nlpdeep.cs.uic.edu:8080/proofing/t5/522939-critical-care-attending-addendum-0-4.pdf","t5/522939-critical-care-attending-addendum-0-4.pdf")</f>
        <v/>
      </c>
      <c r="E1683" t="n">
        <v>120842</v>
      </c>
      <c r="F1683" t="n">
        <v>522939</v>
      </c>
      <c r="G1683" t="inlineStr">
        <is>
          <t>Physician</t>
        </is>
      </c>
      <c r="H1683" t="inlineStr">
        <is>
          <t>critical-care-attending-addendum</t>
        </is>
      </c>
      <c r="I1683" t="inlineStr">
        <is>
          <t xml:space="preserve">
   Afebrile  140/71  67
   wheezes bilaterally
   Impression:
   The etiology of her respiratory distress may be diastrolic failure in
   the setting of her tachycardia.</t>
        </is>
      </c>
    </row>
    <row r="1684">
      <c r="A1684" t="inlineStr">
        <is>
          <t>522939-critical-care-attending-addendum-0-4</t>
        </is>
      </c>
      <c r="B1684" t="inlineStr"/>
      <c r="C1684" t="inlineStr"/>
      <c r="D1684">
        <f>HYPERLINK("http://nlpdeep.cs.uic.edu:8080/proofing/gsii/522939-critical-care-attending-addendum-0-4.pdf","gsii/522939-critical-care-attending-addendum-0-4.pdf")</f>
        <v/>
      </c>
      <c r="E1684" t="n">
        <v>120842</v>
      </c>
      <c r="F1684" t="n">
        <v>522939</v>
      </c>
      <c r="G1684" t="inlineStr">
        <is>
          <t>Physician</t>
        </is>
      </c>
      <c r="H1684" t="inlineStr">
        <is>
          <t>critical-care-attending-addendum</t>
        </is>
      </c>
      <c r="I1684" t="inlineStr">
        <is>
          <t xml:space="preserve">
   Afebrile  140/71  67
   wheezes bilaterally
   Impression:
   The etiology of her respiratory distress may be diastrolic failure in
   the setting of her tachycardia.</t>
        </is>
      </c>
    </row>
    <row r="1685">
      <c r="A1685" t="inlineStr">
        <is>
          <t>522939-critical-care-attending-addendum-0-5</t>
        </is>
      </c>
      <c r="B1685" t="inlineStr"/>
      <c r="C1685" t="inlineStr"/>
      <c r="D1685">
        <f>HYPERLINK("http://nlpdeep.cs.uic.edu:8080/proofing/t5/522939-critical-care-attending-addendum-0-5.pdf","t5/522939-critical-care-attending-addendum-0-5.pdf")</f>
        <v/>
      </c>
      <c r="E1685" t="n">
        <v>120842</v>
      </c>
      <c r="F1685" t="n">
        <v>522939</v>
      </c>
      <c r="G1685" t="inlineStr">
        <is>
          <t>Physician</t>
        </is>
      </c>
      <c r="H1685" t="inlineStr">
        <is>
          <t>critical-care-attending-addendum</t>
        </is>
      </c>
      <c r="I1685" t="inlineStr">
        <is>
          <t xml:space="preserve"> Her underlying COPD is likely
   contributing also.</t>
        </is>
      </c>
    </row>
    <row r="1686">
      <c r="A1686" t="inlineStr">
        <is>
          <t>522939-critical-care-attending-addendum-0-5</t>
        </is>
      </c>
      <c r="B1686" t="inlineStr"/>
      <c r="C1686" t="inlineStr"/>
      <c r="D1686">
        <f>HYPERLINK("http://nlpdeep.cs.uic.edu:8080/proofing/gsii/522939-critical-care-attending-addendum-0-5.pdf","gsii/522939-critical-care-attending-addendum-0-5.pdf")</f>
        <v/>
      </c>
      <c r="E1686" t="n">
        <v>120842</v>
      </c>
      <c r="F1686" t="n">
        <v>522939</v>
      </c>
      <c r="G1686" t="inlineStr">
        <is>
          <t>Physician</t>
        </is>
      </c>
      <c r="H1686" t="inlineStr">
        <is>
          <t>critical-care-attending-addendum</t>
        </is>
      </c>
      <c r="I1686" t="inlineStr">
        <is>
          <t xml:space="preserve"> Her underlying COPD is likely
   contributing also.</t>
        </is>
      </c>
    </row>
    <row r="1687">
      <c r="A1687" t="inlineStr">
        <is>
          <t>522939-critical-care-attending-addendum-0-6</t>
        </is>
      </c>
      <c r="B1687" t="inlineStr"/>
      <c r="C1687" t="inlineStr"/>
      <c r="D1687">
        <f>HYPERLINK("http://nlpdeep.cs.uic.edu:8080/proofing/t5/522939-critical-care-attending-addendum-0-6.pdf","t5/522939-critical-care-attending-addendum-0-6.pdf")</f>
        <v/>
      </c>
      <c r="E1687" t="n">
        <v>120842</v>
      </c>
      <c r="F1687" t="n">
        <v>522939</v>
      </c>
      <c r="G1687" t="inlineStr">
        <is>
          <t>Physician</t>
        </is>
      </c>
      <c r="H1687" t="inlineStr">
        <is>
          <t>critical-care-attending-addendum</t>
        </is>
      </c>
      <c r="I1687" t="inlineStr">
        <is>
          <t xml:space="preserve"> Her tachycardia is currently resolved and she is
   stable from a respiratory standpoint.</t>
        </is>
      </c>
    </row>
    <row r="1688">
      <c r="A1688" t="inlineStr">
        <is>
          <t>522939-critical-care-attending-addendum-0-6</t>
        </is>
      </c>
      <c r="B1688" t="inlineStr"/>
      <c r="C1688" t="inlineStr"/>
      <c r="D1688">
        <f>HYPERLINK("http://nlpdeep.cs.uic.edu:8080/proofing/gsii/522939-critical-care-attending-addendum-0-6.pdf","gsii/522939-critical-care-attending-addendum-0-6.pdf")</f>
        <v/>
      </c>
      <c r="E1688" t="n">
        <v>120842</v>
      </c>
      <c r="F1688" t="n">
        <v>522939</v>
      </c>
      <c r="G1688" t="inlineStr">
        <is>
          <t>Physician</t>
        </is>
      </c>
      <c r="H1688" t="inlineStr">
        <is>
          <t>critical-care-attending-addendum</t>
        </is>
      </c>
      <c r="I1688" t="inlineStr">
        <is>
          <t xml:space="preserve"> Her tachycardia is currently resolved and she is
   stable from a respiratory standpoint.</t>
        </is>
      </c>
    </row>
    <row r="1689">
      <c r="A1689" t="inlineStr">
        <is>
          <t>522939-critical-care-attending-addendum-0-7</t>
        </is>
      </c>
      <c r="B1689" t="inlineStr"/>
      <c r="C1689" t="inlineStr"/>
      <c r="D1689">
        <f>HYPERLINK("http://nlpdeep.cs.uic.edu:8080/proofing/t5/522939-critical-care-attending-addendum-0-7.pdf","t5/522939-critical-care-attending-addendum-0-7.pdf")</f>
        <v/>
      </c>
      <c r="E1689" t="n">
        <v>120842</v>
      </c>
      <c r="F1689" t="n">
        <v>522939</v>
      </c>
      <c r="G1689" t="inlineStr">
        <is>
          <t>Physician</t>
        </is>
      </c>
      <c r="H1689" t="inlineStr">
        <is>
          <t>critical-care-attending-addendum</t>
        </is>
      </c>
      <c r="I1689" t="inlineStr">
        <is>
          <t xml:space="preserve">
   PLAN:
   1. Continue rate control with diltiazem
   2.</t>
        </is>
      </c>
    </row>
    <row r="1690">
      <c r="A1690" t="inlineStr">
        <is>
          <t>522939-critical-care-attending-addendum-0-7</t>
        </is>
      </c>
      <c r="B1690" t="inlineStr"/>
      <c r="C1690" t="inlineStr"/>
      <c r="D1690">
        <f>HYPERLINK("http://nlpdeep.cs.uic.edu:8080/proofing/gsii/522939-critical-care-attending-addendum-0-7.pdf","gsii/522939-critical-care-attending-addendum-0-7.pdf")</f>
        <v/>
      </c>
      <c r="E1690" t="n">
        <v>120842</v>
      </c>
      <c r="F1690" t="n">
        <v>522939</v>
      </c>
      <c r="G1690" t="inlineStr">
        <is>
          <t>Physician</t>
        </is>
      </c>
      <c r="H1690" t="inlineStr">
        <is>
          <t>critical-care-attending-addendum</t>
        </is>
      </c>
      <c r="I1690" t="inlineStr">
        <is>
          <t xml:space="preserve">
   PLAN:
   1. Continue rate control with diltiazem
   2.</t>
        </is>
      </c>
    </row>
    <row r="1691">
      <c r="A1691" t="inlineStr">
        <is>
          <t>522939-critical-care-attending-addendum-0-8</t>
        </is>
      </c>
      <c r="B1691" t="inlineStr"/>
      <c r="C1691" t="inlineStr"/>
      <c r="D1691">
        <f>HYPERLINK("http://nlpdeep.cs.uic.edu:8080/proofing/t5/522939-critical-care-attending-addendum-0-8.pdf","t5/522939-critical-care-attending-addendum-0-8.pdf")</f>
        <v/>
      </c>
      <c r="E1691" t="n">
        <v>120842</v>
      </c>
      <c r="F1691" t="n">
        <v>522939</v>
      </c>
      <c r="G1691" t="inlineStr">
        <is>
          <t>Physician</t>
        </is>
      </c>
      <c r="H1691" t="inlineStr">
        <is>
          <t>critical-care-attending-addendum</t>
        </is>
      </c>
      <c r="I1691" t="inlineStr">
        <is>
          <t>Cardiology evaluation
   3.</t>
        </is>
      </c>
    </row>
    <row r="1692">
      <c r="A1692" t="inlineStr">
        <is>
          <t>522939-critical-care-attending-addendum-0-8</t>
        </is>
      </c>
      <c r="B1692" t="inlineStr"/>
      <c r="C1692" t="inlineStr"/>
      <c r="D1692">
        <f>HYPERLINK("http://nlpdeep.cs.uic.edu:8080/proofing/gsii/522939-critical-care-attending-addendum-0-8.pdf","gsii/522939-critical-care-attending-addendum-0-8.pdf")</f>
        <v/>
      </c>
      <c r="E1692" t="n">
        <v>120842</v>
      </c>
      <c r="F1692" t="n">
        <v>522939</v>
      </c>
      <c r="G1692" t="inlineStr">
        <is>
          <t>Physician</t>
        </is>
      </c>
      <c r="H1692" t="inlineStr">
        <is>
          <t>critical-care-attending-addendum</t>
        </is>
      </c>
      <c r="I1692" t="inlineStr">
        <is>
          <t>Cardiology evaluation
   3.</t>
        </is>
      </c>
    </row>
    <row r="1693">
      <c r="A1693" t="inlineStr">
        <is>
          <t>522939-critical-care-attending-addendum-0-9</t>
        </is>
      </c>
      <c r="B1693" t="inlineStr"/>
      <c r="C1693" t="inlineStr"/>
      <c r="D1693">
        <f>HYPERLINK("http://nlpdeep.cs.uic.edu:8080/proofing/t5/522939-critical-care-attending-addendum-0-9.pdf","t5/522939-critical-care-attending-addendum-0-9.pdf")</f>
        <v/>
      </c>
      <c r="E1693" t="n">
        <v>120842</v>
      </c>
      <c r="F1693" t="n">
        <v>522939</v>
      </c>
      <c r="G1693" t="inlineStr">
        <is>
          <t>Physician</t>
        </is>
      </c>
      <c r="H1693" t="inlineStr">
        <is>
          <t>critical-care-attending-addendum</t>
        </is>
      </c>
      <c r="I1693" t="inlineStr">
        <is>
          <t>Echocardiogram
   4.</t>
        </is>
      </c>
    </row>
    <row r="1694">
      <c r="A1694" t="inlineStr">
        <is>
          <t>522939-critical-care-attending-addendum-0-9</t>
        </is>
      </c>
      <c r="B1694" t="inlineStr"/>
      <c r="C1694" t="inlineStr"/>
      <c r="D1694">
        <f>HYPERLINK("http://nlpdeep.cs.uic.edu:8080/proofing/gsii/522939-critical-care-attending-addendum-0-9.pdf","gsii/522939-critical-care-attending-addendum-0-9.pdf")</f>
        <v/>
      </c>
      <c r="E1694" t="n">
        <v>120842</v>
      </c>
      <c r="F1694" t="n">
        <v>522939</v>
      </c>
      <c r="G1694" t="inlineStr">
        <is>
          <t>Physician</t>
        </is>
      </c>
      <c r="H1694" t="inlineStr">
        <is>
          <t>critical-care-attending-addendum</t>
        </is>
      </c>
      <c r="I1694" t="inlineStr">
        <is>
          <t>Echocardiogram
   4.</t>
        </is>
      </c>
    </row>
    <row r="1695">
      <c r="A1695" t="inlineStr">
        <is>
          <t>522939-critical-care-attending-addendum-0-10</t>
        </is>
      </c>
      <c r="B1695" t="inlineStr"/>
      <c r="C1695" t="inlineStr"/>
      <c r="D1695">
        <f>HYPERLINK("http://nlpdeep.cs.uic.edu:8080/proofing/t5/522939-critical-care-attending-addendum-0-10.pdf","t5/522939-critical-care-attending-addendum-0-10.pdf")</f>
        <v/>
      </c>
      <c r="E1695" t="n">
        <v>120842</v>
      </c>
      <c r="F1695" t="n">
        <v>522939</v>
      </c>
      <c r="G1695" t="inlineStr">
        <is>
          <t>Physician</t>
        </is>
      </c>
      <c r="H1695" t="inlineStr">
        <is>
          <t>critical-care-attending-addendum</t>
        </is>
      </c>
      <c r="I1695" t="inlineStr">
        <is>
          <t>Continue steroids, antibiotics, and bronchodilators for COPD.</t>
        </is>
      </c>
    </row>
    <row r="1696">
      <c r="A1696" t="inlineStr">
        <is>
          <t>522939-critical-care-attending-addendum-0-10</t>
        </is>
      </c>
      <c r="B1696" t="inlineStr"/>
      <c r="C1696" t="inlineStr"/>
      <c r="D1696">
        <f>HYPERLINK("http://nlpdeep.cs.uic.edu:8080/proofing/gsii/522939-critical-care-attending-addendum-0-10.pdf","gsii/522939-critical-care-attending-addendum-0-10.pdf")</f>
        <v/>
      </c>
      <c r="E1696" t="n">
        <v>120842</v>
      </c>
      <c r="F1696" t="n">
        <v>522939</v>
      </c>
      <c r="G1696" t="inlineStr">
        <is>
          <t>Physician</t>
        </is>
      </c>
      <c r="H1696" t="inlineStr">
        <is>
          <t>critical-care-attending-addendum</t>
        </is>
      </c>
      <c r="I1696" t="inlineStr">
        <is>
          <t>Continue steroids, antibiotics, and bronchodilators for COPD.</t>
        </is>
      </c>
    </row>
    <row r="1697">
      <c r="A1697" t="inlineStr">
        <is>
          <t>522939-critical-care-attending-addendum-0-11</t>
        </is>
      </c>
      <c r="B1697" t="inlineStr"/>
      <c r="C1697" t="inlineStr"/>
      <c r="D1697">
        <f>HYPERLINK("http://nlpdeep.cs.uic.edu:8080/proofing/t5/522939-critical-care-attending-addendum-0-11.pdf","t5/522939-critical-care-attending-addendum-0-11.pdf")</f>
        <v/>
      </c>
      <c r="E1697" t="n">
        <v>120842</v>
      </c>
      <c r="F1697" t="n">
        <v>522939</v>
      </c>
      <c r="G1697" t="inlineStr">
        <is>
          <t>Physician</t>
        </is>
      </c>
      <c r="H1697" t="inlineStr">
        <is>
          <t>critical-care-attending-addendum</t>
        </is>
      </c>
      <c r="I1697" t="inlineStr">
        <is>
          <t>------ Protected Section Addendum Entered By:[</t>
        </is>
      </c>
    </row>
    <row r="1698">
      <c r="A1698" t="inlineStr">
        <is>
          <t>522939-critical-care-attending-addendum-0-11</t>
        </is>
      </c>
      <c r="B1698" t="inlineStr"/>
      <c r="C1698" t="inlineStr"/>
      <c r="D1698">
        <f>HYPERLINK("http://nlpdeep.cs.uic.edu:8080/proofing/gsii/522939-critical-care-attending-addendum-0-11.pdf","gsii/522939-critical-care-attending-addendum-0-11.pdf")</f>
        <v/>
      </c>
      <c r="E1698" t="n">
        <v>120842</v>
      </c>
      <c r="F1698" t="n">
        <v>522939</v>
      </c>
      <c r="G1698" t="inlineStr">
        <is>
          <t>Physician</t>
        </is>
      </c>
      <c r="H1698" t="inlineStr">
        <is>
          <t>critical-care-attending-addendum</t>
        </is>
      </c>
      <c r="I1698" t="inlineStr">
        <is>
          <t>------ Protected Section Addendum Entered By:[</t>
        </is>
      </c>
    </row>
    <row r="1699">
      <c r="A1699" t="inlineStr">
        <is>
          <t>43723-allergies-0-0</t>
        </is>
      </c>
      <c r="B1699" t="inlineStr"/>
      <c r="C1699" t="inlineStr"/>
      <c r="D1699">
        <f>HYPERLINK("http://nlpdeep.cs.uic.edu:8080/proofing/t5/43723-allergies-0-0.pdf","t5/43723-allergies-0-0.pdf")</f>
        <v/>
      </c>
      <c r="E1699" t="n">
        <v>120842</v>
      </c>
      <c r="F1699" t="n">
        <v>43723</v>
      </c>
      <c r="G1699" t="inlineStr">
        <is>
          <t>Discharge summary</t>
        </is>
      </c>
      <c r="H1699" t="inlineStr">
        <is>
          <t>allergies</t>
        </is>
      </c>
      <c r="I1699" t="inlineStr">
        <is>
          <t>H</t>
        </is>
      </c>
    </row>
    <row r="1700">
      <c r="A1700" t="inlineStr">
        <is>
          <t>43723-allergies-0-0</t>
        </is>
      </c>
      <c r="B1700" t="inlineStr"/>
      <c r="C1700" t="inlineStr"/>
      <c r="D1700">
        <f>HYPERLINK("http://nlpdeep.cs.uic.edu:8080/proofing/gsii/43723-allergies-0-0.pdf","gsii/43723-allergies-0-0.pdf")</f>
        <v/>
      </c>
      <c r="E1700" t="n">
        <v>120842</v>
      </c>
      <c r="F1700" t="n">
        <v>43723</v>
      </c>
      <c r="G1700" t="inlineStr">
        <is>
          <t>Discharge summary</t>
        </is>
      </c>
      <c r="H1700" t="inlineStr">
        <is>
          <t>allergies</t>
        </is>
      </c>
      <c r="I1700" t="inlineStr">
        <is>
          <t>H</t>
        </is>
      </c>
    </row>
    <row r="1701">
      <c r="A1701" t="inlineStr">
        <is>
          <t>43723-chief-complaint-0-0</t>
        </is>
      </c>
      <c r="B1701" t="inlineStr"/>
      <c r="C1701" t="inlineStr"/>
      <c r="D1701">
        <f>HYPERLINK("http://nlpdeep.cs.uic.edu:8080/proofing/t5/43723-chief-complaint-0-0.pdf","t5/43723-chief-complaint-0-0.pdf")</f>
        <v/>
      </c>
      <c r="E1701" t="n">
        <v>120842</v>
      </c>
      <c r="F1701" t="n">
        <v>43723</v>
      </c>
      <c r="G1701" t="inlineStr">
        <is>
          <t>Discharge summary</t>
        </is>
      </c>
      <c r="H1701" t="inlineStr">
        <is>
          <t>chief-complaint</t>
        </is>
      </c>
      <c r="I1701" t="inlineStr">
        <is>
          <t>s</t>
        </is>
      </c>
    </row>
    <row r="1702">
      <c r="A1702" t="inlineStr">
        <is>
          <t>43723-chief-complaint-0-0</t>
        </is>
      </c>
      <c r="B1702" t="inlineStr"/>
      <c r="C1702" t="inlineStr"/>
      <c r="D1702">
        <f>HYPERLINK("http://nlpdeep.cs.uic.edu:8080/proofing/gsii/43723-chief-complaint-0-0.pdf","gsii/43723-chief-complaint-0-0.pdf")</f>
        <v/>
      </c>
      <c r="E1702" t="n">
        <v>120842</v>
      </c>
      <c r="F1702" t="n">
        <v>43723</v>
      </c>
      <c r="G1702" t="inlineStr">
        <is>
          <t>Discharge summary</t>
        </is>
      </c>
      <c r="H1702" t="inlineStr">
        <is>
          <t>chief-complaint</t>
        </is>
      </c>
      <c r="I1702" t="inlineStr">
        <is>
          <t>s</t>
        </is>
      </c>
    </row>
    <row r="1703">
      <c r="A1703" t="inlineStr">
        <is>
          <t>43723-major-surgical-or-invasive-procedure-0-0</t>
        </is>
      </c>
      <c r="B1703" t="inlineStr"/>
      <c r="C1703" t="inlineStr"/>
      <c r="D1703">
        <f>HYPERLINK("http://nlpdeep.cs.uic.edu:8080/proofing/t5/43723-major-surgical-or-invasive-procedure-0-0.pdf","t5/43723-major-surgical-or-invasive-procedure-0-0.pdf")</f>
        <v/>
      </c>
      <c r="E1703" t="n">
        <v>120842</v>
      </c>
      <c r="F1703" t="n">
        <v>43723</v>
      </c>
      <c r="G1703" t="inlineStr">
        <is>
          <t>Discharge summary</t>
        </is>
      </c>
      <c r="H1703" t="inlineStr">
        <is>
          <t>major-surgical-or-invasive-procedure</t>
        </is>
      </c>
      <c r="I1703" t="inlineStr">
        <is>
          <t>N</t>
        </is>
      </c>
    </row>
    <row r="1704">
      <c r="A1704" t="inlineStr">
        <is>
          <t>43723-major-surgical-or-invasive-procedure-0-0</t>
        </is>
      </c>
      <c r="B1704" t="inlineStr"/>
      <c r="C1704" t="inlineStr"/>
      <c r="D1704">
        <f>HYPERLINK("http://nlpdeep.cs.uic.edu:8080/proofing/gsii/43723-major-surgical-or-invasive-procedure-0-0.pdf","gsii/43723-major-surgical-or-invasive-procedure-0-0.pdf")</f>
        <v/>
      </c>
      <c r="E1704" t="n">
        <v>120842</v>
      </c>
      <c r="F1704" t="n">
        <v>43723</v>
      </c>
      <c r="G1704" t="inlineStr">
        <is>
          <t>Discharge summary</t>
        </is>
      </c>
      <c r="H1704" t="inlineStr">
        <is>
          <t>major-surgical-or-invasive-procedure</t>
        </is>
      </c>
      <c r="I1704" t="inlineStr">
        <is>
          <t>N</t>
        </is>
      </c>
    </row>
    <row r="1705">
      <c r="A1705" t="inlineStr">
        <is>
          <t>43723-history-of-present-illness-0-0</t>
        </is>
      </c>
      <c r="B1705" t="inlineStr"/>
      <c r="C1705" t="inlineStr"/>
      <c r="D1705">
        <f>HYPERLINK("http://nlpdeep.cs.uic.edu:8080/proofing/t5/43723-history-of-present-illness-0-0.pdf","t5/43723-history-of-present-illness-0-0.pdf")</f>
        <v/>
      </c>
      <c r="E1705" t="n">
        <v>120842</v>
      </c>
      <c r="F1705" t="n">
        <v>43723</v>
      </c>
      <c r="G1705" t="inlineStr">
        <is>
          <t>Discharge summary</t>
        </is>
      </c>
      <c r="H1705" t="inlineStr">
        <is>
          <t>history-of-present-illness</t>
        </is>
      </c>
      <c r="I1705" t="inlineStr">
        <is>
          <t>73F with COPD on home O2, diastolic CHF, TKR one month ago,
presenting with shortness of breath.</t>
        </is>
      </c>
    </row>
    <row r="1706">
      <c r="A1706" t="inlineStr">
        <is>
          <t>43723-history-of-present-illness-0-0</t>
        </is>
      </c>
      <c r="B1706" t="inlineStr"/>
      <c r="C1706" t="inlineStr"/>
      <c r="D1706">
        <f>HYPERLINK("http://nlpdeep.cs.uic.edu:8080/proofing/gsii/43723-history-of-present-illness-0-0.pdf","gsii/43723-history-of-present-illness-0-0.pdf")</f>
        <v/>
      </c>
      <c r="E1706" t="n">
        <v>120842</v>
      </c>
      <c r="F1706" t="n">
        <v>43723</v>
      </c>
      <c r="G1706" t="inlineStr">
        <is>
          <t>Discharge summary</t>
        </is>
      </c>
      <c r="H1706" t="inlineStr">
        <is>
          <t>history-of-present-illness</t>
        </is>
      </c>
      <c r="I1706" t="inlineStr">
        <is>
          <t>73F with COPD on home O2, diastolic CHF, TKR one month ago,
presenting with shortness of breath.</t>
        </is>
      </c>
    </row>
    <row r="1707">
      <c r="A1707" t="inlineStr">
        <is>
          <t>43723-history-of-present-illness-0-1</t>
        </is>
      </c>
      <c r="B1707" t="inlineStr"/>
      <c r="C1707" t="inlineStr"/>
      <c r="D1707">
        <f>HYPERLINK("http://nlpdeep.cs.uic.edu:8080/proofing/t5/43723-history-of-present-illness-0-1.pdf","t5/43723-history-of-present-illness-0-1.pdf")</f>
        <v/>
      </c>
      <c r="E1707" t="n">
        <v>120842</v>
      </c>
      <c r="F1707" t="n">
        <v>43723</v>
      </c>
      <c r="G1707" t="inlineStr">
        <is>
          <t>Discharge summary</t>
        </is>
      </c>
      <c r="H1707" t="inlineStr">
        <is>
          <t>history-of-present-illness</t>
        </is>
      </c>
      <c r="I1707" t="inlineStr">
        <is>
          <t>She has had worsening
dyspnea for 1-2 weeks at home.</t>
        </is>
      </c>
    </row>
    <row r="1708">
      <c r="A1708" t="inlineStr">
        <is>
          <t>43723-history-of-present-illness-0-1</t>
        </is>
      </c>
      <c r="B1708" t="inlineStr"/>
      <c r="C1708" t="inlineStr"/>
      <c r="D1708">
        <f>HYPERLINK("http://nlpdeep.cs.uic.edu:8080/proofing/gsii/43723-history-of-present-illness-0-1.pdf","gsii/43723-history-of-present-illness-0-1.pdf")</f>
        <v/>
      </c>
      <c r="E1708" t="n">
        <v>120842</v>
      </c>
      <c r="F1708" t="n">
        <v>43723</v>
      </c>
      <c r="G1708" t="inlineStr">
        <is>
          <t>Discharge summary</t>
        </is>
      </c>
      <c r="H1708" t="inlineStr">
        <is>
          <t>history-of-present-illness</t>
        </is>
      </c>
      <c r="I1708" t="inlineStr">
        <is>
          <t>She has had worsening
dyspnea for 1-2 weeks at home.</t>
        </is>
      </c>
    </row>
    <row r="1709">
      <c r="A1709" t="inlineStr">
        <is>
          <t>43723-history-of-present-illness-0-2</t>
        </is>
      </c>
      <c r="B1709" t="inlineStr"/>
      <c r="C1709" t="inlineStr"/>
      <c r="D1709">
        <f>HYPERLINK("http://nlpdeep.cs.uic.edu:8080/proofing/t5/43723-history-of-present-illness-0-2.pdf","t5/43723-history-of-present-illness-0-2.pdf")</f>
        <v/>
      </c>
      <c r="E1709" t="n">
        <v>120842</v>
      </c>
      <c r="F1709" t="n">
        <v>43723</v>
      </c>
      <c r="G1709" t="inlineStr">
        <is>
          <t>Discharge summary</t>
        </is>
      </c>
      <c r="H1709" t="inlineStr">
        <is>
          <t>history-of-present-illness</t>
        </is>
      </c>
      <c r="I1709" t="inlineStr">
        <is>
          <t>Started on azithromycin and
steroids last week as an outpatient without improvement.</t>
        </is>
      </c>
    </row>
    <row r="1710">
      <c r="A1710" t="inlineStr">
        <is>
          <t>43723-history-of-present-illness-0-2</t>
        </is>
      </c>
      <c r="B1710" t="inlineStr"/>
      <c r="C1710" t="inlineStr"/>
      <c r="D1710">
        <f>HYPERLINK("http://nlpdeep.cs.uic.edu:8080/proofing/gsii/43723-history-of-present-illness-0-2.pdf","gsii/43723-history-of-present-illness-0-2.pdf")</f>
        <v/>
      </c>
      <c r="E1710" t="n">
        <v>120842</v>
      </c>
      <c r="F1710" t="n">
        <v>43723</v>
      </c>
      <c r="G1710" t="inlineStr">
        <is>
          <t>Discharge summary</t>
        </is>
      </c>
      <c r="H1710" t="inlineStr">
        <is>
          <t>history-of-present-illness</t>
        </is>
      </c>
      <c r="I1710" t="inlineStr">
        <is>
          <t>Started on azithromycin and
steroids last week as an outpatient without improvement.</t>
        </is>
      </c>
    </row>
    <row r="1711">
      <c r="A1711" t="inlineStr">
        <is>
          <t>43723-history-of-present-illness-0-3</t>
        </is>
      </c>
      <c r="B1711" t="inlineStr"/>
      <c r="C1711" t="inlineStr"/>
      <c r="D1711">
        <f>HYPERLINK("http://nlpdeep.cs.uic.edu:8080/proofing/t5/43723-history-of-present-illness-0-3.pdf","t5/43723-history-of-present-illness-0-3.pdf")</f>
        <v/>
      </c>
      <c r="E1711" t="n">
        <v>120842</v>
      </c>
      <c r="F1711" t="n">
        <v>43723</v>
      </c>
      <c r="G1711" t="inlineStr">
        <is>
          <t>Discharge summary</t>
        </is>
      </c>
      <c r="H1711" t="inlineStr">
        <is>
          <t>history-of-present-illness</t>
        </is>
      </c>
      <c r="I1711" t="inlineStr">
        <is>
          <t>She
woke up this AM with worsened respiratory distress.</t>
        </is>
      </c>
    </row>
    <row r="1712">
      <c r="A1712" t="inlineStr">
        <is>
          <t>43723-history-of-present-illness-0-3</t>
        </is>
      </c>
      <c r="B1712" t="inlineStr"/>
      <c r="C1712" t="inlineStr"/>
      <c r="D1712">
        <f>HYPERLINK("http://nlpdeep.cs.uic.edu:8080/proofing/gsii/43723-history-of-present-illness-0-3.pdf","gsii/43723-history-of-present-illness-0-3.pdf")</f>
        <v/>
      </c>
      <c r="E1712" t="n">
        <v>120842</v>
      </c>
      <c r="F1712" t="n">
        <v>43723</v>
      </c>
      <c r="G1712" t="inlineStr">
        <is>
          <t>Discharge summary</t>
        </is>
      </c>
      <c r="H1712" t="inlineStr">
        <is>
          <t>history-of-present-illness</t>
        </is>
      </c>
      <c r="I1712" t="inlineStr">
        <is>
          <t>She
woke up this AM with worsened respiratory distress.</t>
        </is>
      </c>
    </row>
    <row r="1713">
      <c r="A1713" t="inlineStr">
        <is>
          <t>43723-history-of-present-illness-0-4</t>
        </is>
      </c>
      <c r="B1713" t="inlineStr"/>
      <c r="C1713" t="inlineStr"/>
      <c r="D1713">
        <f>HYPERLINK("http://nlpdeep.cs.uic.edu:8080/proofing/t5/43723-history-of-present-illness-0-4.pdf","t5/43723-history-of-present-illness-0-4.pdf")</f>
        <v/>
      </c>
      <c r="E1713" t="n">
        <v>120842</v>
      </c>
      <c r="F1713" t="n">
        <v>43723</v>
      </c>
      <c r="G1713" t="inlineStr">
        <is>
          <t>Discharge summary</t>
        </is>
      </c>
      <c r="H1713" t="inlineStr">
        <is>
          <t>history-of-present-illness</t>
        </is>
      </c>
      <c r="I1713" t="inlineStr">
        <is>
          <t>Gave herself
nebs at home and did not improve so called EMS.</t>
        </is>
      </c>
    </row>
    <row r="1714">
      <c r="A1714" t="inlineStr">
        <is>
          <t>43723-history-of-present-illness-0-4</t>
        </is>
      </c>
      <c r="B1714" t="inlineStr"/>
      <c r="C1714" t="inlineStr"/>
      <c r="D1714">
        <f>HYPERLINK("http://nlpdeep.cs.uic.edu:8080/proofing/gsii/43723-history-of-present-illness-0-4.pdf","gsii/43723-history-of-present-illness-0-4.pdf")</f>
        <v/>
      </c>
      <c r="E1714" t="n">
        <v>120842</v>
      </c>
      <c r="F1714" t="n">
        <v>43723</v>
      </c>
      <c r="G1714" t="inlineStr">
        <is>
          <t>Discharge summary</t>
        </is>
      </c>
      <c r="H1714" t="inlineStr">
        <is>
          <t>history-of-present-illness</t>
        </is>
      </c>
      <c r="I1714" t="inlineStr">
        <is>
          <t>Gave herself
nebs at home and did not improve so called EMS.</t>
        </is>
      </c>
    </row>
    <row r="1715">
      <c r="A1715" t="inlineStr">
        <is>
          <t>43723-past-medical-history-0-0</t>
        </is>
      </c>
      <c r="B1715" t="inlineStr"/>
      <c r="C1715" t="inlineStr"/>
      <c r="D1715">
        <f>HYPERLINK("http://nlpdeep.cs.uic.edu:8080/proofing/t5/43723-past-medical-history-0-0.pdf","t5/43723-past-medical-history-0-0.pdf")</f>
        <v/>
      </c>
      <c r="E1715" t="n">
        <v>120842</v>
      </c>
      <c r="F1715" t="n">
        <v>43723</v>
      </c>
      <c r="G1715" t="inlineStr">
        <is>
          <t>Discharge summary</t>
        </is>
      </c>
      <c r="H1715" t="inlineStr">
        <is>
          <t>past-medical-history</t>
        </is>
      </c>
      <c r="I1715" t="inlineStr">
        <is>
          <t>- COPD/?asthma on home O2 at 2-4LPM.</t>
        </is>
      </c>
    </row>
    <row r="1716">
      <c r="A1716" t="inlineStr">
        <is>
          <t>43723-past-medical-history-0-0</t>
        </is>
      </c>
      <c r="B1716" t="inlineStr"/>
      <c r="C1716" t="inlineStr"/>
      <c r="D1716">
        <f>HYPERLINK("http://nlpdeep.cs.uic.edu:8080/proofing/gsii/43723-past-medical-history-0-0.pdf","gsii/43723-past-medical-history-0-0.pdf")</f>
        <v/>
      </c>
      <c r="E1716" t="n">
        <v>120842</v>
      </c>
      <c r="F1716" t="n">
        <v>43723</v>
      </c>
      <c r="G1716" t="inlineStr">
        <is>
          <t>Discharge summary</t>
        </is>
      </c>
      <c r="H1716" t="inlineStr">
        <is>
          <t>past-medical-history</t>
        </is>
      </c>
      <c r="I1716" t="inlineStr">
        <is>
          <t>- COPD/?asthma on home O2 at 2-4LPM.</t>
        </is>
      </c>
    </row>
    <row r="1717">
      <c r="A1717" t="inlineStr">
        <is>
          <t>43723-past-medical-history-0-1</t>
        </is>
      </c>
      <c r="B1717" t="inlineStr"/>
      <c r="C1717" t="inlineStr"/>
      <c r="D1717">
        <f>HYPERLINK("http://nlpdeep.cs.uic.edu:8080/proofing/t5/43723-past-medical-history-0-1.pdf","t5/43723-past-medical-history-0-1.pdf")</f>
        <v/>
      </c>
      <c r="E1717" t="n">
        <v>120842</v>
      </c>
      <c r="F1717" t="n">
        <v>43723</v>
      </c>
      <c r="G1717" t="inlineStr">
        <is>
          <t>Discharge summary</t>
        </is>
      </c>
      <c r="H1717" t="inlineStr">
        <is>
          <t>past-medical-history</t>
        </is>
      </c>
      <c r="I1717" t="inlineStr">
        <is>
          <t>Spirometry with only mild
to moderate obstructive defect, FEV1 1.17 (68% predicted) but
low DLCO at 38% predicted.</t>
        </is>
      </c>
    </row>
    <row r="1718">
      <c r="A1718" t="inlineStr">
        <is>
          <t>43723-past-medical-history-0-1</t>
        </is>
      </c>
      <c r="B1718" t="inlineStr"/>
      <c r="C1718" t="inlineStr"/>
      <c r="D1718">
        <f>HYPERLINK("http://nlpdeep.cs.uic.edu:8080/proofing/gsii/43723-past-medical-history-0-1.pdf","gsii/43723-past-medical-history-0-1.pdf")</f>
        <v/>
      </c>
      <c r="E1718" t="n">
        <v>120842</v>
      </c>
      <c r="F1718" t="n">
        <v>43723</v>
      </c>
      <c r="G1718" t="inlineStr">
        <is>
          <t>Discharge summary</t>
        </is>
      </c>
      <c r="H1718" t="inlineStr">
        <is>
          <t>past-medical-history</t>
        </is>
      </c>
      <c r="I1718" t="inlineStr">
        <is>
          <t>Spirometry with only mild
to moderate obstructive defect, FEV1 1.17 (68% predicted) but
low DLCO at 38% predicted.</t>
        </is>
      </c>
    </row>
    <row r="1719">
      <c r="A1719" t="inlineStr">
        <is>
          <t>43723-past-medical-history-0-2</t>
        </is>
      </c>
      <c r="B1719" t="inlineStr"/>
      <c r="C1719" t="inlineStr"/>
      <c r="D1719">
        <f>HYPERLINK("http://nlpdeep.cs.uic.edu:8080/proofing/t5/43723-past-medical-history-0-2.pdf","t5/43723-past-medical-history-0-2.pdf")</f>
        <v/>
      </c>
      <c r="E1719" t="n">
        <v>120842</v>
      </c>
      <c r="F1719" t="n">
        <v>43723</v>
      </c>
      <c r="G1719" t="inlineStr">
        <is>
          <t>Discharge summary</t>
        </is>
      </c>
      <c r="H1719" t="inlineStr">
        <is>
          <t>past-medical-history</t>
        </is>
      </c>
      <c r="I1719" t="inlineStr">
        <is>
          <t xml:space="preserve">
- Diastolic CHF and pulmonary hypertension.</t>
        </is>
      </c>
    </row>
    <row r="1720">
      <c r="A1720" t="inlineStr">
        <is>
          <t>43723-past-medical-history-0-2</t>
        </is>
      </c>
      <c r="B1720" t="inlineStr"/>
      <c r="C1720" t="inlineStr"/>
      <c r="D1720">
        <f>HYPERLINK("http://nlpdeep.cs.uic.edu:8080/proofing/gsii/43723-past-medical-history-0-2.pdf","gsii/43723-past-medical-history-0-2.pdf")</f>
        <v/>
      </c>
      <c r="E1720" t="n">
        <v>120842</v>
      </c>
      <c r="F1720" t="n">
        <v>43723</v>
      </c>
      <c r="G1720" t="inlineStr">
        <is>
          <t>Discharge summary</t>
        </is>
      </c>
      <c r="H1720" t="inlineStr">
        <is>
          <t>past-medical-history</t>
        </is>
      </c>
      <c r="I1720" t="inlineStr">
        <is>
          <t xml:space="preserve">
- Diastolic CHF and pulmonary hypertension.</t>
        </is>
      </c>
    </row>
    <row r="1721">
      <c r="A1721" t="inlineStr">
        <is>
          <t>43723-past-medical-history-0-3</t>
        </is>
      </c>
      <c r="B1721" t="inlineStr"/>
      <c r="C1721" t="inlineStr"/>
      <c r="D1721">
        <f>HYPERLINK("http://nlpdeep.cs.uic.edu:8080/proofing/t5/43723-past-medical-history-0-3.pdf","t5/43723-past-medical-history-0-3.pdf")</f>
        <v/>
      </c>
      <c r="E1721" t="n">
        <v>120842</v>
      </c>
      <c r="F1721" t="n">
        <v>43723</v>
      </c>
      <c r="G1721" t="inlineStr">
        <is>
          <t>Discharge summary</t>
        </is>
      </c>
      <c r="H1721" t="inlineStr">
        <is>
          <t>past-medical-history</t>
        </is>
      </c>
      <c r="I1721" t="inlineStr">
        <is>
          <t>Last TTE [**12/2151**]
with EF &gt;55%, mild RV dilation with preserved function,
estimated TR gradient 43-63.
- OSA on home CPAP
- DM type II
- HTN
- s/p R TKR [**2153-3-5**], complicated by desaturation due to COPD
exacerbation, dCHF, and ?narcotics.</t>
        </is>
      </c>
    </row>
    <row r="1722">
      <c r="A1722" t="inlineStr">
        <is>
          <t>43723-past-medical-history-0-3</t>
        </is>
      </c>
      <c r="B1722" t="inlineStr"/>
      <c r="C1722" t="inlineStr"/>
      <c r="D1722">
        <f>HYPERLINK("http://nlpdeep.cs.uic.edu:8080/proofing/gsii/43723-past-medical-history-0-3.pdf","gsii/43723-past-medical-history-0-3.pdf")</f>
        <v/>
      </c>
      <c r="E1722" t="n">
        <v>120842</v>
      </c>
      <c r="F1722" t="n">
        <v>43723</v>
      </c>
      <c r="G1722" t="inlineStr">
        <is>
          <t>Discharge summary</t>
        </is>
      </c>
      <c r="H1722" t="inlineStr">
        <is>
          <t>past-medical-history</t>
        </is>
      </c>
      <c r="I1722" t="inlineStr">
        <is>
          <t>Last TTE [**12/2151**]
with EF &gt;55%, mild RV dilation with preserved function,
estimated TR gradient 43-63.
- OSA on home CPAP
- DM type II
- HTN
- s/p R TKR [**2153-3-5**], complicated by desaturation due to COPD
exacerbation, dCHF, and ?narcotics.</t>
        </is>
      </c>
    </row>
    <row r="1723">
      <c r="A1723" t="inlineStr">
        <is>
          <t>43723-past-medical-history-0-4</t>
        </is>
      </c>
      <c r="B1723" t="inlineStr"/>
      <c r="C1723" t="inlineStr"/>
      <c r="D1723">
        <f>HYPERLINK("http://nlpdeep.cs.uic.edu:8080/proofing/t5/43723-past-medical-history-0-4.pdf","t5/43723-past-medical-history-0-4.pdf")</f>
        <v/>
      </c>
      <c r="E1723" t="n">
        <v>120842</v>
      </c>
      <c r="F1723" t="n">
        <v>43723</v>
      </c>
      <c r="G1723" t="inlineStr">
        <is>
          <t>Discharge summary</t>
        </is>
      </c>
      <c r="H1723" t="inlineStr">
        <is>
          <t>past-medical-history</t>
        </is>
      </c>
      <c r="I1723" t="inlineStr">
        <is>
          <t>- s/p L TKR
- History of rectal cancer s/p chemo, XRT, and s/p transanal
rectal ca excision
- s/p hysterectomy
- Anxiety / D</t>
        </is>
      </c>
    </row>
    <row r="1724">
      <c r="A1724" t="inlineStr">
        <is>
          <t>43723-past-medical-history-0-4</t>
        </is>
      </c>
      <c r="B1724" t="inlineStr"/>
      <c r="C1724" t="inlineStr"/>
      <c r="D1724">
        <f>HYPERLINK("http://nlpdeep.cs.uic.edu:8080/proofing/gsii/43723-past-medical-history-0-4.pdf","gsii/43723-past-medical-history-0-4.pdf")</f>
        <v/>
      </c>
      <c r="E1724" t="n">
        <v>120842</v>
      </c>
      <c r="F1724" t="n">
        <v>43723</v>
      </c>
      <c r="G1724" t="inlineStr">
        <is>
          <t>Discharge summary</t>
        </is>
      </c>
      <c r="H1724" t="inlineStr">
        <is>
          <t>past-medical-history</t>
        </is>
      </c>
      <c r="I1724" t="inlineStr">
        <is>
          <t>- s/p L TKR
- History of rectal cancer s/p chemo, XRT, and s/p transanal
rectal ca excision
- s/p hysterectomy
- Anxiety / D</t>
        </is>
      </c>
    </row>
    <row r="1725">
      <c r="A1725" t="inlineStr">
        <is>
          <t>43723-social-history-0-0</t>
        </is>
      </c>
      <c r="B1725" t="inlineStr"/>
      <c r="C1725" t="inlineStr"/>
      <c r="D1725">
        <f>HYPERLINK("http://nlpdeep.cs.uic.edu:8080/proofing/t5/43723-social-history-0-0.pdf","t5/43723-social-history-0-0.pdf")</f>
        <v/>
      </c>
      <c r="E1725" t="n">
        <v>120842</v>
      </c>
      <c r="F1725" t="n">
        <v>43723</v>
      </c>
      <c r="G1725" t="inlineStr">
        <is>
          <t>Discharge summary</t>
        </is>
      </c>
      <c r="H1725" t="inlineStr">
        <is>
          <t>social-history</t>
        </is>
      </c>
      <c r="I1725" t="inlineStr">
        <is>
          <t>SH: Pt.</t>
        </is>
      </c>
    </row>
    <row r="1726">
      <c r="A1726" t="inlineStr">
        <is>
          <t>43723-social-history-0-0</t>
        </is>
      </c>
      <c r="B1726" t="inlineStr"/>
      <c r="C1726" t="inlineStr"/>
      <c r="D1726">
        <f>HYPERLINK("http://nlpdeep.cs.uic.edu:8080/proofing/gsii/43723-social-history-0-0.pdf","gsii/43723-social-history-0-0.pdf")</f>
        <v/>
      </c>
      <c r="E1726" t="n">
        <v>120842</v>
      </c>
      <c r="F1726" t="n">
        <v>43723</v>
      </c>
      <c r="G1726" t="inlineStr">
        <is>
          <t>Discharge summary</t>
        </is>
      </c>
      <c r="H1726" t="inlineStr">
        <is>
          <t>social-history</t>
        </is>
      </c>
      <c r="I1726" t="inlineStr">
        <is>
          <t>SH: Pt.</t>
        </is>
      </c>
    </row>
    <row r="1727">
      <c r="A1727" t="inlineStr">
        <is>
          <t>43723-social-history-0-1</t>
        </is>
      </c>
      <c r="B1727" t="inlineStr"/>
      <c r="C1727" t="inlineStr"/>
      <c r="D1727">
        <f>HYPERLINK("http://nlpdeep.cs.uic.edu:8080/proofing/t5/43723-social-history-0-1.pdf","t5/43723-social-history-0-1.pdf")</f>
        <v/>
      </c>
      <c r="E1727" t="n">
        <v>120842</v>
      </c>
      <c r="F1727" t="n">
        <v>43723</v>
      </c>
      <c r="G1727" t="inlineStr">
        <is>
          <t>Discharge summary</t>
        </is>
      </c>
      <c r="H1727" t="inlineStr">
        <is>
          <t>social-history</t>
        </is>
      </c>
      <c r="I1727" t="inlineStr">
        <is>
          <t>has 11 children and 27 grandchildren.</t>
        </is>
      </c>
    </row>
    <row r="1728">
      <c r="A1728" t="inlineStr">
        <is>
          <t>43723-social-history-0-1</t>
        </is>
      </c>
      <c r="B1728" t="inlineStr"/>
      <c r="C1728" t="inlineStr"/>
      <c r="D1728">
        <f>HYPERLINK("http://nlpdeep.cs.uic.edu:8080/proofing/gsii/43723-social-history-0-1.pdf","gsii/43723-social-history-0-1.pdf")</f>
        <v/>
      </c>
      <c r="E1728" t="n">
        <v>120842</v>
      </c>
      <c r="F1728" t="n">
        <v>43723</v>
      </c>
      <c r="G1728" t="inlineStr">
        <is>
          <t>Discharge summary</t>
        </is>
      </c>
      <c r="H1728" t="inlineStr">
        <is>
          <t>social-history</t>
        </is>
      </c>
      <c r="I1728" t="inlineStr">
        <is>
          <t>has 11 children and 27 grandchildren.</t>
        </is>
      </c>
    </row>
    <row r="1729">
      <c r="A1729" t="inlineStr">
        <is>
          <t>43723-social-history-0-2</t>
        </is>
      </c>
      <c r="B1729" t="inlineStr"/>
      <c r="C1729" t="inlineStr"/>
      <c r="D1729">
        <f>HYPERLINK("http://nlpdeep.cs.uic.edu:8080/proofing/t5/43723-social-history-0-2.pdf","t5/43723-social-history-0-2.pdf")</f>
        <v/>
      </c>
      <c r="E1729" t="n">
        <v>120842</v>
      </c>
      <c r="F1729" t="n">
        <v>43723</v>
      </c>
      <c r="G1729" t="inlineStr">
        <is>
          <t>Discharge summary</t>
        </is>
      </c>
      <c r="H1729" t="inlineStr">
        <is>
          <t>social-history</t>
        </is>
      </c>
      <c r="I1729" t="inlineStr">
        <is>
          <t xml:space="preserve"> She lives alone
but has help from her many children.</t>
        </is>
      </c>
    </row>
    <row r="1730">
      <c r="A1730" t="inlineStr">
        <is>
          <t>43723-social-history-0-2</t>
        </is>
      </c>
      <c r="B1730" t="inlineStr"/>
      <c r="C1730" t="inlineStr"/>
      <c r="D1730">
        <f>HYPERLINK("http://nlpdeep.cs.uic.edu:8080/proofing/gsii/43723-social-history-0-2.pdf","gsii/43723-social-history-0-2.pdf")</f>
        <v/>
      </c>
      <c r="E1730" t="n">
        <v>120842</v>
      </c>
      <c r="F1730" t="n">
        <v>43723</v>
      </c>
      <c r="G1730" t="inlineStr">
        <is>
          <t>Discharge summary</t>
        </is>
      </c>
      <c r="H1730" t="inlineStr">
        <is>
          <t>social-history</t>
        </is>
      </c>
      <c r="I1730" t="inlineStr">
        <is>
          <t xml:space="preserve"> She lives alone
but has help from her many children.</t>
        </is>
      </c>
    </row>
    <row r="1731">
      <c r="A1731" t="inlineStr">
        <is>
          <t>43723-social-history-0-3</t>
        </is>
      </c>
      <c r="B1731" t="inlineStr"/>
      <c r="C1731" t="inlineStr"/>
      <c r="D1731">
        <f>HYPERLINK("http://nlpdeep.cs.uic.edu:8080/proofing/t5/43723-social-history-0-3.pdf","t5/43723-social-history-0-3.pdf")</f>
        <v/>
      </c>
      <c r="E1731" t="n">
        <v>120842</v>
      </c>
      <c r="F1731" t="n">
        <v>43723</v>
      </c>
      <c r="G1731" t="inlineStr">
        <is>
          <t>Discharge summary</t>
        </is>
      </c>
      <c r="H1731" t="inlineStr">
        <is>
          <t>social-history</t>
        </is>
      </c>
      <c r="I1731" t="inlineStr">
        <is>
          <t xml:space="preserve"> Patient is a former smoker
with 40 PY smoking history.</t>
        </is>
      </c>
    </row>
    <row r="1732">
      <c r="A1732" t="inlineStr">
        <is>
          <t>43723-social-history-0-3</t>
        </is>
      </c>
      <c r="B1732" t="inlineStr"/>
      <c r="C1732" t="inlineStr"/>
      <c r="D1732">
        <f>HYPERLINK("http://nlpdeep.cs.uic.edu:8080/proofing/gsii/43723-social-history-0-3.pdf","gsii/43723-social-history-0-3.pdf")</f>
        <v/>
      </c>
      <c r="E1732" t="n">
        <v>120842</v>
      </c>
      <c r="F1732" t="n">
        <v>43723</v>
      </c>
      <c r="G1732" t="inlineStr">
        <is>
          <t>Discharge summary</t>
        </is>
      </c>
      <c r="H1732" t="inlineStr">
        <is>
          <t>social-history</t>
        </is>
      </c>
      <c r="I1732" t="inlineStr">
        <is>
          <t xml:space="preserve"> Patient is a former smoker
with 40 PY smoking history.</t>
        </is>
      </c>
    </row>
    <row r="1733">
      <c r="A1733" t="inlineStr">
        <is>
          <t>43723-family-history-0-0</t>
        </is>
      </c>
      <c r="B1733" t="inlineStr"/>
      <c r="C1733" t="inlineStr"/>
      <c r="D1733">
        <f>HYPERLINK("http://nlpdeep.cs.uic.edu:8080/proofing/t5/43723-family-history-0-0.pdf","t5/43723-family-history-0-0.pdf")</f>
        <v/>
      </c>
      <c r="E1733" t="n">
        <v>120842</v>
      </c>
      <c r="F1733" t="n">
        <v>43723</v>
      </c>
      <c r="G1733" t="inlineStr">
        <is>
          <t>Discharge summary</t>
        </is>
      </c>
      <c r="H1733" t="inlineStr">
        <is>
          <t>family-history</t>
        </is>
      </c>
      <c r="I1733" t="inlineStr">
        <is>
          <t>Noncontributory.</t>
        </is>
      </c>
    </row>
    <row r="1734">
      <c r="A1734" t="inlineStr">
        <is>
          <t>43723-family-history-0-0</t>
        </is>
      </c>
      <c r="B1734" t="inlineStr"/>
      <c r="C1734" t="inlineStr"/>
      <c r="D1734">
        <f>HYPERLINK("http://nlpdeep.cs.uic.edu:8080/proofing/gsii/43723-family-history-0-0.pdf","gsii/43723-family-history-0-0.pdf")</f>
        <v/>
      </c>
      <c r="E1734" t="n">
        <v>120842</v>
      </c>
      <c r="F1734" t="n">
        <v>43723</v>
      </c>
      <c r="G1734" t="inlineStr">
        <is>
          <t>Discharge summary</t>
        </is>
      </c>
      <c r="H1734" t="inlineStr">
        <is>
          <t>family-history</t>
        </is>
      </c>
      <c r="I1734" t="inlineStr">
        <is>
          <t>Noncontributory.</t>
        </is>
      </c>
    </row>
    <row r="1735">
      <c r="A1735" t="inlineStr">
        <is>
          <t>43723-physical-examination-0-0</t>
        </is>
      </c>
      <c r="B1735" t="inlineStr"/>
      <c r="C1735" t="inlineStr"/>
      <c r="D1735">
        <f>HYPERLINK("http://nlpdeep.cs.uic.edu:8080/proofing/t5/43723-physical-examination-0-0.pdf","t5/43723-physical-examination-0-0.pdf")</f>
        <v/>
      </c>
      <c r="E1735" t="n">
        <v>120842</v>
      </c>
      <c r="F1735" t="n">
        <v>43723</v>
      </c>
      <c r="G1735" t="inlineStr">
        <is>
          <t>Discharge summary</t>
        </is>
      </c>
      <c r="H1735" t="inlineStr">
        <is>
          <t>physical-examination</t>
        </is>
      </c>
      <c r="I1735" t="inlineStr">
        <is>
          <t>On Admission:
Vitals: T: 96.6  BP: 144/88  P:  96 R:  23  O2: 99/8L Ventimask
General: Alert, oriented, no acute distress
HEENT: Sclera anicteric, MMM, oropharynx clear
Lungs: Clear course bilaterally anteriorly and posteriorly with
audible wheeze, no rales
CV: Regular rate and rhythm, normal S1 + S2, no murmurs, rubs,
gallops
Abdomen: soft, non-tender, non-distended, bowel sounds present,
no rebound tenderness or guarding
GU: Foley in place
[**Month/Day/Year **]: warm, well perfused, 2+ pulses, no clubbing, cyanosis or
e</t>
        </is>
      </c>
    </row>
    <row r="1736">
      <c r="A1736" t="inlineStr">
        <is>
          <t>43723-physical-examination-0-0</t>
        </is>
      </c>
      <c r="B1736" t="inlineStr"/>
      <c r="C1736" t="inlineStr"/>
      <c r="D1736">
        <f>HYPERLINK("http://nlpdeep.cs.uic.edu:8080/proofing/gsii/43723-physical-examination-0-0.pdf","gsii/43723-physical-examination-0-0.pdf")</f>
        <v/>
      </c>
      <c r="E1736" t="n">
        <v>120842</v>
      </c>
      <c r="F1736" t="n">
        <v>43723</v>
      </c>
      <c r="G1736" t="inlineStr">
        <is>
          <t>Discharge summary</t>
        </is>
      </c>
      <c r="H1736" t="inlineStr">
        <is>
          <t>physical-examination</t>
        </is>
      </c>
      <c r="I1736" t="inlineStr">
        <is>
          <t>On Admission:
Vitals: T: 96.6  BP: 144/88  P:  96 R:  23  O2: 99/8L Ventimask
General: Alert, oriented, no acute distress
HEENT: Sclera anicteric, MMM, oropharynx clear
Lungs: Clear course bilaterally anteriorly and posteriorly with
audible wheeze, no rales
CV: Regular rate and rhythm, normal S1 + S2, no murmurs, rubs,
gallops
Abdomen: soft, non-tender, non-distended, bowel sounds present,
no rebound tenderness or guarding
GU: Foley in place
[**Month/Day/Year **]: warm, well perfused, 2+ pulses, no clubbing, cyanosis or
e</t>
        </is>
      </c>
    </row>
    <row r="1737">
      <c r="A1737" t="inlineStr">
        <is>
          <t>43723-labs-imaging-0-0</t>
        </is>
      </c>
      <c r="B1737" t="inlineStr"/>
      <c r="C1737" t="inlineStr"/>
      <c r="D1737">
        <f>HYPERLINK("http://nlpdeep.cs.uic.edu:8080/proofing/t5/43723-labs-imaging-0-0.pdf","t5/43723-labs-imaging-0-0.pdf")</f>
        <v/>
      </c>
      <c r="E1737" t="n">
        <v>120842</v>
      </c>
      <c r="F1737" t="n">
        <v>43723</v>
      </c>
      <c r="G1737" t="inlineStr">
        <is>
          <t>Discharge summary</t>
        </is>
      </c>
      <c r="H1737" t="inlineStr">
        <is>
          <t>labs-imaging</t>
        </is>
      </c>
      <c r="I1737" t="inlineStr">
        <is>
          <t>[**2153-4-6**] 09:10AM BLOOD WBC-10.9 RBC-3.82* Hgb-10.8* Hct-33.2*
MCV-87 MCH-28.3 MCHC-32.6 RDW-16.3* Plt Ct-319
[**2153-4-7**] 03:32AM BLOOD WBC-8.0 RBC-3.64* Hgb-10.1* Hct-31.4*
MCV-86 MCH-27.6 MCHC-32.0 RDW-16.3* Plt Ct-249
[**2153-4-6**] 09:10AM BLOOD Neuts-55.4 Lymphs-38.2 Monos-4.9 Eos-0.3
Baso-1.1
[**2153-4-7**] 03:32AM BLOOD Glucose-212* UreaN-12 Creat-0.6 Na-139
K-4.1 Cl-101 HCO3-32 AnGap-10
[**2153-4-6**] 09:10AM BLOOD CK(CPK)-85
[**2153-4-6**] 09:13PM BLOOD CK(CPK)-87
[**2153-4-6**] 09:10AM BLOOD cTropnT-&lt;0.01
[**2153-4-6**] 09:13PM BLOOD CK-MB-NotDone cTropnT-&lt;0.01
[**2153-4-6**] 09:16AM BLOOD Lactate-3.1*
[**2153-4-6**] 10:02PM BLOOD Lactate-1.6
[**2153-4-6**] 7:47 pm Rapid Respiratory Viral Screen &amp; C</t>
        </is>
      </c>
    </row>
    <row r="1738">
      <c r="A1738" t="inlineStr">
        <is>
          <t>43723-labs-imaging-0-0</t>
        </is>
      </c>
      <c r="B1738" t="inlineStr"/>
      <c r="C1738" t="inlineStr"/>
      <c r="D1738">
        <f>HYPERLINK("http://nlpdeep.cs.uic.edu:8080/proofing/gsii/43723-labs-imaging-0-0.pdf","gsii/43723-labs-imaging-0-0.pdf")</f>
        <v/>
      </c>
      <c r="E1738" t="n">
        <v>120842</v>
      </c>
      <c r="F1738" t="n">
        <v>43723</v>
      </c>
      <c r="G1738" t="inlineStr">
        <is>
          <t>Discharge summary</t>
        </is>
      </c>
      <c r="H1738" t="inlineStr">
        <is>
          <t>labs-imaging</t>
        </is>
      </c>
      <c r="I1738" t="inlineStr">
        <is>
          <t>[**2153-4-6**] 09:10AM BLOOD WBC-10.9 RBC-3.82* Hgb-10.8* Hct-33.2*
MCV-87 MCH-28.3 MCHC-32.6 RDW-16.3* Plt Ct-319
[**2153-4-7**] 03:32AM BLOOD WBC-8.0 RBC-3.64* Hgb-10.1* Hct-31.4*
MCV-86 MCH-27.6 MCHC-32.0 RDW-16.3* Plt Ct-249
[**2153-4-6**] 09:10AM BLOOD Neuts-55.4 Lymphs-38.2 Monos-4.9 Eos-0.3
Baso-1.1
[**2153-4-7**] 03:32AM BLOOD Glucose-212* UreaN-12 Creat-0.6 Na-139
K-4.1 Cl-101 HCO3-32 AnGap-10
[**2153-4-6**] 09:10AM BLOOD CK(CPK)-85
[**2153-4-6**] 09:13PM BLOOD CK(CPK)-87
[**2153-4-6**] 09:10AM BLOOD cTropnT-&lt;0.01
[**2153-4-6**] 09:13PM BLOOD CK-MB-NotDone cTropnT-&lt;0.01
[**2153-4-6**] 09:16AM BLOOD Lactate-3.1*
[**2153-4-6**] 10:02PM BLOOD Lactate-1.6
[**2153-4-6**] 7:47 pm Rapid Respiratory Viral Screen &amp; C</t>
        </is>
      </c>
    </row>
    <row r="1739">
      <c r="A1739" t="inlineStr">
        <is>
          <t>43723-imaging-0-0</t>
        </is>
      </c>
      <c r="B1739" t="inlineStr"/>
      <c r="C1739" t="inlineStr"/>
      <c r="D1739">
        <f>HYPERLINK("http://nlpdeep.cs.uic.edu:8080/proofing/t5/43723-imaging-0-0.pdf","t5/43723-imaging-0-0.pdf")</f>
        <v/>
      </c>
      <c r="E1739" t="n">
        <v>120842</v>
      </c>
      <c r="F1739" t="n">
        <v>43723</v>
      </c>
      <c r="G1739" t="inlineStr">
        <is>
          <t>Discharge summary</t>
        </is>
      </c>
      <c r="H1739" t="inlineStr">
        <is>
          <t>imaging</t>
        </is>
      </c>
      <c r="I1739" t="inlineStr">
        <is>
          <t>CTA:
1.</t>
        </is>
      </c>
    </row>
    <row r="1740">
      <c r="A1740" t="inlineStr">
        <is>
          <t>43723-imaging-0-0</t>
        </is>
      </c>
      <c r="B1740" t="inlineStr"/>
      <c r="C1740" t="inlineStr"/>
      <c r="D1740">
        <f>HYPERLINK("http://nlpdeep.cs.uic.edu:8080/proofing/gsii/43723-imaging-0-0.pdf","gsii/43723-imaging-0-0.pdf")</f>
        <v/>
      </c>
      <c r="E1740" t="n">
        <v>120842</v>
      </c>
      <c r="F1740" t="n">
        <v>43723</v>
      </c>
      <c r="G1740" t="inlineStr">
        <is>
          <t>Discharge summary</t>
        </is>
      </c>
      <c r="H1740" t="inlineStr">
        <is>
          <t>imaging</t>
        </is>
      </c>
      <c r="I1740" t="inlineStr">
        <is>
          <t>CTA:
1.</t>
        </is>
      </c>
    </row>
    <row r="1741">
      <c r="A1741" t="inlineStr">
        <is>
          <t>43723-imaging-0-1</t>
        </is>
      </c>
      <c r="B1741" t="inlineStr"/>
      <c r="C1741" t="inlineStr"/>
      <c r="D1741">
        <f>HYPERLINK("http://nlpdeep.cs.uic.edu:8080/proofing/t5/43723-imaging-0-1.pdf","t5/43723-imaging-0-1.pdf")</f>
        <v/>
      </c>
      <c r="E1741" t="n">
        <v>120842</v>
      </c>
      <c r="F1741" t="n">
        <v>43723</v>
      </c>
      <c r="G1741" t="inlineStr">
        <is>
          <t>Discharge summary</t>
        </is>
      </c>
      <c r="H1741" t="inlineStr">
        <is>
          <t>imaging</t>
        </is>
      </c>
      <c r="I1741" t="inlineStr">
        <is>
          <t>No pulmonary emboli or aortic dissection.</t>
        </is>
      </c>
    </row>
    <row r="1742">
      <c r="A1742" t="inlineStr">
        <is>
          <t>43723-imaging-0-1</t>
        </is>
      </c>
      <c r="B1742" t="inlineStr"/>
      <c r="C1742" t="inlineStr"/>
      <c r="D1742">
        <f>HYPERLINK("http://nlpdeep.cs.uic.edu:8080/proofing/gsii/43723-imaging-0-1.pdf","gsii/43723-imaging-0-1.pdf")</f>
        <v/>
      </c>
      <c r="E1742" t="n">
        <v>120842</v>
      </c>
      <c r="F1742" t="n">
        <v>43723</v>
      </c>
      <c r="G1742" t="inlineStr">
        <is>
          <t>Discharge summary</t>
        </is>
      </c>
      <c r="H1742" t="inlineStr">
        <is>
          <t>imaging</t>
        </is>
      </c>
      <c r="I1742" t="inlineStr">
        <is>
          <t>No pulmonary emboli or aortic dissection.</t>
        </is>
      </c>
    </row>
    <row r="1743">
      <c r="A1743" t="inlineStr">
        <is>
          <t>43723-imaging-0-2</t>
        </is>
      </c>
      <c r="B1743" t="inlineStr"/>
      <c r="C1743" t="inlineStr"/>
      <c r="D1743">
        <f>HYPERLINK("http://nlpdeep.cs.uic.edu:8080/proofing/t5/43723-imaging-0-2.pdf","t5/43723-imaging-0-2.pdf")</f>
        <v/>
      </c>
      <c r="E1743" t="n">
        <v>120842</v>
      </c>
      <c r="F1743" t="n">
        <v>43723</v>
      </c>
      <c r="G1743" t="inlineStr">
        <is>
          <t>Discharge summary</t>
        </is>
      </c>
      <c r="H1743" t="inlineStr">
        <is>
          <t>imaging</t>
        </is>
      </c>
      <c r="I1743" t="inlineStr">
        <is>
          <t>Mild-to-moderate emphysema.</t>
        </is>
      </c>
    </row>
    <row r="1744">
      <c r="A1744" t="inlineStr">
        <is>
          <t>43723-imaging-0-2</t>
        </is>
      </c>
      <c r="B1744" t="inlineStr"/>
      <c r="C1744" t="inlineStr"/>
      <c r="D1744">
        <f>HYPERLINK("http://nlpdeep.cs.uic.edu:8080/proofing/gsii/43723-imaging-0-2.pdf","gsii/43723-imaging-0-2.pdf")</f>
        <v/>
      </c>
      <c r="E1744" t="n">
        <v>120842</v>
      </c>
      <c r="F1744" t="n">
        <v>43723</v>
      </c>
      <c r="G1744" t="inlineStr">
        <is>
          <t>Discharge summary</t>
        </is>
      </c>
      <c r="H1744" t="inlineStr">
        <is>
          <t>imaging</t>
        </is>
      </c>
      <c r="I1744" t="inlineStr">
        <is>
          <t>Mild-to-moderate emphysema.</t>
        </is>
      </c>
    </row>
    <row r="1745">
      <c r="A1745" t="inlineStr">
        <is>
          <t>43723-imaging-0-3</t>
        </is>
      </c>
      <c r="B1745" t="inlineStr"/>
      <c r="C1745" t="inlineStr"/>
      <c r="D1745">
        <f>HYPERLINK("http://nlpdeep.cs.uic.edu:8080/proofing/t5/43723-imaging-0-3.pdf","t5/43723-imaging-0-3.pdf")</f>
        <v/>
      </c>
      <c r="E1745" t="n">
        <v>120842</v>
      </c>
      <c r="F1745" t="n">
        <v>43723</v>
      </c>
      <c r="G1745" t="inlineStr">
        <is>
          <t>Discharge summary</t>
        </is>
      </c>
      <c r="H1745" t="inlineStr">
        <is>
          <t>imaging</t>
        </is>
      </c>
      <c r="I1745" t="inlineStr">
        <is>
          <t>Subcentimeter left lower lobe pulmonary nodule, stable since
[**2149**].</t>
        </is>
      </c>
    </row>
    <row r="1746">
      <c r="A1746" t="inlineStr">
        <is>
          <t>43723-imaging-0-3</t>
        </is>
      </c>
      <c r="B1746" t="inlineStr"/>
      <c r="C1746" t="inlineStr"/>
      <c r="D1746">
        <f>HYPERLINK("http://nlpdeep.cs.uic.edu:8080/proofing/gsii/43723-imaging-0-3.pdf","gsii/43723-imaging-0-3.pdf")</f>
        <v/>
      </c>
      <c r="E1746" t="n">
        <v>120842</v>
      </c>
      <c r="F1746" t="n">
        <v>43723</v>
      </c>
      <c r="G1746" t="inlineStr">
        <is>
          <t>Discharge summary</t>
        </is>
      </c>
      <c r="H1746" t="inlineStr">
        <is>
          <t>imaging</t>
        </is>
      </c>
      <c r="I1746" t="inlineStr">
        <is>
          <t>Subcentimeter left lower lobe pulmonary nodule, stable since
[**2149**].</t>
        </is>
      </c>
    </row>
    <row r="1747">
      <c r="A1747" t="inlineStr">
        <is>
          <t>43723-imaging-0-4</t>
        </is>
      </c>
      <c r="B1747" t="inlineStr"/>
      <c r="C1747" t="inlineStr"/>
      <c r="D1747">
        <f>HYPERLINK("http://nlpdeep.cs.uic.edu:8080/proofing/t5/43723-imaging-0-4.pdf","t5/43723-imaging-0-4.pdf")</f>
        <v/>
      </c>
      <c r="E1747" t="n">
        <v>120842</v>
      </c>
      <c r="F1747" t="n">
        <v>43723</v>
      </c>
      <c r="G1747" t="inlineStr">
        <is>
          <t>Discharge summary</t>
        </is>
      </c>
      <c r="H1747" t="inlineStr">
        <is>
          <t>imaging</t>
        </is>
      </c>
      <c r="I1747" t="inlineStr">
        <is>
          <t>No
followup indicated.</t>
        </is>
      </c>
    </row>
    <row r="1748">
      <c r="A1748" t="inlineStr">
        <is>
          <t>43723-imaging-0-4</t>
        </is>
      </c>
      <c r="B1748" t="inlineStr"/>
      <c r="C1748" t="inlineStr"/>
      <c r="D1748">
        <f>HYPERLINK("http://nlpdeep.cs.uic.edu:8080/proofing/gsii/43723-imaging-0-4.pdf","gsii/43723-imaging-0-4.pdf")</f>
        <v/>
      </c>
      <c r="E1748" t="n">
        <v>120842</v>
      </c>
      <c r="F1748" t="n">
        <v>43723</v>
      </c>
      <c r="G1748" t="inlineStr">
        <is>
          <t>Discharge summary</t>
        </is>
      </c>
      <c r="H1748" t="inlineStr">
        <is>
          <t>imaging</t>
        </is>
      </c>
      <c r="I1748" t="inlineStr">
        <is>
          <t>No
followup indicated.</t>
        </is>
      </c>
    </row>
    <row r="1749">
      <c r="A1749" t="inlineStr">
        <is>
          <t>43723-imaging-0-5</t>
        </is>
      </c>
      <c r="B1749" t="inlineStr"/>
      <c r="C1749" t="inlineStr"/>
      <c r="D1749">
        <f>HYPERLINK("http://nlpdeep.cs.uic.edu:8080/proofing/t5/43723-imaging-0-5.pdf","t5/43723-imaging-0-5.pdf")</f>
        <v/>
      </c>
      <c r="E1749" t="n">
        <v>120842</v>
      </c>
      <c r="F1749" t="n">
        <v>43723</v>
      </c>
      <c r="G1749" t="inlineStr">
        <is>
          <t>Discharge summary</t>
        </is>
      </c>
      <c r="H1749" t="inlineStr">
        <is>
          <t>imaging</t>
        </is>
      </c>
      <c r="I1749" t="inlineStr">
        <is>
          <t>Mild-to-moderate emphysema.</t>
        </is>
      </c>
    </row>
    <row r="1750">
      <c r="A1750" t="inlineStr">
        <is>
          <t>43723-imaging-0-5</t>
        </is>
      </c>
      <c r="B1750" t="inlineStr"/>
      <c r="C1750" t="inlineStr"/>
      <c r="D1750">
        <f>HYPERLINK("http://nlpdeep.cs.uic.edu:8080/proofing/gsii/43723-imaging-0-5.pdf","gsii/43723-imaging-0-5.pdf")</f>
        <v/>
      </c>
      <c r="E1750" t="n">
        <v>120842</v>
      </c>
      <c r="F1750" t="n">
        <v>43723</v>
      </c>
      <c r="G1750" t="inlineStr">
        <is>
          <t>Discharge summary</t>
        </is>
      </c>
      <c r="H1750" t="inlineStr">
        <is>
          <t>imaging</t>
        </is>
      </c>
      <c r="I1750" t="inlineStr">
        <is>
          <t>Mild-to-moderate emphysema.</t>
        </is>
      </c>
    </row>
    <row r="1751">
      <c r="A1751" t="inlineStr">
        <is>
          <t>43723-imaging-0-6</t>
        </is>
      </c>
      <c r="B1751" t="inlineStr"/>
      <c r="C1751" t="inlineStr"/>
      <c r="D1751">
        <f>HYPERLINK("http://nlpdeep.cs.uic.edu:8080/proofing/t5/43723-imaging-0-6.pdf","t5/43723-imaging-0-6.pdf")</f>
        <v/>
      </c>
      <c r="E1751" t="n">
        <v>120842</v>
      </c>
      <c r="F1751" t="n">
        <v>43723</v>
      </c>
      <c r="G1751" t="inlineStr">
        <is>
          <t>Discharge summary</t>
        </is>
      </c>
      <c r="H1751" t="inlineStr">
        <is>
          <t>imaging</t>
        </is>
      </c>
      <c r="I1751" t="inlineStr">
        <is>
          <t>Mild bronchiectasis, less
inflamed today than
previously.</t>
        </is>
      </c>
    </row>
    <row r="1752">
      <c r="A1752" t="inlineStr">
        <is>
          <t>43723-imaging-0-6</t>
        </is>
      </c>
      <c r="B1752" t="inlineStr"/>
      <c r="C1752" t="inlineStr"/>
      <c r="D1752">
        <f>HYPERLINK("http://nlpdeep.cs.uic.edu:8080/proofing/gsii/43723-imaging-0-6.pdf","gsii/43723-imaging-0-6.pdf")</f>
        <v/>
      </c>
      <c r="E1752" t="n">
        <v>120842</v>
      </c>
      <c r="F1752" t="n">
        <v>43723</v>
      </c>
      <c r="G1752" t="inlineStr">
        <is>
          <t>Discharge summary</t>
        </is>
      </c>
      <c r="H1752" t="inlineStr">
        <is>
          <t>imaging</t>
        </is>
      </c>
      <c r="I1752" t="inlineStr">
        <is>
          <t>Mild bronchiectasis, less
inflamed today than
previously.</t>
        </is>
      </c>
    </row>
    <row r="1753">
      <c r="A1753" t="inlineStr">
        <is>
          <t>43723-hospital-course-0-0</t>
        </is>
      </c>
      <c r="B1753" t="inlineStr"/>
      <c r="C1753" t="inlineStr"/>
      <c r="D1753">
        <f>HYPERLINK("http://nlpdeep.cs.uic.edu:8080/proofing/t5/43723-hospital-course-0-0.pdf","t5/43723-hospital-course-0-0.pdf")</f>
        <v/>
      </c>
      <c r="E1753" t="n">
        <v>120842</v>
      </c>
      <c r="F1753" t="n">
        <v>43723</v>
      </c>
      <c r="G1753" t="inlineStr">
        <is>
          <t>Discharge summary</t>
        </is>
      </c>
      <c r="H1753" t="inlineStr">
        <is>
          <t>hospital-course</t>
        </is>
      </c>
      <c r="I1753" t="inlineStr">
        <is>
          <t>73 YO F with COPD/RAD on home O2, diastolic CHF, recent TKR,
presenting with two weeks of shortness of breath with acute
worsening x 1 day.</t>
        </is>
      </c>
    </row>
    <row r="1754">
      <c r="A1754" t="inlineStr">
        <is>
          <t>43723-hospital-course-0-0</t>
        </is>
      </c>
      <c r="B1754" t="inlineStr"/>
      <c r="C1754" t="inlineStr"/>
      <c r="D1754">
        <f>HYPERLINK("http://nlpdeep.cs.uic.edu:8080/proofing/gsii/43723-hospital-course-0-0.pdf","gsii/43723-hospital-course-0-0.pdf")</f>
        <v/>
      </c>
      <c r="E1754" t="n">
        <v>120842</v>
      </c>
      <c r="F1754" t="n">
        <v>43723</v>
      </c>
      <c r="G1754" t="inlineStr">
        <is>
          <t>Discharge summary</t>
        </is>
      </c>
      <c r="H1754" t="inlineStr">
        <is>
          <t>hospital-course</t>
        </is>
      </c>
      <c r="I1754" t="inlineStr">
        <is>
          <t>73 YO F with COPD/RAD on home O2, diastolic CHF, recent TKR,
presenting with two weeks of shortness of breath with acute
worsening x 1 day.</t>
        </is>
      </c>
    </row>
    <row r="1755">
      <c r="A1755" t="inlineStr">
        <is>
          <t>43723-hospital-course-1-0</t>
        </is>
      </c>
      <c r="B1755" t="inlineStr"/>
      <c r="C1755" t="inlineStr"/>
      <c r="D1755">
        <f>HYPERLINK("http://nlpdeep.cs.uic.edu:8080/proofing/t5/43723-hospital-course-1-0.pdf","t5/43723-hospital-course-1-0.pdf")</f>
        <v/>
      </c>
      <c r="E1755" t="n">
        <v>120842</v>
      </c>
      <c r="F1755" t="n">
        <v>43723</v>
      </c>
      <c r="G1755" t="inlineStr">
        <is>
          <t>Discharge summary</t>
        </is>
      </c>
      <c r="H1755" t="inlineStr">
        <is>
          <t>hospital-course</t>
        </is>
      </c>
      <c r="I1755" t="inlineStr">
        <is>
          <t xml:space="preserve">
# COPD exacerbation: Upon admission, possibly etiologies of
hypoxia included PNA, RAD, COPD exacerbation, heart failure,
coronary ischemia or possibly PE.</t>
        </is>
      </c>
    </row>
    <row r="1756">
      <c r="A1756" t="inlineStr">
        <is>
          <t>43723-hospital-course-1-0</t>
        </is>
      </c>
      <c r="B1756" t="inlineStr"/>
      <c r="C1756" t="inlineStr"/>
      <c r="D1756">
        <f>HYPERLINK("http://nlpdeep.cs.uic.edu:8080/proofing/gsii/43723-hospital-course-1-0.pdf","gsii/43723-hospital-course-1-0.pdf")</f>
        <v/>
      </c>
      <c r="E1756" t="n">
        <v>120842</v>
      </c>
      <c r="F1756" t="n">
        <v>43723</v>
      </c>
      <c r="G1756" t="inlineStr">
        <is>
          <t>Discharge summary</t>
        </is>
      </c>
      <c r="H1756" t="inlineStr">
        <is>
          <t>hospital-course</t>
        </is>
      </c>
      <c r="I1756" t="inlineStr">
        <is>
          <t xml:space="preserve">
# COPD exacerbation: Upon admission, possibly etiologies of
hypoxia included PNA, RAD, COPD exacerbation, heart failure,
coronary ischemia or possibly PE.</t>
        </is>
      </c>
    </row>
    <row r="1757">
      <c r="A1757" t="inlineStr">
        <is>
          <t>43723-hospital-course-1-1</t>
        </is>
      </c>
      <c r="B1757" t="inlineStr"/>
      <c r="C1757" t="inlineStr"/>
      <c r="D1757">
        <f>HYPERLINK("http://nlpdeep.cs.uic.edu:8080/proofing/t5/43723-hospital-course-1-1.pdf","t5/43723-hospital-course-1-1.pdf")</f>
        <v/>
      </c>
      <c r="E1757" t="n">
        <v>120842</v>
      </c>
      <c r="F1757" t="n">
        <v>43723</v>
      </c>
      <c r="G1757" t="inlineStr">
        <is>
          <t>Discharge summary</t>
        </is>
      </c>
      <c r="H1757" t="inlineStr">
        <is>
          <t>hospital-course</t>
        </is>
      </c>
      <c r="I1757" t="inlineStr">
        <is>
          <t xml:space="preserve"> CTA negative in ED and CXR
without clear PNA, and she received one dose of Azithromycin
which completed her 5 day outpatient course.</t>
        </is>
      </c>
    </row>
    <row r="1758">
      <c r="A1758" t="inlineStr">
        <is>
          <t>43723-hospital-course-1-1</t>
        </is>
      </c>
      <c r="B1758" t="inlineStr"/>
      <c r="C1758" t="inlineStr"/>
      <c r="D1758">
        <f>HYPERLINK("http://nlpdeep.cs.uic.edu:8080/proofing/gsii/43723-hospital-course-1-1.pdf","gsii/43723-hospital-course-1-1.pdf")</f>
        <v/>
      </c>
      <c r="E1758" t="n">
        <v>120842</v>
      </c>
      <c r="F1758" t="n">
        <v>43723</v>
      </c>
      <c r="G1758" t="inlineStr">
        <is>
          <t>Discharge summary</t>
        </is>
      </c>
      <c r="H1758" t="inlineStr">
        <is>
          <t>hospital-course</t>
        </is>
      </c>
      <c r="I1758" t="inlineStr">
        <is>
          <t xml:space="preserve"> CTA negative in ED and CXR
without clear PNA, and she received one dose of Azithromycin
which completed her 5 day outpatient course.</t>
        </is>
      </c>
    </row>
    <row r="1759">
      <c r="A1759" t="inlineStr">
        <is>
          <t>43723-hospital-course-1-2</t>
        </is>
      </c>
      <c r="B1759" t="inlineStr"/>
      <c r="C1759" t="inlineStr"/>
      <c r="D1759">
        <f>HYPERLINK("http://nlpdeep.cs.uic.edu:8080/proofing/t5/43723-hospital-course-1-2.pdf","t5/43723-hospital-course-1-2.pdf")</f>
        <v/>
      </c>
      <c r="E1759" t="n">
        <v>120842</v>
      </c>
      <c r="F1759" t="n">
        <v>43723</v>
      </c>
      <c r="G1759" t="inlineStr">
        <is>
          <t>Discharge summary</t>
        </is>
      </c>
      <c r="H1759" t="inlineStr">
        <is>
          <t>hospital-course</t>
        </is>
      </c>
      <c r="I1759" t="inlineStr">
        <is>
          <t xml:space="preserve"> Nasal swab DFA was
negative for viruses or influenza.</t>
        </is>
      </c>
    </row>
    <row r="1760">
      <c r="A1760" t="inlineStr">
        <is>
          <t>43723-hospital-course-1-2</t>
        </is>
      </c>
      <c r="B1760" t="inlineStr"/>
      <c r="C1760" t="inlineStr"/>
      <c r="D1760">
        <f>HYPERLINK("http://nlpdeep.cs.uic.edu:8080/proofing/gsii/43723-hospital-course-1-2.pdf","gsii/43723-hospital-course-1-2.pdf")</f>
        <v/>
      </c>
      <c r="E1760" t="n">
        <v>120842</v>
      </c>
      <c r="F1760" t="n">
        <v>43723</v>
      </c>
      <c r="G1760" t="inlineStr">
        <is>
          <t>Discharge summary</t>
        </is>
      </c>
      <c r="H1760" t="inlineStr">
        <is>
          <t>hospital-course</t>
        </is>
      </c>
      <c r="I1760" t="inlineStr">
        <is>
          <t xml:space="preserve"> Nasal swab DFA was
negative for viruses or influenza.</t>
        </is>
      </c>
    </row>
    <row r="1761">
      <c r="A1761" t="inlineStr">
        <is>
          <t>43723-hospital-course-1-3</t>
        </is>
      </c>
      <c r="B1761" t="inlineStr"/>
      <c r="C1761" t="inlineStr"/>
      <c r="D1761">
        <f>HYPERLINK("http://nlpdeep.cs.uic.edu:8080/proofing/t5/43723-hospital-course-1-3.pdf","t5/43723-hospital-course-1-3.pdf")</f>
        <v/>
      </c>
      <c r="E1761" t="n">
        <v>120842</v>
      </c>
      <c r="F1761" t="n">
        <v>43723</v>
      </c>
      <c r="G1761" t="inlineStr">
        <is>
          <t>Discharge summary</t>
        </is>
      </c>
      <c r="H1761" t="inlineStr">
        <is>
          <t>hospital-course</t>
        </is>
      </c>
      <c r="I1761" t="inlineStr">
        <is>
          <t xml:space="preserve"> Cardiac enzymes were cycled
and negative and serial ECGs Q12 were unchanged.</t>
        </is>
      </c>
    </row>
    <row r="1762">
      <c r="A1762" t="inlineStr">
        <is>
          <t>43723-hospital-course-1-3</t>
        </is>
      </c>
      <c r="B1762" t="inlineStr"/>
      <c r="C1762" t="inlineStr"/>
      <c r="D1762">
        <f>HYPERLINK("http://nlpdeep.cs.uic.edu:8080/proofing/gsii/43723-hospital-course-1-3.pdf","gsii/43723-hospital-course-1-3.pdf")</f>
        <v/>
      </c>
      <c r="E1762" t="n">
        <v>120842</v>
      </c>
      <c r="F1762" t="n">
        <v>43723</v>
      </c>
      <c r="G1762" t="inlineStr">
        <is>
          <t>Discharge summary</t>
        </is>
      </c>
      <c r="H1762" t="inlineStr">
        <is>
          <t>hospital-course</t>
        </is>
      </c>
      <c r="I1762" t="inlineStr">
        <is>
          <t xml:space="preserve"> Cardiac enzymes were cycled
and negative and serial ECGs Q12 were unchanged.</t>
        </is>
      </c>
    </row>
    <row r="1763">
      <c r="A1763" t="inlineStr">
        <is>
          <t>43723-hospital-course-1-4</t>
        </is>
      </c>
      <c r="B1763" t="inlineStr"/>
      <c r="C1763" t="inlineStr"/>
      <c r="D1763">
        <f>HYPERLINK("http://nlpdeep.cs.uic.edu:8080/proofing/t5/43723-hospital-course-1-4.pdf","t5/43723-hospital-course-1-4.pdf")</f>
        <v/>
      </c>
      <c r="E1763" t="n">
        <v>120842</v>
      </c>
      <c r="F1763" t="n">
        <v>43723</v>
      </c>
      <c r="G1763" t="inlineStr">
        <is>
          <t>Discharge summary</t>
        </is>
      </c>
      <c r="H1763" t="inlineStr">
        <is>
          <t>hospital-course</t>
        </is>
      </c>
      <c r="I1763" t="inlineStr">
        <is>
          <t>Wheezing on
exam was concerning for COPD so she was treated with
methylprednisone IV and she was also started on standing nebs
and continued on her home inhalers.</t>
        </is>
      </c>
    </row>
    <row r="1764">
      <c r="A1764" t="inlineStr">
        <is>
          <t>43723-hospital-course-1-4</t>
        </is>
      </c>
      <c r="B1764" t="inlineStr"/>
      <c r="C1764" t="inlineStr"/>
      <c r="D1764">
        <f>HYPERLINK("http://nlpdeep.cs.uic.edu:8080/proofing/gsii/43723-hospital-course-1-4.pdf","gsii/43723-hospital-course-1-4.pdf")</f>
        <v/>
      </c>
      <c r="E1764" t="n">
        <v>120842</v>
      </c>
      <c r="F1764" t="n">
        <v>43723</v>
      </c>
      <c r="G1764" t="inlineStr">
        <is>
          <t>Discharge summary</t>
        </is>
      </c>
      <c r="H1764" t="inlineStr">
        <is>
          <t>hospital-course</t>
        </is>
      </c>
      <c r="I1764" t="inlineStr">
        <is>
          <t>Wheezing on
exam was concerning for COPD so she was treated with
methylprednisone IV and she was also started on standing nebs
and continued on her home inhalers.</t>
        </is>
      </c>
    </row>
    <row r="1765">
      <c r="A1765" t="inlineStr">
        <is>
          <t>43723-hospital-course-1-5</t>
        </is>
      </c>
      <c r="B1765" t="inlineStr"/>
      <c r="C1765" t="inlineStr"/>
      <c r="D1765">
        <f>HYPERLINK("http://nlpdeep.cs.uic.edu:8080/proofing/t5/43723-hospital-course-1-5.pdf","t5/43723-hospital-course-1-5.pdf")</f>
        <v/>
      </c>
      <c r="E1765" t="n">
        <v>120842</v>
      </c>
      <c r="F1765" t="n">
        <v>43723</v>
      </c>
      <c r="G1765" t="inlineStr">
        <is>
          <t>Discharge summary</t>
        </is>
      </c>
      <c r="H1765" t="inlineStr">
        <is>
          <t>hospital-course</t>
        </is>
      </c>
      <c r="I1765" t="inlineStr">
        <is>
          <t xml:space="preserve"> When her 02 mask was taken
off she quickly desatted to the 70s so there was concern for
shunt/PFO and an echo with bubble study was ordered which showed
only a very small PFO, which as per cardiology, does not account
for her desaturations.</t>
        </is>
      </c>
    </row>
    <row r="1766">
      <c r="A1766" t="inlineStr">
        <is>
          <t>43723-hospital-course-1-5</t>
        </is>
      </c>
      <c r="B1766" t="inlineStr"/>
      <c r="C1766" t="inlineStr"/>
      <c r="D1766">
        <f>HYPERLINK("http://nlpdeep.cs.uic.edu:8080/proofing/gsii/43723-hospital-course-1-5.pdf","gsii/43723-hospital-course-1-5.pdf")</f>
        <v/>
      </c>
      <c r="E1766" t="n">
        <v>120842</v>
      </c>
      <c r="F1766" t="n">
        <v>43723</v>
      </c>
      <c r="G1766" t="inlineStr">
        <is>
          <t>Discharge summary</t>
        </is>
      </c>
      <c r="H1766" t="inlineStr">
        <is>
          <t>hospital-course</t>
        </is>
      </c>
      <c r="I1766" t="inlineStr">
        <is>
          <t xml:space="preserve"> When her 02 mask was taken
off she quickly desatted to the 70s so there was concern for
shunt/PFO and an echo with bubble study was ordered which showed
only a very small PFO, which as per cardiology, does not account
for her desaturations.</t>
        </is>
      </c>
    </row>
    <row r="1767">
      <c r="A1767" t="inlineStr">
        <is>
          <t>43723-medication-history-0-0</t>
        </is>
      </c>
      <c r="B1767" t="inlineStr"/>
      <c r="C1767" t="inlineStr"/>
      <c r="D1767">
        <f>HYPERLINK("http://nlpdeep.cs.uic.edu:8080/proofing/t5/43723-medication-history-0-0.pdf","t5/43723-medication-history-0-0.pdf")</f>
        <v/>
      </c>
      <c r="E1767" t="n">
        <v>120842</v>
      </c>
      <c r="F1767" t="n">
        <v>43723</v>
      </c>
      <c r="G1767" t="inlineStr">
        <is>
          <t>Discharge summary</t>
        </is>
      </c>
      <c r="H1767" t="inlineStr">
        <is>
          <t>medication-history</t>
        </is>
      </c>
      <c r="I1767" t="inlineStr">
        <is>
          <t>- Home O2 - 2LPM at rest, 4 LPM with exertion
- Advair 500-50 twice a day
- Albuterol neb or MDI Q6H as needed for wheezing, SOB
- Captopril 50 mg TID
- Fluoxetine 20 mg TID
- Glipizide 5 mg Daily
- Lorazepam 0.5 mg [**Hospital1 **] as needed for Anxiety.
- Metformin 500 mg SR [**Hospital1 **]
- Montelukast 10 mg DAILY
- Simvastatin 40 mg DAILY
- Spiriva 18 mcg once a day.</t>
        </is>
      </c>
    </row>
    <row r="1768">
      <c r="A1768" t="inlineStr">
        <is>
          <t>43723-medication-history-0-0</t>
        </is>
      </c>
      <c r="B1768" t="inlineStr"/>
      <c r="C1768" t="inlineStr"/>
      <c r="D1768">
        <f>HYPERLINK("http://nlpdeep.cs.uic.edu:8080/proofing/gsii/43723-medication-history-0-0.pdf","gsii/43723-medication-history-0-0.pdf")</f>
        <v/>
      </c>
      <c r="E1768" t="n">
        <v>120842</v>
      </c>
      <c r="F1768" t="n">
        <v>43723</v>
      </c>
      <c r="G1768" t="inlineStr">
        <is>
          <t>Discharge summary</t>
        </is>
      </c>
      <c r="H1768" t="inlineStr">
        <is>
          <t>medication-history</t>
        </is>
      </c>
      <c r="I1768" t="inlineStr">
        <is>
          <t>- Home O2 - 2LPM at rest, 4 LPM with exertion
- Advair 500-50 twice a day
- Albuterol neb or MDI Q6H as needed for wheezing, SOB
- Captopril 50 mg TID
- Fluoxetine 20 mg TID
- Glipizide 5 mg Daily
- Lorazepam 0.5 mg [**Hospital1 **] as needed for Anxiety.
- Metformin 500 mg SR [**Hospital1 **]
- Montelukast 10 mg DAILY
- Simvastatin 40 mg DAILY
- Spiriva 18 mcg once a day.</t>
        </is>
      </c>
    </row>
    <row r="1769">
      <c r="A1769" t="inlineStr">
        <is>
          <t>43723-medication-history-0-1</t>
        </is>
      </c>
      <c r="B1769" t="inlineStr"/>
      <c r="C1769" t="inlineStr"/>
      <c r="D1769">
        <f>HYPERLINK("http://nlpdeep.cs.uic.edu:8080/proofing/t5/43723-medication-history-0-1.pdf","t5/43723-medication-history-0-1.pdf")</f>
        <v/>
      </c>
      <c r="E1769" t="n">
        <v>120842</v>
      </c>
      <c r="F1769" t="n">
        <v>43723</v>
      </c>
      <c r="G1769" t="inlineStr">
        <is>
          <t>Discharge summary</t>
        </is>
      </c>
      <c r="H1769" t="inlineStr">
        <is>
          <t>medication-history</t>
        </is>
      </c>
      <c r="I1769" t="inlineStr">
        <is>
          <t xml:space="preserve">
- Calcium 500 + D 500 mg(1,250mg)-400 unit twice a day.</t>
        </is>
      </c>
    </row>
    <row r="1770">
      <c r="A1770" t="inlineStr">
        <is>
          <t>43723-medication-history-0-1</t>
        </is>
      </c>
      <c r="B1770" t="inlineStr"/>
      <c r="C1770" t="inlineStr"/>
      <c r="D1770">
        <f>HYPERLINK("http://nlpdeep.cs.uic.edu:8080/proofing/gsii/43723-medication-history-0-1.pdf","gsii/43723-medication-history-0-1.pdf")</f>
        <v/>
      </c>
      <c r="E1770" t="n">
        <v>120842</v>
      </c>
      <c r="F1770" t="n">
        <v>43723</v>
      </c>
      <c r="G1770" t="inlineStr">
        <is>
          <t>Discharge summary</t>
        </is>
      </c>
      <c r="H1770" t="inlineStr">
        <is>
          <t>medication-history</t>
        </is>
      </c>
      <c r="I1770" t="inlineStr">
        <is>
          <t xml:space="preserve">
- Calcium 500 + D 500 mg(1,250mg)-400 unit twice a day.</t>
        </is>
      </c>
    </row>
    <row r="1771">
      <c r="A1771" t="inlineStr">
        <is>
          <t>43723-medication-history-0-2</t>
        </is>
      </c>
      <c r="B1771" t="inlineStr"/>
      <c r="C1771" t="inlineStr"/>
      <c r="D1771">
        <f>HYPERLINK("http://nlpdeep.cs.uic.edu:8080/proofing/t5/43723-medication-history-0-2.pdf","t5/43723-medication-history-0-2.pdf")</f>
        <v/>
      </c>
      <c r="E1771" t="n">
        <v>120842</v>
      </c>
      <c r="F1771" t="n">
        <v>43723</v>
      </c>
      <c r="G1771" t="inlineStr">
        <is>
          <t>Discharge summary</t>
        </is>
      </c>
      <c r="H1771" t="inlineStr">
        <is>
          <t>medication-history</t>
        </is>
      </c>
      <c r="I1771" t="inlineStr">
        <is>
          <t xml:space="preserve">
- Enoxaparin 30 mg/0.3 mL SC Q12H for 4 weeks.</t>
        </is>
      </c>
    </row>
    <row r="1772">
      <c r="A1772" t="inlineStr">
        <is>
          <t>43723-medication-history-0-2</t>
        </is>
      </c>
      <c r="B1772" t="inlineStr"/>
      <c r="C1772" t="inlineStr"/>
      <c r="D1772">
        <f>HYPERLINK("http://nlpdeep.cs.uic.edu:8080/proofing/gsii/43723-medication-history-0-2.pdf","gsii/43723-medication-history-0-2.pdf")</f>
        <v/>
      </c>
      <c r="E1772" t="n">
        <v>120842</v>
      </c>
      <c r="F1772" t="n">
        <v>43723</v>
      </c>
      <c r="G1772" t="inlineStr">
        <is>
          <t>Discharge summary</t>
        </is>
      </c>
      <c r="H1772" t="inlineStr">
        <is>
          <t>medication-history</t>
        </is>
      </c>
      <c r="I1772" t="inlineStr">
        <is>
          <t xml:space="preserve">
- Enoxaparin 30 mg/0.3 mL SC Q12H for 4 weeks.</t>
        </is>
      </c>
    </row>
    <row r="1773">
      <c r="A1773" t="inlineStr">
        <is>
          <t>43723-medication-history-0-3</t>
        </is>
      </c>
      <c r="B1773" t="inlineStr"/>
      <c r="C1773" t="inlineStr"/>
      <c r="D1773">
        <f>HYPERLINK("http://nlpdeep.cs.uic.edu:8080/proofing/t5/43723-medication-history-0-3.pdf","t5/43723-medication-history-0-3.pdf")</f>
        <v/>
      </c>
      <c r="E1773" t="n">
        <v>120842</v>
      </c>
      <c r="F1773" t="n">
        <v>43723</v>
      </c>
      <c r="G1773" t="inlineStr">
        <is>
          <t>Discharge summary</t>
        </is>
      </c>
      <c r="H1773" t="inlineStr">
        <is>
          <t>medication-history</t>
        </is>
      </c>
      <c r="I1773" t="inlineStr">
        <is>
          <t xml:space="preserve"> Stopped [**4-1**]
- Omeprazole 20 mg once a day.</t>
        </is>
      </c>
    </row>
    <row r="1774">
      <c r="A1774" t="inlineStr">
        <is>
          <t>43723-medication-history-0-3</t>
        </is>
      </c>
      <c r="B1774" t="inlineStr"/>
      <c r="C1774" t="inlineStr"/>
      <c r="D1774">
        <f>HYPERLINK("http://nlpdeep.cs.uic.edu:8080/proofing/gsii/43723-medication-history-0-3.pdf","gsii/43723-medication-history-0-3.pdf")</f>
        <v/>
      </c>
      <c r="E1774" t="n">
        <v>120842</v>
      </c>
      <c r="F1774" t="n">
        <v>43723</v>
      </c>
      <c r="G1774" t="inlineStr">
        <is>
          <t>Discharge summary</t>
        </is>
      </c>
      <c r="H1774" t="inlineStr">
        <is>
          <t>medication-history</t>
        </is>
      </c>
      <c r="I1774" t="inlineStr">
        <is>
          <t xml:space="preserve"> Stopped [**4-1**]
- Omeprazole 20 mg once a day.</t>
        </is>
      </c>
    </row>
    <row r="1775">
      <c r="A1775" t="inlineStr">
        <is>
          <t>43723-medication-history-0-4</t>
        </is>
      </c>
      <c r="B1775" t="inlineStr"/>
      <c r="C1775" t="inlineStr"/>
      <c r="D1775">
        <f>HYPERLINK("http://nlpdeep.cs.uic.edu:8080/proofing/t5/43723-medication-history-0-4.pdf","t5/43723-medication-history-0-4.pdf")</f>
        <v/>
      </c>
      <c r="E1775" t="n">
        <v>120842</v>
      </c>
      <c r="F1775" t="n">
        <v>43723</v>
      </c>
      <c r="G1775" t="inlineStr">
        <is>
          <t>Discharge summary</t>
        </is>
      </c>
      <c r="H1775" t="inlineStr">
        <is>
          <t>medication-history</t>
        </is>
      </c>
      <c r="I1775" t="inlineStr">
        <is>
          <t>- Docusate Sodium 100 mg [**Hospital1 **]
- Multivitamin DAILY
- Ferrous Sulfate 300 mg DAILY
- Vitamin D 1000 IU daily
- Robitussin DM PRN Cough suppressant
- H</t>
        </is>
      </c>
    </row>
    <row r="1776">
      <c r="A1776" t="inlineStr">
        <is>
          <t>43723-medication-history-0-4</t>
        </is>
      </c>
      <c r="B1776" t="inlineStr"/>
      <c r="C1776" t="inlineStr"/>
      <c r="D1776">
        <f>HYPERLINK("http://nlpdeep.cs.uic.edu:8080/proofing/gsii/43723-medication-history-0-4.pdf","gsii/43723-medication-history-0-4.pdf")</f>
        <v/>
      </c>
      <c r="E1776" t="n">
        <v>120842</v>
      </c>
      <c r="F1776" t="n">
        <v>43723</v>
      </c>
      <c r="G1776" t="inlineStr">
        <is>
          <t>Discharge summary</t>
        </is>
      </c>
      <c r="H1776" t="inlineStr">
        <is>
          <t>medication-history</t>
        </is>
      </c>
      <c r="I1776" t="inlineStr">
        <is>
          <t>- Docusate Sodium 100 mg [**Hospital1 **]
- Multivitamin DAILY
- Ferrous Sulfate 300 mg DAILY
- Vitamin D 1000 IU daily
- Robitussin DM PRN Cough suppressant
- H</t>
        </is>
      </c>
    </row>
    <row r="1777">
      <c r="A1777" t="inlineStr">
        <is>
          <t>43723-discharge-medications-0-0</t>
        </is>
      </c>
      <c r="B1777" t="inlineStr"/>
      <c r="C1777" t="inlineStr"/>
      <c r="D1777">
        <f>HYPERLINK("http://nlpdeep.cs.uic.edu:8080/proofing/t5/43723-discharge-medications-0-0.pdf","t5/43723-discharge-medications-0-0.pdf")</f>
        <v/>
      </c>
      <c r="E1777" t="n">
        <v>120842</v>
      </c>
      <c r="F1777" t="n">
        <v>43723</v>
      </c>
      <c r="G1777" t="inlineStr">
        <is>
          <t>Discharge summary</t>
        </is>
      </c>
      <c r="H1777" t="inlineStr">
        <is>
          <t>discharge-medications</t>
        </is>
      </c>
      <c r="I1777" t="inlineStr">
        <is>
          <t>Omeprazole 20 mg Capsule, Delayed Release(E.C.) Sig: Two (2)
Capsule, Delayed Release(E.C.) PO DAILY (Daily).</t>
        </is>
      </c>
    </row>
    <row r="1778">
      <c r="A1778" t="inlineStr">
        <is>
          <t>43723-discharge-medications-0-0</t>
        </is>
      </c>
      <c r="B1778" t="inlineStr"/>
      <c r="C1778" t="inlineStr"/>
      <c r="D1778">
        <f>HYPERLINK("http://nlpdeep.cs.uic.edu:8080/proofing/gsii/43723-discharge-medications-0-0.pdf","gsii/43723-discharge-medications-0-0.pdf")</f>
        <v/>
      </c>
      <c r="E1778" t="n">
        <v>120842</v>
      </c>
      <c r="F1778" t="n">
        <v>43723</v>
      </c>
      <c r="G1778" t="inlineStr">
        <is>
          <t>Discharge summary</t>
        </is>
      </c>
      <c r="H1778" t="inlineStr">
        <is>
          <t>discharge-medications</t>
        </is>
      </c>
      <c r="I1778" t="inlineStr">
        <is>
          <t>Omeprazole 20 mg Capsule, Delayed Release(E.C.) Sig: Two (2)
Capsule, Delayed Release(E.C.) PO DAILY (Daily).</t>
        </is>
      </c>
    </row>
    <row r="1779">
      <c r="A1779" t="inlineStr">
        <is>
          <t>43723-discharge-medications-0-1</t>
        </is>
      </c>
      <c r="B1779" t="inlineStr"/>
      <c r="C1779" t="inlineStr"/>
      <c r="D1779">
        <f>HYPERLINK("http://nlpdeep.cs.uic.edu:8080/proofing/t5/43723-discharge-medications-0-1.pdf","t5/43723-discharge-medications-0-1.pdf")</f>
        <v/>
      </c>
      <c r="E1779" t="n">
        <v>120842</v>
      </c>
      <c r="F1779" t="n">
        <v>43723</v>
      </c>
      <c r="G1779" t="inlineStr">
        <is>
          <t>Discharge summary</t>
        </is>
      </c>
      <c r="H1779" t="inlineStr">
        <is>
          <t>discharge-medications</t>
        </is>
      </c>
      <c r="I1779" t="inlineStr">
        <is>
          <t>Multivitamin     Tablet Sig: One (1) Tablet PO DAILY (Daily).</t>
        </is>
      </c>
    </row>
    <row r="1780">
      <c r="A1780" t="inlineStr">
        <is>
          <t>43723-discharge-medications-0-1</t>
        </is>
      </c>
      <c r="B1780" t="inlineStr"/>
      <c r="C1780" t="inlineStr"/>
      <c r="D1780">
        <f>HYPERLINK("http://nlpdeep.cs.uic.edu:8080/proofing/gsii/43723-discharge-medications-0-1.pdf","gsii/43723-discharge-medications-0-1.pdf")</f>
        <v/>
      </c>
      <c r="E1780" t="n">
        <v>120842</v>
      </c>
      <c r="F1780" t="n">
        <v>43723</v>
      </c>
      <c r="G1780" t="inlineStr">
        <is>
          <t>Discharge summary</t>
        </is>
      </c>
      <c r="H1780" t="inlineStr">
        <is>
          <t>discharge-medications</t>
        </is>
      </c>
      <c r="I1780" t="inlineStr">
        <is>
          <t>Multivitamin     Tablet Sig: One (1) Tablet PO DAILY (Daily).</t>
        </is>
      </c>
    </row>
    <row r="1781">
      <c r="A1781" t="inlineStr">
        <is>
          <t>43723-discharge-condition-0-0</t>
        </is>
      </c>
      <c r="B1781" t="inlineStr"/>
      <c r="C1781" t="inlineStr"/>
      <c r="D1781">
        <f>HYPERLINK("http://nlpdeep.cs.uic.edu:8080/proofing/t5/43723-discharge-condition-0-0.pdf","t5/43723-discharge-condition-0-0.pdf")</f>
        <v/>
      </c>
      <c r="E1781" t="n">
        <v>120842</v>
      </c>
      <c r="F1781" t="n">
        <v>43723</v>
      </c>
      <c r="G1781" t="inlineStr">
        <is>
          <t>Discharge summary</t>
        </is>
      </c>
      <c r="H1781" t="inlineStr">
        <is>
          <t>discharge-condition</t>
        </is>
      </c>
      <c r="I1781" t="inlineStr">
        <is>
          <t>Mental Status: Clear and coherent
Level of Consciousness: Alert and interactive
Activity Status: Ambulatory - I</t>
        </is>
      </c>
    </row>
    <row r="1782">
      <c r="A1782" t="inlineStr">
        <is>
          <t>43723-discharge-condition-0-0</t>
        </is>
      </c>
      <c r="B1782" t="inlineStr"/>
      <c r="C1782" t="inlineStr"/>
      <c r="D1782">
        <f>HYPERLINK("http://nlpdeep.cs.uic.edu:8080/proofing/gsii/43723-discharge-condition-0-0.pdf","gsii/43723-discharge-condition-0-0.pdf")</f>
        <v/>
      </c>
      <c r="E1782" t="n">
        <v>120842</v>
      </c>
      <c r="F1782" t="n">
        <v>43723</v>
      </c>
      <c r="G1782" t="inlineStr">
        <is>
          <t>Discharge summary</t>
        </is>
      </c>
      <c r="H1782" t="inlineStr">
        <is>
          <t>discharge-condition</t>
        </is>
      </c>
      <c r="I1782" t="inlineStr">
        <is>
          <t>Mental Status: Clear and coherent
Level of Consciousness: Alert and interactive
Activity Status: Ambulatory - I</t>
        </is>
      </c>
    </row>
    <row r="1783">
      <c r="A1783" t="inlineStr">
        <is>
          <t>43723-facility-0-0</t>
        </is>
      </c>
      <c r="B1783" t="inlineStr"/>
      <c r="C1783" t="inlineStr"/>
      <c r="D1783">
        <f>HYPERLINK("http://nlpdeep.cs.uic.edu:8080/proofing/t5/43723-facility-0-0.pdf","t5/43723-facility-0-0.pdf")</f>
        <v/>
      </c>
      <c r="E1783" t="n">
        <v>120842</v>
      </c>
      <c r="F1783" t="n">
        <v>43723</v>
      </c>
      <c r="G1783" t="inlineStr">
        <is>
          <t>Discharge summary</t>
        </is>
      </c>
      <c r="H1783" t="inlineStr">
        <is>
          <t>facility</t>
        </is>
      </c>
      <c r="I1783" t="inlineStr">
        <is>
          <t>[**Hospital3 672**] H</t>
        </is>
      </c>
    </row>
    <row r="1784">
      <c r="A1784" t="inlineStr">
        <is>
          <t>43723-facility-0-0</t>
        </is>
      </c>
      <c r="B1784" t="inlineStr"/>
      <c r="C1784" t="inlineStr"/>
      <c r="D1784">
        <f>HYPERLINK("http://nlpdeep.cs.uic.edu:8080/proofing/gsii/43723-facility-0-0.pdf","gsii/43723-facility-0-0.pdf")</f>
        <v/>
      </c>
      <c r="E1784" t="n">
        <v>120842</v>
      </c>
      <c r="F1784" t="n">
        <v>43723</v>
      </c>
      <c r="G1784" t="inlineStr">
        <is>
          <t>Discharge summary</t>
        </is>
      </c>
      <c r="H1784" t="inlineStr">
        <is>
          <t>facility</t>
        </is>
      </c>
      <c r="I1784" t="inlineStr">
        <is>
          <t>[**Hospital3 672**] H</t>
        </is>
      </c>
    </row>
    <row r="1785">
      <c r="A1785" t="inlineStr">
        <is>
          <t>43723-discharge-diagnosis-0-0</t>
        </is>
      </c>
      <c r="B1785" t="inlineStr"/>
      <c r="C1785" t="inlineStr"/>
      <c r="D1785">
        <f>HYPERLINK("http://nlpdeep.cs.uic.edu:8080/proofing/t5/43723-discharge-diagnosis-0-0.pdf","t5/43723-discharge-diagnosis-0-0.pdf")</f>
        <v/>
      </c>
      <c r="E1785" t="n">
        <v>120842</v>
      </c>
      <c r="F1785" t="n">
        <v>43723</v>
      </c>
      <c r="G1785" t="inlineStr">
        <is>
          <t>Discharge summary</t>
        </is>
      </c>
      <c r="H1785" t="inlineStr">
        <is>
          <t>discharge-diagnosis</t>
        </is>
      </c>
      <c r="I1785" t="inlineStr"/>
    </row>
    <row r="1786">
      <c r="A1786" t="inlineStr">
        <is>
          <t>43723-discharge-diagnosis-0-0</t>
        </is>
      </c>
      <c r="B1786" t="inlineStr"/>
      <c r="C1786" t="inlineStr"/>
      <c r="D1786">
        <f>HYPERLINK("http://nlpdeep.cs.uic.edu:8080/proofing/gsii/43723-discharge-diagnosis-0-0.pdf","gsii/43723-discharge-diagnosis-0-0.pdf")</f>
        <v/>
      </c>
      <c r="E1786" t="n">
        <v>120842</v>
      </c>
      <c r="F1786" t="n">
        <v>43723</v>
      </c>
      <c r="G1786" t="inlineStr">
        <is>
          <t>Discharge summary</t>
        </is>
      </c>
      <c r="H1786" t="inlineStr">
        <is>
          <t>discharge-diagnosis</t>
        </is>
      </c>
      <c r="I1786" t="inlineStr"/>
    </row>
    <row r="1787">
      <c r="A1787" t="inlineStr">
        <is>
          <t>43723-discharge-diagnosis-1-0</t>
        </is>
      </c>
      <c r="B1787" t="inlineStr"/>
      <c r="C1787" t="inlineStr"/>
      <c r="D1787">
        <f>HYPERLINK("http://nlpdeep.cs.uic.edu:8080/proofing/t5/43723-discharge-diagnosis-1-0.pdf","t5/43723-discharge-diagnosis-1-0.pdf")</f>
        <v/>
      </c>
      <c r="E1787" t="n">
        <v>120842</v>
      </c>
      <c r="F1787" t="n">
        <v>43723</v>
      </c>
      <c r="G1787" t="inlineStr">
        <is>
          <t>Discharge summary</t>
        </is>
      </c>
      <c r="H1787" t="inlineStr">
        <is>
          <t>discharge-diagnosis</t>
        </is>
      </c>
      <c r="I1787" t="inlineStr">
        <is>
          <t>Secondary
-Obstructive sleep apnea
-Hypertension
-Chronic diastolic h</t>
        </is>
      </c>
    </row>
    <row r="1788">
      <c r="A1788" t="inlineStr">
        <is>
          <t>43723-discharge-diagnosis-1-0</t>
        </is>
      </c>
      <c r="B1788" t="inlineStr"/>
      <c r="C1788" t="inlineStr"/>
      <c r="D1788">
        <f>HYPERLINK("http://nlpdeep.cs.uic.edu:8080/proofing/gsii/43723-discharge-diagnosis-1-0.pdf","gsii/43723-discharge-diagnosis-1-0.pdf")</f>
        <v/>
      </c>
      <c r="E1788" t="n">
        <v>120842</v>
      </c>
      <c r="F1788" t="n">
        <v>43723</v>
      </c>
      <c r="G1788" t="inlineStr">
        <is>
          <t>Discharge summary</t>
        </is>
      </c>
      <c r="H1788" t="inlineStr">
        <is>
          <t>discharge-diagnosis</t>
        </is>
      </c>
      <c r="I1788" t="inlineStr">
        <is>
          <t>Secondary
-Obstructive sleep apnea
-Hypertension
-Chronic diastolic h</t>
        </is>
      </c>
    </row>
    <row r="1789">
      <c r="A1789" t="inlineStr">
        <is>
          <t>43723-discharge-instructions-0-0</t>
        </is>
      </c>
      <c r="B1789" t="inlineStr"/>
      <c r="C1789" t="inlineStr"/>
      <c r="D1789">
        <f>HYPERLINK("http://nlpdeep.cs.uic.edu:8080/proofing/t5/43723-discharge-instructions-0-0.pdf","t5/43723-discharge-instructions-0-0.pdf")</f>
        <v/>
      </c>
      <c r="E1789" t="n">
        <v>120842</v>
      </c>
      <c r="F1789" t="n">
        <v>43723</v>
      </c>
      <c r="G1789" t="inlineStr">
        <is>
          <t>Discharge summary</t>
        </is>
      </c>
      <c r="H1789" t="inlineStr">
        <is>
          <t>discharge-instructions</t>
        </is>
      </c>
      <c r="I1789" t="inlineStr">
        <is>
          <t>Name: [**First Name8 (NamePattern2) **] [**Last Name (NamePattern1) **], [**First Name7 (NamePattern1) **] [**Initial (NamePattern1) **] [**Last Name (NamePattern4) **]
Location: [**Hospital1 **] [**First Name (Titles) **] [**Last Name (Titles) **]
Address: 545A CENTRE ST, [**Location (un) **],[**Numeric Identifier 7023**]
Phone: [**Telephone/Fax (1) 608**]
Appt: [**4-20**] at 1</t>
        </is>
      </c>
    </row>
    <row r="1790">
      <c r="A1790" t="inlineStr">
        <is>
          <t>43723-discharge-instructions-0-0</t>
        </is>
      </c>
      <c r="B1790" t="inlineStr"/>
      <c r="C1790" t="inlineStr"/>
      <c r="D1790">
        <f>HYPERLINK("http://nlpdeep.cs.uic.edu:8080/proofing/gsii/43723-discharge-instructions-0-0.pdf","gsii/43723-discharge-instructions-0-0.pdf")</f>
        <v/>
      </c>
      <c r="E1790" t="n">
        <v>120842</v>
      </c>
      <c r="F1790" t="n">
        <v>43723</v>
      </c>
      <c r="G1790" t="inlineStr">
        <is>
          <t>Discharge summary</t>
        </is>
      </c>
      <c r="H1790" t="inlineStr">
        <is>
          <t>discharge-instructions</t>
        </is>
      </c>
      <c r="I1790" t="inlineStr">
        <is>
          <t>Name: [**First Name8 (NamePattern2) **] [**Last Name (NamePattern1) **], [**First Name7 (NamePattern1) **] [**Initial (NamePattern1) **] [**Last Name (NamePattern4) **]
Location: [**Hospital1 **] [**First Name (Titles) **] [**Last Name (Titles) **]
Address: 545A CENTRE ST, [**Location (un) **],[**Numeric Identifier 7023**]
Phone: [**Telephone/Fax (1) 608**]
Appt: [**4-20**] at 1</t>
        </is>
      </c>
    </row>
    <row r="1791">
      <c r="A1791" t="inlineStr">
        <is>
          <t>523176-reason-0-0</t>
        </is>
      </c>
      <c r="B1791" t="inlineStr"/>
      <c r="C1791" t="inlineStr"/>
      <c r="D1791">
        <f>HYPERLINK("http://nlpdeep.cs.uic.edu:8080/proofing/t5/523176-reason-0-0.pdf","t5/523176-reason-0-0.pdf")</f>
        <v/>
      </c>
      <c r="E1791" t="n">
        <v>120842</v>
      </c>
      <c r="F1791" t="n">
        <v>523176</v>
      </c>
      <c r="G1791" t="inlineStr">
        <is>
          <t>Consult</t>
        </is>
      </c>
      <c r="H1791" t="inlineStr">
        <is>
          <t>reason</t>
        </is>
      </c>
      <c r="I1791" t="inlineStr">
        <is>
          <t>?AVNRT vs A</t>
        </is>
      </c>
    </row>
    <row r="1792">
      <c r="A1792" t="inlineStr">
        <is>
          <t>523176-reason-0-0</t>
        </is>
      </c>
      <c r="B1792" t="inlineStr"/>
      <c r="C1792" t="inlineStr"/>
      <c r="D1792">
        <f>HYPERLINK("http://nlpdeep.cs.uic.edu:8080/proofing/gsii/523176-reason-0-0.pdf","gsii/523176-reason-0-0.pdf")</f>
        <v/>
      </c>
      <c r="E1792" t="n">
        <v>120842</v>
      </c>
      <c r="F1792" t="n">
        <v>523176</v>
      </c>
      <c r="G1792" t="inlineStr">
        <is>
          <t>Consult</t>
        </is>
      </c>
      <c r="H1792" t="inlineStr">
        <is>
          <t>reason</t>
        </is>
      </c>
      <c r="I1792" t="inlineStr">
        <is>
          <t>?AVNRT vs A</t>
        </is>
      </c>
    </row>
    <row r="1793">
      <c r="A1793" t="inlineStr">
        <is>
          <t>523176-history-of-present-illness-0-0</t>
        </is>
      </c>
      <c r="B1793" t="inlineStr"/>
      <c r="C1793" t="inlineStr"/>
      <c r="D1793">
        <f>HYPERLINK("http://nlpdeep.cs.uic.edu:8080/proofing/t5/523176-history-of-present-illness-0-0.pdf","t5/523176-history-of-present-illness-0-0.pdf")</f>
        <v/>
      </c>
      <c r="E1793" t="n">
        <v>120842</v>
      </c>
      <c r="F1793" t="n">
        <v>523176</v>
      </c>
      <c r="G1793" t="inlineStr">
        <is>
          <t>Consult</t>
        </is>
      </c>
      <c r="H1793" t="inlineStr">
        <is>
          <t>history-of-present-illness</t>
        </is>
      </c>
      <c r="I1793" t="inlineStr">
        <is>
          <t>73 yo Spanish speaking F with COPD on home O2, diastolic CHF, right TKR
   one month ago who presented to the ED with shortness of breath.</t>
        </is>
      </c>
    </row>
    <row r="1794">
      <c r="A1794" t="inlineStr">
        <is>
          <t>523176-history-of-present-illness-0-0</t>
        </is>
      </c>
      <c r="B1794" t="inlineStr"/>
      <c r="C1794" t="inlineStr"/>
      <c r="D1794">
        <f>HYPERLINK("http://nlpdeep.cs.uic.edu:8080/proofing/gsii/523176-history-of-present-illness-0-0.pdf","gsii/523176-history-of-present-illness-0-0.pdf")</f>
        <v/>
      </c>
      <c r="E1794" t="n">
        <v>120842</v>
      </c>
      <c r="F1794" t="n">
        <v>523176</v>
      </c>
      <c r="G1794" t="inlineStr">
        <is>
          <t>Consult</t>
        </is>
      </c>
      <c r="H1794" t="inlineStr">
        <is>
          <t>history-of-present-illness</t>
        </is>
      </c>
      <c r="I1794" t="inlineStr">
        <is>
          <t>73 yo Spanish speaking F with COPD on home O2, diastolic CHF, right TKR
   one month ago who presented to the ED with shortness of breath.</t>
        </is>
      </c>
    </row>
    <row r="1795">
      <c r="A1795" t="inlineStr">
        <is>
          <t>523176-history-of-present-illness-0-1</t>
        </is>
      </c>
      <c r="B1795" t="inlineStr"/>
      <c r="C1795" t="inlineStr"/>
      <c r="D1795">
        <f>HYPERLINK("http://nlpdeep.cs.uic.edu:8080/proofing/t5/523176-history-of-present-illness-0-1.pdf","t5/523176-history-of-present-illness-0-1.pdf")</f>
        <v/>
      </c>
      <c r="E1795" t="n">
        <v>120842</v>
      </c>
      <c r="F1795" t="n">
        <v>523176</v>
      </c>
      <c r="G1795" t="inlineStr">
        <is>
          <t>Consult</t>
        </is>
      </c>
      <c r="H1795" t="inlineStr">
        <is>
          <t>history-of-present-illness</t>
        </is>
      </c>
      <c r="I1795" t="inlineStr">
        <is>
          <t>In the
   ED she had an episode of SVT (of which she had another episode as
   recently [**3-26**] in the ED, broken with adenosine) that broke with high
   flow oxygen therapy alone.</t>
        </is>
      </c>
    </row>
    <row r="1796">
      <c r="A1796" t="inlineStr">
        <is>
          <t>523176-history-of-present-illness-0-1</t>
        </is>
      </c>
      <c r="B1796" t="inlineStr"/>
      <c r="C1796" t="inlineStr"/>
      <c r="D1796">
        <f>HYPERLINK("http://nlpdeep.cs.uic.edu:8080/proofing/gsii/523176-history-of-present-illness-0-1.pdf","gsii/523176-history-of-present-illness-0-1.pdf")</f>
        <v/>
      </c>
      <c r="E1796" t="n">
        <v>120842</v>
      </c>
      <c r="F1796" t="n">
        <v>523176</v>
      </c>
      <c r="G1796" t="inlineStr">
        <is>
          <t>Consult</t>
        </is>
      </c>
      <c r="H1796" t="inlineStr">
        <is>
          <t>history-of-present-illness</t>
        </is>
      </c>
      <c r="I1796" t="inlineStr">
        <is>
          <t>In the
   ED she had an episode of SVT (of which she had another episode as
   recently [**3-26**] in the ED, broken with adenosine) that broke with high
   flow oxygen therapy alone.</t>
        </is>
      </c>
    </row>
    <row r="1797">
      <c r="A1797" t="inlineStr">
        <is>
          <t>523176-history-of-present-illness-0-2</t>
        </is>
      </c>
      <c r="B1797" t="inlineStr"/>
      <c r="C1797" t="inlineStr"/>
      <c r="D1797">
        <f>HYPERLINK("http://nlpdeep.cs.uic.edu:8080/proofing/t5/523176-history-of-present-illness-0-2.pdf","t5/523176-history-of-present-illness-0-2.pdf")</f>
        <v/>
      </c>
      <c r="E1797" t="n">
        <v>120842</v>
      </c>
      <c r="F1797" t="n">
        <v>523176</v>
      </c>
      <c r="G1797" t="inlineStr">
        <is>
          <t>Consult</t>
        </is>
      </c>
      <c r="H1797" t="inlineStr">
        <is>
          <t>history-of-present-illness</t>
        </is>
      </c>
      <c r="I1797" t="inlineStr">
        <is>
          <t>She was initially admitted to the MICU where
   she had another episode of SVT that also broke with O2 therapy.</t>
        </is>
      </c>
    </row>
    <row r="1798">
      <c r="A1798" t="inlineStr">
        <is>
          <t>523176-history-of-present-illness-0-2</t>
        </is>
      </c>
      <c r="B1798" t="inlineStr"/>
      <c r="C1798" t="inlineStr"/>
      <c r="D1798">
        <f>HYPERLINK("http://nlpdeep.cs.uic.edu:8080/proofing/gsii/523176-history-of-present-illness-0-2.pdf","gsii/523176-history-of-present-illness-0-2.pdf")</f>
        <v/>
      </c>
      <c r="E1798" t="n">
        <v>120842</v>
      </c>
      <c r="F1798" t="n">
        <v>523176</v>
      </c>
      <c r="G1798" t="inlineStr">
        <is>
          <t>Consult</t>
        </is>
      </c>
      <c r="H1798" t="inlineStr">
        <is>
          <t>history-of-present-illness</t>
        </is>
      </c>
      <c r="I1798" t="inlineStr">
        <is>
          <t>She was initially admitted to the MICU where
   she had another episode of SVT that also broke with O2 therapy.</t>
        </is>
      </c>
    </row>
    <row r="1799">
      <c r="A1799" t="inlineStr">
        <is>
          <t>523176-history-of-present-illness-0-3</t>
        </is>
      </c>
      <c r="B1799" t="inlineStr"/>
      <c r="C1799" t="inlineStr"/>
      <c r="D1799">
        <f>HYPERLINK("http://nlpdeep.cs.uic.edu:8080/proofing/t5/523176-history-of-present-illness-0-3.pdf","t5/523176-history-of-present-illness-0-3.pdf")</f>
        <v/>
      </c>
      <c r="E1799" t="n">
        <v>120842</v>
      </c>
      <c r="F1799" t="n">
        <v>523176</v>
      </c>
      <c r="G1799" t="inlineStr">
        <is>
          <t>Consult</t>
        </is>
      </c>
      <c r="H1799" t="inlineStr">
        <is>
          <t>history-of-present-illness</t>
        </is>
      </c>
      <c r="I1799" t="inlineStr">
        <is>
          <t xml:space="preserve">
   [**Hospital **] transfered to the floor but again had an episode of SVT to
   120's and respiratory distress and transfered back to the MICU.</t>
        </is>
      </c>
    </row>
    <row r="1800">
      <c r="A1800" t="inlineStr">
        <is>
          <t>523176-history-of-present-illness-0-3</t>
        </is>
      </c>
      <c r="B1800" t="inlineStr"/>
      <c r="C1800" t="inlineStr"/>
      <c r="D1800">
        <f>HYPERLINK("http://nlpdeep.cs.uic.edu:8080/proofing/gsii/523176-history-of-present-illness-0-3.pdf","gsii/523176-history-of-present-illness-0-3.pdf")</f>
        <v/>
      </c>
      <c r="E1800" t="n">
        <v>120842</v>
      </c>
      <c r="F1800" t="n">
        <v>523176</v>
      </c>
      <c r="G1800" t="inlineStr">
        <is>
          <t>Consult</t>
        </is>
      </c>
      <c r="H1800" t="inlineStr">
        <is>
          <t>history-of-present-illness</t>
        </is>
      </c>
      <c r="I1800" t="inlineStr">
        <is>
          <t xml:space="preserve">
   [**Hospital **] transfered to the floor but again had an episode of SVT to
   120's and respiratory distress and transfered back to the MICU.</t>
        </is>
      </c>
    </row>
    <row r="1801">
      <c r="A1801" t="inlineStr">
        <is>
          <t>523176-history-of-present-illness-0-4</t>
        </is>
      </c>
      <c r="B1801" t="inlineStr"/>
      <c r="C1801" t="inlineStr"/>
      <c r="D1801">
        <f>HYPERLINK("http://nlpdeep.cs.uic.edu:8080/proofing/t5/523176-history-of-present-illness-0-4.pdf","t5/523176-history-of-present-illness-0-4.pdf")</f>
        <v/>
      </c>
      <c r="E1801" t="n">
        <v>120842</v>
      </c>
      <c r="F1801" t="n">
        <v>523176</v>
      </c>
      <c r="G1801" t="inlineStr">
        <is>
          <t>Consult</t>
        </is>
      </c>
      <c r="H1801" t="inlineStr">
        <is>
          <t>history-of-present-illness</t>
        </is>
      </c>
      <c r="I1801" t="inlineStr">
        <is>
          <t>In the
   MICU she was noted to have this episoded of SVT in the setting of cough
   spells despite having started diltiazem 30 mg PO QID on [**2153-4-8**].</t>
        </is>
      </c>
    </row>
    <row r="1802">
      <c r="A1802" t="inlineStr">
        <is>
          <t>523176-history-of-present-illness-0-4</t>
        </is>
      </c>
      <c r="B1802" t="inlineStr"/>
      <c r="C1802" t="inlineStr"/>
      <c r="D1802">
        <f>HYPERLINK("http://nlpdeep.cs.uic.edu:8080/proofing/gsii/523176-history-of-present-illness-0-4.pdf","gsii/523176-history-of-present-illness-0-4.pdf")</f>
        <v/>
      </c>
      <c r="E1802" t="n">
        <v>120842</v>
      </c>
      <c r="F1802" t="n">
        <v>523176</v>
      </c>
      <c r="G1802" t="inlineStr">
        <is>
          <t>Consult</t>
        </is>
      </c>
      <c r="H1802" t="inlineStr">
        <is>
          <t>history-of-present-illness</t>
        </is>
      </c>
      <c r="I1802" t="inlineStr">
        <is>
          <t>In the
   MICU she was noted to have this episoded of SVT in the setting of cough
   spells despite having started diltiazem 30 mg PO QID on [**2153-4-8**].</t>
        </is>
      </c>
    </row>
    <row r="1803">
      <c r="A1803" t="inlineStr">
        <is>
          <t>523176-history-of-present-illness-0-5</t>
        </is>
      </c>
      <c r="B1803" t="inlineStr"/>
      <c r="C1803" t="inlineStr"/>
      <c r="D1803">
        <f>HYPERLINK("http://nlpdeep.cs.uic.edu:8080/proofing/t5/523176-history-of-present-illness-0-5.pdf","t5/523176-history-of-present-illness-0-5.pdf")</f>
        <v/>
      </c>
      <c r="E1803" t="n">
        <v>120842</v>
      </c>
      <c r="F1803" t="n">
        <v>523176</v>
      </c>
      <c r="G1803" t="inlineStr">
        <is>
          <t>Consult</t>
        </is>
      </c>
      <c r="H1803" t="inlineStr">
        <is>
          <t>history-of-present-illness</t>
        </is>
      </c>
      <c r="I1803" t="inlineStr">
        <is>
          <t>Given
   her history of dCHF the medicine team is worried that she might be
   intermittently flashing when she is tachycardic.</t>
        </is>
      </c>
    </row>
    <row r="1804">
      <c r="A1804" t="inlineStr">
        <is>
          <t>523176-history-of-present-illness-0-5</t>
        </is>
      </c>
      <c r="B1804" t="inlineStr"/>
      <c r="C1804" t="inlineStr"/>
      <c r="D1804">
        <f>HYPERLINK("http://nlpdeep.cs.uic.edu:8080/proofing/gsii/523176-history-of-present-illness-0-5.pdf","gsii/523176-history-of-present-illness-0-5.pdf")</f>
        <v/>
      </c>
      <c r="E1804" t="n">
        <v>120842</v>
      </c>
      <c r="F1804" t="n">
        <v>523176</v>
      </c>
      <c r="G1804" t="inlineStr">
        <is>
          <t>Consult</t>
        </is>
      </c>
      <c r="H1804" t="inlineStr">
        <is>
          <t>history-of-present-illness</t>
        </is>
      </c>
      <c r="I1804" t="inlineStr">
        <is>
          <t>Given
   her history of dCHF the medicine team is worried that she might be
   intermittently flashing when she is tachycardic.</t>
        </is>
      </c>
    </row>
    <row r="1805">
      <c r="A1805" t="inlineStr">
        <is>
          <t>523176-history-of-present-illness-1-0</t>
        </is>
      </c>
      <c r="B1805" t="inlineStr"/>
      <c r="C1805" t="inlineStr"/>
      <c r="D1805">
        <f>HYPERLINK("http://nlpdeep.cs.uic.edu:8080/proofing/t5/523176-history-of-present-illness-1-0.pdf","t5/523176-history-of-present-illness-1-0.pdf")</f>
        <v/>
      </c>
      <c r="E1805" t="n">
        <v>120842</v>
      </c>
      <c r="F1805" t="n">
        <v>523176</v>
      </c>
      <c r="G1805" t="inlineStr">
        <is>
          <t>Consult</t>
        </is>
      </c>
      <c r="H1805" t="inlineStr">
        <is>
          <t>history-of-present-illness</t>
        </is>
      </c>
      <c r="I1805" t="inlineStr">
        <is>
          <t xml:space="preserve">
   Upon interviewing the patient she stated that she does not have a
   history of abnormal heart rhythms and that the first episode was the
   one on [**3-26**].</t>
        </is>
      </c>
    </row>
    <row r="1806">
      <c r="A1806" t="inlineStr">
        <is>
          <t>523176-history-of-present-illness-1-0</t>
        </is>
      </c>
      <c r="B1806" t="inlineStr"/>
      <c r="C1806" t="inlineStr"/>
      <c r="D1806">
        <f>HYPERLINK("http://nlpdeep.cs.uic.edu:8080/proofing/gsii/523176-history-of-present-illness-1-0.pdf","gsii/523176-history-of-present-illness-1-0.pdf")</f>
        <v/>
      </c>
      <c r="E1806" t="n">
        <v>120842</v>
      </c>
      <c r="F1806" t="n">
        <v>523176</v>
      </c>
      <c r="G1806" t="inlineStr">
        <is>
          <t>Consult</t>
        </is>
      </c>
      <c r="H1806" t="inlineStr">
        <is>
          <t>history-of-present-illness</t>
        </is>
      </c>
      <c r="I1806" t="inlineStr">
        <is>
          <t xml:space="preserve">
   Upon interviewing the patient she stated that she does not have a
   history of abnormal heart rhythms and that the first episode was the
   one on [**3-26**].</t>
        </is>
      </c>
    </row>
    <row r="1807">
      <c r="A1807" t="inlineStr">
        <is>
          <t>523176-history-of-present-illness-1-1</t>
        </is>
      </c>
      <c r="B1807" t="inlineStr"/>
      <c r="C1807" t="inlineStr"/>
      <c r="D1807">
        <f>HYPERLINK("http://nlpdeep.cs.uic.edu:8080/proofing/t5/523176-history-of-present-illness-1-1.pdf","t5/523176-history-of-present-illness-1-1.pdf")</f>
        <v/>
      </c>
      <c r="E1807" t="n">
        <v>120842</v>
      </c>
      <c r="F1807" t="n">
        <v>523176</v>
      </c>
      <c r="G1807" t="inlineStr">
        <is>
          <t>Consult</t>
        </is>
      </c>
      <c r="H1807" t="inlineStr">
        <is>
          <t>history-of-present-illness</t>
        </is>
      </c>
      <c r="I1807" t="inlineStr">
        <is>
          <t>She reports associated palpitations, chest tightness and
   SOB when she is having these episodes but denies dizziness or
   lightheadedness.</t>
        </is>
      </c>
    </row>
    <row r="1808">
      <c r="A1808" t="inlineStr">
        <is>
          <t>523176-history-of-present-illness-1-1</t>
        </is>
      </c>
      <c r="B1808" t="inlineStr"/>
      <c r="C1808" t="inlineStr"/>
      <c r="D1808">
        <f>HYPERLINK("http://nlpdeep.cs.uic.edu:8080/proofing/gsii/523176-history-of-present-illness-1-1.pdf","gsii/523176-history-of-present-illness-1-1.pdf")</f>
        <v/>
      </c>
      <c r="E1808" t="n">
        <v>120842</v>
      </c>
      <c r="F1808" t="n">
        <v>523176</v>
      </c>
      <c r="G1808" t="inlineStr">
        <is>
          <t>Consult</t>
        </is>
      </c>
      <c r="H1808" t="inlineStr">
        <is>
          <t>history-of-present-illness</t>
        </is>
      </c>
      <c r="I1808" t="inlineStr">
        <is>
          <t>She reports associated palpitations, chest tightness and
   SOB when she is having these episodes but denies dizziness or
   lightheadedness.</t>
        </is>
      </c>
    </row>
    <row r="1809">
      <c r="A1809" t="inlineStr">
        <is>
          <t>523176-history-of-present-illness-1-2</t>
        </is>
      </c>
      <c r="B1809" t="inlineStr"/>
      <c r="C1809" t="inlineStr"/>
      <c r="D1809">
        <f>HYPERLINK("http://nlpdeep.cs.uic.edu:8080/proofing/t5/523176-history-of-present-illness-1-2.pdf","t5/523176-history-of-present-illness-1-2.pdf")</f>
        <v/>
      </c>
      <c r="E1809" t="n">
        <v>120842</v>
      </c>
      <c r="F1809" t="n">
        <v>523176</v>
      </c>
      <c r="G1809" t="inlineStr">
        <is>
          <t>Consult</t>
        </is>
      </c>
      <c r="H1809" t="inlineStr">
        <is>
          <t>history-of-present-illness</t>
        </is>
      </c>
      <c r="I1809" t="inlineStr">
        <is>
          <t xml:space="preserve">
   .</t>
        </is>
      </c>
    </row>
    <row r="1810">
      <c r="A1810" t="inlineStr">
        <is>
          <t>523176-history-of-present-illness-1-2</t>
        </is>
      </c>
      <c r="B1810" t="inlineStr"/>
      <c r="C1810" t="inlineStr"/>
      <c r="D1810">
        <f>HYPERLINK("http://nlpdeep.cs.uic.edu:8080/proofing/gsii/523176-history-of-present-illness-1-2.pdf","gsii/523176-history-of-present-illness-1-2.pdf")</f>
        <v/>
      </c>
      <c r="E1810" t="n">
        <v>120842</v>
      </c>
      <c r="F1810" t="n">
        <v>523176</v>
      </c>
      <c r="G1810" t="inlineStr">
        <is>
          <t>Consult</t>
        </is>
      </c>
      <c r="H1810" t="inlineStr">
        <is>
          <t>history-of-present-illness</t>
        </is>
      </c>
      <c r="I1810" t="inlineStr">
        <is>
          <t xml:space="preserve">
   .</t>
        </is>
      </c>
    </row>
    <row r="1811">
      <c r="A1811" t="inlineStr">
        <is>
          <t>523176-allergies-0-0</t>
        </is>
      </c>
      <c r="B1811" t="inlineStr"/>
      <c r="C1811" t="inlineStr"/>
      <c r="D1811">
        <f>HYPERLINK("http://nlpdeep.cs.uic.edu:8080/proofing/t5/523176-allergies-0-0.pdf","t5/523176-allergies-0-0.pdf")</f>
        <v/>
      </c>
      <c r="E1811" t="n">
        <v>120842</v>
      </c>
      <c r="F1811" t="n">
        <v>523176</v>
      </c>
      <c r="G1811" t="inlineStr">
        <is>
          <t>Consult</t>
        </is>
      </c>
      <c r="H1811" t="inlineStr">
        <is>
          <t>allergies</t>
        </is>
      </c>
      <c r="I1811" t="inlineStr">
        <is>
          <t>Hayfever
   .</t>
        </is>
      </c>
    </row>
    <row r="1812">
      <c r="A1812" t="inlineStr">
        <is>
          <t>523176-allergies-0-0</t>
        </is>
      </c>
      <c r="B1812" t="inlineStr"/>
      <c r="C1812" t="inlineStr"/>
      <c r="D1812">
        <f>HYPERLINK("http://nlpdeep.cs.uic.edu:8080/proofing/gsii/523176-allergies-0-0.pdf","gsii/523176-allergies-0-0.pdf")</f>
        <v/>
      </c>
      <c r="E1812" t="n">
        <v>120842</v>
      </c>
      <c r="F1812" t="n">
        <v>523176</v>
      </c>
      <c r="G1812" t="inlineStr">
        <is>
          <t>Consult</t>
        </is>
      </c>
      <c r="H1812" t="inlineStr">
        <is>
          <t>allergies</t>
        </is>
      </c>
      <c r="I1812" t="inlineStr">
        <is>
          <t>Hayfever
   .</t>
        </is>
      </c>
    </row>
    <row r="1813">
      <c r="A1813" t="inlineStr">
        <is>
          <t>523176-medication-history-0-0</t>
        </is>
      </c>
      <c r="B1813" t="inlineStr"/>
      <c r="C1813" t="inlineStr"/>
      <c r="D1813">
        <f>HYPERLINK("http://nlpdeep.cs.uic.edu:8080/proofing/t5/523176-medication-history-0-0.pdf","t5/523176-medication-history-0-0.pdf")</f>
        <v/>
      </c>
      <c r="E1813" t="n">
        <v>120842</v>
      </c>
      <c r="F1813" t="n">
        <v>523176</v>
      </c>
      <c r="G1813" t="inlineStr">
        <is>
          <t>Consult</t>
        </is>
      </c>
      <c r="H1813" t="inlineStr">
        <is>
          <t>medication-history</t>
        </is>
      </c>
      <c r="I1813" t="inlineStr">
        <is>
          <t>- Home O2 - 2LPM at rest, 4 LPM with exertion
   - Advair 500-50 twice a day
   - Albuterol neb or MDI Q6H as needed for wheezing, SOB.</t>
        </is>
      </c>
    </row>
    <row r="1814">
      <c r="A1814" t="inlineStr">
        <is>
          <t>523176-medication-history-0-0</t>
        </is>
      </c>
      <c r="B1814" t="inlineStr"/>
      <c r="C1814" t="inlineStr"/>
      <c r="D1814">
        <f>HYPERLINK("http://nlpdeep.cs.uic.edu:8080/proofing/gsii/523176-medication-history-0-0.pdf","gsii/523176-medication-history-0-0.pdf")</f>
        <v/>
      </c>
      <c r="E1814" t="n">
        <v>120842</v>
      </c>
      <c r="F1814" t="n">
        <v>523176</v>
      </c>
      <c r="G1814" t="inlineStr">
        <is>
          <t>Consult</t>
        </is>
      </c>
      <c r="H1814" t="inlineStr">
        <is>
          <t>medication-history</t>
        </is>
      </c>
      <c r="I1814" t="inlineStr">
        <is>
          <t>- Home O2 - 2LPM at rest, 4 LPM with exertion
   - Advair 500-50 twice a day
   - Albuterol neb or MDI Q6H as needed for wheezing, SOB.</t>
        </is>
      </c>
    </row>
    <row r="1815">
      <c r="A1815" t="inlineStr">
        <is>
          <t>523176-medication-history-0-1</t>
        </is>
      </c>
      <c r="B1815" t="inlineStr"/>
      <c r="C1815" t="inlineStr"/>
      <c r="D1815">
        <f>HYPERLINK("http://nlpdeep.cs.uic.edu:8080/proofing/t5/523176-medication-history-0-1.pdf","t5/523176-medication-history-0-1.pdf")</f>
        <v/>
      </c>
      <c r="E1815" t="n">
        <v>120842</v>
      </c>
      <c r="F1815" t="n">
        <v>523176</v>
      </c>
      <c r="G1815" t="inlineStr">
        <is>
          <t>Consult</t>
        </is>
      </c>
      <c r="H1815" t="inlineStr">
        <is>
          <t>medication-history</t>
        </is>
      </c>
      <c r="I1815" t="inlineStr">
        <is>
          <t xml:space="preserve">
   - Captopril 50 mg TID
   - Fluoxetine 20 mg TID
   - Glipizide 5 mg [**Hospital1 7**]
   - Hydrochlorothiazide 12.5 mg DAILY
   - Lorazepam 0.5 mg Q8H as needed for Anxiety.</t>
        </is>
      </c>
    </row>
    <row r="1816">
      <c r="A1816" t="inlineStr">
        <is>
          <t>523176-medication-history-0-1</t>
        </is>
      </c>
      <c r="B1816" t="inlineStr"/>
      <c r="C1816" t="inlineStr"/>
      <c r="D1816">
        <f>HYPERLINK("http://nlpdeep.cs.uic.edu:8080/proofing/gsii/523176-medication-history-0-1.pdf","gsii/523176-medication-history-0-1.pdf")</f>
        <v/>
      </c>
      <c r="E1816" t="n">
        <v>120842</v>
      </c>
      <c r="F1816" t="n">
        <v>523176</v>
      </c>
      <c r="G1816" t="inlineStr">
        <is>
          <t>Consult</t>
        </is>
      </c>
      <c r="H1816" t="inlineStr">
        <is>
          <t>medication-history</t>
        </is>
      </c>
      <c r="I1816" t="inlineStr">
        <is>
          <t xml:space="preserve">
   - Captopril 50 mg TID
   - Fluoxetine 20 mg TID
   - Glipizide 5 mg [**Hospital1 7**]
   - Hydrochlorothiazide 12.5 mg DAILY
   - Lorazepam 0.5 mg Q8H as needed for Anxiety.</t>
        </is>
      </c>
    </row>
    <row r="1817">
      <c r="A1817" t="inlineStr">
        <is>
          <t>523176-medication-history-0-2</t>
        </is>
      </c>
      <c r="B1817" t="inlineStr"/>
      <c r="C1817" t="inlineStr"/>
      <c r="D1817">
        <f>HYPERLINK("http://nlpdeep.cs.uic.edu:8080/proofing/t5/523176-medication-history-0-2.pdf","t5/523176-medication-history-0-2.pdf")</f>
        <v/>
      </c>
      <c r="E1817" t="n">
        <v>120842</v>
      </c>
      <c r="F1817" t="n">
        <v>523176</v>
      </c>
      <c r="G1817" t="inlineStr">
        <is>
          <t>Consult</t>
        </is>
      </c>
      <c r="H1817" t="inlineStr">
        <is>
          <t>medication-history</t>
        </is>
      </c>
      <c r="I1817" t="inlineStr">
        <is>
          <t xml:space="preserve">
   - Metformin 500 mg SR [**Hospital1 7**]
   - Montelukast 10 mg DAILY
   - Simvastatin 40 mg DAILY
   - Spiriva 18 mcg once a day.</t>
        </is>
      </c>
    </row>
    <row r="1818">
      <c r="A1818" t="inlineStr">
        <is>
          <t>523176-medication-history-0-2</t>
        </is>
      </c>
      <c r="B1818" t="inlineStr"/>
      <c r="C1818" t="inlineStr"/>
      <c r="D1818">
        <f>HYPERLINK("http://nlpdeep.cs.uic.edu:8080/proofing/gsii/523176-medication-history-0-2.pdf","gsii/523176-medication-history-0-2.pdf")</f>
        <v/>
      </c>
      <c r="E1818" t="n">
        <v>120842</v>
      </c>
      <c r="F1818" t="n">
        <v>523176</v>
      </c>
      <c r="G1818" t="inlineStr">
        <is>
          <t>Consult</t>
        </is>
      </c>
      <c r="H1818" t="inlineStr">
        <is>
          <t>medication-history</t>
        </is>
      </c>
      <c r="I1818" t="inlineStr">
        <is>
          <t xml:space="preserve">
   - Metformin 500 mg SR [**Hospital1 7**]
   - Montelukast 10 mg DAILY
   - Simvastatin 40 mg DAILY
   - Spiriva 18 mcg once a day.</t>
        </is>
      </c>
    </row>
    <row r="1819">
      <c r="A1819" t="inlineStr">
        <is>
          <t>523176-medication-history-0-3</t>
        </is>
      </c>
      <c r="B1819" t="inlineStr"/>
      <c r="C1819" t="inlineStr"/>
      <c r="D1819">
        <f>HYPERLINK("http://nlpdeep.cs.uic.edu:8080/proofing/t5/523176-medication-history-0-3.pdf","t5/523176-medication-history-0-3.pdf")</f>
        <v/>
      </c>
      <c r="E1819" t="n">
        <v>120842</v>
      </c>
      <c r="F1819" t="n">
        <v>523176</v>
      </c>
      <c r="G1819" t="inlineStr">
        <is>
          <t>Consult</t>
        </is>
      </c>
      <c r="H1819" t="inlineStr">
        <is>
          <t>medication-history</t>
        </is>
      </c>
      <c r="I1819" t="inlineStr">
        <is>
          <t xml:space="preserve">
   - Calcium 500 + D 500 mg(1,250mg)-400 unit twice a day.</t>
        </is>
      </c>
    </row>
    <row r="1820">
      <c r="A1820" t="inlineStr">
        <is>
          <t>523176-medication-history-0-3</t>
        </is>
      </c>
      <c r="B1820" t="inlineStr"/>
      <c r="C1820" t="inlineStr"/>
      <c r="D1820">
        <f>HYPERLINK("http://nlpdeep.cs.uic.edu:8080/proofing/gsii/523176-medication-history-0-3.pdf","gsii/523176-medication-history-0-3.pdf")</f>
        <v/>
      </c>
      <c r="E1820" t="n">
        <v>120842</v>
      </c>
      <c r="F1820" t="n">
        <v>523176</v>
      </c>
      <c r="G1820" t="inlineStr">
        <is>
          <t>Consult</t>
        </is>
      </c>
      <c r="H1820" t="inlineStr">
        <is>
          <t>medication-history</t>
        </is>
      </c>
      <c r="I1820" t="inlineStr">
        <is>
          <t xml:space="preserve">
   - Calcium 500 + D 500 mg(1,250mg)-400 unit twice a day.</t>
        </is>
      </c>
    </row>
    <row r="1821">
      <c r="A1821" t="inlineStr">
        <is>
          <t>523176-medication-history-0-4</t>
        </is>
      </c>
      <c r="B1821" t="inlineStr"/>
      <c r="C1821" t="inlineStr"/>
      <c r="D1821">
        <f>HYPERLINK("http://nlpdeep.cs.uic.edu:8080/proofing/t5/523176-medication-history-0-4.pdf","t5/523176-medication-history-0-4.pdf")</f>
        <v/>
      </c>
      <c r="E1821" t="n">
        <v>120842</v>
      </c>
      <c r="F1821" t="n">
        <v>523176</v>
      </c>
      <c r="G1821" t="inlineStr">
        <is>
          <t>Consult</t>
        </is>
      </c>
      <c r="H1821" t="inlineStr">
        <is>
          <t>medication-history</t>
        </is>
      </c>
      <c r="I1821" t="inlineStr">
        <is>
          <t xml:space="preserve">
   - Enoxaparin 30 mg/0.3 mL SC Q12H for 4 weeks. ***
   - Omeprazole 20 mg once a day.</t>
        </is>
      </c>
    </row>
    <row r="1822">
      <c r="A1822" t="inlineStr">
        <is>
          <t>523176-medication-history-0-4</t>
        </is>
      </c>
      <c r="B1822" t="inlineStr"/>
      <c r="C1822" t="inlineStr"/>
      <c r="D1822">
        <f>HYPERLINK("http://nlpdeep.cs.uic.edu:8080/proofing/gsii/523176-medication-history-0-4.pdf","gsii/523176-medication-history-0-4.pdf")</f>
        <v/>
      </c>
      <c r="E1822" t="n">
        <v>120842</v>
      </c>
      <c r="F1822" t="n">
        <v>523176</v>
      </c>
      <c r="G1822" t="inlineStr">
        <is>
          <t>Consult</t>
        </is>
      </c>
      <c r="H1822" t="inlineStr">
        <is>
          <t>medication-history</t>
        </is>
      </c>
      <c r="I1822" t="inlineStr">
        <is>
          <t xml:space="preserve">
   - Enoxaparin 30 mg/0.3 mL SC Q12H for 4 weeks. ***
   - Omeprazole 20 mg once a day.</t>
        </is>
      </c>
    </row>
    <row r="1823">
      <c r="A1823" t="inlineStr">
        <is>
          <t>523176-medication-history-0-5</t>
        </is>
      </c>
      <c r="B1823" t="inlineStr"/>
      <c r="C1823" t="inlineStr"/>
      <c r="D1823">
        <f>HYPERLINK("http://nlpdeep.cs.uic.edu:8080/proofing/t5/523176-medication-history-0-5.pdf","t5/523176-medication-history-0-5.pdf")</f>
        <v/>
      </c>
      <c r="E1823" t="n">
        <v>120842</v>
      </c>
      <c r="F1823" t="n">
        <v>523176</v>
      </c>
      <c r="G1823" t="inlineStr">
        <is>
          <t>Consult</t>
        </is>
      </c>
      <c r="H1823" t="inlineStr">
        <is>
          <t>medication-history</t>
        </is>
      </c>
      <c r="I1823" t="inlineStr">
        <is>
          <t xml:space="preserve">
   - Docusate Sodium 100 mg [**Hospital1 7**]
   - Senna 8.6 mg Two (2) Tablet PO at bedtime as needed
   - Oxycodone 5 mg: 1-2 Tablets PO Q4H as needed for pain.</t>
        </is>
      </c>
    </row>
    <row r="1824">
      <c r="A1824" t="inlineStr">
        <is>
          <t>523176-medication-history-0-5</t>
        </is>
      </c>
      <c r="B1824" t="inlineStr"/>
      <c r="C1824" t="inlineStr"/>
      <c r="D1824">
        <f>HYPERLINK("http://nlpdeep.cs.uic.edu:8080/proofing/gsii/523176-medication-history-0-5.pdf","gsii/523176-medication-history-0-5.pdf")</f>
        <v/>
      </c>
      <c r="E1824" t="n">
        <v>120842</v>
      </c>
      <c r="F1824" t="n">
        <v>523176</v>
      </c>
      <c r="G1824" t="inlineStr">
        <is>
          <t>Consult</t>
        </is>
      </c>
      <c r="H1824" t="inlineStr">
        <is>
          <t>medication-history</t>
        </is>
      </c>
      <c r="I1824" t="inlineStr">
        <is>
          <t xml:space="preserve">
   - Docusate Sodium 100 mg [**Hospital1 7**]
   - Senna 8.6 mg Two (2) Tablet PO at bedtime as needed
   - Oxycodone 5 mg: 1-2 Tablets PO Q4H as needed for pain.</t>
        </is>
      </c>
    </row>
    <row r="1825">
      <c r="A1825" t="inlineStr">
        <is>
          <t>523176-medication-history-0-6</t>
        </is>
      </c>
      <c r="B1825" t="inlineStr"/>
      <c r="C1825" t="inlineStr"/>
      <c r="D1825">
        <f>HYPERLINK("http://nlpdeep.cs.uic.edu:8080/proofing/t5/523176-medication-history-0-6.pdf","t5/523176-medication-history-0-6.pdf")</f>
        <v/>
      </c>
      <c r="E1825" t="n">
        <v>120842</v>
      </c>
      <c r="F1825" t="n">
        <v>523176</v>
      </c>
      <c r="G1825" t="inlineStr">
        <is>
          <t>Consult</t>
        </is>
      </c>
      <c r="H1825" t="inlineStr">
        <is>
          <t>medication-history</t>
        </is>
      </c>
      <c r="I1825" t="inlineStr">
        <is>
          <t xml:space="preserve">
   - Multivitamin DAILY
   - Ferrous Sulfate 300 mg DAILY
   - Acetaminophen 1000 mg three times a day for 3 weeks.</t>
        </is>
      </c>
    </row>
    <row r="1826">
      <c r="A1826" t="inlineStr">
        <is>
          <t>523176-medication-history-0-6</t>
        </is>
      </c>
      <c r="B1826" t="inlineStr"/>
      <c r="C1826" t="inlineStr"/>
      <c r="D1826">
        <f>HYPERLINK("http://nlpdeep.cs.uic.edu:8080/proofing/gsii/523176-medication-history-0-6.pdf","gsii/523176-medication-history-0-6.pdf")</f>
        <v/>
      </c>
      <c r="E1826" t="n">
        <v>120842</v>
      </c>
      <c r="F1826" t="n">
        <v>523176</v>
      </c>
      <c r="G1826" t="inlineStr">
        <is>
          <t>Consult</t>
        </is>
      </c>
      <c r="H1826" t="inlineStr">
        <is>
          <t>medication-history</t>
        </is>
      </c>
      <c r="I1826" t="inlineStr">
        <is>
          <t xml:space="preserve">
   - Multivitamin DAILY
   - Ferrous Sulfate 300 mg DAILY
   - Acetaminophen 1000 mg three times a day for 3 weeks.</t>
        </is>
      </c>
    </row>
    <row r="1827">
      <c r="A1827" t="inlineStr">
        <is>
          <t>523176-medication-history-0-7</t>
        </is>
      </c>
      <c r="B1827" t="inlineStr"/>
      <c r="C1827" t="inlineStr"/>
      <c r="D1827">
        <f>HYPERLINK("http://nlpdeep.cs.uic.edu:8080/proofing/t5/523176-medication-history-0-7.pdf","t5/523176-medication-history-0-7.pdf")</f>
        <v/>
      </c>
      <c r="E1827" t="n">
        <v>120842</v>
      </c>
      <c r="F1827" t="n">
        <v>523176</v>
      </c>
      <c r="G1827" t="inlineStr">
        <is>
          <t>Consult</t>
        </is>
      </c>
      <c r="H1827" t="inlineStr">
        <is>
          <t>medication-history</t>
        </is>
      </c>
      <c r="I1827" t="inlineStr">
        <is>
          <t xml:space="preserve">
   - Miralax 17 gram Powder once a day as needed for constipation.</t>
        </is>
      </c>
    </row>
    <row r="1828">
      <c r="A1828" t="inlineStr">
        <is>
          <t>523176-medication-history-0-7</t>
        </is>
      </c>
      <c r="B1828" t="inlineStr"/>
      <c r="C1828" t="inlineStr"/>
      <c r="D1828">
        <f>HYPERLINK("http://nlpdeep.cs.uic.edu:8080/proofing/gsii/523176-medication-history-0-7.pdf","gsii/523176-medication-history-0-7.pdf")</f>
        <v/>
      </c>
      <c r="E1828" t="n">
        <v>120842</v>
      </c>
      <c r="F1828" t="n">
        <v>523176</v>
      </c>
      <c r="G1828" t="inlineStr">
        <is>
          <t>Consult</t>
        </is>
      </c>
      <c r="H1828" t="inlineStr">
        <is>
          <t>medication-history</t>
        </is>
      </c>
      <c r="I1828" t="inlineStr">
        <is>
          <t xml:space="preserve">
   - Miralax 17 gram Powder once a day as needed for constipation.</t>
        </is>
      </c>
    </row>
    <row r="1829">
      <c r="A1829" t="inlineStr">
        <is>
          <t>523176-medication-history-0-8</t>
        </is>
      </c>
      <c r="B1829" t="inlineStr"/>
      <c r="C1829" t="inlineStr"/>
      <c r="D1829">
        <f>HYPERLINK("http://nlpdeep.cs.uic.edu:8080/proofing/t5/523176-medication-history-0-8.pdf","t5/523176-medication-history-0-8.pdf")</f>
        <v/>
      </c>
      <c r="E1829" t="n">
        <v>120842</v>
      </c>
      <c r="F1829" t="n">
        <v>523176</v>
      </c>
      <c r="G1829" t="inlineStr">
        <is>
          <t>Consult</t>
        </is>
      </c>
      <c r="H1829" t="inlineStr">
        <is>
          <t>medication-history</t>
        </is>
      </c>
      <c r="I1829" t="inlineStr">
        <is>
          <t xml:space="preserve">
   .</t>
        </is>
      </c>
    </row>
    <row r="1830">
      <c r="A1830" t="inlineStr">
        <is>
          <t>523176-medication-history-0-8</t>
        </is>
      </c>
      <c r="B1830" t="inlineStr"/>
      <c r="C1830" t="inlineStr"/>
      <c r="D1830">
        <f>HYPERLINK("http://nlpdeep.cs.uic.edu:8080/proofing/gsii/523176-medication-history-0-8.pdf","gsii/523176-medication-history-0-8.pdf")</f>
        <v/>
      </c>
      <c r="E1830" t="n">
        <v>120842</v>
      </c>
      <c r="F1830" t="n">
        <v>523176</v>
      </c>
      <c r="G1830" t="inlineStr">
        <is>
          <t>Consult</t>
        </is>
      </c>
      <c r="H1830" t="inlineStr">
        <is>
          <t>medication-history</t>
        </is>
      </c>
      <c r="I1830" t="inlineStr">
        <is>
          <t xml:space="preserve">
   .</t>
        </is>
      </c>
    </row>
    <row r="1831">
      <c r="A1831" t="inlineStr">
        <is>
          <t>523176-current-medications-0-0</t>
        </is>
      </c>
      <c r="B1831" t="inlineStr"/>
      <c r="C1831" t="inlineStr"/>
      <c r="D1831">
        <f>HYPERLINK("http://nlpdeep.cs.uic.edu:8080/proofing/t5/523176-current-medications-0-0.pdf","t5/523176-current-medications-0-0.pdf")</f>
        <v/>
      </c>
      <c r="E1831" t="n">
        <v>120842</v>
      </c>
      <c r="F1831" t="n">
        <v>523176</v>
      </c>
      <c r="G1831" t="inlineStr">
        <is>
          <t>Consult</t>
        </is>
      </c>
      <c r="H1831" t="inlineStr">
        <is>
          <t>current-medications</t>
        </is>
      </c>
      <c r="I1831" t="inlineStr">
        <is>
          <t>Insulin SC
   Ipratropium Bromide Neb 1 NEB IH Q6H
   Levofloxacin 750 mg PO/NG Q24H
   Acetaminophen 325-650 mg PO/NG Q6H:PRN
   MethylPREDNISolone 80 mg IV Q8H
   Albuterol 0.083% Neb Soln 1 NEB IH Q4H:PRN
   Montelukast Sodium 10 mg PO/NG DAILY
   Benzonatate 100 mg PO TID
   Multivitamins 1 TAB PO/NG DAILY
   Bisacodyl 10 mg PO DAILY:PRN
   Mucinex *NF* 600 mg
   Captopril 50 mg PO/NG TID
   Omeprazole 20 mg PO DAILY
   Polyethylene Glycol 17 g PO/NG DAILY1
   Diltiazem 30 mg PO/NG QID
   Senna 1 TAB PO/NG [**Hospital1 7**]
   Docusate Sodium 100 mg PO BID
   Simethicone 40 mg PO/NG QID:PRN
   Ferrous Sulfate 325 mg PO/NG DAILY
   Simvastatin 40 mg PO/NG DAILY
   Fluoxetine 20 mg PO/NG TID
   GlipiZIDE 5 mg PO/NG DAILY
   Heparin 5000 UNIT SC TID
   Vitamin D 1000 UNIT PO/NG DAILY
   Hydrochlorothiazide 25 mg PO/NG DAILY
   Xopenex Neb *NF* 1 neb QID
   .</t>
        </is>
      </c>
    </row>
    <row r="1832">
      <c r="A1832" t="inlineStr">
        <is>
          <t>523176-current-medications-0-0</t>
        </is>
      </c>
      <c r="B1832" t="inlineStr"/>
      <c r="C1832" t="inlineStr"/>
      <c r="D1832">
        <f>HYPERLINK("http://nlpdeep.cs.uic.edu:8080/proofing/gsii/523176-current-medications-0-0.pdf","gsii/523176-current-medications-0-0.pdf")</f>
        <v/>
      </c>
      <c r="E1832" t="n">
        <v>120842</v>
      </c>
      <c r="F1832" t="n">
        <v>523176</v>
      </c>
      <c r="G1832" t="inlineStr">
        <is>
          <t>Consult</t>
        </is>
      </c>
      <c r="H1832" t="inlineStr">
        <is>
          <t>current-medications</t>
        </is>
      </c>
      <c r="I1832" t="inlineStr">
        <is>
          <t>Insulin SC
   Ipratropium Bromide Neb 1 NEB IH Q6H
   Levofloxacin 750 mg PO/NG Q24H
   Acetaminophen 325-650 mg PO/NG Q6H:PRN
   MethylPREDNISolone 80 mg IV Q8H
   Albuterol 0.083% Neb Soln 1 NEB IH Q4H:PRN
   Montelukast Sodium 10 mg PO/NG DAILY
   Benzonatate 100 mg PO TID
   Multivitamins 1 TAB PO/NG DAILY
   Bisacodyl 10 mg PO DAILY:PRN
   Mucinex *NF* 600 mg
   Captopril 50 mg PO/NG TID
   Omeprazole 20 mg PO DAILY
   Polyethylene Glycol 17 g PO/NG DAILY1
   Diltiazem 30 mg PO/NG QID
   Senna 1 TAB PO/NG [**Hospital1 7**]
   Docusate Sodium 100 mg PO BID
   Simethicone 40 mg PO/NG QID:PRN
   Ferrous Sulfate 325 mg PO/NG DAILY
   Simvastatin 40 mg PO/NG DAILY
   Fluoxetine 20 mg PO/NG TID
   GlipiZIDE 5 mg PO/NG DAILY
   Heparin 5000 UNIT SC TID
   Vitamin D 1000 UNIT PO/NG DAILY
   Hydrochlorothiazide 25 mg PO/NG DAILY
   Xopenex Neb *NF* 1 neb QID
   .</t>
        </is>
      </c>
    </row>
    <row r="1833">
      <c r="A1833" t="inlineStr">
        <is>
          <t>523176-past-medical-history-0-0</t>
        </is>
      </c>
      <c r="B1833" t="inlineStr"/>
      <c r="C1833" t="inlineStr"/>
      <c r="D1833">
        <f>HYPERLINK("http://nlpdeep.cs.uic.edu:8080/proofing/t5/523176-past-medical-history-0-0.pdf","t5/523176-past-medical-history-0-0.pdf")</f>
        <v/>
      </c>
      <c r="E1833" t="n">
        <v>120842</v>
      </c>
      <c r="F1833" t="n">
        <v>523176</v>
      </c>
      <c r="G1833" t="inlineStr">
        <is>
          <t>Consult</t>
        </is>
      </c>
      <c r="H1833" t="inlineStr">
        <is>
          <t>past-medical-history</t>
        </is>
      </c>
      <c r="I1833" t="inlineStr">
        <is>
          <t>- COPD/?asthma on home O2 at 2-4LPM.</t>
        </is>
      </c>
    </row>
    <row r="1834">
      <c r="A1834" t="inlineStr">
        <is>
          <t>523176-past-medical-history-0-0</t>
        </is>
      </c>
      <c r="B1834" t="inlineStr"/>
      <c r="C1834" t="inlineStr"/>
      <c r="D1834">
        <f>HYPERLINK("http://nlpdeep.cs.uic.edu:8080/proofing/gsii/523176-past-medical-history-0-0.pdf","gsii/523176-past-medical-history-0-0.pdf")</f>
        <v/>
      </c>
      <c r="E1834" t="n">
        <v>120842</v>
      </c>
      <c r="F1834" t="n">
        <v>523176</v>
      </c>
      <c r="G1834" t="inlineStr">
        <is>
          <t>Consult</t>
        </is>
      </c>
      <c r="H1834" t="inlineStr">
        <is>
          <t>past-medical-history</t>
        </is>
      </c>
      <c r="I1834" t="inlineStr">
        <is>
          <t>- COPD/?asthma on home O2 at 2-4LPM.</t>
        </is>
      </c>
    </row>
    <row r="1835">
      <c r="A1835" t="inlineStr">
        <is>
          <t>523176-past-medical-history-0-1</t>
        </is>
      </c>
      <c r="B1835" t="inlineStr"/>
      <c r="C1835" t="inlineStr"/>
      <c r="D1835">
        <f>HYPERLINK("http://nlpdeep.cs.uic.edu:8080/proofing/t5/523176-past-medical-history-0-1.pdf","t5/523176-past-medical-history-0-1.pdf")</f>
        <v/>
      </c>
      <c r="E1835" t="n">
        <v>120842</v>
      </c>
      <c r="F1835" t="n">
        <v>523176</v>
      </c>
      <c r="G1835" t="inlineStr">
        <is>
          <t>Consult</t>
        </is>
      </c>
      <c r="H1835" t="inlineStr">
        <is>
          <t>past-medical-history</t>
        </is>
      </c>
      <c r="I1835" t="inlineStr">
        <is>
          <t>Spirometry with only mild to
   moderate obstructive defect, FEV1 1.17 (68% predicted) but low DLCO at
   38% predicted.</t>
        </is>
      </c>
    </row>
    <row r="1836">
      <c r="A1836" t="inlineStr">
        <is>
          <t>523176-past-medical-history-0-1</t>
        </is>
      </c>
      <c r="B1836" t="inlineStr"/>
      <c r="C1836" t="inlineStr"/>
      <c r="D1836">
        <f>HYPERLINK("http://nlpdeep.cs.uic.edu:8080/proofing/gsii/523176-past-medical-history-0-1.pdf","gsii/523176-past-medical-history-0-1.pdf")</f>
        <v/>
      </c>
      <c r="E1836" t="n">
        <v>120842</v>
      </c>
      <c r="F1836" t="n">
        <v>523176</v>
      </c>
      <c r="G1836" t="inlineStr">
        <is>
          <t>Consult</t>
        </is>
      </c>
      <c r="H1836" t="inlineStr">
        <is>
          <t>past-medical-history</t>
        </is>
      </c>
      <c r="I1836" t="inlineStr">
        <is>
          <t>Spirometry with only mild to
   moderate obstructive defect, FEV1 1.17 (68% predicted) but low DLCO at
   38% predicted.</t>
        </is>
      </c>
    </row>
    <row r="1837">
      <c r="A1837" t="inlineStr">
        <is>
          <t>523176-past-medical-history-0-2</t>
        </is>
      </c>
      <c r="B1837" t="inlineStr"/>
      <c r="C1837" t="inlineStr"/>
      <c r="D1837">
        <f>HYPERLINK("http://nlpdeep.cs.uic.edu:8080/proofing/t5/523176-past-medical-history-0-2.pdf","t5/523176-past-medical-history-0-2.pdf")</f>
        <v/>
      </c>
      <c r="E1837" t="n">
        <v>120842</v>
      </c>
      <c r="F1837" t="n">
        <v>523176</v>
      </c>
      <c r="G1837" t="inlineStr">
        <is>
          <t>Consult</t>
        </is>
      </c>
      <c r="H1837" t="inlineStr">
        <is>
          <t>past-medical-history</t>
        </is>
      </c>
      <c r="I1837" t="inlineStr">
        <is>
          <t xml:space="preserve">
   - Diastolic CHF and pulmonary hypertension.</t>
        </is>
      </c>
    </row>
    <row r="1838">
      <c r="A1838" t="inlineStr">
        <is>
          <t>523176-past-medical-history-0-2</t>
        </is>
      </c>
      <c r="B1838" t="inlineStr"/>
      <c r="C1838" t="inlineStr"/>
      <c r="D1838">
        <f>HYPERLINK("http://nlpdeep.cs.uic.edu:8080/proofing/gsii/523176-past-medical-history-0-2.pdf","gsii/523176-past-medical-history-0-2.pdf")</f>
        <v/>
      </c>
      <c r="E1838" t="n">
        <v>120842</v>
      </c>
      <c r="F1838" t="n">
        <v>523176</v>
      </c>
      <c r="G1838" t="inlineStr">
        <is>
          <t>Consult</t>
        </is>
      </c>
      <c r="H1838" t="inlineStr">
        <is>
          <t>past-medical-history</t>
        </is>
      </c>
      <c r="I1838" t="inlineStr">
        <is>
          <t xml:space="preserve">
   - Diastolic CHF and pulmonary hypertension.</t>
        </is>
      </c>
    </row>
    <row r="1839">
      <c r="A1839" t="inlineStr">
        <is>
          <t>523176-past-medical-history-0-3</t>
        </is>
      </c>
      <c r="B1839" t="inlineStr"/>
      <c r="C1839" t="inlineStr"/>
      <c r="D1839">
        <f>HYPERLINK("http://nlpdeep.cs.uic.edu:8080/proofing/t5/523176-past-medical-history-0-3.pdf","t5/523176-past-medical-history-0-3.pdf")</f>
        <v/>
      </c>
      <c r="E1839" t="n">
        <v>120842</v>
      </c>
      <c r="F1839" t="n">
        <v>523176</v>
      </c>
      <c r="G1839" t="inlineStr">
        <is>
          <t>Consult</t>
        </is>
      </c>
      <c r="H1839" t="inlineStr">
        <is>
          <t>past-medical-history</t>
        </is>
      </c>
      <c r="I1839" t="inlineStr">
        <is>
          <t>Last TTE [**12/2151**] with EF
   &gt;55%, mild RV dilation with preserved function, estimated TR gradient
   43-63.</t>
        </is>
      </c>
    </row>
    <row r="1840">
      <c r="A1840" t="inlineStr">
        <is>
          <t>523176-past-medical-history-0-3</t>
        </is>
      </c>
      <c r="B1840" t="inlineStr"/>
      <c r="C1840" t="inlineStr"/>
      <c r="D1840">
        <f>HYPERLINK("http://nlpdeep.cs.uic.edu:8080/proofing/gsii/523176-past-medical-history-0-3.pdf","gsii/523176-past-medical-history-0-3.pdf")</f>
        <v/>
      </c>
      <c r="E1840" t="n">
        <v>120842</v>
      </c>
      <c r="F1840" t="n">
        <v>523176</v>
      </c>
      <c r="G1840" t="inlineStr">
        <is>
          <t>Consult</t>
        </is>
      </c>
      <c r="H1840" t="inlineStr">
        <is>
          <t>past-medical-history</t>
        </is>
      </c>
      <c r="I1840" t="inlineStr">
        <is>
          <t>Last TTE [**12/2151**] with EF
   &gt;55%, mild RV dilation with preserved function, estimated TR gradient
   43-63.</t>
        </is>
      </c>
    </row>
    <row r="1841">
      <c r="A1841" t="inlineStr">
        <is>
          <t>523176-past-medical-history-0-4</t>
        </is>
      </c>
      <c r="B1841" t="inlineStr"/>
      <c r="C1841" t="inlineStr"/>
      <c r="D1841">
        <f>HYPERLINK("http://nlpdeep.cs.uic.edu:8080/proofing/t5/523176-past-medical-history-0-4.pdf","t5/523176-past-medical-history-0-4.pdf")</f>
        <v/>
      </c>
      <c r="E1841" t="n">
        <v>120842</v>
      </c>
      <c r="F1841" t="n">
        <v>523176</v>
      </c>
      <c r="G1841" t="inlineStr">
        <is>
          <t>Consult</t>
        </is>
      </c>
      <c r="H1841" t="inlineStr">
        <is>
          <t>past-medical-history</t>
        </is>
      </c>
      <c r="I1841" t="inlineStr">
        <is>
          <t xml:space="preserve">
   - OSA on home CPAP
   - DM type II
   - HTN
   - s/p R TKR [**2153-3-5**], complicated by desaturation due to COPD
   exacerbation, dCHF, and ?narcotics.</t>
        </is>
      </c>
    </row>
    <row r="1842">
      <c r="A1842" t="inlineStr">
        <is>
          <t>523176-past-medical-history-0-4</t>
        </is>
      </c>
      <c r="B1842" t="inlineStr"/>
      <c r="C1842" t="inlineStr"/>
      <c r="D1842">
        <f>HYPERLINK("http://nlpdeep.cs.uic.edu:8080/proofing/gsii/523176-past-medical-history-0-4.pdf","gsii/523176-past-medical-history-0-4.pdf")</f>
        <v/>
      </c>
      <c r="E1842" t="n">
        <v>120842</v>
      </c>
      <c r="F1842" t="n">
        <v>523176</v>
      </c>
      <c r="G1842" t="inlineStr">
        <is>
          <t>Consult</t>
        </is>
      </c>
      <c r="H1842" t="inlineStr">
        <is>
          <t>past-medical-history</t>
        </is>
      </c>
      <c r="I1842" t="inlineStr">
        <is>
          <t xml:space="preserve">
   - OSA on home CPAP
   - DM type II
   - HTN
   - s/p R TKR [**2153-3-5**], complicated by desaturation due to COPD
   exacerbation, dCHF, and ?narcotics.</t>
        </is>
      </c>
    </row>
    <row r="1843">
      <c r="A1843" t="inlineStr">
        <is>
          <t>523176-past-medical-history-0-5</t>
        </is>
      </c>
      <c r="B1843" t="inlineStr"/>
      <c r="C1843" t="inlineStr"/>
      <c r="D1843">
        <f>HYPERLINK("http://nlpdeep.cs.uic.edu:8080/proofing/t5/523176-past-medical-history-0-5.pdf","t5/523176-past-medical-history-0-5.pdf")</f>
        <v/>
      </c>
      <c r="E1843" t="n">
        <v>120842</v>
      </c>
      <c r="F1843" t="n">
        <v>523176</v>
      </c>
      <c r="G1843" t="inlineStr">
        <is>
          <t>Consult</t>
        </is>
      </c>
      <c r="H1843" t="inlineStr">
        <is>
          <t>past-medical-history</t>
        </is>
      </c>
      <c r="I1843" t="inlineStr">
        <is>
          <t>- s/p L TKR
   - History of rectal cancer s/p chemo, XRT, and s/p transanal rectal ca
   excision
   - s/p h</t>
        </is>
      </c>
    </row>
    <row r="1844">
      <c r="A1844" t="inlineStr">
        <is>
          <t>523176-past-medical-history-0-5</t>
        </is>
      </c>
      <c r="B1844" t="inlineStr"/>
      <c r="C1844" t="inlineStr"/>
      <c r="D1844">
        <f>HYPERLINK("http://nlpdeep.cs.uic.edu:8080/proofing/gsii/523176-past-medical-history-0-5.pdf","gsii/523176-past-medical-history-0-5.pdf")</f>
        <v/>
      </c>
      <c r="E1844" t="n">
        <v>120842</v>
      </c>
      <c r="F1844" t="n">
        <v>523176</v>
      </c>
      <c r="G1844" t="inlineStr">
        <is>
          <t>Consult</t>
        </is>
      </c>
      <c r="H1844" t="inlineStr">
        <is>
          <t>past-medical-history</t>
        </is>
      </c>
      <c r="I1844" t="inlineStr">
        <is>
          <t>- s/p L TKR
   - History of rectal cancer s/p chemo, XRT, and s/p transanal rectal ca
   excision
   - s/p h</t>
        </is>
      </c>
    </row>
    <row r="1845">
      <c r="A1845" t="inlineStr">
        <is>
          <t>523176-social-and-family-history-0-0</t>
        </is>
      </c>
      <c r="B1845" t="inlineStr"/>
      <c r="C1845" t="inlineStr"/>
      <c r="D1845">
        <f>HYPERLINK("http://nlpdeep.cs.uic.edu:8080/proofing/t5/523176-social-and-family-history-0-0.pdf","t5/523176-social-and-family-history-0-0.pdf")</f>
        <v/>
      </c>
      <c r="E1845" t="n">
        <v>120842</v>
      </c>
      <c r="F1845" t="n">
        <v>523176</v>
      </c>
      <c r="G1845" t="inlineStr">
        <is>
          <t>Consult</t>
        </is>
      </c>
      <c r="H1845" t="inlineStr">
        <is>
          <t>social-and-family-history</t>
        </is>
      </c>
      <c r="I1845" t="inlineStr">
        <is>
          <t>Has 11 children and 27 grandchildren.</t>
        </is>
      </c>
    </row>
    <row r="1846">
      <c r="A1846" t="inlineStr">
        <is>
          <t>523176-social-and-family-history-0-0</t>
        </is>
      </c>
      <c r="B1846" t="inlineStr"/>
      <c r="C1846" t="inlineStr"/>
      <c r="D1846">
        <f>HYPERLINK("http://nlpdeep.cs.uic.edu:8080/proofing/gsii/523176-social-and-family-history-0-0.pdf","gsii/523176-social-and-family-history-0-0.pdf")</f>
        <v/>
      </c>
      <c r="E1846" t="n">
        <v>120842</v>
      </c>
      <c r="F1846" t="n">
        <v>523176</v>
      </c>
      <c r="G1846" t="inlineStr">
        <is>
          <t>Consult</t>
        </is>
      </c>
      <c r="H1846" t="inlineStr">
        <is>
          <t>social-and-family-history</t>
        </is>
      </c>
      <c r="I1846" t="inlineStr">
        <is>
          <t>Has 11 children and 27 grandchildren.</t>
        </is>
      </c>
    </row>
    <row r="1847">
      <c r="A1847" t="inlineStr">
        <is>
          <t>523176-social-and-family-history-0-1</t>
        </is>
      </c>
      <c r="B1847" t="inlineStr"/>
      <c r="C1847" t="inlineStr"/>
      <c r="D1847">
        <f>HYPERLINK("http://nlpdeep.cs.uic.edu:8080/proofing/t5/523176-social-and-family-history-0-1.pdf","t5/523176-social-and-family-history-0-1.pdf")</f>
        <v/>
      </c>
      <c r="E1847" t="n">
        <v>120842</v>
      </c>
      <c r="F1847" t="n">
        <v>523176</v>
      </c>
      <c r="G1847" t="inlineStr">
        <is>
          <t>Consult</t>
        </is>
      </c>
      <c r="H1847" t="inlineStr">
        <is>
          <t>social-and-family-history</t>
        </is>
      </c>
      <c r="I1847" t="inlineStr">
        <is>
          <t>She lives alone but has help from
   her many children.</t>
        </is>
      </c>
    </row>
    <row r="1848">
      <c r="A1848" t="inlineStr">
        <is>
          <t>523176-social-and-family-history-0-1</t>
        </is>
      </c>
      <c r="B1848" t="inlineStr"/>
      <c r="C1848" t="inlineStr"/>
      <c r="D1848">
        <f>HYPERLINK("http://nlpdeep.cs.uic.edu:8080/proofing/gsii/523176-social-and-family-history-0-1.pdf","gsii/523176-social-and-family-history-0-1.pdf")</f>
        <v/>
      </c>
      <c r="E1848" t="n">
        <v>120842</v>
      </c>
      <c r="F1848" t="n">
        <v>523176</v>
      </c>
      <c r="G1848" t="inlineStr">
        <is>
          <t>Consult</t>
        </is>
      </c>
      <c r="H1848" t="inlineStr">
        <is>
          <t>social-and-family-history</t>
        </is>
      </c>
      <c r="I1848" t="inlineStr">
        <is>
          <t>She lives alone but has help from
   her many children.</t>
        </is>
      </c>
    </row>
    <row r="1849">
      <c r="A1849" t="inlineStr">
        <is>
          <t>523176-social-and-family-history-0-2</t>
        </is>
      </c>
      <c r="B1849" t="inlineStr"/>
      <c r="C1849" t="inlineStr"/>
      <c r="D1849">
        <f>HYPERLINK("http://nlpdeep.cs.uic.edu:8080/proofing/t5/523176-social-and-family-history-0-2.pdf","t5/523176-social-and-family-history-0-2.pdf")</f>
        <v/>
      </c>
      <c r="E1849" t="n">
        <v>120842</v>
      </c>
      <c r="F1849" t="n">
        <v>523176</v>
      </c>
      <c r="G1849" t="inlineStr">
        <is>
          <t>Consult</t>
        </is>
      </c>
      <c r="H1849" t="inlineStr">
        <is>
          <t>social-and-family-history</t>
        </is>
      </c>
      <c r="I1849" t="inlineStr">
        <is>
          <t>Patient is a former smoker with 40-60 pack year
   smoking history but quit over 10 years prior.</t>
        </is>
      </c>
    </row>
    <row r="1850">
      <c r="A1850" t="inlineStr">
        <is>
          <t>523176-social-and-family-history-0-2</t>
        </is>
      </c>
      <c r="B1850" t="inlineStr"/>
      <c r="C1850" t="inlineStr"/>
      <c r="D1850">
        <f>HYPERLINK("http://nlpdeep.cs.uic.edu:8080/proofing/gsii/523176-social-and-family-history-0-2.pdf","gsii/523176-social-and-family-history-0-2.pdf")</f>
        <v/>
      </c>
      <c r="E1850" t="n">
        <v>120842</v>
      </c>
      <c r="F1850" t="n">
        <v>523176</v>
      </c>
      <c r="G1850" t="inlineStr">
        <is>
          <t>Consult</t>
        </is>
      </c>
      <c r="H1850" t="inlineStr">
        <is>
          <t>social-and-family-history</t>
        </is>
      </c>
      <c r="I1850" t="inlineStr">
        <is>
          <t>Patient is a former smoker with 40-60 pack year
   smoking history but quit over 10 years prior.</t>
        </is>
      </c>
    </row>
    <row r="1851">
      <c r="A1851" t="inlineStr">
        <is>
          <t>523176-social-and-family-history-0-3</t>
        </is>
      </c>
      <c r="B1851" t="inlineStr"/>
      <c r="C1851" t="inlineStr"/>
      <c r="D1851">
        <f>HYPERLINK("http://nlpdeep.cs.uic.edu:8080/proofing/t5/523176-social-and-family-history-0-3.pdf","t5/523176-social-and-family-history-0-3.pdf")</f>
        <v/>
      </c>
      <c r="E1851" t="n">
        <v>120842</v>
      </c>
      <c r="F1851" t="n">
        <v>523176</v>
      </c>
      <c r="G1851" t="inlineStr">
        <is>
          <t>Consult</t>
        </is>
      </c>
      <c r="H1851" t="inlineStr">
        <is>
          <t>social-and-family-history</t>
        </is>
      </c>
      <c r="I1851" t="inlineStr">
        <is>
          <t>No alcohol use.</t>
        </is>
      </c>
    </row>
    <row r="1852">
      <c r="A1852" t="inlineStr">
        <is>
          <t>523176-social-and-family-history-0-3</t>
        </is>
      </c>
      <c r="B1852" t="inlineStr"/>
      <c r="C1852" t="inlineStr"/>
      <c r="D1852">
        <f>HYPERLINK("http://nlpdeep.cs.uic.edu:8080/proofing/gsii/523176-social-and-family-history-0-3.pdf","gsii/523176-social-and-family-history-0-3.pdf")</f>
        <v/>
      </c>
      <c r="E1852" t="n">
        <v>120842</v>
      </c>
      <c r="F1852" t="n">
        <v>523176</v>
      </c>
      <c r="G1852" t="inlineStr">
        <is>
          <t>Consult</t>
        </is>
      </c>
      <c r="H1852" t="inlineStr">
        <is>
          <t>social-and-family-history</t>
        </is>
      </c>
      <c r="I1852" t="inlineStr">
        <is>
          <t>No alcohol use.</t>
        </is>
      </c>
    </row>
    <row r="1853">
      <c r="A1853" t="inlineStr">
        <is>
          <t>523176-social-and-family-history-0-4</t>
        </is>
      </c>
      <c r="B1853" t="inlineStr"/>
      <c r="C1853" t="inlineStr"/>
      <c r="D1853">
        <f>HYPERLINK("http://nlpdeep.cs.uic.edu:8080/proofing/t5/523176-social-and-family-history-0-4.pdf","t5/523176-social-and-family-history-0-4.pdf")</f>
        <v/>
      </c>
      <c r="E1853" t="n">
        <v>120842</v>
      </c>
      <c r="F1853" t="n">
        <v>523176</v>
      </c>
      <c r="G1853" t="inlineStr">
        <is>
          <t>Consult</t>
        </is>
      </c>
      <c r="H1853" t="inlineStr">
        <is>
          <t>social-and-family-history</t>
        </is>
      </c>
      <c r="I1853" t="inlineStr">
        <is>
          <t xml:space="preserve">
   Review of systems otherwise negative.</t>
        </is>
      </c>
    </row>
    <row r="1854">
      <c r="A1854" t="inlineStr">
        <is>
          <t>523176-social-and-family-history-0-4</t>
        </is>
      </c>
      <c r="B1854" t="inlineStr"/>
      <c r="C1854" t="inlineStr"/>
      <c r="D1854">
        <f>HYPERLINK("http://nlpdeep.cs.uic.edu:8080/proofing/gsii/523176-social-and-family-history-0-4.pdf","gsii/523176-social-and-family-history-0-4.pdf")</f>
        <v/>
      </c>
      <c r="E1854" t="n">
        <v>120842</v>
      </c>
      <c r="F1854" t="n">
        <v>523176</v>
      </c>
      <c r="G1854" t="inlineStr">
        <is>
          <t>Consult</t>
        </is>
      </c>
      <c r="H1854" t="inlineStr">
        <is>
          <t>social-and-family-history</t>
        </is>
      </c>
      <c r="I1854" t="inlineStr">
        <is>
          <t xml:space="preserve">
   Review of systems otherwise negative.</t>
        </is>
      </c>
    </row>
    <row r="1855">
      <c r="A1855" t="inlineStr">
        <is>
          <t>523176-physical-examination-0-0</t>
        </is>
      </c>
      <c r="B1855" t="inlineStr"/>
      <c r="C1855" t="inlineStr"/>
      <c r="D1855">
        <f>HYPERLINK("http://nlpdeep.cs.uic.edu:8080/proofing/t5/523176-physical-examination-0-0.pdf","t5/523176-physical-examination-0-0.pdf")</f>
        <v/>
      </c>
      <c r="E1855" t="n">
        <v>120842</v>
      </c>
      <c r="F1855" t="n">
        <v>523176</v>
      </c>
      <c r="G1855" t="inlineStr">
        <is>
          <t>Consult</t>
        </is>
      </c>
      <c r="H1855" t="inlineStr">
        <is>
          <t>physical-examination</t>
        </is>
      </c>
      <c r="I1855" t="inlineStr">
        <is>
          <t>VS - Temp 98F, BP 141/53, HR 79, RR 18, O2-sat 97% 3L
   GENERAL -  labored respirtaions but NAD
   NECK - supple, JVP ~8 cm, no carotid bruits, 2+ carotid pulses
   LUNGS - labored respirations with poor air movement and using acessory
   muscles, wheezing throughout.</t>
        </is>
      </c>
    </row>
    <row r="1856">
      <c r="A1856" t="inlineStr">
        <is>
          <t>523176-physical-examination-0-0</t>
        </is>
      </c>
      <c r="B1856" t="inlineStr"/>
      <c r="C1856" t="inlineStr"/>
      <c r="D1856">
        <f>HYPERLINK("http://nlpdeep.cs.uic.edu:8080/proofing/gsii/523176-physical-examination-0-0.pdf","gsii/523176-physical-examination-0-0.pdf")</f>
        <v/>
      </c>
      <c r="E1856" t="n">
        <v>120842</v>
      </c>
      <c r="F1856" t="n">
        <v>523176</v>
      </c>
      <c r="G1856" t="inlineStr">
        <is>
          <t>Consult</t>
        </is>
      </c>
      <c r="H1856" t="inlineStr">
        <is>
          <t>physical-examination</t>
        </is>
      </c>
      <c r="I1856" t="inlineStr">
        <is>
          <t>VS - Temp 98F, BP 141/53, HR 79, RR 18, O2-sat 97% 3L
   GENERAL -  labored respirtaions but NAD
   NECK - supple, JVP ~8 cm, no carotid bruits, 2+ carotid pulses
   LUNGS - labored respirations with poor air movement and using acessory
   muscles, wheezing throughout.</t>
        </is>
      </c>
    </row>
    <row r="1857">
      <c r="A1857" t="inlineStr">
        <is>
          <t>523176-physical-examination-0-1</t>
        </is>
      </c>
      <c r="B1857" t="inlineStr"/>
      <c r="C1857" t="inlineStr"/>
      <c r="D1857">
        <f>HYPERLINK("http://nlpdeep.cs.uic.edu:8080/proofing/t5/523176-physical-examination-0-1.pdf","t5/523176-physical-examination-0-1.pdf")</f>
        <v/>
      </c>
      <c r="E1857" t="n">
        <v>120842</v>
      </c>
      <c r="F1857" t="n">
        <v>523176</v>
      </c>
      <c r="G1857" t="inlineStr">
        <is>
          <t>Consult</t>
        </is>
      </c>
      <c r="H1857" t="inlineStr">
        <is>
          <t>physical-examination</t>
        </is>
      </c>
      <c r="I1857" t="inlineStr">
        <is>
          <t>HEART - PMI non-displaced, RRR, no MRG, nl S1-S2, no S3 or S4 h</t>
        </is>
      </c>
    </row>
    <row r="1858">
      <c r="A1858" t="inlineStr">
        <is>
          <t>523176-physical-examination-0-1</t>
        </is>
      </c>
      <c r="B1858" t="inlineStr"/>
      <c r="C1858" t="inlineStr"/>
      <c r="D1858">
        <f>HYPERLINK("http://nlpdeep.cs.uic.edu:8080/proofing/gsii/523176-physical-examination-0-1.pdf","gsii/523176-physical-examination-0-1.pdf")</f>
        <v/>
      </c>
      <c r="E1858" t="n">
        <v>120842</v>
      </c>
      <c r="F1858" t="n">
        <v>523176</v>
      </c>
      <c r="G1858" t="inlineStr">
        <is>
          <t>Consult</t>
        </is>
      </c>
      <c r="H1858" t="inlineStr">
        <is>
          <t>physical-examination</t>
        </is>
      </c>
      <c r="I1858" t="inlineStr">
        <is>
          <t>HEART - PMI non-displaced, RRR, no MRG, nl S1-S2, no S3 or S4 h</t>
        </is>
      </c>
    </row>
    <row r="1859">
      <c r="A1859" t="inlineStr">
        <is>
          <t>523176-labs-imaging-0-0</t>
        </is>
      </c>
      <c r="B1859" t="inlineStr"/>
      <c r="C1859" t="inlineStr"/>
      <c r="D1859">
        <f>HYPERLINK("http://nlpdeep.cs.uic.edu:8080/proofing/t5/523176-labs-imaging-0-0.pdf","t5/523176-labs-imaging-0-0.pdf")</f>
        <v/>
      </c>
      <c r="E1859" t="n">
        <v>120842</v>
      </c>
      <c r="F1859" t="n">
        <v>523176</v>
      </c>
      <c r="G1859" t="inlineStr">
        <is>
          <t>Consult</t>
        </is>
      </c>
      <c r="H1859" t="inlineStr">
        <is>
          <t>labs-imaging</t>
        </is>
      </c>
      <c r="I1859" t="inlineStr">
        <is>
          <t>.</t>
        </is>
      </c>
    </row>
    <row r="1860">
      <c r="A1860" t="inlineStr">
        <is>
          <t>523176-labs-imaging-0-0</t>
        </is>
      </c>
      <c r="B1860" t="inlineStr"/>
      <c r="C1860" t="inlineStr"/>
      <c r="D1860">
        <f>HYPERLINK("http://nlpdeep.cs.uic.edu:8080/proofing/gsii/523176-labs-imaging-0-0.pdf","gsii/523176-labs-imaging-0-0.pdf")</f>
        <v/>
      </c>
      <c r="E1860" t="n">
        <v>120842</v>
      </c>
      <c r="F1860" t="n">
        <v>523176</v>
      </c>
      <c r="G1860" t="inlineStr">
        <is>
          <t>Consult</t>
        </is>
      </c>
      <c r="H1860" t="inlineStr">
        <is>
          <t>labs-imaging</t>
        </is>
      </c>
      <c r="I1860" t="inlineStr">
        <is>
          <t>.</t>
        </is>
      </c>
    </row>
    <row r="1861">
      <c r="A1861" t="inlineStr">
        <is>
          <t>523176-labs-imaging-0-1</t>
        </is>
      </c>
      <c r="B1861" t="inlineStr"/>
      <c r="C1861" t="inlineStr"/>
      <c r="D1861">
        <f>HYPERLINK("http://nlpdeep.cs.uic.edu:8080/proofing/t5/523176-labs-imaging-0-1.pdf","t5/523176-labs-imaging-0-1.pdf")</f>
        <v/>
      </c>
      <c r="E1861" t="n">
        <v>120842</v>
      </c>
      <c r="F1861" t="n">
        <v>523176</v>
      </c>
      <c r="G1861" t="inlineStr">
        <is>
          <t>Consult</t>
        </is>
      </c>
      <c r="H1861" t="inlineStr">
        <is>
          <t>labs-imaging</t>
        </is>
      </c>
      <c r="I1861" t="inlineStr">
        <is>
          <t xml:space="preserve">
   138   100      20                     11.3
   ---|-------|------&lt; 187   .</t>
        </is>
      </c>
    </row>
    <row r="1862">
      <c r="A1862" t="inlineStr">
        <is>
          <t>523176-labs-imaging-0-1</t>
        </is>
      </c>
      <c r="B1862" t="inlineStr"/>
      <c r="C1862" t="inlineStr"/>
      <c r="D1862">
        <f>HYPERLINK("http://nlpdeep.cs.uic.edu:8080/proofing/gsii/523176-labs-imaging-0-1.pdf","gsii/523176-labs-imaging-0-1.pdf")</f>
        <v/>
      </c>
      <c r="E1862" t="n">
        <v>120842</v>
      </c>
      <c r="F1862" t="n">
        <v>523176</v>
      </c>
      <c r="G1862" t="inlineStr">
        <is>
          <t>Consult</t>
        </is>
      </c>
      <c r="H1862" t="inlineStr">
        <is>
          <t>labs-imaging</t>
        </is>
      </c>
      <c r="I1862" t="inlineStr">
        <is>
          <t xml:space="preserve">
   138   100      20                     11.3
   ---|-------|------&lt; 187   .</t>
        </is>
      </c>
    </row>
    <row r="1863">
      <c r="A1863" t="inlineStr">
        <is>
          <t>523176-assessment-and-plan-0-0</t>
        </is>
      </c>
      <c r="B1863" t="inlineStr"/>
      <c r="C1863" t="inlineStr"/>
      <c r="D1863">
        <f>HYPERLINK("http://nlpdeep.cs.uic.edu:8080/proofing/t5/523176-assessment-and-plan-0-0.pdf","t5/523176-assessment-and-plan-0-0.pdf")</f>
        <v/>
      </c>
      <c r="E1863" t="n">
        <v>120842</v>
      </c>
      <c r="F1863" t="n">
        <v>523176</v>
      </c>
      <c r="G1863" t="inlineStr">
        <is>
          <t>Consult</t>
        </is>
      </c>
      <c r="H1863" t="inlineStr">
        <is>
          <t>assessment-and-plan</t>
        </is>
      </c>
      <c r="I1863" t="inlineStr">
        <is>
          <t>- EKG
s and telemetry strips were reviewed.</t>
        </is>
      </c>
    </row>
    <row r="1864">
      <c r="A1864" t="inlineStr">
        <is>
          <t>523176-assessment-and-plan-0-0</t>
        </is>
      </c>
      <c r="B1864" t="inlineStr"/>
      <c r="C1864" t="inlineStr"/>
      <c r="D1864">
        <f>HYPERLINK("http://nlpdeep.cs.uic.edu:8080/proofing/gsii/523176-assessment-and-plan-0-0.pdf","gsii/523176-assessment-and-plan-0-0.pdf")</f>
        <v/>
      </c>
      <c r="E1864" t="n">
        <v>120842</v>
      </c>
      <c r="F1864" t="n">
        <v>523176</v>
      </c>
      <c r="G1864" t="inlineStr">
        <is>
          <t>Consult</t>
        </is>
      </c>
      <c r="H1864" t="inlineStr">
        <is>
          <t>assessment-and-plan</t>
        </is>
      </c>
      <c r="I1864" t="inlineStr">
        <is>
          <t>- EKG
s and telemetry strips were reviewed.</t>
        </is>
      </c>
    </row>
    <row r="1865">
      <c r="A1865" t="inlineStr">
        <is>
          <t>523176-assessment-and-plan-0-1</t>
        </is>
      </c>
      <c r="B1865" t="inlineStr"/>
      <c r="C1865" t="inlineStr"/>
      <c r="D1865">
        <f>HYPERLINK("http://nlpdeep.cs.uic.edu:8080/proofing/t5/523176-assessment-and-plan-0-1.pdf","t5/523176-assessment-and-plan-0-1.pdf")</f>
        <v/>
      </c>
      <c r="E1865" t="n">
        <v>120842</v>
      </c>
      <c r="F1865" t="n">
        <v>523176</v>
      </c>
      <c r="G1865" t="inlineStr">
        <is>
          <t>Consult</t>
        </is>
      </c>
      <c r="H1865" t="inlineStr">
        <is>
          <t>assessment-and-plan</t>
        </is>
      </c>
      <c r="I1865" t="inlineStr">
        <is>
          <t>Tachycardia is a short RP
   tachycardia likely AVNRT.</t>
        </is>
      </c>
    </row>
    <row r="1866">
      <c r="A1866" t="inlineStr">
        <is>
          <t>523176-assessment-and-plan-0-1</t>
        </is>
      </c>
      <c r="B1866" t="inlineStr"/>
      <c r="C1866" t="inlineStr"/>
      <c r="D1866">
        <f>HYPERLINK("http://nlpdeep.cs.uic.edu:8080/proofing/gsii/523176-assessment-and-plan-0-1.pdf","gsii/523176-assessment-and-plan-0-1.pdf")</f>
        <v/>
      </c>
      <c r="E1866" t="n">
        <v>120842</v>
      </c>
      <c r="F1866" t="n">
        <v>523176</v>
      </c>
      <c r="G1866" t="inlineStr">
        <is>
          <t>Consult</t>
        </is>
      </c>
      <c r="H1866" t="inlineStr">
        <is>
          <t>assessment-and-plan</t>
        </is>
      </c>
      <c r="I1866" t="inlineStr">
        <is>
          <t>Tachycardia is a short RP
   tachycardia likely AVNRT.</t>
        </is>
      </c>
    </row>
    <row r="1867">
      <c r="A1867" t="inlineStr">
        <is>
          <t>523176-assessment-and-plan-0-2</t>
        </is>
      </c>
      <c r="B1867" t="inlineStr"/>
      <c r="C1867" t="inlineStr"/>
      <c r="D1867">
        <f>HYPERLINK("http://nlpdeep.cs.uic.edu:8080/proofing/t5/523176-assessment-and-plan-0-2.pdf","t5/523176-assessment-and-plan-0-2.pdf")</f>
        <v/>
      </c>
      <c r="E1867" t="n">
        <v>120842</v>
      </c>
      <c r="F1867" t="n">
        <v>523176</v>
      </c>
      <c r="G1867" t="inlineStr">
        <is>
          <t>Consult</t>
        </is>
      </c>
      <c r="H1867" t="inlineStr">
        <is>
          <t>assessment-and-plan</t>
        </is>
      </c>
      <c r="I1867" t="inlineStr">
        <is>
          <t xml:space="preserve">
   - Recommendation:
   1)Increase diltiazem to 60mg QID for now and increase as tolerated
   2)Patient will eventually need an ablation procedure when stable
   respiratory status
   3)We will continue to follow up as an inpatient and revaluate for
   inpatient ablation, if procedure deemed not appropriate she will see
   Dr. [**Last Name (STitle) 5152**] and have an elective ablation as an outpatient.</t>
        </is>
      </c>
    </row>
    <row r="1868">
      <c r="A1868" t="inlineStr">
        <is>
          <t>523176-assessment-and-plan-0-2</t>
        </is>
      </c>
      <c r="B1868" t="inlineStr"/>
      <c r="C1868" t="inlineStr"/>
      <c r="D1868">
        <f>HYPERLINK("http://nlpdeep.cs.uic.edu:8080/proofing/gsii/523176-assessment-and-plan-0-2.pdf","gsii/523176-assessment-and-plan-0-2.pdf")</f>
        <v/>
      </c>
      <c r="E1868" t="n">
        <v>120842</v>
      </c>
      <c r="F1868" t="n">
        <v>523176</v>
      </c>
      <c r="G1868" t="inlineStr">
        <is>
          <t>Consult</t>
        </is>
      </c>
      <c r="H1868" t="inlineStr">
        <is>
          <t>assessment-and-plan</t>
        </is>
      </c>
      <c r="I1868" t="inlineStr">
        <is>
          <t xml:space="preserve">
   - Recommendation:
   1)Increase diltiazem to 60mg QID for now and increase as tolerated
   2)Patient will eventually need an ablation procedure when stable
   respiratory status
   3)We will continue to follow up as an inpatient and revaluate for
   inpatient ablation, if procedure deemed not appropriate she will see
   Dr. [**Last Name (STitle) 5152**] and have an elective ablation as an outpatient.</t>
        </is>
      </c>
    </row>
    <row r="1869">
      <c r="A1869" t="inlineStr">
        <is>
          <t>523176-assessment-and-plan-0-3</t>
        </is>
      </c>
      <c r="B1869" t="inlineStr"/>
      <c r="C1869" t="inlineStr"/>
      <c r="D1869">
        <f>HYPERLINK("http://nlpdeep.cs.uic.edu:8080/proofing/t5/523176-assessment-and-plan-0-3.pdf","t5/523176-assessment-and-plan-0-3.pdf")</f>
        <v/>
      </c>
      <c r="E1869" t="n">
        <v>120842</v>
      </c>
      <c r="F1869" t="n">
        <v>523176</v>
      </c>
      <c r="G1869" t="inlineStr">
        <is>
          <t>Consult</t>
        </is>
      </c>
      <c r="H1869" t="inlineStr">
        <is>
          <t>assessment-and-plan</t>
        </is>
      </c>
      <c r="I1869" t="inlineStr">
        <is>
          <t xml:space="preserve">
This patient was seen, discussed and evaluated with
Dr. [**Last Name (STitle) 5152**].</t>
        </is>
      </c>
    </row>
    <row r="1870">
      <c r="A1870" t="inlineStr">
        <is>
          <t>523176-assessment-and-plan-0-3</t>
        </is>
      </c>
      <c r="B1870" t="inlineStr"/>
      <c r="C1870" t="inlineStr"/>
      <c r="D1870">
        <f>HYPERLINK("http://nlpdeep.cs.uic.edu:8080/proofing/gsii/523176-assessment-and-plan-0-3.pdf","gsii/523176-assessment-and-plan-0-3.pdf")</f>
        <v/>
      </c>
      <c r="E1870" t="n">
        <v>120842</v>
      </c>
      <c r="F1870" t="n">
        <v>523176</v>
      </c>
      <c r="G1870" t="inlineStr">
        <is>
          <t>Consult</t>
        </is>
      </c>
      <c r="H1870" t="inlineStr">
        <is>
          <t>assessment-and-plan</t>
        </is>
      </c>
      <c r="I1870" t="inlineStr">
        <is>
          <t xml:space="preserve">
This patient was seen, discussed and evaluated with
Dr. [**Last Name (STitle) 5152**].</t>
        </is>
      </c>
    </row>
    <row r="1871">
      <c r="A1871" t="inlineStr">
        <is>
          <t>523176-assessment-and-plan-0-4</t>
        </is>
      </c>
      <c r="B1871" t="inlineStr"/>
      <c r="C1871" t="inlineStr"/>
      <c r="D1871">
        <f>HYPERLINK("http://nlpdeep.cs.uic.edu:8080/proofing/t5/523176-assessment-and-plan-0-4.pdf","t5/523176-assessment-and-plan-0-4.pdf")</f>
        <v/>
      </c>
      <c r="E1871" t="n">
        <v>120842</v>
      </c>
      <c r="F1871" t="n">
        <v>523176</v>
      </c>
      <c r="G1871" t="inlineStr">
        <is>
          <t>Consult</t>
        </is>
      </c>
      <c r="H1871" t="inlineStr">
        <is>
          <t>assessment-and-plan</t>
        </is>
      </c>
      <c r="I1871" t="inlineStr">
        <is>
          <t>Please see his/her note in the inpatient
medical record for additional comments.</t>
        </is>
      </c>
    </row>
    <row r="1872">
      <c r="A1872" t="inlineStr">
        <is>
          <t>523176-assessment-and-plan-0-4</t>
        </is>
      </c>
      <c r="B1872" t="inlineStr"/>
      <c r="C1872" t="inlineStr"/>
      <c r="D1872">
        <f>HYPERLINK("http://nlpdeep.cs.uic.edu:8080/proofing/gsii/523176-assessment-and-plan-0-4.pdf","gsii/523176-assessment-and-plan-0-4.pdf")</f>
        <v/>
      </c>
      <c r="E1872" t="n">
        <v>120842</v>
      </c>
      <c r="F1872" t="n">
        <v>523176</v>
      </c>
      <c r="G1872" t="inlineStr">
        <is>
          <t>Consult</t>
        </is>
      </c>
      <c r="H1872" t="inlineStr">
        <is>
          <t>assessment-and-plan</t>
        </is>
      </c>
      <c r="I1872" t="inlineStr">
        <is>
          <t>Please see his/her note in the inpatient
medical record for additional comments.</t>
        </is>
      </c>
    </row>
    <row r="1873">
      <c r="A1873" t="inlineStr">
        <is>
          <t>522620-assessment-and-plan-0-0</t>
        </is>
      </c>
      <c r="B1873" t="inlineStr"/>
      <c r="C1873" t="inlineStr"/>
      <c r="D1873">
        <f>HYPERLINK("http://nlpdeep.cs.uic.edu:8080/proofing/t5/522620-assessment-and-plan-0-0.pdf","t5/522620-assessment-and-plan-0-0.pdf")</f>
        <v/>
      </c>
      <c r="E1873" t="n">
        <v>120842</v>
      </c>
      <c r="F1873" t="n">
        <v>522620</v>
      </c>
      <c r="G1873" t="inlineStr">
        <is>
          <t>Physician</t>
        </is>
      </c>
      <c r="H1873" t="inlineStr">
        <is>
          <t>assessment-and-plan</t>
        </is>
      </c>
      <c r="I1873" t="inlineStr">
        <is>
          <t>Action:
   Response:
   Plan:
   .</t>
        </is>
      </c>
    </row>
    <row r="1874">
      <c r="A1874" t="inlineStr">
        <is>
          <t>522620-assessment-and-plan-0-0</t>
        </is>
      </c>
      <c r="B1874" t="inlineStr"/>
      <c r="C1874" t="inlineStr"/>
      <c r="D1874">
        <f>HYPERLINK("http://nlpdeep.cs.uic.edu:8080/proofing/gsii/522620-assessment-and-plan-0-0.pdf","gsii/522620-assessment-and-plan-0-0.pdf")</f>
        <v/>
      </c>
      <c r="E1874" t="n">
        <v>120842</v>
      </c>
      <c r="F1874" t="n">
        <v>522620</v>
      </c>
      <c r="G1874" t="inlineStr">
        <is>
          <t>Physician</t>
        </is>
      </c>
      <c r="H1874" t="inlineStr">
        <is>
          <t>assessment-and-plan</t>
        </is>
      </c>
      <c r="I1874" t="inlineStr">
        <is>
          <t>Action:
   Response:
   Plan:
   .</t>
        </is>
      </c>
    </row>
    <row r="1875">
      <c r="A1875" t="inlineStr">
        <is>
          <t>522620-assessment-and-plan-0-1</t>
        </is>
      </c>
      <c r="B1875" t="inlineStr"/>
      <c r="C1875" t="inlineStr"/>
      <c r="D1875">
        <f>HYPERLINK("http://nlpdeep.cs.uic.edu:8080/proofing/t5/522620-assessment-and-plan-0-1.pdf","t5/522620-assessment-and-plan-0-1.pdf")</f>
        <v/>
      </c>
      <c r="E1875" t="n">
        <v>120842</v>
      </c>
      <c r="F1875" t="n">
        <v>522620</v>
      </c>
      <c r="G1875" t="inlineStr">
        <is>
          <t>Physician</t>
        </is>
      </c>
      <c r="H1875" t="inlineStr">
        <is>
          <t>assessment-and-plan</t>
        </is>
      </c>
      <c r="I1875" t="inlineStr">
        <is>
          <t xml:space="preserve">H/O diabetes Mellitus (DM), Type II
   Assessment:
   Action:
   Response:
   Plan:
</t>
        </is>
      </c>
    </row>
    <row r="1876">
      <c r="A1876" t="inlineStr">
        <is>
          <t>522620-assessment-and-plan-0-1</t>
        </is>
      </c>
      <c r="B1876" t="inlineStr"/>
      <c r="C1876" t="inlineStr"/>
      <c r="D1876">
        <f>HYPERLINK("http://nlpdeep.cs.uic.edu:8080/proofing/gsii/522620-assessment-and-plan-0-1.pdf","gsii/522620-assessment-and-plan-0-1.pdf")</f>
        <v/>
      </c>
      <c r="E1876" t="n">
        <v>120842</v>
      </c>
      <c r="F1876" t="n">
        <v>522620</v>
      </c>
      <c r="G1876" t="inlineStr">
        <is>
          <t>Physician</t>
        </is>
      </c>
      <c r="H1876" t="inlineStr">
        <is>
          <t>assessment-and-plan</t>
        </is>
      </c>
      <c r="I1876" t="inlineStr">
        <is>
          <t xml:space="preserve">H/O diabetes Mellitus (DM), Type II
   Assessment:
   Action:
   Response:
   Plan:
</t>
        </is>
      </c>
    </row>
    <row r="1877">
      <c r="A1877" t="inlineStr">
        <is>
          <t>522622-assessment-and-plan-0-0</t>
        </is>
      </c>
      <c r="B1877" t="inlineStr"/>
      <c r="C1877" t="inlineStr"/>
      <c r="D1877">
        <f>HYPERLINK("http://nlpdeep.cs.uic.edu:8080/proofing/t5/522622-assessment-and-plan-0-0.pdf","t5/522622-assessment-and-plan-0-0.pdf")</f>
        <v/>
      </c>
      <c r="E1877" t="n">
        <v>120842</v>
      </c>
      <c r="F1877" t="n">
        <v>522622</v>
      </c>
      <c r="G1877" t="inlineStr">
        <is>
          <t>Physician</t>
        </is>
      </c>
      <c r="H1877" t="inlineStr">
        <is>
          <t>assessment-and-plan</t>
        </is>
      </c>
      <c r="I1877" t="inlineStr">
        <is>
          <t>Action:
   Response:
   Plan:
   .</t>
        </is>
      </c>
    </row>
    <row r="1878">
      <c r="A1878" t="inlineStr">
        <is>
          <t>522622-assessment-and-plan-0-0</t>
        </is>
      </c>
      <c r="B1878" t="inlineStr"/>
      <c r="C1878" t="inlineStr"/>
      <c r="D1878">
        <f>HYPERLINK("http://nlpdeep.cs.uic.edu:8080/proofing/gsii/522622-assessment-and-plan-0-0.pdf","gsii/522622-assessment-and-plan-0-0.pdf")</f>
        <v/>
      </c>
      <c r="E1878" t="n">
        <v>120842</v>
      </c>
      <c r="F1878" t="n">
        <v>522622</v>
      </c>
      <c r="G1878" t="inlineStr">
        <is>
          <t>Physician</t>
        </is>
      </c>
      <c r="H1878" t="inlineStr">
        <is>
          <t>assessment-and-plan</t>
        </is>
      </c>
      <c r="I1878" t="inlineStr">
        <is>
          <t>Action:
   Response:
   Plan:
   .</t>
        </is>
      </c>
    </row>
    <row r="1879">
      <c r="A1879" t="inlineStr">
        <is>
          <t>522622-assessment-and-plan-0-1</t>
        </is>
      </c>
      <c r="B1879" t="inlineStr"/>
      <c r="C1879" t="inlineStr"/>
      <c r="D1879">
        <f>HYPERLINK("http://nlpdeep.cs.uic.edu:8080/proofing/t5/522622-assessment-and-plan-0-1.pdf","t5/522622-assessment-and-plan-0-1.pdf")</f>
        <v/>
      </c>
      <c r="E1879" t="n">
        <v>120842</v>
      </c>
      <c r="F1879" t="n">
        <v>522622</v>
      </c>
      <c r="G1879" t="inlineStr">
        <is>
          <t>Physician</t>
        </is>
      </c>
      <c r="H1879" t="inlineStr">
        <is>
          <t>assessment-and-plan</t>
        </is>
      </c>
      <c r="I1879" t="inlineStr">
        <is>
          <t xml:space="preserve">H/O diabetes Mellitus (DM), Type II
   Assessment:
   Action:
   Response:
   Plan:
   Supraventricular tachycardia (SVT)
   Assessment:
   Action:
   Response:
   Plan:
</t>
        </is>
      </c>
    </row>
    <row r="1880">
      <c r="A1880" t="inlineStr">
        <is>
          <t>522622-assessment-and-plan-0-1</t>
        </is>
      </c>
      <c r="B1880" t="inlineStr"/>
      <c r="C1880" t="inlineStr"/>
      <c r="D1880">
        <f>HYPERLINK("http://nlpdeep.cs.uic.edu:8080/proofing/gsii/522622-assessment-and-plan-0-1.pdf","gsii/522622-assessment-and-plan-0-1.pdf")</f>
        <v/>
      </c>
      <c r="E1880" t="n">
        <v>120842</v>
      </c>
      <c r="F1880" t="n">
        <v>522622</v>
      </c>
      <c r="G1880" t="inlineStr">
        <is>
          <t>Physician</t>
        </is>
      </c>
      <c r="H1880" t="inlineStr">
        <is>
          <t>assessment-and-plan</t>
        </is>
      </c>
      <c r="I1880" t="inlineStr">
        <is>
          <t xml:space="preserve">H/O diabetes Mellitus (DM), Type II
   Assessment:
   Action:
   Response:
   Plan:
   Supraventricular tachycardia (SVT)
   Assessment:
   Action:
   Response:
   Plan:
</t>
        </is>
      </c>
    </row>
    <row r="1881">
      <c r="A1881" t="inlineStr">
        <is>
          <t>523148-history-of-present-illness-0-0</t>
        </is>
      </c>
      <c r="B1881" t="inlineStr"/>
      <c r="C1881" t="inlineStr"/>
      <c r="D1881">
        <f>HYPERLINK("http://nlpdeep.cs.uic.edu:8080/proofing/t5/523148-history-of-present-illness-0-0.pdf","t5/523148-history-of-present-illness-0-0.pdf")</f>
        <v/>
      </c>
      <c r="E1881" t="n">
        <v>120842</v>
      </c>
      <c r="F1881" t="n">
        <v>523148</v>
      </c>
      <c r="G1881" t="inlineStr">
        <is>
          <t>Consult</t>
        </is>
      </c>
      <c r="H1881" t="inlineStr">
        <is>
          <t>history-of-present-illness</t>
        </is>
      </c>
      <c r="I1881" t="inlineStr">
        <is>
          <t>73 yo Spanish speaking F with COPD on home O2, diastolic CHF, right TKR
   one month ago who presented to the ED with shortness of breath.</t>
        </is>
      </c>
    </row>
    <row r="1882">
      <c r="A1882" t="inlineStr">
        <is>
          <t>523148-history-of-present-illness-0-0</t>
        </is>
      </c>
      <c r="B1882" t="inlineStr"/>
      <c r="C1882" t="inlineStr"/>
      <c r="D1882">
        <f>HYPERLINK("http://nlpdeep.cs.uic.edu:8080/proofing/gsii/523148-history-of-present-illness-0-0.pdf","gsii/523148-history-of-present-illness-0-0.pdf")</f>
        <v/>
      </c>
      <c r="E1882" t="n">
        <v>120842</v>
      </c>
      <c r="F1882" t="n">
        <v>523148</v>
      </c>
      <c r="G1882" t="inlineStr">
        <is>
          <t>Consult</t>
        </is>
      </c>
      <c r="H1882" t="inlineStr">
        <is>
          <t>history-of-present-illness</t>
        </is>
      </c>
      <c r="I1882" t="inlineStr">
        <is>
          <t>73 yo Spanish speaking F with COPD on home O2, diastolic CHF, right TKR
   one month ago who presented to the ED with shortness of breath.</t>
        </is>
      </c>
    </row>
    <row r="1883">
      <c r="A1883" t="inlineStr">
        <is>
          <t>523148-history-of-present-illness-0-1</t>
        </is>
      </c>
      <c r="B1883" t="inlineStr"/>
      <c r="C1883" t="inlineStr"/>
      <c r="D1883">
        <f>HYPERLINK("http://nlpdeep.cs.uic.edu:8080/proofing/t5/523148-history-of-present-illness-0-1.pdf","t5/523148-history-of-present-illness-0-1.pdf")</f>
        <v/>
      </c>
      <c r="E1883" t="n">
        <v>120842</v>
      </c>
      <c r="F1883" t="n">
        <v>523148</v>
      </c>
      <c r="G1883" t="inlineStr">
        <is>
          <t>Consult</t>
        </is>
      </c>
      <c r="H1883" t="inlineStr">
        <is>
          <t>history-of-present-illness</t>
        </is>
      </c>
      <c r="I1883" t="inlineStr">
        <is>
          <t>In the
   ED she had an episode of SVT (of which she had another episode as
   recently [**3-26**] in the ED, broken with adenosine) that broke with high
   flow oxygen therapy alone.</t>
        </is>
      </c>
    </row>
    <row r="1884">
      <c r="A1884" t="inlineStr">
        <is>
          <t>523148-history-of-present-illness-0-1</t>
        </is>
      </c>
      <c r="B1884" t="inlineStr"/>
      <c r="C1884" t="inlineStr"/>
      <c r="D1884">
        <f>HYPERLINK("http://nlpdeep.cs.uic.edu:8080/proofing/gsii/523148-history-of-present-illness-0-1.pdf","gsii/523148-history-of-present-illness-0-1.pdf")</f>
        <v/>
      </c>
      <c r="E1884" t="n">
        <v>120842</v>
      </c>
      <c r="F1884" t="n">
        <v>523148</v>
      </c>
      <c r="G1884" t="inlineStr">
        <is>
          <t>Consult</t>
        </is>
      </c>
      <c r="H1884" t="inlineStr">
        <is>
          <t>history-of-present-illness</t>
        </is>
      </c>
      <c r="I1884" t="inlineStr">
        <is>
          <t>In the
   ED she had an episode of SVT (of which she had another episode as
   recently [**3-26**] in the ED, broken with adenosine) that broke with high
   flow oxygen therapy alone.</t>
        </is>
      </c>
    </row>
    <row r="1885">
      <c r="A1885" t="inlineStr">
        <is>
          <t>523148-history-of-present-illness-0-2</t>
        </is>
      </c>
      <c r="B1885" t="inlineStr"/>
      <c r="C1885" t="inlineStr"/>
      <c r="D1885">
        <f>HYPERLINK("http://nlpdeep.cs.uic.edu:8080/proofing/t5/523148-history-of-present-illness-0-2.pdf","t5/523148-history-of-present-illness-0-2.pdf")</f>
        <v/>
      </c>
      <c r="E1885" t="n">
        <v>120842</v>
      </c>
      <c r="F1885" t="n">
        <v>523148</v>
      </c>
      <c r="G1885" t="inlineStr">
        <is>
          <t>Consult</t>
        </is>
      </c>
      <c r="H1885" t="inlineStr">
        <is>
          <t>history-of-present-illness</t>
        </is>
      </c>
      <c r="I1885" t="inlineStr">
        <is>
          <t>She was initially admitted to the MICU where
   she had another episode of SVT that also broke with O2 therapy.</t>
        </is>
      </c>
    </row>
    <row r="1886">
      <c r="A1886" t="inlineStr">
        <is>
          <t>523148-history-of-present-illness-0-2</t>
        </is>
      </c>
      <c r="B1886" t="inlineStr"/>
      <c r="C1886" t="inlineStr"/>
      <c r="D1886">
        <f>HYPERLINK("http://nlpdeep.cs.uic.edu:8080/proofing/gsii/523148-history-of-present-illness-0-2.pdf","gsii/523148-history-of-present-illness-0-2.pdf")</f>
        <v/>
      </c>
      <c r="E1886" t="n">
        <v>120842</v>
      </c>
      <c r="F1886" t="n">
        <v>523148</v>
      </c>
      <c r="G1886" t="inlineStr">
        <is>
          <t>Consult</t>
        </is>
      </c>
      <c r="H1886" t="inlineStr">
        <is>
          <t>history-of-present-illness</t>
        </is>
      </c>
      <c r="I1886" t="inlineStr">
        <is>
          <t>She was initially admitted to the MICU where
   she had another episode of SVT that also broke with O2 therapy.</t>
        </is>
      </c>
    </row>
    <row r="1887">
      <c r="A1887" t="inlineStr">
        <is>
          <t>523148-history-of-present-illness-0-3</t>
        </is>
      </c>
      <c r="B1887" t="inlineStr"/>
      <c r="C1887" t="inlineStr"/>
      <c r="D1887">
        <f>HYPERLINK("http://nlpdeep.cs.uic.edu:8080/proofing/t5/523148-history-of-present-illness-0-3.pdf","t5/523148-history-of-present-illness-0-3.pdf")</f>
        <v/>
      </c>
      <c r="E1887" t="n">
        <v>120842</v>
      </c>
      <c r="F1887" t="n">
        <v>523148</v>
      </c>
      <c r="G1887" t="inlineStr">
        <is>
          <t>Consult</t>
        </is>
      </c>
      <c r="H1887" t="inlineStr">
        <is>
          <t>history-of-present-illness</t>
        </is>
      </c>
      <c r="I1887" t="inlineStr">
        <is>
          <t xml:space="preserve">
   [**Hospital **] transfered to the floor but again had an episode of SVT to
   120's and respiratory distress and transfered back to the MICU.</t>
        </is>
      </c>
    </row>
    <row r="1888">
      <c r="A1888" t="inlineStr">
        <is>
          <t>523148-history-of-present-illness-0-3</t>
        </is>
      </c>
      <c r="B1888" t="inlineStr"/>
      <c r="C1888" t="inlineStr"/>
      <c r="D1888">
        <f>HYPERLINK("http://nlpdeep.cs.uic.edu:8080/proofing/gsii/523148-history-of-present-illness-0-3.pdf","gsii/523148-history-of-present-illness-0-3.pdf")</f>
        <v/>
      </c>
      <c r="E1888" t="n">
        <v>120842</v>
      </c>
      <c r="F1888" t="n">
        <v>523148</v>
      </c>
      <c r="G1888" t="inlineStr">
        <is>
          <t>Consult</t>
        </is>
      </c>
      <c r="H1888" t="inlineStr">
        <is>
          <t>history-of-present-illness</t>
        </is>
      </c>
      <c r="I1888" t="inlineStr">
        <is>
          <t xml:space="preserve">
   [**Hospital **] transfered to the floor but again had an episode of SVT to
   120's and respiratory distress and transfered back to the MICU.</t>
        </is>
      </c>
    </row>
    <row r="1889">
      <c r="A1889" t="inlineStr">
        <is>
          <t>523148-history-of-present-illness-0-4</t>
        </is>
      </c>
      <c r="B1889" t="inlineStr"/>
      <c r="C1889" t="inlineStr"/>
      <c r="D1889">
        <f>HYPERLINK("http://nlpdeep.cs.uic.edu:8080/proofing/t5/523148-history-of-present-illness-0-4.pdf","t5/523148-history-of-present-illness-0-4.pdf")</f>
        <v/>
      </c>
      <c r="E1889" t="n">
        <v>120842</v>
      </c>
      <c r="F1889" t="n">
        <v>523148</v>
      </c>
      <c r="G1889" t="inlineStr">
        <is>
          <t>Consult</t>
        </is>
      </c>
      <c r="H1889" t="inlineStr">
        <is>
          <t>history-of-present-illness</t>
        </is>
      </c>
      <c r="I1889" t="inlineStr">
        <is>
          <t>In the
   MICU she was noted to have this episoded of SVT in the setting of cough
   spells despite having started diltiazem 30 mg PO QID on [**2153-4-8**].</t>
        </is>
      </c>
    </row>
    <row r="1890">
      <c r="A1890" t="inlineStr">
        <is>
          <t>523148-history-of-present-illness-0-4</t>
        </is>
      </c>
      <c r="B1890" t="inlineStr"/>
      <c r="C1890" t="inlineStr"/>
      <c r="D1890">
        <f>HYPERLINK("http://nlpdeep.cs.uic.edu:8080/proofing/gsii/523148-history-of-present-illness-0-4.pdf","gsii/523148-history-of-present-illness-0-4.pdf")</f>
        <v/>
      </c>
      <c r="E1890" t="n">
        <v>120842</v>
      </c>
      <c r="F1890" t="n">
        <v>523148</v>
      </c>
      <c r="G1890" t="inlineStr">
        <is>
          <t>Consult</t>
        </is>
      </c>
      <c r="H1890" t="inlineStr">
        <is>
          <t>history-of-present-illness</t>
        </is>
      </c>
      <c r="I1890" t="inlineStr">
        <is>
          <t>In the
   MICU she was noted to have this episoded of SVT in the setting of cough
   spells despite having started diltiazem 30 mg PO QID on [**2153-4-8**].</t>
        </is>
      </c>
    </row>
    <row r="1891">
      <c r="A1891" t="inlineStr">
        <is>
          <t>523148-history-of-present-illness-0-5</t>
        </is>
      </c>
      <c r="B1891" t="inlineStr"/>
      <c r="C1891" t="inlineStr"/>
      <c r="D1891">
        <f>HYPERLINK("http://nlpdeep.cs.uic.edu:8080/proofing/t5/523148-history-of-present-illness-0-5.pdf","t5/523148-history-of-present-illness-0-5.pdf")</f>
        <v/>
      </c>
      <c r="E1891" t="n">
        <v>120842</v>
      </c>
      <c r="F1891" t="n">
        <v>523148</v>
      </c>
      <c r="G1891" t="inlineStr">
        <is>
          <t>Consult</t>
        </is>
      </c>
      <c r="H1891" t="inlineStr">
        <is>
          <t>history-of-present-illness</t>
        </is>
      </c>
      <c r="I1891" t="inlineStr">
        <is>
          <t>Given
   her history of dCHF the medicine team is worried that she might be
   intermittently flashing when she is tachycardic.</t>
        </is>
      </c>
    </row>
    <row r="1892">
      <c r="A1892" t="inlineStr">
        <is>
          <t>523148-history-of-present-illness-0-5</t>
        </is>
      </c>
      <c r="B1892" t="inlineStr"/>
      <c r="C1892" t="inlineStr"/>
      <c r="D1892">
        <f>HYPERLINK("http://nlpdeep.cs.uic.edu:8080/proofing/gsii/523148-history-of-present-illness-0-5.pdf","gsii/523148-history-of-present-illness-0-5.pdf")</f>
        <v/>
      </c>
      <c r="E1892" t="n">
        <v>120842</v>
      </c>
      <c r="F1892" t="n">
        <v>523148</v>
      </c>
      <c r="G1892" t="inlineStr">
        <is>
          <t>Consult</t>
        </is>
      </c>
      <c r="H1892" t="inlineStr">
        <is>
          <t>history-of-present-illness</t>
        </is>
      </c>
      <c r="I1892" t="inlineStr">
        <is>
          <t>Given
   her history of dCHF the medicine team is worried that she might be
   intermittently flashing when she is tachycardic.</t>
        </is>
      </c>
    </row>
    <row r="1893">
      <c r="A1893" t="inlineStr">
        <is>
          <t>523148-history-of-present-illness-1-0</t>
        </is>
      </c>
      <c r="B1893" t="inlineStr"/>
      <c r="C1893" t="inlineStr"/>
      <c r="D1893">
        <f>HYPERLINK("http://nlpdeep.cs.uic.edu:8080/proofing/t5/523148-history-of-present-illness-1-0.pdf","t5/523148-history-of-present-illness-1-0.pdf")</f>
        <v/>
      </c>
      <c r="E1893" t="n">
        <v>120842</v>
      </c>
      <c r="F1893" t="n">
        <v>523148</v>
      </c>
      <c r="G1893" t="inlineStr">
        <is>
          <t>Consult</t>
        </is>
      </c>
      <c r="H1893" t="inlineStr">
        <is>
          <t>history-of-present-illness</t>
        </is>
      </c>
      <c r="I1893" t="inlineStr">
        <is>
          <t xml:space="preserve">
   Upon interviewing the patient she stated that she does not have a
   history of abnormal heart rhythms and that the first episode was the
   one on [**3-26**].</t>
        </is>
      </c>
    </row>
    <row r="1894">
      <c r="A1894" t="inlineStr">
        <is>
          <t>523148-history-of-present-illness-1-0</t>
        </is>
      </c>
      <c r="B1894" t="inlineStr"/>
      <c r="C1894" t="inlineStr"/>
      <c r="D1894">
        <f>HYPERLINK("http://nlpdeep.cs.uic.edu:8080/proofing/gsii/523148-history-of-present-illness-1-0.pdf","gsii/523148-history-of-present-illness-1-0.pdf")</f>
        <v/>
      </c>
      <c r="E1894" t="n">
        <v>120842</v>
      </c>
      <c r="F1894" t="n">
        <v>523148</v>
      </c>
      <c r="G1894" t="inlineStr">
        <is>
          <t>Consult</t>
        </is>
      </c>
      <c r="H1894" t="inlineStr">
        <is>
          <t>history-of-present-illness</t>
        </is>
      </c>
      <c r="I1894" t="inlineStr">
        <is>
          <t xml:space="preserve">
   Upon interviewing the patient she stated that she does not have a
   history of abnormal heart rhythms and that the first episode was the
   one on [**3-26**].</t>
        </is>
      </c>
    </row>
    <row r="1895">
      <c r="A1895" t="inlineStr">
        <is>
          <t>523148-history-of-present-illness-1-1</t>
        </is>
      </c>
      <c r="B1895" t="inlineStr"/>
      <c r="C1895" t="inlineStr"/>
      <c r="D1895">
        <f>HYPERLINK("http://nlpdeep.cs.uic.edu:8080/proofing/t5/523148-history-of-present-illness-1-1.pdf","t5/523148-history-of-present-illness-1-1.pdf")</f>
        <v/>
      </c>
      <c r="E1895" t="n">
        <v>120842</v>
      </c>
      <c r="F1895" t="n">
        <v>523148</v>
      </c>
      <c r="G1895" t="inlineStr">
        <is>
          <t>Consult</t>
        </is>
      </c>
      <c r="H1895" t="inlineStr">
        <is>
          <t>history-of-present-illness</t>
        </is>
      </c>
      <c r="I1895" t="inlineStr">
        <is>
          <t>She reports associated palpitations, chest tightness and
   SOB when she is having these episodes but denies dizziness or
   lightheadedness.</t>
        </is>
      </c>
    </row>
    <row r="1896">
      <c r="A1896" t="inlineStr">
        <is>
          <t>523148-history-of-present-illness-1-1</t>
        </is>
      </c>
      <c r="B1896" t="inlineStr"/>
      <c r="C1896" t="inlineStr"/>
      <c r="D1896">
        <f>HYPERLINK("http://nlpdeep.cs.uic.edu:8080/proofing/gsii/523148-history-of-present-illness-1-1.pdf","gsii/523148-history-of-present-illness-1-1.pdf")</f>
        <v/>
      </c>
      <c r="E1896" t="n">
        <v>120842</v>
      </c>
      <c r="F1896" t="n">
        <v>523148</v>
      </c>
      <c r="G1896" t="inlineStr">
        <is>
          <t>Consult</t>
        </is>
      </c>
      <c r="H1896" t="inlineStr">
        <is>
          <t>history-of-present-illness</t>
        </is>
      </c>
      <c r="I1896" t="inlineStr">
        <is>
          <t>She reports associated palpitations, chest tightness and
   SOB when she is having these episodes but denies dizziness or
   lightheadedness.</t>
        </is>
      </c>
    </row>
    <row r="1897">
      <c r="A1897" t="inlineStr">
        <is>
          <t>523148-history-of-present-illness-1-2</t>
        </is>
      </c>
      <c r="B1897" t="inlineStr"/>
      <c r="C1897" t="inlineStr"/>
      <c r="D1897">
        <f>HYPERLINK("http://nlpdeep.cs.uic.edu:8080/proofing/t5/523148-history-of-present-illness-1-2.pdf","t5/523148-history-of-present-illness-1-2.pdf")</f>
        <v/>
      </c>
      <c r="E1897" t="n">
        <v>120842</v>
      </c>
      <c r="F1897" t="n">
        <v>523148</v>
      </c>
      <c r="G1897" t="inlineStr">
        <is>
          <t>Consult</t>
        </is>
      </c>
      <c r="H1897" t="inlineStr">
        <is>
          <t>history-of-present-illness</t>
        </is>
      </c>
      <c r="I1897" t="inlineStr">
        <is>
          <t xml:space="preserve">
   .</t>
        </is>
      </c>
    </row>
    <row r="1898">
      <c r="A1898" t="inlineStr">
        <is>
          <t>523148-history-of-present-illness-1-2</t>
        </is>
      </c>
      <c r="B1898" t="inlineStr"/>
      <c r="C1898" t="inlineStr"/>
      <c r="D1898">
        <f>HYPERLINK("http://nlpdeep.cs.uic.edu:8080/proofing/gsii/523148-history-of-present-illness-1-2.pdf","gsii/523148-history-of-present-illness-1-2.pdf")</f>
        <v/>
      </c>
      <c r="E1898" t="n">
        <v>120842</v>
      </c>
      <c r="F1898" t="n">
        <v>523148</v>
      </c>
      <c r="G1898" t="inlineStr">
        <is>
          <t>Consult</t>
        </is>
      </c>
      <c r="H1898" t="inlineStr">
        <is>
          <t>history-of-present-illness</t>
        </is>
      </c>
      <c r="I1898" t="inlineStr">
        <is>
          <t xml:space="preserve">
   .</t>
        </is>
      </c>
    </row>
    <row r="1899">
      <c r="A1899" t="inlineStr">
        <is>
          <t>523148-allergies-0-0</t>
        </is>
      </c>
      <c r="B1899" t="inlineStr"/>
      <c r="C1899" t="inlineStr"/>
      <c r="D1899">
        <f>HYPERLINK("http://nlpdeep.cs.uic.edu:8080/proofing/t5/523148-allergies-0-0.pdf","t5/523148-allergies-0-0.pdf")</f>
        <v/>
      </c>
      <c r="E1899" t="n">
        <v>120842</v>
      </c>
      <c r="F1899" t="n">
        <v>523148</v>
      </c>
      <c r="G1899" t="inlineStr">
        <is>
          <t>Consult</t>
        </is>
      </c>
      <c r="H1899" t="inlineStr">
        <is>
          <t>allergies</t>
        </is>
      </c>
      <c r="I1899" t="inlineStr">
        <is>
          <t>Hayfever
   .</t>
        </is>
      </c>
    </row>
    <row r="1900">
      <c r="A1900" t="inlineStr">
        <is>
          <t>523148-allergies-0-0</t>
        </is>
      </c>
      <c r="B1900" t="inlineStr"/>
      <c r="C1900" t="inlineStr"/>
      <c r="D1900">
        <f>HYPERLINK("http://nlpdeep.cs.uic.edu:8080/proofing/gsii/523148-allergies-0-0.pdf","gsii/523148-allergies-0-0.pdf")</f>
        <v/>
      </c>
      <c r="E1900" t="n">
        <v>120842</v>
      </c>
      <c r="F1900" t="n">
        <v>523148</v>
      </c>
      <c r="G1900" t="inlineStr">
        <is>
          <t>Consult</t>
        </is>
      </c>
      <c r="H1900" t="inlineStr">
        <is>
          <t>allergies</t>
        </is>
      </c>
      <c r="I1900" t="inlineStr">
        <is>
          <t>Hayfever
   .</t>
        </is>
      </c>
    </row>
    <row r="1901">
      <c r="A1901" t="inlineStr">
        <is>
          <t>523148-medication-history-0-0</t>
        </is>
      </c>
      <c r="B1901" t="inlineStr"/>
      <c r="C1901" t="inlineStr"/>
      <c r="D1901">
        <f>HYPERLINK("http://nlpdeep.cs.uic.edu:8080/proofing/t5/523148-medication-history-0-0.pdf","t5/523148-medication-history-0-0.pdf")</f>
        <v/>
      </c>
      <c r="E1901" t="n">
        <v>120842</v>
      </c>
      <c r="F1901" t="n">
        <v>523148</v>
      </c>
      <c r="G1901" t="inlineStr">
        <is>
          <t>Consult</t>
        </is>
      </c>
      <c r="H1901" t="inlineStr">
        <is>
          <t>medication-history</t>
        </is>
      </c>
      <c r="I1901" t="inlineStr">
        <is>
          <t>- Home O2 - 2LPM at rest, 4 LPM with exertion
   - Advair 500-50 twice a day
   - Albuterol neb or MDI Q6H as needed for wheezing, SOB.</t>
        </is>
      </c>
    </row>
    <row r="1902">
      <c r="A1902" t="inlineStr">
        <is>
          <t>523148-medication-history-0-0</t>
        </is>
      </c>
      <c r="B1902" t="inlineStr"/>
      <c r="C1902" t="inlineStr"/>
      <c r="D1902">
        <f>HYPERLINK("http://nlpdeep.cs.uic.edu:8080/proofing/gsii/523148-medication-history-0-0.pdf","gsii/523148-medication-history-0-0.pdf")</f>
        <v/>
      </c>
      <c r="E1902" t="n">
        <v>120842</v>
      </c>
      <c r="F1902" t="n">
        <v>523148</v>
      </c>
      <c r="G1902" t="inlineStr">
        <is>
          <t>Consult</t>
        </is>
      </c>
      <c r="H1902" t="inlineStr">
        <is>
          <t>medication-history</t>
        </is>
      </c>
      <c r="I1902" t="inlineStr">
        <is>
          <t>- Home O2 - 2LPM at rest, 4 LPM with exertion
   - Advair 500-50 twice a day
   - Albuterol neb or MDI Q6H as needed for wheezing, SOB.</t>
        </is>
      </c>
    </row>
    <row r="1903">
      <c r="A1903" t="inlineStr">
        <is>
          <t>523148-medication-history-0-1</t>
        </is>
      </c>
      <c r="B1903" t="inlineStr"/>
      <c r="C1903" t="inlineStr"/>
      <c r="D1903">
        <f>HYPERLINK("http://nlpdeep.cs.uic.edu:8080/proofing/t5/523148-medication-history-0-1.pdf","t5/523148-medication-history-0-1.pdf")</f>
        <v/>
      </c>
      <c r="E1903" t="n">
        <v>120842</v>
      </c>
      <c r="F1903" t="n">
        <v>523148</v>
      </c>
      <c r="G1903" t="inlineStr">
        <is>
          <t>Consult</t>
        </is>
      </c>
      <c r="H1903" t="inlineStr">
        <is>
          <t>medication-history</t>
        </is>
      </c>
      <c r="I1903" t="inlineStr">
        <is>
          <t xml:space="preserve">
   - Captopril 50 mg TID
   - Fluoxetine 20 mg TID
   - Glipizide 5 mg [**Hospital1 7**]
   - Hydrochlorothiazide 12.5 mg DAILY
   - Lorazepam 0.5 mg Q8H as needed for Anxiety.</t>
        </is>
      </c>
    </row>
    <row r="1904">
      <c r="A1904" t="inlineStr">
        <is>
          <t>523148-medication-history-0-1</t>
        </is>
      </c>
      <c r="B1904" t="inlineStr"/>
      <c r="C1904" t="inlineStr"/>
      <c r="D1904">
        <f>HYPERLINK("http://nlpdeep.cs.uic.edu:8080/proofing/gsii/523148-medication-history-0-1.pdf","gsii/523148-medication-history-0-1.pdf")</f>
        <v/>
      </c>
      <c r="E1904" t="n">
        <v>120842</v>
      </c>
      <c r="F1904" t="n">
        <v>523148</v>
      </c>
      <c r="G1904" t="inlineStr">
        <is>
          <t>Consult</t>
        </is>
      </c>
      <c r="H1904" t="inlineStr">
        <is>
          <t>medication-history</t>
        </is>
      </c>
      <c r="I1904" t="inlineStr">
        <is>
          <t xml:space="preserve">
   - Captopril 50 mg TID
   - Fluoxetine 20 mg TID
   - Glipizide 5 mg [**Hospital1 7**]
   - Hydrochlorothiazide 12.5 mg DAILY
   - Lorazepam 0.5 mg Q8H as needed for Anxiety.</t>
        </is>
      </c>
    </row>
    <row r="1905">
      <c r="A1905" t="inlineStr">
        <is>
          <t>523148-medication-history-0-2</t>
        </is>
      </c>
      <c r="B1905" t="inlineStr"/>
      <c r="C1905" t="inlineStr"/>
      <c r="D1905">
        <f>HYPERLINK("http://nlpdeep.cs.uic.edu:8080/proofing/t5/523148-medication-history-0-2.pdf","t5/523148-medication-history-0-2.pdf")</f>
        <v/>
      </c>
      <c r="E1905" t="n">
        <v>120842</v>
      </c>
      <c r="F1905" t="n">
        <v>523148</v>
      </c>
      <c r="G1905" t="inlineStr">
        <is>
          <t>Consult</t>
        </is>
      </c>
      <c r="H1905" t="inlineStr">
        <is>
          <t>medication-history</t>
        </is>
      </c>
      <c r="I1905" t="inlineStr">
        <is>
          <t xml:space="preserve">
   - Metformin 500 mg SR [**Hospital1 7**]
   - Montelukast 10 mg DAILY
   - Simvastatin 40 mg DAILY
   - Spiriva 18 mcg once a day.</t>
        </is>
      </c>
    </row>
    <row r="1906">
      <c r="A1906" t="inlineStr">
        <is>
          <t>523148-medication-history-0-2</t>
        </is>
      </c>
      <c r="B1906" t="inlineStr"/>
      <c r="C1906" t="inlineStr"/>
      <c r="D1906">
        <f>HYPERLINK("http://nlpdeep.cs.uic.edu:8080/proofing/gsii/523148-medication-history-0-2.pdf","gsii/523148-medication-history-0-2.pdf")</f>
        <v/>
      </c>
      <c r="E1906" t="n">
        <v>120842</v>
      </c>
      <c r="F1906" t="n">
        <v>523148</v>
      </c>
      <c r="G1906" t="inlineStr">
        <is>
          <t>Consult</t>
        </is>
      </c>
      <c r="H1906" t="inlineStr">
        <is>
          <t>medication-history</t>
        </is>
      </c>
      <c r="I1906" t="inlineStr">
        <is>
          <t xml:space="preserve">
   - Metformin 500 mg SR [**Hospital1 7**]
   - Montelukast 10 mg DAILY
   - Simvastatin 40 mg DAILY
   - Spiriva 18 mcg once a day.</t>
        </is>
      </c>
    </row>
    <row r="1907">
      <c r="A1907" t="inlineStr">
        <is>
          <t>523148-medication-history-0-3</t>
        </is>
      </c>
      <c r="B1907" t="inlineStr"/>
      <c r="C1907" t="inlineStr"/>
      <c r="D1907">
        <f>HYPERLINK("http://nlpdeep.cs.uic.edu:8080/proofing/t5/523148-medication-history-0-3.pdf","t5/523148-medication-history-0-3.pdf")</f>
        <v/>
      </c>
      <c r="E1907" t="n">
        <v>120842</v>
      </c>
      <c r="F1907" t="n">
        <v>523148</v>
      </c>
      <c r="G1907" t="inlineStr">
        <is>
          <t>Consult</t>
        </is>
      </c>
      <c r="H1907" t="inlineStr">
        <is>
          <t>medication-history</t>
        </is>
      </c>
      <c r="I1907" t="inlineStr">
        <is>
          <t xml:space="preserve">
   - Calcium 500 + D 500 mg(1,250mg)-400 unit twice a day.</t>
        </is>
      </c>
    </row>
    <row r="1908">
      <c r="A1908" t="inlineStr">
        <is>
          <t>523148-medication-history-0-3</t>
        </is>
      </c>
      <c r="B1908" t="inlineStr"/>
      <c r="C1908" t="inlineStr"/>
      <c r="D1908">
        <f>HYPERLINK("http://nlpdeep.cs.uic.edu:8080/proofing/gsii/523148-medication-history-0-3.pdf","gsii/523148-medication-history-0-3.pdf")</f>
        <v/>
      </c>
      <c r="E1908" t="n">
        <v>120842</v>
      </c>
      <c r="F1908" t="n">
        <v>523148</v>
      </c>
      <c r="G1908" t="inlineStr">
        <is>
          <t>Consult</t>
        </is>
      </c>
      <c r="H1908" t="inlineStr">
        <is>
          <t>medication-history</t>
        </is>
      </c>
      <c r="I1908" t="inlineStr">
        <is>
          <t xml:space="preserve">
   - Calcium 500 + D 500 mg(1,250mg)-400 unit twice a day.</t>
        </is>
      </c>
    </row>
    <row r="1909">
      <c r="A1909" t="inlineStr">
        <is>
          <t>523148-medication-history-0-4</t>
        </is>
      </c>
      <c r="B1909" t="inlineStr"/>
      <c r="C1909" t="inlineStr"/>
      <c r="D1909">
        <f>HYPERLINK("http://nlpdeep.cs.uic.edu:8080/proofing/t5/523148-medication-history-0-4.pdf","t5/523148-medication-history-0-4.pdf")</f>
        <v/>
      </c>
      <c r="E1909" t="n">
        <v>120842</v>
      </c>
      <c r="F1909" t="n">
        <v>523148</v>
      </c>
      <c r="G1909" t="inlineStr">
        <is>
          <t>Consult</t>
        </is>
      </c>
      <c r="H1909" t="inlineStr">
        <is>
          <t>medication-history</t>
        </is>
      </c>
      <c r="I1909" t="inlineStr">
        <is>
          <t xml:space="preserve">
   - Enoxaparin 30 mg/0.3 mL SC Q12H for 4 weeks. ***
   - Omeprazole 20 mg once a day.</t>
        </is>
      </c>
    </row>
    <row r="1910">
      <c r="A1910" t="inlineStr">
        <is>
          <t>523148-medication-history-0-4</t>
        </is>
      </c>
      <c r="B1910" t="inlineStr"/>
      <c r="C1910" t="inlineStr"/>
      <c r="D1910">
        <f>HYPERLINK("http://nlpdeep.cs.uic.edu:8080/proofing/gsii/523148-medication-history-0-4.pdf","gsii/523148-medication-history-0-4.pdf")</f>
        <v/>
      </c>
      <c r="E1910" t="n">
        <v>120842</v>
      </c>
      <c r="F1910" t="n">
        <v>523148</v>
      </c>
      <c r="G1910" t="inlineStr">
        <is>
          <t>Consult</t>
        </is>
      </c>
      <c r="H1910" t="inlineStr">
        <is>
          <t>medication-history</t>
        </is>
      </c>
      <c r="I1910" t="inlineStr">
        <is>
          <t xml:space="preserve">
   - Enoxaparin 30 mg/0.3 mL SC Q12H for 4 weeks. ***
   - Omeprazole 20 mg once a day.</t>
        </is>
      </c>
    </row>
    <row r="1911">
      <c r="A1911" t="inlineStr">
        <is>
          <t>523148-medication-history-0-5</t>
        </is>
      </c>
      <c r="B1911" t="inlineStr"/>
      <c r="C1911" t="inlineStr"/>
      <c r="D1911">
        <f>HYPERLINK("http://nlpdeep.cs.uic.edu:8080/proofing/t5/523148-medication-history-0-5.pdf","t5/523148-medication-history-0-5.pdf")</f>
        <v/>
      </c>
      <c r="E1911" t="n">
        <v>120842</v>
      </c>
      <c r="F1911" t="n">
        <v>523148</v>
      </c>
      <c r="G1911" t="inlineStr">
        <is>
          <t>Consult</t>
        </is>
      </c>
      <c r="H1911" t="inlineStr">
        <is>
          <t>medication-history</t>
        </is>
      </c>
      <c r="I1911" t="inlineStr">
        <is>
          <t xml:space="preserve">
   - Docusate Sodium 100 mg [**Hospital1 7**]
   - Senna 8.6 mg Two (2) Tablet PO at bedtime as needed
   - Oxycodone 5 mg: 1-2 Tablets PO Q4H as needed for pain.</t>
        </is>
      </c>
    </row>
    <row r="1912">
      <c r="A1912" t="inlineStr">
        <is>
          <t>523148-medication-history-0-5</t>
        </is>
      </c>
      <c r="B1912" t="inlineStr"/>
      <c r="C1912" t="inlineStr"/>
      <c r="D1912">
        <f>HYPERLINK("http://nlpdeep.cs.uic.edu:8080/proofing/gsii/523148-medication-history-0-5.pdf","gsii/523148-medication-history-0-5.pdf")</f>
        <v/>
      </c>
      <c r="E1912" t="n">
        <v>120842</v>
      </c>
      <c r="F1912" t="n">
        <v>523148</v>
      </c>
      <c r="G1912" t="inlineStr">
        <is>
          <t>Consult</t>
        </is>
      </c>
      <c r="H1912" t="inlineStr">
        <is>
          <t>medication-history</t>
        </is>
      </c>
      <c r="I1912" t="inlineStr">
        <is>
          <t xml:space="preserve">
   - Docusate Sodium 100 mg [**Hospital1 7**]
   - Senna 8.6 mg Two (2) Tablet PO at bedtime as needed
   - Oxycodone 5 mg: 1-2 Tablets PO Q4H as needed for pain.</t>
        </is>
      </c>
    </row>
    <row r="1913">
      <c r="A1913" t="inlineStr">
        <is>
          <t>523148-medication-history-0-6</t>
        </is>
      </c>
      <c r="B1913" t="inlineStr"/>
      <c r="C1913" t="inlineStr"/>
      <c r="D1913">
        <f>HYPERLINK("http://nlpdeep.cs.uic.edu:8080/proofing/t5/523148-medication-history-0-6.pdf","t5/523148-medication-history-0-6.pdf")</f>
        <v/>
      </c>
      <c r="E1913" t="n">
        <v>120842</v>
      </c>
      <c r="F1913" t="n">
        <v>523148</v>
      </c>
      <c r="G1913" t="inlineStr">
        <is>
          <t>Consult</t>
        </is>
      </c>
      <c r="H1913" t="inlineStr">
        <is>
          <t>medication-history</t>
        </is>
      </c>
      <c r="I1913" t="inlineStr">
        <is>
          <t xml:space="preserve">
   - Multivitamin DAILY
   - Ferrous Sulfate 300 mg DAILY
   - Acetaminophen 1000 mg three times a day for 3 weeks.</t>
        </is>
      </c>
    </row>
    <row r="1914">
      <c r="A1914" t="inlineStr">
        <is>
          <t>523148-medication-history-0-6</t>
        </is>
      </c>
      <c r="B1914" t="inlineStr"/>
      <c r="C1914" t="inlineStr"/>
      <c r="D1914">
        <f>HYPERLINK("http://nlpdeep.cs.uic.edu:8080/proofing/gsii/523148-medication-history-0-6.pdf","gsii/523148-medication-history-0-6.pdf")</f>
        <v/>
      </c>
      <c r="E1914" t="n">
        <v>120842</v>
      </c>
      <c r="F1914" t="n">
        <v>523148</v>
      </c>
      <c r="G1914" t="inlineStr">
        <is>
          <t>Consult</t>
        </is>
      </c>
      <c r="H1914" t="inlineStr">
        <is>
          <t>medication-history</t>
        </is>
      </c>
      <c r="I1914" t="inlineStr">
        <is>
          <t xml:space="preserve">
   - Multivitamin DAILY
   - Ferrous Sulfate 300 mg DAILY
   - Acetaminophen 1000 mg three times a day for 3 weeks.</t>
        </is>
      </c>
    </row>
    <row r="1915">
      <c r="A1915" t="inlineStr">
        <is>
          <t>523148-medication-history-0-7</t>
        </is>
      </c>
      <c r="B1915" t="inlineStr"/>
      <c r="C1915" t="inlineStr"/>
      <c r="D1915">
        <f>HYPERLINK("http://nlpdeep.cs.uic.edu:8080/proofing/t5/523148-medication-history-0-7.pdf","t5/523148-medication-history-0-7.pdf")</f>
        <v/>
      </c>
      <c r="E1915" t="n">
        <v>120842</v>
      </c>
      <c r="F1915" t="n">
        <v>523148</v>
      </c>
      <c r="G1915" t="inlineStr">
        <is>
          <t>Consult</t>
        </is>
      </c>
      <c r="H1915" t="inlineStr">
        <is>
          <t>medication-history</t>
        </is>
      </c>
      <c r="I1915" t="inlineStr">
        <is>
          <t xml:space="preserve">
   - Miralax 17 gram Powder once a day as needed for constipation.</t>
        </is>
      </c>
    </row>
    <row r="1916">
      <c r="A1916" t="inlineStr">
        <is>
          <t>523148-medication-history-0-7</t>
        </is>
      </c>
      <c r="B1916" t="inlineStr"/>
      <c r="C1916" t="inlineStr"/>
      <c r="D1916">
        <f>HYPERLINK("http://nlpdeep.cs.uic.edu:8080/proofing/gsii/523148-medication-history-0-7.pdf","gsii/523148-medication-history-0-7.pdf")</f>
        <v/>
      </c>
      <c r="E1916" t="n">
        <v>120842</v>
      </c>
      <c r="F1916" t="n">
        <v>523148</v>
      </c>
      <c r="G1916" t="inlineStr">
        <is>
          <t>Consult</t>
        </is>
      </c>
      <c r="H1916" t="inlineStr">
        <is>
          <t>medication-history</t>
        </is>
      </c>
      <c r="I1916" t="inlineStr">
        <is>
          <t xml:space="preserve">
   - Miralax 17 gram Powder once a day as needed for constipation.</t>
        </is>
      </c>
    </row>
    <row r="1917">
      <c r="A1917" t="inlineStr">
        <is>
          <t>523148-medication-history-0-8</t>
        </is>
      </c>
      <c r="B1917" t="inlineStr"/>
      <c r="C1917" t="inlineStr"/>
      <c r="D1917">
        <f>HYPERLINK("http://nlpdeep.cs.uic.edu:8080/proofing/t5/523148-medication-history-0-8.pdf","t5/523148-medication-history-0-8.pdf")</f>
        <v/>
      </c>
      <c r="E1917" t="n">
        <v>120842</v>
      </c>
      <c r="F1917" t="n">
        <v>523148</v>
      </c>
      <c r="G1917" t="inlineStr">
        <is>
          <t>Consult</t>
        </is>
      </c>
      <c r="H1917" t="inlineStr">
        <is>
          <t>medication-history</t>
        </is>
      </c>
      <c r="I1917" t="inlineStr">
        <is>
          <t xml:space="preserve">
   .</t>
        </is>
      </c>
    </row>
    <row r="1918">
      <c r="A1918" t="inlineStr">
        <is>
          <t>523148-medication-history-0-8</t>
        </is>
      </c>
      <c r="B1918" t="inlineStr"/>
      <c r="C1918" t="inlineStr"/>
      <c r="D1918">
        <f>HYPERLINK("http://nlpdeep.cs.uic.edu:8080/proofing/gsii/523148-medication-history-0-8.pdf","gsii/523148-medication-history-0-8.pdf")</f>
        <v/>
      </c>
      <c r="E1918" t="n">
        <v>120842</v>
      </c>
      <c r="F1918" t="n">
        <v>523148</v>
      </c>
      <c r="G1918" t="inlineStr">
        <is>
          <t>Consult</t>
        </is>
      </c>
      <c r="H1918" t="inlineStr">
        <is>
          <t>medication-history</t>
        </is>
      </c>
      <c r="I1918" t="inlineStr">
        <is>
          <t xml:space="preserve">
   .</t>
        </is>
      </c>
    </row>
    <row r="1919">
      <c r="A1919" t="inlineStr">
        <is>
          <t>523148-current-medications-0-0</t>
        </is>
      </c>
      <c r="B1919" t="inlineStr"/>
      <c r="C1919" t="inlineStr"/>
      <c r="D1919">
        <f>HYPERLINK("http://nlpdeep.cs.uic.edu:8080/proofing/t5/523148-current-medications-0-0.pdf","t5/523148-current-medications-0-0.pdf")</f>
        <v/>
      </c>
      <c r="E1919" t="n">
        <v>120842</v>
      </c>
      <c r="F1919" t="n">
        <v>523148</v>
      </c>
      <c r="G1919" t="inlineStr">
        <is>
          <t>Consult</t>
        </is>
      </c>
      <c r="H1919" t="inlineStr">
        <is>
          <t>current-medications</t>
        </is>
      </c>
      <c r="I1919" t="inlineStr">
        <is>
          <t>Insulin SC
   Ipratropium Bromide Neb 1 NEB IH Q6H
   Levofloxacin 750 mg PO/NG Q24H
   Acetaminophen 325-650 mg PO/NG Q6H:PRN
   MethylPREDNISolone 80 mg IV Q8H
   Albuterol 0.083% Neb Soln 1 NEB IH Q4H:PRN
   Montelukast Sodium 10 mg PO/NG DAILY
   Benzonatate 100 mg PO TID
   Multivitamins 1 TAB PO/NG DAILY
   Bisacodyl 10 mg PO DAILY:PRN
   Mucinex *NF* 600 mg
   Captopril 50 mg PO/NG TID
   Omeprazole 20 mg PO DAILY
   Polyethylene Glycol 17 g PO/NG DAILY1
   Diltiazem 30 mg PO/NG QID
   Senna 1 TAB PO/NG [**Hospital1 7**]
   Docusate Sodium 100 mg PO BID
   Simethicone 40 mg PO/NG QID:PRN
   Ferrous Sulfate 325 mg PO/NG DAILY
   Simvastatin 40 mg PO/NG DAILY
   Fluoxetine 20 mg PO/NG TID
   GlipiZIDE 5 mg PO/NG DAILY
   Heparin 5000 UNIT SC TID
   Vitamin D 1000 UNIT PO/NG DAILY
   Hydrochlorothiazide 25 mg PO/NG DAILY
   Xopenex Neb *NF* 1 neb QID
   .</t>
        </is>
      </c>
    </row>
    <row r="1920">
      <c r="A1920" t="inlineStr">
        <is>
          <t>523148-current-medications-0-0</t>
        </is>
      </c>
      <c r="B1920" t="inlineStr"/>
      <c r="C1920" t="inlineStr"/>
      <c r="D1920">
        <f>HYPERLINK("http://nlpdeep.cs.uic.edu:8080/proofing/gsii/523148-current-medications-0-0.pdf","gsii/523148-current-medications-0-0.pdf")</f>
        <v/>
      </c>
      <c r="E1920" t="n">
        <v>120842</v>
      </c>
      <c r="F1920" t="n">
        <v>523148</v>
      </c>
      <c r="G1920" t="inlineStr">
        <is>
          <t>Consult</t>
        </is>
      </c>
      <c r="H1920" t="inlineStr">
        <is>
          <t>current-medications</t>
        </is>
      </c>
      <c r="I1920" t="inlineStr">
        <is>
          <t>Insulin SC
   Ipratropium Bromide Neb 1 NEB IH Q6H
   Levofloxacin 750 mg PO/NG Q24H
   Acetaminophen 325-650 mg PO/NG Q6H:PRN
   MethylPREDNISolone 80 mg IV Q8H
   Albuterol 0.083% Neb Soln 1 NEB IH Q4H:PRN
   Montelukast Sodium 10 mg PO/NG DAILY
   Benzonatate 100 mg PO TID
   Multivitamins 1 TAB PO/NG DAILY
   Bisacodyl 10 mg PO DAILY:PRN
   Mucinex *NF* 600 mg
   Captopril 50 mg PO/NG TID
   Omeprazole 20 mg PO DAILY
   Polyethylene Glycol 17 g PO/NG DAILY1
   Diltiazem 30 mg PO/NG QID
   Senna 1 TAB PO/NG [**Hospital1 7**]
   Docusate Sodium 100 mg PO BID
   Simethicone 40 mg PO/NG QID:PRN
   Ferrous Sulfate 325 mg PO/NG DAILY
   Simvastatin 40 mg PO/NG DAILY
   Fluoxetine 20 mg PO/NG TID
   GlipiZIDE 5 mg PO/NG DAILY
   Heparin 5000 UNIT SC TID
   Vitamin D 1000 UNIT PO/NG DAILY
   Hydrochlorothiazide 25 mg PO/NG DAILY
   Xopenex Neb *NF* 1 neb QID
   .</t>
        </is>
      </c>
    </row>
    <row r="1921">
      <c r="A1921" t="inlineStr">
        <is>
          <t>523148-past-medical-history-0-0</t>
        </is>
      </c>
      <c r="B1921" t="inlineStr"/>
      <c r="C1921" t="inlineStr"/>
      <c r="D1921">
        <f>HYPERLINK("http://nlpdeep.cs.uic.edu:8080/proofing/t5/523148-past-medical-history-0-0.pdf","t5/523148-past-medical-history-0-0.pdf")</f>
        <v/>
      </c>
      <c r="E1921" t="n">
        <v>120842</v>
      </c>
      <c r="F1921" t="n">
        <v>523148</v>
      </c>
      <c r="G1921" t="inlineStr">
        <is>
          <t>Consult</t>
        </is>
      </c>
      <c r="H1921" t="inlineStr">
        <is>
          <t>past-medical-history</t>
        </is>
      </c>
      <c r="I1921" t="inlineStr">
        <is>
          <t>- COPD/?asthma on home O2 at 2-4LPM.</t>
        </is>
      </c>
    </row>
    <row r="1922">
      <c r="A1922" t="inlineStr">
        <is>
          <t>523148-past-medical-history-0-0</t>
        </is>
      </c>
      <c r="B1922" t="inlineStr"/>
      <c r="C1922" t="inlineStr"/>
      <c r="D1922">
        <f>HYPERLINK("http://nlpdeep.cs.uic.edu:8080/proofing/gsii/523148-past-medical-history-0-0.pdf","gsii/523148-past-medical-history-0-0.pdf")</f>
        <v/>
      </c>
      <c r="E1922" t="n">
        <v>120842</v>
      </c>
      <c r="F1922" t="n">
        <v>523148</v>
      </c>
      <c r="G1922" t="inlineStr">
        <is>
          <t>Consult</t>
        </is>
      </c>
      <c r="H1922" t="inlineStr">
        <is>
          <t>past-medical-history</t>
        </is>
      </c>
      <c r="I1922" t="inlineStr">
        <is>
          <t>- COPD/?asthma on home O2 at 2-4LPM.</t>
        </is>
      </c>
    </row>
    <row r="1923">
      <c r="A1923" t="inlineStr">
        <is>
          <t>523148-past-medical-history-0-1</t>
        </is>
      </c>
      <c r="B1923" t="inlineStr"/>
      <c r="C1923" t="inlineStr"/>
      <c r="D1923">
        <f>HYPERLINK("http://nlpdeep.cs.uic.edu:8080/proofing/t5/523148-past-medical-history-0-1.pdf","t5/523148-past-medical-history-0-1.pdf")</f>
        <v/>
      </c>
      <c r="E1923" t="n">
        <v>120842</v>
      </c>
      <c r="F1923" t="n">
        <v>523148</v>
      </c>
      <c r="G1923" t="inlineStr">
        <is>
          <t>Consult</t>
        </is>
      </c>
      <c r="H1923" t="inlineStr">
        <is>
          <t>past-medical-history</t>
        </is>
      </c>
      <c r="I1923" t="inlineStr">
        <is>
          <t>Spirometry with only mild to
   moderate obstructive defect, FEV1 1.17 (68% predicted) but low DLCO at
   38% predicted.</t>
        </is>
      </c>
    </row>
    <row r="1924">
      <c r="A1924" t="inlineStr">
        <is>
          <t>523148-past-medical-history-0-1</t>
        </is>
      </c>
      <c r="B1924" t="inlineStr"/>
      <c r="C1924" t="inlineStr"/>
      <c r="D1924">
        <f>HYPERLINK("http://nlpdeep.cs.uic.edu:8080/proofing/gsii/523148-past-medical-history-0-1.pdf","gsii/523148-past-medical-history-0-1.pdf")</f>
        <v/>
      </c>
      <c r="E1924" t="n">
        <v>120842</v>
      </c>
      <c r="F1924" t="n">
        <v>523148</v>
      </c>
      <c r="G1924" t="inlineStr">
        <is>
          <t>Consult</t>
        </is>
      </c>
      <c r="H1924" t="inlineStr">
        <is>
          <t>past-medical-history</t>
        </is>
      </c>
      <c r="I1924" t="inlineStr">
        <is>
          <t>Spirometry with only mild to
   moderate obstructive defect, FEV1 1.17 (68% predicted) but low DLCO at
   38% predicted.</t>
        </is>
      </c>
    </row>
    <row r="1925">
      <c r="A1925" t="inlineStr">
        <is>
          <t>523148-past-medical-history-0-2</t>
        </is>
      </c>
      <c r="B1925" t="inlineStr"/>
      <c r="C1925" t="inlineStr"/>
      <c r="D1925">
        <f>HYPERLINK("http://nlpdeep.cs.uic.edu:8080/proofing/t5/523148-past-medical-history-0-2.pdf","t5/523148-past-medical-history-0-2.pdf")</f>
        <v/>
      </c>
      <c r="E1925" t="n">
        <v>120842</v>
      </c>
      <c r="F1925" t="n">
        <v>523148</v>
      </c>
      <c r="G1925" t="inlineStr">
        <is>
          <t>Consult</t>
        </is>
      </c>
      <c r="H1925" t="inlineStr">
        <is>
          <t>past-medical-history</t>
        </is>
      </c>
      <c r="I1925" t="inlineStr">
        <is>
          <t xml:space="preserve">
   - Diastolic CHF and pulmonary hypertension.</t>
        </is>
      </c>
    </row>
    <row r="1926">
      <c r="A1926" t="inlineStr">
        <is>
          <t>523148-past-medical-history-0-2</t>
        </is>
      </c>
      <c r="B1926" t="inlineStr"/>
      <c r="C1926" t="inlineStr"/>
      <c r="D1926">
        <f>HYPERLINK("http://nlpdeep.cs.uic.edu:8080/proofing/gsii/523148-past-medical-history-0-2.pdf","gsii/523148-past-medical-history-0-2.pdf")</f>
        <v/>
      </c>
      <c r="E1926" t="n">
        <v>120842</v>
      </c>
      <c r="F1926" t="n">
        <v>523148</v>
      </c>
      <c r="G1926" t="inlineStr">
        <is>
          <t>Consult</t>
        </is>
      </c>
      <c r="H1926" t="inlineStr">
        <is>
          <t>past-medical-history</t>
        </is>
      </c>
      <c r="I1926" t="inlineStr">
        <is>
          <t xml:space="preserve">
   - Diastolic CHF and pulmonary hypertension.</t>
        </is>
      </c>
    </row>
    <row r="1927">
      <c r="A1927" t="inlineStr">
        <is>
          <t>523148-past-medical-history-0-3</t>
        </is>
      </c>
      <c r="B1927" t="inlineStr"/>
      <c r="C1927" t="inlineStr"/>
      <c r="D1927">
        <f>HYPERLINK("http://nlpdeep.cs.uic.edu:8080/proofing/t5/523148-past-medical-history-0-3.pdf","t5/523148-past-medical-history-0-3.pdf")</f>
        <v/>
      </c>
      <c r="E1927" t="n">
        <v>120842</v>
      </c>
      <c r="F1927" t="n">
        <v>523148</v>
      </c>
      <c r="G1927" t="inlineStr">
        <is>
          <t>Consult</t>
        </is>
      </c>
      <c r="H1927" t="inlineStr">
        <is>
          <t>past-medical-history</t>
        </is>
      </c>
      <c r="I1927" t="inlineStr">
        <is>
          <t>Last TTE [**12/2151**] with EF
   &gt;55%, mild RV dilation with preserved function, estimated TR gradient
   43-63.</t>
        </is>
      </c>
    </row>
    <row r="1928">
      <c r="A1928" t="inlineStr">
        <is>
          <t>523148-past-medical-history-0-3</t>
        </is>
      </c>
      <c r="B1928" t="inlineStr"/>
      <c r="C1928" t="inlineStr"/>
      <c r="D1928">
        <f>HYPERLINK("http://nlpdeep.cs.uic.edu:8080/proofing/gsii/523148-past-medical-history-0-3.pdf","gsii/523148-past-medical-history-0-3.pdf")</f>
        <v/>
      </c>
      <c r="E1928" t="n">
        <v>120842</v>
      </c>
      <c r="F1928" t="n">
        <v>523148</v>
      </c>
      <c r="G1928" t="inlineStr">
        <is>
          <t>Consult</t>
        </is>
      </c>
      <c r="H1928" t="inlineStr">
        <is>
          <t>past-medical-history</t>
        </is>
      </c>
      <c r="I1928" t="inlineStr">
        <is>
          <t>Last TTE [**12/2151**] with EF
   &gt;55%, mild RV dilation with preserved function, estimated TR gradient
   43-63.</t>
        </is>
      </c>
    </row>
    <row r="1929">
      <c r="A1929" t="inlineStr">
        <is>
          <t>523148-past-medical-history-0-4</t>
        </is>
      </c>
      <c r="B1929" t="inlineStr"/>
      <c r="C1929" t="inlineStr"/>
      <c r="D1929">
        <f>HYPERLINK("http://nlpdeep.cs.uic.edu:8080/proofing/t5/523148-past-medical-history-0-4.pdf","t5/523148-past-medical-history-0-4.pdf")</f>
        <v/>
      </c>
      <c r="E1929" t="n">
        <v>120842</v>
      </c>
      <c r="F1929" t="n">
        <v>523148</v>
      </c>
      <c r="G1929" t="inlineStr">
        <is>
          <t>Consult</t>
        </is>
      </c>
      <c r="H1929" t="inlineStr">
        <is>
          <t>past-medical-history</t>
        </is>
      </c>
      <c r="I1929" t="inlineStr">
        <is>
          <t xml:space="preserve">
   - OSA on home CPAP
   - DM type II
   - HTN
   - s/p R TKR [**2153-3-5**], complicated by desaturation due to COPD
   exacerbation, dCHF, and ?narcotics.</t>
        </is>
      </c>
    </row>
    <row r="1930">
      <c r="A1930" t="inlineStr">
        <is>
          <t>523148-past-medical-history-0-4</t>
        </is>
      </c>
      <c r="B1930" t="inlineStr"/>
      <c r="C1930" t="inlineStr"/>
      <c r="D1930">
        <f>HYPERLINK("http://nlpdeep.cs.uic.edu:8080/proofing/gsii/523148-past-medical-history-0-4.pdf","gsii/523148-past-medical-history-0-4.pdf")</f>
        <v/>
      </c>
      <c r="E1930" t="n">
        <v>120842</v>
      </c>
      <c r="F1930" t="n">
        <v>523148</v>
      </c>
      <c r="G1930" t="inlineStr">
        <is>
          <t>Consult</t>
        </is>
      </c>
      <c r="H1930" t="inlineStr">
        <is>
          <t>past-medical-history</t>
        </is>
      </c>
      <c r="I1930" t="inlineStr">
        <is>
          <t xml:space="preserve">
   - OSA on home CPAP
   - DM type II
   - HTN
   - s/p R TKR [**2153-3-5**], complicated by desaturation due to COPD
   exacerbation, dCHF, and ?narcotics.</t>
        </is>
      </c>
    </row>
    <row r="1931">
      <c r="A1931" t="inlineStr">
        <is>
          <t>523148-past-medical-history-0-5</t>
        </is>
      </c>
      <c r="B1931" t="inlineStr"/>
      <c r="C1931" t="inlineStr"/>
      <c r="D1931">
        <f>HYPERLINK("http://nlpdeep.cs.uic.edu:8080/proofing/t5/523148-past-medical-history-0-5.pdf","t5/523148-past-medical-history-0-5.pdf")</f>
        <v/>
      </c>
      <c r="E1931" t="n">
        <v>120842</v>
      </c>
      <c r="F1931" t="n">
        <v>523148</v>
      </c>
      <c r="G1931" t="inlineStr">
        <is>
          <t>Consult</t>
        </is>
      </c>
      <c r="H1931" t="inlineStr">
        <is>
          <t>past-medical-history</t>
        </is>
      </c>
      <c r="I1931" t="inlineStr">
        <is>
          <t>- s/p L TKR
   - History of rectal cancer s/p chemo, XRT, and s/p transanal rectal ca
   excision
   - s/p h</t>
        </is>
      </c>
    </row>
    <row r="1932">
      <c r="A1932" t="inlineStr">
        <is>
          <t>523148-past-medical-history-0-5</t>
        </is>
      </c>
      <c r="B1932" t="inlineStr"/>
      <c r="C1932" t="inlineStr"/>
      <c r="D1932">
        <f>HYPERLINK("http://nlpdeep.cs.uic.edu:8080/proofing/gsii/523148-past-medical-history-0-5.pdf","gsii/523148-past-medical-history-0-5.pdf")</f>
        <v/>
      </c>
      <c r="E1932" t="n">
        <v>120842</v>
      </c>
      <c r="F1932" t="n">
        <v>523148</v>
      </c>
      <c r="G1932" t="inlineStr">
        <is>
          <t>Consult</t>
        </is>
      </c>
      <c r="H1932" t="inlineStr">
        <is>
          <t>past-medical-history</t>
        </is>
      </c>
      <c r="I1932" t="inlineStr">
        <is>
          <t>- s/p L TKR
   - History of rectal cancer s/p chemo, XRT, and s/p transanal rectal ca
   excision
   - s/p h</t>
        </is>
      </c>
    </row>
    <row r="1933">
      <c r="A1933" t="inlineStr">
        <is>
          <t>523148-social-and-family-history-0-0</t>
        </is>
      </c>
      <c r="B1933" t="inlineStr"/>
      <c r="C1933" t="inlineStr"/>
      <c r="D1933">
        <f>HYPERLINK("http://nlpdeep.cs.uic.edu:8080/proofing/t5/523148-social-and-family-history-0-0.pdf","t5/523148-social-and-family-history-0-0.pdf")</f>
        <v/>
      </c>
      <c r="E1933" t="n">
        <v>120842</v>
      </c>
      <c r="F1933" t="n">
        <v>523148</v>
      </c>
      <c r="G1933" t="inlineStr">
        <is>
          <t>Consult</t>
        </is>
      </c>
      <c r="H1933" t="inlineStr">
        <is>
          <t>social-and-family-history</t>
        </is>
      </c>
      <c r="I1933" t="inlineStr">
        <is>
          <t>Has 11 children and 27 grandchildren.</t>
        </is>
      </c>
    </row>
    <row r="1934">
      <c r="A1934" t="inlineStr">
        <is>
          <t>523148-social-and-family-history-0-0</t>
        </is>
      </c>
      <c r="B1934" t="inlineStr"/>
      <c r="C1934" t="inlineStr"/>
      <c r="D1934">
        <f>HYPERLINK("http://nlpdeep.cs.uic.edu:8080/proofing/gsii/523148-social-and-family-history-0-0.pdf","gsii/523148-social-and-family-history-0-0.pdf")</f>
        <v/>
      </c>
      <c r="E1934" t="n">
        <v>120842</v>
      </c>
      <c r="F1934" t="n">
        <v>523148</v>
      </c>
      <c r="G1934" t="inlineStr">
        <is>
          <t>Consult</t>
        </is>
      </c>
      <c r="H1934" t="inlineStr">
        <is>
          <t>social-and-family-history</t>
        </is>
      </c>
      <c r="I1934" t="inlineStr">
        <is>
          <t>Has 11 children and 27 grandchildren.</t>
        </is>
      </c>
    </row>
    <row r="1935">
      <c r="A1935" t="inlineStr">
        <is>
          <t>523148-social-and-family-history-0-1</t>
        </is>
      </c>
      <c r="B1935" t="inlineStr"/>
      <c r="C1935" t="inlineStr"/>
      <c r="D1935">
        <f>HYPERLINK("http://nlpdeep.cs.uic.edu:8080/proofing/t5/523148-social-and-family-history-0-1.pdf","t5/523148-social-and-family-history-0-1.pdf")</f>
        <v/>
      </c>
      <c r="E1935" t="n">
        <v>120842</v>
      </c>
      <c r="F1935" t="n">
        <v>523148</v>
      </c>
      <c r="G1935" t="inlineStr">
        <is>
          <t>Consult</t>
        </is>
      </c>
      <c r="H1935" t="inlineStr">
        <is>
          <t>social-and-family-history</t>
        </is>
      </c>
      <c r="I1935" t="inlineStr">
        <is>
          <t>She lives alone but has help from
   her many children.</t>
        </is>
      </c>
    </row>
    <row r="1936">
      <c r="A1936" t="inlineStr">
        <is>
          <t>523148-social-and-family-history-0-1</t>
        </is>
      </c>
      <c r="B1936" t="inlineStr"/>
      <c r="C1936" t="inlineStr"/>
      <c r="D1936">
        <f>HYPERLINK("http://nlpdeep.cs.uic.edu:8080/proofing/gsii/523148-social-and-family-history-0-1.pdf","gsii/523148-social-and-family-history-0-1.pdf")</f>
        <v/>
      </c>
      <c r="E1936" t="n">
        <v>120842</v>
      </c>
      <c r="F1936" t="n">
        <v>523148</v>
      </c>
      <c r="G1936" t="inlineStr">
        <is>
          <t>Consult</t>
        </is>
      </c>
      <c r="H1936" t="inlineStr">
        <is>
          <t>social-and-family-history</t>
        </is>
      </c>
      <c r="I1936" t="inlineStr">
        <is>
          <t>She lives alone but has help from
   her many children.</t>
        </is>
      </c>
    </row>
    <row r="1937">
      <c r="A1937" t="inlineStr">
        <is>
          <t>523148-social-and-family-history-0-2</t>
        </is>
      </c>
      <c r="B1937" t="inlineStr"/>
      <c r="C1937" t="inlineStr"/>
      <c r="D1937">
        <f>HYPERLINK("http://nlpdeep.cs.uic.edu:8080/proofing/t5/523148-social-and-family-history-0-2.pdf","t5/523148-social-and-family-history-0-2.pdf")</f>
        <v/>
      </c>
      <c r="E1937" t="n">
        <v>120842</v>
      </c>
      <c r="F1937" t="n">
        <v>523148</v>
      </c>
      <c r="G1937" t="inlineStr">
        <is>
          <t>Consult</t>
        </is>
      </c>
      <c r="H1937" t="inlineStr">
        <is>
          <t>social-and-family-history</t>
        </is>
      </c>
      <c r="I1937" t="inlineStr">
        <is>
          <t>Patient is a former smoker with 40-60 pack year
   smoking history but quit over 10 years prior.</t>
        </is>
      </c>
    </row>
    <row r="1938">
      <c r="A1938" t="inlineStr">
        <is>
          <t>523148-social-and-family-history-0-2</t>
        </is>
      </c>
      <c r="B1938" t="inlineStr"/>
      <c r="C1938" t="inlineStr"/>
      <c r="D1938">
        <f>HYPERLINK("http://nlpdeep.cs.uic.edu:8080/proofing/gsii/523148-social-and-family-history-0-2.pdf","gsii/523148-social-and-family-history-0-2.pdf")</f>
        <v/>
      </c>
      <c r="E1938" t="n">
        <v>120842</v>
      </c>
      <c r="F1938" t="n">
        <v>523148</v>
      </c>
      <c r="G1938" t="inlineStr">
        <is>
          <t>Consult</t>
        </is>
      </c>
      <c r="H1938" t="inlineStr">
        <is>
          <t>social-and-family-history</t>
        </is>
      </c>
      <c r="I1938" t="inlineStr">
        <is>
          <t>Patient is a former smoker with 40-60 pack year
   smoking history but quit over 10 years prior.</t>
        </is>
      </c>
    </row>
    <row r="1939">
      <c r="A1939" t="inlineStr">
        <is>
          <t>523148-social-and-family-history-0-3</t>
        </is>
      </c>
      <c r="B1939" t="inlineStr"/>
      <c r="C1939" t="inlineStr"/>
      <c r="D1939">
        <f>HYPERLINK("http://nlpdeep.cs.uic.edu:8080/proofing/t5/523148-social-and-family-history-0-3.pdf","t5/523148-social-and-family-history-0-3.pdf")</f>
        <v/>
      </c>
      <c r="E1939" t="n">
        <v>120842</v>
      </c>
      <c r="F1939" t="n">
        <v>523148</v>
      </c>
      <c r="G1939" t="inlineStr">
        <is>
          <t>Consult</t>
        </is>
      </c>
      <c r="H1939" t="inlineStr">
        <is>
          <t>social-and-family-history</t>
        </is>
      </c>
      <c r="I1939" t="inlineStr">
        <is>
          <t>No alcohol use.</t>
        </is>
      </c>
    </row>
    <row r="1940">
      <c r="A1940" t="inlineStr">
        <is>
          <t>523148-social-and-family-history-0-3</t>
        </is>
      </c>
      <c r="B1940" t="inlineStr"/>
      <c r="C1940" t="inlineStr"/>
      <c r="D1940">
        <f>HYPERLINK("http://nlpdeep.cs.uic.edu:8080/proofing/gsii/523148-social-and-family-history-0-3.pdf","gsii/523148-social-and-family-history-0-3.pdf")</f>
        <v/>
      </c>
      <c r="E1940" t="n">
        <v>120842</v>
      </c>
      <c r="F1940" t="n">
        <v>523148</v>
      </c>
      <c r="G1940" t="inlineStr">
        <is>
          <t>Consult</t>
        </is>
      </c>
      <c r="H1940" t="inlineStr">
        <is>
          <t>social-and-family-history</t>
        </is>
      </c>
      <c r="I1940" t="inlineStr">
        <is>
          <t>No alcohol use.</t>
        </is>
      </c>
    </row>
    <row r="1941">
      <c r="A1941" t="inlineStr">
        <is>
          <t>523148-social-and-family-history-0-4</t>
        </is>
      </c>
      <c r="B1941" t="inlineStr"/>
      <c r="C1941" t="inlineStr"/>
      <c r="D1941">
        <f>HYPERLINK("http://nlpdeep.cs.uic.edu:8080/proofing/t5/523148-social-and-family-history-0-4.pdf","t5/523148-social-and-family-history-0-4.pdf")</f>
        <v/>
      </c>
      <c r="E1941" t="n">
        <v>120842</v>
      </c>
      <c r="F1941" t="n">
        <v>523148</v>
      </c>
      <c r="G1941" t="inlineStr">
        <is>
          <t>Consult</t>
        </is>
      </c>
      <c r="H1941" t="inlineStr">
        <is>
          <t>social-and-family-history</t>
        </is>
      </c>
      <c r="I1941" t="inlineStr">
        <is>
          <t xml:space="preserve">
   Review of systems otherwise negative.</t>
        </is>
      </c>
    </row>
    <row r="1942">
      <c r="A1942" t="inlineStr">
        <is>
          <t>523148-social-and-family-history-0-4</t>
        </is>
      </c>
      <c r="B1942" t="inlineStr"/>
      <c r="C1942" t="inlineStr"/>
      <c r="D1942">
        <f>HYPERLINK("http://nlpdeep.cs.uic.edu:8080/proofing/gsii/523148-social-and-family-history-0-4.pdf","gsii/523148-social-and-family-history-0-4.pdf")</f>
        <v/>
      </c>
      <c r="E1942" t="n">
        <v>120842</v>
      </c>
      <c r="F1942" t="n">
        <v>523148</v>
      </c>
      <c r="G1942" t="inlineStr">
        <is>
          <t>Consult</t>
        </is>
      </c>
      <c r="H1942" t="inlineStr">
        <is>
          <t>social-and-family-history</t>
        </is>
      </c>
      <c r="I1942" t="inlineStr">
        <is>
          <t xml:space="preserve">
   Review of systems otherwise negative.</t>
        </is>
      </c>
    </row>
    <row r="1943">
      <c r="A1943" t="inlineStr">
        <is>
          <t>523148-physical-examination-0-0</t>
        </is>
      </c>
      <c r="B1943" t="inlineStr"/>
      <c r="C1943" t="inlineStr"/>
      <c r="D1943">
        <f>HYPERLINK("http://nlpdeep.cs.uic.edu:8080/proofing/t5/523148-physical-examination-0-0.pdf","t5/523148-physical-examination-0-0.pdf")</f>
        <v/>
      </c>
      <c r="E1943" t="n">
        <v>120842</v>
      </c>
      <c r="F1943" t="n">
        <v>523148</v>
      </c>
      <c r="G1943" t="inlineStr">
        <is>
          <t>Consult</t>
        </is>
      </c>
      <c r="H1943" t="inlineStr">
        <is>
          <t>physical-examination</t>
        </is>
      </c>
      <c r="I1943" t="inlineStr">
        <is>
          <t>VS - Temp 98F, BP 141/53, HR 79, RR 18, O2-sat 97% 3L
   GENERAL -  labored respirtaions but NAD
   NECK - supple, JVP ~8 cm, no carotid bruits, 2+ carotid pulses
   LUNGS - labored respirations with poor air movement and using acessory
   muscles, wheezing throughout.</t>
        </is>
      </c>
    </row>
    <row r="1944">
      <c r="A1944" t="inlineStr">
        <is>
          <t>523148-physical-examination-0-0</t>
        </is>
      </c>
      <c r="B1944" t="inlineStr"/>
      <c r="C1944" t="inlineStr"/>
      <c r="D1944">
        <f>HYPERLINK("http://nlpdeep.cs.uic.edu:8080/proofing/gsii/523148-physical-examination-0-0.pdf","gsii/523148-physical-examination-0-0.pdf")</f>
        <v/>
      </c>
      <c r="E1944" t="n">
        <v>120842</v>
      </c>
      <c r="F1944" t="n">
        <v>523148</v>
      </c>
      <c r="G1944" t="inlineStr">
        <is>
          <t>Consult</t>
        </is>
      </c>
      <c r="H1944" t="inlineStr">
        <is>
          <t>physical-examination</t>
        </is>
      </c>
      <c r="I1944" t="inlineStr">
        <is>
          <t>VS - Temp 98F, BP 141/53, HR 79, RR 18, O2-sat 97% 3L
   GENERAL -  labored respirtaions but NAD
   NECK - supple, JVP ~8 cm, no carotid bruits, 2+ carotid pulses
   LUNGS - labored respirations with poor air movement and using acessory
   muscles, wheezing throughout.</t>
        </is>
      </c>
    </row>
    <row r="1945">
      <c r="A1945" t="inlineStr">
        <is>
          <t>523148-physical-examination-0-1</t>
        </is>
      </c>
      <c r="B1945" t="inlineStr"/>
      <c r="C1945" t="inlineStr"/>
      <c r="D1945">
        <f>HYPERLINK("http://nlpdeep.cs.uic.edu:8080/proofing/t5/523148-physical-examination-0-1.pdf","t5/523148-physical-examination-0-1.pdf")</f>
        <v/>
      </c>
      <c r="E1945" t="n">
        <v>120842</v>
      </c>
      <c r="F1945" t="n">
        <v>523148</v>
      </c>
      <c r="G1945" t="inlineStr">
        <is>
          <t>Consult</t>
        </is>
      </c>
      <c r="H1945" t="inlineStr">
        <is>
          <t>physical-examination</t>
        </is>
      </c>
      <c r="I1945" t="inlineStr">
        <is>
          <t>HEART - PMI non-displaced, RRR, no MRG, nl S1-S2, no S3 or S4 h</t>
        </is>
      </c>
    </row>
    <row r="1946">
      <c r="A1946" t="inlineStr">
        <is>
          <t>523148-physical-examination-0-1</t>
        </is>
      </c>
      <c r="B1946" t="inlineStr"/>
      <c r="C1946" t="inlineStr"/>
      <c r="D1946">
        <f>HYPERLINK("http://nlpdeep.cs.uic.edu:8080/proofing/gsii/523148-physical-examination-0-1.pdf","gsii/523148-physical-examination-0-1.pdf")</f>
        <v/>
      </c>
      <c r="E1946" t="n">
        <v>120842</v>
      </c>
      <c r="F1946" t="n">
        <v>523148</v>
      </c>
      <c r="G1946" t="inlineStr">
        <is>
          <t>Consult</t>
        </is>
      </c>
      <c r="H1946" t="inlineStr">
        <is>
          <t>physical-examination</t>
        </is>
      </c>
      <c r="I1946" t="inlineStr">
        <is>
          <t>HEART - PMI non-displaced, RRR, no MRG, nl S1-S2, no S3 or S4 h</t>
        </is>
      </c>
    </row>
    <row r="1947">
      <c r="A1947" t="inlineStr">
        <is>
          <t>523148-labs-imaging-0-0</t>
        </is>
      </c>
      <c r="B1947" t="inlineStr"/>
      <c r="C1947" t="inlineStr"/>
      <c r="D1947">
        <f>HYPERLINK("http://nlpdeep.cs.uic.edu:8080/proofing/t5/523148-labs-imaging-0-0.pdf","t5/523148-labs-imaging-0-0.pdf")</f>
        <v/>
      </c>
      <c r="E1947" t="n">
        <v>120842</v>
      </c>
      <c r="F1947" t="n">
        <v>523148</v>
      </c>
      <c r="G1947" t="inlineStr">
        <is>
          <t>Consult</t>
        </is>
      </c>
      <c r="H1947" t="inlineStr">
        <is>
          <t>labs-imaging</t>
        </is>
      </c>
      <c r="I1947" t="inlineStr">
        <is>
          <t>.</t>
        </is>
      </c>
    </row>
    <row r="1948">
      <c r="A1948" t="inlineStr">
        <is>
          <t>523148-labs-imaging-0-0</t>
        </is>
      </c>
      <c r="B1948" t="inlineStr"/>
      <c r="C1948" t="inlineStr"/>
      <c r="D1948">
        <f>HYPERLINK("http://nlpdeep.cs.uic.edu:8080/proofing/gsii/523148-labs-imaging-0-0.pdf","gsii/523148-labs-imaging-0-0.pdf")</f>
        <v/>
      </c>
      <c r="E1948" t="n">
        <v>120842</v>
      </c>
      <c r="F1948" t="n">
        <v>523148</v>
      </c>
      <c r="G1948" t="inlineStr">
        <is>
          <t>Consult</t>
        </is>
      </c>
      <c r="H1948" t="inlineStr">
        <is>
          <t>labs-imaging</t>
        </is>
      </c>
      <c r="I1948" t="inlineStr">
        <is>
          <t>.</t>
        </is>
      </c>
    </row>
    <row r="1949">
      <c r="A1949" t="inlineStr">
        <is>
          <t>523148-labs-imaging-0-1</t>
        </is>
      </c>
      <c r="B1949" t="inlineStr"/>
      <c r="C1949" t="inlineStr"/>
      <c r="D1949">
        <f>HYPERLINK("http://nlpdeep.cs.uic.edu:8080/proofing/t5/523148-labs-imaging-0-1.pdf","t5/523148-labs-imaging-0-1.pdf")</f>
        <v/>
      </c>
      <c r="E1949" t="n">
        <v>120842</v>
      </c>
      <c r="F1949" t="n">
        <v>523148</v>
      </c>
      <c r="G1949" t="inlineStr">
        <is>
          <t>Consult</t>
        </is>
      </c>
      <c r="H1949" t="inlineStr">
        <is>
          <t>labs-imaging</t>
        </is>
      </c>
      <c r="I1949" t="inlineStr">
        <is>
          <t xml:space="preserve">
   138   100      20                     11.3
   ---|-------|------&lt; 187   .</t>
        </is>
      </c>
    </row>
    <row r="1950">
      <c r="A1950" t="inlineStr">
        <is>
          <t>523148-labs-imaging-0-1</t>
        </is>
      </c>
      <c r="B1950" t="inlineStr"/>
      <c r="C1950" t="inlineStr"/>
      <c r="D1950">
        <f>HYPERLINK("http://nlpdeep.cs.uic.edu:8080/proofing/gsii/523148-labs-imaging-0-1.pdf","gsii/523148-labs-imaging-0-1.pdf")</f>
        <v/>
      </c>
      <c r="E1950" t="n">
        <v>120842</v>
      </c>
      <c r="F1950" t="n">
        <v>523148</v>
      </c>
      <c r="G1950" t="inlineStr">
        <is>
          <t>Consult</t>
        </is>
      </c>
      <c r="H1950" t="inlineStr">
        <is>
          <t>labs-imaging</t>
        </is>
      </c>
      <c r="I1950" t="inlineStr">
        <is>
          <t xml:space="preserve">
   138   100      20                     11.3
   ---|-------|------&lt; 187   .</t>
        </is>
      </c>
    </row>
    <row r="1951">
      <c r="A1951" t="inlineStr">
        <is>
          <t>523148-assessment-and-plan-0-0</t>
        </is>
      </c>
      <c r="B1951" t="inlineStr"/>
      <c r="C1951" t="inlineStr"/>
      <c r="D1951">
        <f>HYPERLINK("http://nlpdeep.cs.uic.edu:8080/proofing/t5/523148-assessment-and-plan-0-0.pdf","t5/523148-assessment-and-plan-0-0.pdf")</f>
        <v/>
      </c>
      <c r="E1951" t="n">
        <v>120842</v>
      </c>
      <c r="F1951" t="n">
        <v>523148</v>
      </c>
      <c r="G1951" t="inlineStr">
        <is>
          <t>Consult</t>
        </is>
      </c>
      <c r="H1951" t="inlineStr">
        <is>
          <t>assessment-and-plan</t>
        </is>
      </c>
      <c r="I1951" t="inlineStr">
        <is>
          <t>-
   - Recommendation:
   1)</t>
        </is>
      </c>
    </row>
    <row r="1952">
      <c r="A1952" t="inlineStr">
        <is>
          <t>523148-assessment-and-plan-0-0</t>
        </is>
      </c>
      <c r="B1952" t="inlineStr"/>
      <c r="C1952" t="inlineStr"/>
      <c r="D1952">
        <f>HYPERLINK("http://nlpdeep.cs.uic.edu:8080/proofing/gsii/523148-assessment-and-plan-0-0.pdf","gsii/523148-assessment-and-plan-0-0.pdf")</f>
        <v/>
      </c>
      <c r="E1952" t="n">
        <v>120842</v>
      </c>
      <c r="F1952" t="n">
        <v>523148</v>
      </c>
      <c r="G1952" t="inlineStr">
        <is>
          <t>Consult</t>
        </is>
      </c>
      <c r="H1952" t="inlineStr">
        <is>
          <t>assessment-and-plan</t>
        </is>
      </c>
      <c r="I1952" t="inlineStr">
        <is>
          <t>-
   - Recommendation:
   1)</t>
        </is>
      </c>
    </row>
    <row r="1953">
      <c r="A1953" t="inlineStr">
        <is>
          <t>523149-reason-0-0</t>
        </is>
      </c>
      <c r="B1953" t="inlineStr"/>
      <c r="C1953" t="inlineStr"/>
      <c r="D1953">
        <f>HYPERLINK("http://nlpdeep.cs.uic.edu:8080/proofing/t5/523149-reason-0-0.pdf","t5/523149-reason-0-0.pdf")</f>
        <v/>
      </c>
      <c r="E1953" t="n">
        <v>120842</v>
      </c>
      <c r="F1953" t="n">
        <v>523149</v>
      </c>
      <c r="G1953" t="inlineStr">
        <is>
          <t>Consult</t>
        </is>
      </c>
      <c r="H1953" t="inlineStr">
        <is>
          <t>reason</t>
        </is>
      </c>
      <c r="I1953" t="inlineStr">
        <is>
          <t>?AVNRT vs AVRT
   .</t>
        </is>
      </c>
    </row>
    <row r="1954">
      <c r="A1954" t="inlineStr">
        <is>
          <t>523149-reason-0-0</t>
        </is>
      </c>
      <c r="B1954" t="inlineStr"/>
      <c r="C1954" t="inlineStr"/>
      <c r="D1954">
        <f>HYPERLINK("http://nlpdeep.cs.uic.edu:8080/proofing/gsii/523149-reason-0-0.pdf","gsii/523149-reason-0-0.pdf")</f>
        <v/>
      </c>
      <c r="E1954" t="n">
        <v>120842</v>
      </c>
      <c r="F1954" t="n">
        <v>523149</v>
      </c>
      <c r="G1954" t="inlineStr">
        <is>
          <t>Consult</t>
        </is>
      </c>
      <c r="H1954" t="inlineStr">
        <is>
          <t>reason</t>
        </is>
      </c>
      <c r="I1954" t="inlineStr">
        <is>
          <t>?AVNRT vs AVRT
   .</t>
        </is>
      </c>
    </row>
    <row r="1955">
      <c r="A1955" t="inlineStr">
        <is>
          <t>523149-history-of-present-illness-0-0</t>
        </is>
      </c>
      <c r="B1955" t="inlineStr"/>
      <c r="C1955" t="inlineStr"/>
      <c r="D1955">
        <f>HYPERLINK("http://nlpdeep.cs.uic.edu:8080/proofing/t5/523149-history-of-present-illness-0-0.pdf","t5/523149-history-of-present-illness-0-0.pdf")</f>
        <v/>
      </c>
      <c r="E1955" t="n">
        <v>120842</v>
      </c>
      <c r="F1955" t="n">
        <v>523149</v>
      </c>
      <c r="G1955" t="inlineStr">
        <is>
          <t>Consult</t>
        </is>
      </c>
      <c r="H1955" t="inlineStr">
        <is>
          <t>history-of-present-illness</t>
        </is>
      </c>
      <c r="I1955" t="inlineStr">
        <is>
          <t>73 yo Spanish speaking F with COPD on home O2, diastolic CHF, right TKR
   one month ago who presented to the ED with shortness of breath.</t>
        </is>
      </c>
    </row>
    <row r="1956">
      <c r="A1956" t="inlineStr">
        <is>
          <t>523149-history-of-present-illness-0-0</t>
        </is>
      </c>
      <c r="B1956" t="inlineStr"/>
      <c r="C1956" t="inlineStr"/>
      <c r="D1956">
        <f>HYPERLINK("http://nlpdeep.cs.uic.edu:8080/proofing/gsii/523149-history-of-present-illness-0-0.pdf","gsii/523149-history-of-present-illness-0-0.pdf")</f>
        <v/>
      </c>
      <c r="E1956" t="n">
        <v>120842</v>
      </c>
      <c r="F1956" t="n">
        <v>523149</v>
      </c>
      <c r="G1956" t="inlineStr">
        <is>
          <t>Consult</t>
        </is>
      </c>
      <c r="H1956" t="inlineStr">
        <is>
          <t>history-of-present-illness</t>
        </is>
      </c>
      <c r="I1956" t="inlineStr">
        <is>
          <t>73 yo Spanish speaking F with COPD on home O2, diastolic CHF, right TKR
   one month ago who presented to the ED with shortness of breath.</t>
        </is>
      </c>
    </row>
    <row r="1957">
      <c r="A1957" t="inlineStr">
        <is>
          <t>523149-history-of-present-illness-0-1</t>
        </is>
      </c>
      <c r="B1957" t="inlineStr"/>
      <c r="C1957" t="inlineStr"/>
      <c r="D1957">
        <f>HYPERLINK("http://nlpdeep.cs.uic.edu:8080/proofing/t5/523149-history-of-present-illness-0-1.pdf","t5/523149-history-of-present-illness-0-1.pdf")</f>
        <v/>
      </c>
      <c r="E1957" t="n">
        <v>120842</v>
      </c>
      <c r="F1957" t="n">
        <v>523149</v>
      </c>
      <c r="G1957" t="inlineStr">
        <is>
          <t>Consult</t>
        </is>
      </c>
      <c r="H1957" t="inlineStr">
        <is>
          <t>history-of-present-illness</t>
        </is>
      </c>
      <c r="I1957" t="inlineStr">
        <is>
          <t>In the
   ED she had an episode of SVT (of which she had another episode as
   recently [**3-26**] in the ED, broken with adenosine) that broke with high
   flow oxygen therapy alone.</t>
        </is>
      </c>
    </row>
    <row r="1958">
      <c r="A1958" t="inlineStr">
        <is>
          <t>523149-history-of-present-illness-0-1</t>
        </is>
      </c>
      <c r="B1958" t="inlineStr"/>
      <c r="C1958" t="inlineStr"/>
      <c r="D1958">
        <f>HYPERLINK("http://nlpdeep.cs.uic.edu:8080/proofing/gsii/523149-history-of-present-illness-0-1.pdf","gsii/523149-history-of-present-illness-0-1.pdf")</f>
        <v/>
      </c>
      <c r="E1958" t="n">
        <v>120842</v>
      </c>
      <c r="F1958" t="n">
        <v>523149</v>
      </c>
      <c r="G1958" t="inlineStr">
        <is>
          <t>Consult</t>
        </is>
      </c>
      <c r="H1958" t="inlineStr">
        <is>
          <t>history-of-present-illness</t>
        </is>
      </c>
      <c r="I1958" t="inlineStr">
        <is>
          <t>In the
   ED she had an episode of SVT (of which she had another episode as
   recently [**3-26**] in the ED, broken with adenosine) that broke with high
   flow oxygen therapy alone.</t>
        </is>
      </c>
    </row>
    <row r="1959">
      <c r="A1959" t="inlineStr">
        <is>
          <t>523149-history-of-present-illness-0-2</t>
        </is>
      </c>
      <c r="B1959" t="inlineStr"/>
      <c r="C1959" t="inlineStr"/>
      <c r="D1959">
        <f>HYPERLINK("http://nlpdeep.cs.uic.edu:8080/proofing/t5/523149-history-of-present-illness-0-2.pdf","t5/523149-history-of-present-illness-0-2.pdf")</f>
        <v/>
      </c>
      <c r="E1959" t="n">
        <v>120842</v>
      </c>
      <c r="F1959" t="n">
        <v>523149</v>
      </c>
      <c r="G1959" t="inlineStr">
        <is>
          <t>Consult</t>
        </is>
      </c>
      <c r="H1959" t="inlineStr">
        <is>
          <t>history-of-present-illness</t>
        </is>
      </c>
      <c r="I1959" t="inlineStr">
        <is>
          <t>She was initially admitted to the MICU where
   she had another episode of SVT that also broke with O2 therapy.</t>
        </is>
      </c>
    </row>
    <row r="1960">
      <c r="A1960" t="inlineStr">
        <is>
          <t>523149-history-of-present-illness-0-2</t>
        </is>
      </c>
      <c r="B1960" t="inlineStr"/>
      <c r="C1960" t="inlineStr"/>
      <c r="D1960">
        <f>HYPERLINK("http://nlpdeep.cs.uic.edu:8080/proofing/gsii/523149-history-of-present-illness-0-2.pdf","gsii/523149-history-of-present-illness-0-2.pdf")</f>
        <v/>
      </c>
      <c r="E1960" t="n">
        <v>120842</v>
      </c>
      <c r="F1960" t="n">
        <v>523149</v>
      </c>
      <c r="G1960" t="inlineStr">
        <is>
          <t>Consult</t>
        </is>
      </c>
      <c r="H1960" t="inlineStr">
        <is>
          <t>history-of-present-illness</t>
        </is>
      </c>
      <c r="I1960" t="inlineStr">
        <is>
          <t>She was initially admitted to the MICU where
   she had another episode of SVT that also broke with O2 therapy.</t>
        </is>
      </c>
    </row>
    <row r="1961">
      <c r="A1961" t="inlineStr">
        <is>
          <t>523149-history-of-present-illness-0-3</t>
        </is>
      </c>
      <c r="B1961" t="inlineStr"/>
      <c r="C1961" t="inlineStr"/>
      <c r="D1961">
        <f>HYPERLINK("http://nlpdeep.cs.uic.edu:8080/proofing/t5/523149-history-of-present-illness-0-3.pdf","t5/523149-history-of-present-illness-0-3.pdf")</f>
        <v/>
      </c>
      <c r="E1961" t="n">
        <v>120842</v>
      </c>
      <c r="F1961" t="n">
        <v>523149</v>
      </c>
      <c r="G1961" t="inlineStr">
        <is>
          <t>Consult</t>
        </is>
      </c>
      <c r="H1961" t="inlineStr">
        <is>
          <t>history-of-present-illness</t>
        </is>
      </c>
      <c r="I1961" t="inlineStr">
        <is>
          <t xml:space="preserve">
   [**Hospital **] transfered to the floor but again had an episode of SVT to
   120's and respiratory distress and transfered back to the MICU.</t>
        </is>
      </c>
    </row>
    <row r="1962">
      <c r="A1962" t="inlineStr">
        <is>
          <t>523149-history-of-present-illness-0-3</t>
        </is>
      </c>
      <c r="B1962" t="inlineStr"/>
      <c r="C1962" t="inlineStr"/>
      <c r="D1962">
        <f>HYPERLINK("http://nlpdeep.cs.uic.edu:8080/proofing/gsii/523149-history-of-present-illness-0-3.pdf","gsii/523149-history-of-present-illness-0-3.pdf")</f>
        <v/>
      </c>
      <c r="E1962" t="n">
        <v>120842</v>
      </c>
      <c r="F1962" t="n">
        <v>523149</v>
      </c>
      <c r="G1962" t="inlineStr">
        <is>
          <t>Consult</t>
        </is>
      </c>
      <c r="H1962" t="inlineStr">
        <is>
          <t>history-of-present-illness</t>
        </is>
      </c>
      <c r="I1962" t="inlineStr">
        <is>
          <t xml:space="preserve">
   [**Hospital **] transfered to the floor but again had an episode of SVT to
   120's and respiratory distress and transfered back to the MICU.</t>
        </is>
      </c>
    </row>
    <row r="1963">
      <c r="A1963" t="inlineStr">
        <is>
          <t>523149-history-of-present-illness-0-4</t>
        </is>
      </c>
      <c r="B1963" t="inlineStr"/>
      <c r="C1963" t="inlineStr"/>
      <c r="D1963">
        <f>HYPERLINK("http://nlpdeep.cs.uic.edu:8080/proofing/t5/523149-history-of-present-illness-0-4.pdf","t5/523149-history-of-present-illness-0-4.pdf")</f>
        <v/>
      </c>
      <c r="E1963" t="n">
        <v>120842</v>
      </c>
      <c r="F1963" t="n">
        <v>523149</v>
      </c>
      <c r="G1963" t="inlineStr">
        <is>
          <t>Consult</t>
        </is>
      </c>
      <c r="H1963" t="inlineStr">
        <is>
          <t>history-of-present-illness</t>
        </is>
      </c>
      <c r="I1963" t="inlineStr">
        <is>
          <t>In the
   MICU she was noted to have this episoded of SVT in the setting of cough
   spells despite having started diltiazem 30 mg PO QID on [**2153-4-8**].</t>
        </is>
      </c>
    </row>
    <row r="1964">
      <c r="A1964" t="inlineStr">
        <is>
          <t>523149-history-of-present-illness-0-4</t>
        </is>
      </c>
      <c r="B1964" t="inlineStr"/>
      <c r="C1964" t="inlineStr"/>
      <c r="D1964">
        <f>HYPERLINK("http://nlpdeep.cs.uic.edu:8080/proofing/gsii/523149-history-of-present-illness-0-4.pdf","gsii/523149-history-of-present-illness-0-4.pdf")</f>
        <v/>
      </c>
      <c r="E1964" t="n">
        <v>120842</v>
      </c>
      <c r="F1964" t="n">
        <v>523149</v>
      </c>
      <c r="G1964" t="inlineStr">
        <is>
          <t>Consult</t>
        </is>
      </c>
      <c r="H1964" t="inlineStr">
        <is>
          <t>history-of-present-illness</t>
        </is>
      </c>
      <c r="I1964" t="inlineStr">
        <is>
          <t>In the
   MICU she was noted to have this episoded of SVT in the setting of cough
   spells despite having started diltiazem 30 mg PO QID on [**2153-4-8**].</t>
        </is>
      </c>
    </row>
    <row r="1965">
      <c r="A1965" t="inlineStr">
        <is>
          <t>523149-history-of-present-illness-0-5</t>
        </is>
      </c>
      <c r="B1965" t="inlineStr"/>
      <c r="C1965" t="inlineStr"/>
      <c r="D1965">
        <f>HYPERLINK("http://nlpdeep.cs.uic.edu:8080/proofing/t5/523149-history-of-present-illness-0-5.pdf","t5/523149-history-of-present-illness-0-5.pdf")</f>
        <v/>
      </c>
      <c r="E1965" t="n">
        <v>120842</v>
      </c>
      <c r="F1965" t="n">
        <v>523149</v>
      </c>
      <c r="G1965" t="inlineStr">
        <is>
          <t>Consult</t>
        </is>
      </c>
      <c r="H1965" t="inlineStr">
        <is>
          <t>history-of-present-illness</t>
        </is>
      </c>
      <c r="I1965" t="inlineStr">
        <is>
          <t>Given
   her history of dCHF the medicine team is worried that she might be
   intermittently flashing when she is tachycardic.</t>
        </is>
      </c>
    </row>
    <row r="1966">
      <c r="A1966" t="inlineStr">
        <is>
          <t>523149-history-of-present-illness-0-5</t>
        </is>
      </c>
      <c r="B1966" t="inlineStr"/>
      <c r="C1966" t="inlineStr"/>
      <c r="D1966">
        <f>HYPERLINK("http://nlpdeep.cs.uic.edu:8080/proofing/gsii/523149-history-of-present-illness-0-5.pdf","gsii/523149-history-of-present-illness-0-5.pdf")</f>
        <v/>
      </c>
      <c r="E1966" t="n">
        <v>120842</v>
      </c>
      <c r="F1966" t="n">
        <v>523149</v>
      </c>
      <c r="G1966" t="inlineStr">
        <is>
          <t>Consult</t>
        </is>
      </c>
      <c r="H1966" t="inlineStr">
        <is>
          <t>history-of-present-illness</t>
        </is>
      </c>
      <c r="I1966" t="inlineStr">
        <is>
          <t>Given
   her history of dCHF the medicine team is worried that she might be
   intermittently flashing when she is tachycardic.</t>
        </is>
      </c>
    </row>
    <row r="1967">
      <c r="A1967" t="inlineStr">
        <is>
          <t>523149-history-of-present-illness-1-0</t>
        </is>
      </c>
      <c r="B1967" t="inlineStr"/>
      <c r="C1967" t="inlineStr"/>
      <c r="D1967">
        <f>HYPERLINK("http://nlpdeep.cs.uic.edu:8080/proofing/t5/523149-history-of-present-illness-1-0.pdf","t5/523149-history-of-present-illness-1-0.pdf")</f>
        <v/>
      </c>
      <c r="E1967" t="n">
        <v>120842</v>
      </c>
      <c r="F1967" t="n">
        <v>523149</v>
      </c>
      <c r="G1967" t="inlineStr">
        <is>
          <t>Consult</t>
        </is>
      </c>
      <c r="H1967" t="inlineStr">
        <is>
          <t>history-of-present-illness</t>
        </is>
      </c>
      <c r="I1967" t="inlineStr">
        <is>
          <t xml:space="preserve">
   Upon interviewing the patient she stated that she does not have a
   history of abnormal heart rhythms and that the first episode was the
   one on [**3-26**].</t>
        </is>
      </c>
    </row>
    <row r="1968">
      <c r="A1968" t="inlineStr">
        <is>
          <t>523149-history-of-present-illness-1-0</t>
        </is>
      </c>
      <c r="B1968" t="inlineStr"/>
      <c r="C1968" t="inlineStr"/>
      <c r="D1968">
        <f>HYPERLINK("http://nlpdeep.cs.uic.edu:8080/proofing/gsii/523149-history-of-present-illness-1-0.pdf","gsii/523149-history-of-present-illness-1-0.pdf")</f>
        <v/>
      </c>
      <c r="E1968" t="n">
        <v>120842</v>
      </c>
      <c r="F1968" t="n">
        <v>523149</v>
      </c>
      <c r="G1968" t="inlineStr">
        <is>
          <t>Consult</t>
        </is>
      </c>
      <c r="H1968" t="inlineStr">
        <is>
          <t>history-of-present-illness</t>
        </is>
      </c>
      <c r="I1968" t="inlineStr">
        <is>
          <t xml:space="preserve">
   Upon interviewing the patient she stated that she does not have a
   history of abnormal heart rhythms and that the first episode was the
   one on [**3-26**].</t>
        </is>
      </c>
    </row>
    <row r="1969">
      <c r="A1969" t="inlineStr">
        <is>
          <t>523149-history-of-present-illness-1-1</t>
        </is>
      </c>
      <c r="B1969" t="inlineStr"/>
      <c r="C1969" t="inlineStr"/>
      <c r="D1969">
        <f>HYPERLINK("http://nlpdeep.cs.uic.edu:8080/proofing/t5/523149-history-of-present-illness-1-1.pdf","t5/523149-history-of-present-illness-1-1.pdf")</f>
        <v/>
      </c>
      <c r="E1969" t="n">
        <v>120842</v>
      </c>
      <c r="F1969" t="n">
        <v>523149</v>
      </c>
      <c r="G1969" t="inlineStr">
        <is>
          <t>Consult</t>
        </is>
      </c>
      <c r="H1969" t="inlineStr">
        <is>
          <t>history-of-present-illness</t>
        </is>
      </c>
      <c r="I1969" t="inlineStr">
        <is>
          <t>She reports associated palpitations, chest tightness and
   SOB when she is having these episodes but denies dizziness or
   lightheadedness.</t>
        </is>
      </c>
    </row>
    <row r="1970">
      <c r="A1970" t="inlineStr">
        <is>
          <t>523149-history-of-present-illness-1-1</t>
        </is>
      </c>
      <c r="B1970" t="inlineStr"/>
      <c r="C1970" t="inlineStr"/>
      <c r="D1970">
        <f>HYPERLINK("http://nlpdeep.cs.uic.edu:8080/proofing/gsii/523149-history-of-present-illness-1-1.pdf","gsii/523149-history-of-present-illness-1-1.pdf")</f>
        <v/>
      </c>
      <c r="E1970" t="n">
        <v>120842</v>
      </c>
      <c r="F1970" t="n">
        <v>523149</v>
      </c>
      <c r="G1970" t="inlineStr">
        <is>
          <t>Consult</t>
        </is>
      </c>
      <c r="H1970" t="inlineStr">
        <is>
          <t>history-of-present-illness</t>
        </is>
      </c>
      <c r="I1970" t="inlineStr">
        <is>
          <t>She reports associated palpitations, chest tightness and
   SOB when she is having these episodes but denies dizziness or
   lightheadedness.</t>
        </is>
      </c>
    </row>
    <row r="1971">
      <c r="A1971" t="inlineStr">
        <is>
          <t>523149-history-of-present-illness-1-2</t>
        </is>
      </c>
      <c r="B1971" t="inlineStr"/>
      <c r="C1971" t="inlineStr"/>
      <c r="D1971">
        <f>HYPERLINK("http://nlpdeep.cs.uic.edu:8080/proofing/t5/523149-history-of-present-illness-1-2.pdf","t5/523149-history-of-present-illness-1-2.pdf")</f>
        <v/>
      </c>
      <c r="E1971" t="n">
        <v>120842</v>
      </c>
      <c r="F1971" t="n">
        <v>523149</v>
      </c>
      <c r="G1971" t="inlineStr">
        <is>
          <t>Consult</t>
        </is>
      </c>
      <c r="H1971" t="inlineStr">
        <is>
          <t>history-of-present-illness</t>
        </is>
      </c>
      <c r="I1971" t="inlineStr">
        <is>
          <t xml:space="preserve">
   .</t>
        </is>
      </c>
    </row>
    <row r="1972">
      <c r="A1972" t="inlineStr">
        <is>
          <t>523149-history-of-present-illness-1-2</t>
        </is>
      </c>
      <c r="B1972" t="inlineStr"/>
      <c r="C1972" t="inlineStr"/>
      <c r="D1972">
        <f>HYPERLINK("http://nlpdeep.cs.uic.edu:8080/proofing/gsii/523149-history-of-present-illness-1-2.pdf","gsii/523149-history-of-present-illness-1-2.pdf")</f>
        <v/>
      </c>
      <c r="E1972" t="n">
        <v>120842</v>
      </c>
      <c r="F1972" t="n">
        <v>523149</v>
      </c>
      <c r="G1972" t="inlineStr">
        <is>
          <t>Consult</t>
        </is>
      </c>
      <c r="H1972" t="inlineStr">
        <is>
          <t>history-of-present-illness</t>
        </is>
      </c>
      <c r="I1972" t="inlineStr">
        <is>
          <t xml:space="preserve">
   .</t>
        </is>
      </c>
    </row>
    <row r="1973">
      <c r="A1973" t="inlineStr">
        <is>
          <t>523149-allergies-0-0</t>
        </is>
      </c>
      <c r="B1973" t="inlineStr"/>
      <c r="C1973" t="inlineStr"/>
      <c r="D1973">
        <f>HYPERLINK("http://nlpdeep.cs.uic.edu:8080/proofing/t5/523149-allergies-0-0.pdf","t5/523149-allergies-0-0.pdf")</f>
        <v/>
      </c>
      <c r="E1973" t="n">
        <v>120842</v>
      </c>
      <c r="F1973" t="n">
        <v>523149</v>
      </c>
      <c r="G1973" t="inlineStr">
        <is>
          <t>Consult</t>
        </is>
      </c>
      <c r="H1973" t="inlineStr">
        <is>
          <t>allergies</t>
        </is>
      </c>
      <c r="I1973" t="inlineStr">
        <is>
          <t>Hayfever
   .</t>
        </is>
      </c>
    </row>
    <row r="1974">
      <c r="A1974" t="inlineStr">
        <is>
          <t>523149-allergies-0-0</t>
        </is>
      </c>
      <c r="B1974" t="inlineStr"/>
      <c r="C1974" t="inlineStr"/>
      <c r="D1974">
        <f>HYPERLINK("http://nlpdeep.cs.uic.edu:8080/proofing/gsii/523149-allergies-0-0.pdf","gsii/523149-allergies-0-0.pdf")</f>
        <v/>
      </c>
      <c r="E1974" t="n">
        <v>120842</v>
      </c>
      <c r="F1974" t="n">
        <v>523149</v>
      </c>
      <c r="G1974" t="inlineStr">
        <is>
          <t>Consult</t>
        </is>
      </c>
      <c r="H1974" t="inlineStr">
        <is>
          <t>allergies</t>
        </is>
      </c>
      <c r="I1974" t="inlineStr">
        <is>
          <t>Hayfever
   .</t>
        </is>
      </c>
    </row>
    <row r="1975">
      <c r="A1975" t="inlineStr">
        <is>
          <t>523149-medication-history-0-0</t>
        </is>
      </c>
      <c r="B1975" t="inlineStr"/>
      <c r="C1975" t="inlineStr"/>
      <c r="D1975">
        <f>HYPERLINK("http://nlpdeep.cs.uic.edu:8080/proofing/t5/523149-medication-history-0-0.pdf","t5/523149-medication-history-0-0.pdf")</f>
        <v/>
      </c>
      <c r="E1975" t="n">
        <v>120842</v>
      </c>
      <c r="F1975" t="n">
        <v>523149</v>
      </c>
      <c r="G1975" t="inlineStr">
        <is>
          <t>Consult</t>
        </is>
      </c>
      <c r="H1975" t="inlineStr">
        <is>
          <t>medication-history</t>
        </is>
      </c>
      <c r="I1975" t="inlineStr">
        <is>
          <t>- Home O2 - 2LPM at rest, 4 LPM with exertion
   - Advair 500-50 twice a day
   - Albuterol neb or MDI Q6H as needed for wheezing, SOB.</t>
        </is>
      </c>
    </row>
    <row r="1976">
      <c r="A1976" t="inlineStr">
        <is>
          <t>523149-medication-history-0-0</t>
        </is>
      </c>
      <c r="B1976" t="inlineStr"/>
      <c r="C1976" t="inlineStr"/>
      <c r="D1976">
        <f>HYPERLINK("http://nlpdeep.cs.uic.edu:8080/proofing/gsii/523149-medication-history-0-0.pdf","gsii/523149-medication-history-0-0.pdf")</f>
        <v/>
      </c>
      <c r="E1976" t="n">
        <v>120842</v>
      </c>
      <c r="F1976" t="n">
        <v>523149</v>
      </c>
      <c r="G1976" t="inlineStr">
        <is>
          <t>Consult</t>
        </is>
      </c>
      <c r="H1976" t="inlineStr">
        <is>
          <t>medication-history</t>
        </is>
      </c>
      <c r="I1976" t="inlineStr">
        <is>
          <t>- Home O2 - 2LPM at rest, 4 LPM with exertion
   - Advair 500-50 twice a day
   - Albuterol neb or MDI Q6H as needed for wheezing, SOB.</t>
        </is>
      </c>
    </row>
    <row r="1977">
      <c r="A1977" t="inlineStr">
        <is>
          <t>523149-medication-history-0-1</t>
        </is>
      </c>
      <c r="B1977" t="inlineStr"/>
      <c r="C1977" t="inlineStr"/>
      <c r="D1977">
        <f>HYPERLINK("http://nlpdeep.cs.uic.edu:8080/proofing/t5/523149-medication-history-0-1.pdf","t5/523149-medication-history-0-1.pdf")</f>
        <v/>
      </c>
      <c r="E1977" t="n">
        <v>120842</v>
      </c>
      <c r="F1977" t="n">
        <v>523149</v>
      </c>
      <c r="G1977" t="inlineStr">
        <is>
          <t>Consult</t>
        </is>
      </c>
      <c r="H1977" t="inlineStr">
        <is>
          <t>medication-history</t>
        </is>
      </c>
      <c r="I1977" t="inlineStr">
        <is>
          <t xml:space="preserve">
   - Captopril 50 mg TID
   - Fluoxetine 20 mg TID
   - Glipizide 5 mg [**Hospital1 7**]
   - Hydrochlorothiazide 12.5 mg DAILY
   - Lorazepam 0.5 mg Q8H as needed for Anxiety.</t>
        </is>
      </c>
    </row>
    <row r="1978">
      <c r="A1978" t="inlineStr">
        <is>
          <t>523149-medication-history-0-1</t>
        </is>
      </c>
      <c r="B1978" t="inlineStr"/>
      <c r="C1978" t="inlineStr"/>
      <c r="D1978">
        <f>HYPERLINK("http://nlpdeep.cs.uic.edu:8080/proofing/gsii/523149-medication-history-0-1.pdf","gsii/523149-medication-history-0-1.pdf")</f>
        <v/>
      </c>
      <c r="E1978" t="n">
        <v>120842</v>
      </c>
      <c r="F1978" t="n">
        <v>523149</v>
      </c>
      <c r="G1978" t="inlineStr">
        <is>
          <t>Consult</t>
        </is>
      </c>
      <c r="H1978" t="inlineStr">
        <is>
          <t>medication-history</t>
        </is>
      </c>
      <c r="I1978" t="inlineStr">
        <is>
          <t xml:space="preserve">
   - Captopril 50 mg TID
   - Fluoxetine 20 mg TID
   - Glipizide 5 mg [**Hospital1 7**]
   - Hydrochlorothiazide 12.5 mg DAILY
   - Lorazepam 0.5 mg Q8H as needed for Anxiety.</t>
        </is>
      </c>
    </row>
    <row r="1979">
      <c r="A1979" t="inlineStr">
        <is>
          <t>523149-medication-history-0-2</t>
        </is>
      </c>
      <c r="B1979" t="inlineStr"/>
      <c r="C1979" t="inlineStr"/>
      <c r="D1979">
        <f>HYPERLINK("http://nlpdeep.cs.uic.edu:8080/proofing/t5/523149-medication-history-0-2.pdf","t5/523149-medication-history-0-2.pdf")</f>
        <v/>
      </c>
      <c r="E1979" t="n">
        <v>120842</v>
      </c>
      <c r="F1979" t="n">
        <v>523149</v>
      </c>
      <c r="G1979" t="inlineStr">
        <is>
          <t>Consult</t>
        </is>
      </c>
      <c r="H1979" t="inlineStr">
        <is>
          <t>medication-history</t>
        </is>
      </c>
      <c r="I1979" t="inlineStr">
        <is>
          <t xml:space="preserve">
   - Metformin 500 mg SR [**Hospital1 7**]
   - Montelukast 10 mg DAILY
   - Simvastatin 40 mg DAILY
   - Spiriva 18 mcg once a day.</t>
        </is>
      </c>
    </row>
    <row r="1980">
      <c r="A1980" t="inlineStr">
        <is>
          <t>523149-medication-history-0-2</t>
        </is>
      </c>
      <c r="B1980" t="inlineStr"/>
      <c r="C1980" t="inlineStr"/>
      <c r="D1980">
        <f>HYPERLINK("http://nlpdeep.cs.uic.edu:8080/proofing/gsii/523149-medication-history-0-2.pdf","gsii/523149-medication-history-0-2.pdf")</f>
        <v/>
      </c>
      <c r="E1980" t="n">
        <v>120842</v>
      </c>
      <c r="F1980" t="n">
        <v>523149</v>
      </c>
      <c r="G1980" t="inlineStr">
        <is>
          <t>Consult</t>
        </is>
      </c>
      <c r="H1980" t="inlineStr">
        <is>
          <t>medication-history</t>
        </is>
      </c>
      <c r="I1980" t="inlineStr">
        <is>
          <t xml:space="preserve">
   - Metformin 500 mg SR [**Hospital1 7**]
   - Montelukast 10 mg DAILY
   - Simvastatin 40 mg DAILY
   - Spiriva 18 mcg once a day.</t>
        </is>
      </c>
    </row>
    <row r="1981">
      <c r="A1981" t="inlineStr">
        <is>
          <t>523149-medication-history-0-3</t>
        </is>
      </c>
      <c r="B1981" t="inlineStr"/>
      <c r="C1981" t="inlineStr"/>
      <c r="D1981">
        <f>HYPERLINK("http://nlpdeep.cs.uic.edu:8080/proofing/t5/523149-medication-history-0-3.pdf","t5/523149-medication-history-0-3.pdf")</f>
        <v/>
      </c>
      <c r="E1981" t="n">
        <v>120842</v>
      </c>
      <c r="F1981" t="n">
        <v>523149</v>
      </c>
      <c r="G1981" t="inlineStr">
        <is>
          <t>Consult</t>
        </is>
      </c>
      <c r="H1981" t="inlineStr">
        <is>
          <t>medication-history</t>
        </is>
      </c>
      <c r="I1981" t="inlineStr">
        <is>
          <t xml:space="preserve">
   - Calcium 500 + D 500 mg(1,250mg)-400 unit twice a day.</t>
        </is>
      </c>
    </row>
    <row r="1982">
      <c r="A1982" t="inlineStr">
        <is>
          <t>523149-medication-history-0-3</t>
        </is>
      </c>
      <c r="B1982" t="inlineStr"/>
      <c r="C1982" t="inlineStr"/>
      <c r="D1982">
        <f>HYPERLINK("http://nlpdeep.cs.uic.edu:8080/proofing/gsii/523149-medication-history-0-3.pdf","gsii/523149-medication-history-0-3.pdf")</f>
        <v/>
      </c>
      <c r="E1982" t="n">
        <v>120842</v>
      </c>
      <c r="F1982" t="n">
        <v>523149</v>
      </c>
      <c r="G1982" t="inlineStr">
        <is>
          <t>Consult</t>
        </is>
      </c>
      <c r="H1982" t="inlineStr">
        <is>
          <t>medication-history</t>
        </is>
      </c>
      <c r="I1982" t="inlineStr">
        <is>
          <t xml:space="preserve">
   - Calcium 500 + D 500 mg(1,250mg)-400 unit twice a day.</t>
        </is>
      </c>
    </row>
    <row r="1983">
      <c r="A1983" t="inlineStr">
        <is>
          <t>523149-medication-history-0-4</t>
        </is>
      </c>
      <c r="B1983" t="inlineStr"/>
      <c r="C1983" t="inlineStr"/>
      <c r="D1983">
        <f>HYPERLINK("http://nlpdeep.cs.uic.edu:8080/proofing/t5/523149-medication-history-0-4.pdf","t5/523149-medication-history-0-4.pdf")</f>
        <v/>
      </c>
      <c r="E1983" t="n">
        <v>120842</v>
      </c>
      <c r="F1983" t="n">
        <v>523149</v>
      </c>
      <c r="G1983" t="inlineStr">
        <is>
          <t>Consult</t>
        </is>
      </c>
      <c r="H1983" t="inlineStr">
        <is>
          <t>medication-history</t>
        </is>
      </c>
      <c r="I1983" t="inlineStr">
        <is>
          <t xml:space="preserve">
   - Enoxaparin 30 mg/0.3 mL SC Q12H for 4 weeks. ***
   - Omeprazole 20 mg once a day.</t>
        </is>
      </c>
    </row>
    <row r="1984">
      <c r="A1984" t="inlineStr">
        <is>
          <t>523149-medication-history-0-4</t>
        </is>
      </c>
      <c r="B1984" t="inlineStr"/>
      <c r="C1984" t="inlineStr"/>
      <c r="D1984">
        <f>HYPERLINK("http://nlpdeep.cs.uic.edu:8080/proofing/gsii/523149-medication-history-0-4.pdf","gsii/523149-medication-history-0-4.pdf")</f>
        <v/>
      </c>
      <c r="E1984" t="n">
        <v>120842</v>
      </c>
      <c r="F1984" t="n">
        <v>523149</v>
      </c>
      <c r="G1984" t="inlineStr">
        <is>
          <t>Consult</t>
        </is>
      </c>
      <c r="H1984" t="inlineStr">
        <is>
          <t>medication-history</t>
        </is>
      </c>
      <c r="I1984" t="inlineStr">
        <is>
          <t xml:space="preserve">
   - Enoxaparin 30 mg/0.3 mL SC Q12H for 4 weeks. ***
   - Omeprazole 20 mg once a day.</t>
        </is>
      </c>
    </row>
    <row r="1985">
      <c r="A1985" t="inlineStr">
        <is>
          <t>523149-medication-history-0-5</t>
        </is>
      </c>
      <c r="B1985" t="inlineStr"/>
      <c r="C1985" t="inlineStr"/>
      <c r="D1985">
        <f>HYPERLINK("http://nlpdeep.cs.uic.edu:8080/proofing/t5/523149-medication-history-0-5.pdf","t5/523149-medication-history-0-5.pdf")</f>
        <v/>
      </c>
      <c r="E1985" t="n">
        <v>120842</v>
      </c>
      <c r="F1985" t="n">
        <v>523149</v>
      </c>
      <c r="G1985" t="inlineStr">
        <is>
          <t>Consult</t>
        </is>
      </c>
      <c r="H1985" t="inlineStr">
        <is>
          <t>medication-history</t>
        </is>
      </c>
      <c r="I1985" t="inlineStr">
        <is>
          <t xml:space="preserve">
   - Docusate Sodium 100 mg [**Hospital1 7**]
   - Senna 8.6 mg Two (2) Tablet PO at bedtime as needed
   - Oxycodone 5 mg: 1-2 Tablets PO Q4H as needed for pain.</t>
        </is>
      </c>
    </row>
    <row r="1986">
      <c r="A1986" t="inlineStr">
        <is>
          <t>523149-medication-history-0-5</t>
        </is>
      </c>
      <c r="B1986" t="inlineStr"/>
      <c r="C1986" t="inlineStr"/>
      <c r="D1986">
        <f>HYPERLINK("http://nlpdeep.cs.uic.edu:8080/proofing/gsii/523149-medication-history-0-5.pdf","gsii/523149-medication-history-0-5.pdf")</f>
        <v/>
      </c>
      <c r="E1986" t="n">
        <v>120842</v>
      </c>
      <c r="F1986" t="n">
        <v>523149</v>
      </c>
      <c r="G1986" t="inlineStr">
        <is>
          <t>Consult</t>
        </is>
      </c>
      <c r="H1986" t="inlineStr">
        <is>
          <t>medication-history</t>
        </is>
      </c>
      <c r="I1986" t="inlineStr">
        <is>
          <t xml:space="preserve">
   - Docusate Sodium 100 mg [**Hospital1 7**]
   - Senna 8.6 mg Two (2) Tablet PO at bedtime as needed
   - Oxycodone 5 mg: 1-2 Tablets PO Q4H as needed for pain.</t>
        </is>
      </c>
    </row>
    <row r="1987">
      <c r="A1987" t="inlineStr">
        <is>
          <t>523149-medication-history-0-6</t>
        </is>
      </c>
      <c r="B1987" t="inlineStr"/>
      <c r="C1987" t="inlineStr"/>
      <c r="D1987">
        <f>HYPERLINK("http://nlpdeep.cs.uic.edu:8080/proofing/t5/523149-medication-history-0-6.pdf","t5/523149-medication-history-0-6.pdf")</f>
        <v/>
      </c>
      <c r="E1987" t="n">
        <v>120842</v>
      </c>
      <c r="F1987" t="n">
        <v>523149</v>
      </c>
      <c r="G1987" t="inlineStr">
        <is>
          <t>Consult</t>
        </is>
      </c>
      <c r="H1987" t="inlineStr">
        <is>
          <t>medication-history</t>
        </is>
      </c>
      <c r="I1987" t="inlineStr">
        <is>
          <t xml:space="preserve">
   - Multivitamin DAILY
   - Ferrous Sulfate 300 mg DAILY
   - Acetaminophen 1000 mg three times a day for 3 weeks.</t>
        </is>
      </c>
    </row>
    <row r="1988">
      <c r="A1988" t="inlineStr">
        <is>
          <t>523149-medication-history-0-6</t>
        </is>
      </c>
      <c r="B1988" t="inlineStr"/>
      <c r="C1988" t="inlineStr"/>
      <c r="D1988">
        <f>HYPERLINK("http://nlpdeep.cs.uic.edu:8080/proofing/gsii/523149-medication-history-0-6.pdf","gsii/523149-medication-history-0-6.pdf")</f>
        <v/>
      </c>
      <c r="E1988" t="n">
        <v>120842</v>
      </c>
      <c r="F1988" t="n">
        <v>523149</v>
      </c>
      <c r="G1988" t="inlineStr">
        <is>
          <t>Consult</t>
        </is>
      </c>
      <c r="H1988" t="inlineStr">
        <is>
          <t>medication-history</t>
        </is>
      </c>
      <c r="I1988" t="inlineStr">
        <is>
          <t xml:space="preserve">
   - Multivitamin DAILY
   - Ferrous Sulfate 300 mg DAILY
   - Acetaminophen 1000 mg three times a day for 3 weeks.</t>
        </is>
      </c>
    </row>
    <row r="1989">
      <c r="A1989" t="inlineStr">
        <is>
          <t>523149-medication-history-0-7</t>
        </is>
      </c>
      <c r="B1989" t="inlineStr"/>
      <c r="C1989" t="inlineStr"/>
      <c r="D1989">
        <f>HYPERLINK("http://nlpdeep.cs.uic.edu:8080/proofing/t5/523149-medication-history-0-7.pdf","t5/523149-medication-history-0-7.pdf")</f>
        <v/>
      </c>
      <c r="E1989" t="n">
        <v>120842</v>
      </c>
      <c r="F1989" t="n">
        <v>523149</v>
      </c>
      <c r="G1989" t="inlineStr">
        <is>
          <t>Consult</t>
        </is>
      </c>
      <c r="H1989" t="inlineStr">
        <is>
          <t>medication-history</t>
        </is>
      </c>
      <c r="I1989" t="inlineStr">
        <is>
          <t xml:space="preserve">
   - Miralax 17 gram Powder once a day as needed for constipation.</t>
        </is>
      </c>
    </row>
    <row r="1990">
      <c r="A1990" t="inlineStr">
        <is>
          <t>523149-medication-history-0-7</t>
        </is>
      </c>
      <c r="B1990" t="inlineStr"/>
      <c r="C1990" t="inlineStr"/>
      <c r="D1990">
        <f>HYPERLINK("http://nlpdeep.cs.uic.edu:8080/proofing/gsii/523149-medication-history-0-7.pdf","gsii/523149-medication-history-0-7.pdf")</f>
        <v/>
      </c>
      <c r="E1990" t="n">
        <v>120842</v>
      </c>
      <c r="F1990" t="n">
        <v>523149</v>
      </c>
      <c r="G1990" t="inlineStr">
        <is>
          <t>Consult</t>
        </is>
      </c>
      <c r="H1990" t="inlineStr">
        <is>
          <t>medication-history</t>
        </is>
      </c>
      <c r="I1990" t="inlineStr">
        <is>
          <t xml:space="preserve">
   - Miralax 17 gram Powder once a day as needed for constipation.</t>
        </is>
      </c>
    </row>
    <row r="1991">
      <c r="A1991" t="inlineStr">
        <is>
          <t>523149-medication-history-0-8</t>
        </is>
      </c>
      <c r="B1991" t="inlineStr"/>
      <c r="C1991" t="inlineStr"/>
      <c r="D1991">
        <f>HYPERLINK("http://nlpdeep.cs.uic.edu:8080/proofing/t5/523149-medication-history-0-8.pdf","t5/523149-medication-history-0-8.pdf")</f>
        <v/>
      </c>
      <c r="E1991" t="n">
        <v>120842</v>
      </c>
      <c r="F1991" t="n">
        <v>523149</v>
      </c>
      <c r="G1991" t="inlineStr">
        <is>
          <t>Consult</t>
        </is>
      </c>
      <c r="H1991" t="inlineStr">
        <is>
          <t>medication-history</t>
        </is>
      </c>
      <c r="I1991" t="inlineStr">
        <is>
          <t xml:space="preserve">
   .</t>
        </is>
      </c>
    </row>
    <row r="1992">
      <c r="A1992" t="inlineStr">
        <is>
          <t>523149-medication-history-0-8</t>
        </is>
      </c>
      <c r="B1992" t="inlineStr"/>
      <c r="C1992" t="inlineStr"/>
      <c r="D1992">
        <f>HYPERLINK("http://nlpdeep.cs.uic.edu:8080/proofing/gsii/523149-medication-history-0-8.pdf","gsii/523149-medication-history-0-8.pdf")</f>
        <v/>
      </c>
      <c r="E1992" t="n">
        <v>120842</v>
      </c>
      <c r="F1992" t="n">
        <v>523149</v>
      </c>
      <c r="G1992" t="inlineStr">
        <is>
          <t>Consult</t>
        </is>
      </c>
      <c r="H1992" t="inlineStr">
        <is>
          <t>medication-history</t>
        </is>
      </c>
      <c r="I1992" t="inlineStr">
        <is>
          <t xml:space="preserve">
   .</t>
        </is>
      </c>
    </row>
    <row r="1993">
      <c r="A1993" t="inlineStr">
        <is>
          <t>523149-current-medications-0-0</t>
        </is>
      </c>
      <c r="B1993" t="inlineStr"/>
      <c r="C1993" t="inlineStr"/>
      <c r="D1993">
        <f>HYPERLINK("http://nlpdeep.cs.uic.edu:8080/proofing/t5/523149-current-medications-0-0.pdf","t5/523149-current-medications-0-0.pdf")</f>
        <v/>
      </c>
      <c r="E1993" t="n">
        <v>120842</v>
      </c>
      <c r="F1993" t="n">
        <v>523149</v>
      </c>
      <c r="G1993" t="inlineStr">
        <is>
          <t>Consult</t>
        </is>
      </c>
      <c r="H1993" t="inlineStr">
        <is>
          <t>current-medications</t>
        </is>
      </c>
      <c r="I1993" t="inlineStr">
        <is>
          <t>Insulin SC
   Ipratropium Bromide Neb 1 NEB IH Q6H
   Levofloxacin 750 mg PO/NG Q24H
   Acetaminophen 325-650 mg PO/NG Q6H:PRN
   MethylPREDNISolone 80 mg IV Q8H
   Albuterol 0.083% Neb Soln 1 NEB IH Q4H:PRN
   Montelukast Sodium 10 mg PO/NG DAILY
   Benzonatate 100 mg PO TID
   Multivitamins 1 TAB PO/NG DAILY
   Bisacodyl 10 mg PO DAILY:PRN
   Mucinex *NF* 600 mg
   Captopril 50 mg PO/NG TID
   Omeprazole 20 mg PO DAILY
   Polyethylene Glycol 17 g PO/NG DAILY1
   Diltiazem 30 mg PO/NG QID
   Senna 1 TAB PO/NG [**Hospital1 7**]
   Docusate Sodium 100 mg PO BID
   Simethicone 40 mg PO/NG QID:PRN
   Ferrous Sulfate 325 mg PO/NG DAILY
   Simvastatin 40 mg PO/NG DAILY
   Fluoxetine 20 mg PO/NG TID
   GlipiZIDE 5 mg PO/NG DAILY
   Heparin 5000 UNIT SC TID
   Vitamin D 1000 UNIT PO/NG DAILY
   Hydrochlorothiazide 25 mg PO/NG DAILY
   Xopenex Neb *NF* 1 neb QID
   .</t>
        </is>
      </c>
    </row>
    <row r="1994">
      <c r="A1994" t="inlineStr">
        <is>
          <t>523149-current-medications-0-0</t>
        </is>
      </c>
      <c r="B1994" t="inlineStr"/>
      <c r="C1994" t="inlineStr"/>
      <c r="D1994">
        <f>HYPERLINK("http://nlpdeep.cs.uic.edu:8080/proofing/gsii/523149-current-medications-0-0.pdf","gsii/523149-current-medications-0-0.pdf")</f>
        <v/>
      </c>
      <c r="E1994" t="n">
        <v>120842</v>
      </c>
      <c r="F1994" t="n">
        <v>523149</v>
      </c>
      <c r="G1994" t="inlineStr">
        <is>
          <t>Consult</t>
        </is>
      </c>
      <c r="H1994" t="inlineStr">
        <is>
          <t>current-medications</t>
        </is>
      </c>
      <c r="I1994" t="inlineStr">
        <is>
          <t>Insulin SC
   Ipratropium Bromide Neb 1 NEB IH Q6H
   Levofloxacin 750 mg PO/NG Q24H
   Acetaminophen 325-650 mg PO/NG Q6H:PRN
   MethylPREDNISolone 80 mg IV Q8H
   Albuterol 0.083% Neb Soln 1 NEB IH Q4H:PRN
   Montelukast Sodium 10 mg PO/NG DAILY
   Benzonatate 100 mg PO TID
   Multivitamins 1 TAB PO/NG DAILY
   Bisacodyl 10 mg PO DAILY:PRN
   Mucinex *NF* 600 mg
   Captopril 50 mg PO/NG TID
   Omeprazole 20 mg PO DAILY
   Polyethylene Glycol 17 g PO/NG DAILY1
   Diltiazem 30 mg PO/NG QID
   Senna 1 TAB PO/NG [**Hospital1 7**]
   Docusate Sodium 100 mg PO BID
   Simethicone 40 mg PO/NG QID:PRN
   Ferrous Sulfate 325 mg PO/NG DAILY
   Simvastatin 40 mg PO/NG DAILY
   Fluoxetine 20 mg PO/NG TID
   GlipiZIDE 5 mg PO/NG DAILY
   Heparin 5000 UNIT SC TID
   Vitamin D 1000 UNIT PO/NG DAILY
   Hydrochlorothiazide 25 mg PO/NG DAILY
   Xopenex Neb *NF* 1 neb QID
   .</t>
        </is>
      </c>
    </row>
    <row r="1995">
      <c r="A1995" t="inlineStr">
        <is>
          <t>523149-past-medical-history-0-0</t>
        </is>
      </c>
      <c r="B1995" t="inlineStr"/>
      <c r="C1995" t="inlineStr"/>
      <c r="D1995">
        <f>HYPERLINK("http://nlpdeep.cs.uic.edu:8080/proofing/t5/523149-past-medical-history-0-0.pdf","t5/523149-past-medical-history-0-0.pdf")</f>
        <v/>
      </c>
      <c r="E1995" t="n">
        <v>120842</v>
      </c>
      <c r="F1995" t="n">
        <v>523149</v>
      </c>
      <c r="G1995" t="inlineStr">
        <is>
          <t>Consult</t>
        </is>
      </c>
      <c r="H1995" t="inlineStr">
        <is>
          <t>past-medical-history</t>
        </is>
      </c>
      <c r="I1995" t="inlineStr">
        <is>
          <t>- COPD/?asthma on home O2 at 2-4LPM.</t>
        </is>
      </c>
    </row>
    <row r="1996">
      <c r="A1996" t="inlineStr">
        <is>
          <t>523149-past-medical-history-0-0</t>
        </is>
      </c>
      <c r="B1996" t="inlineStr"/>
      <c r="C1996" t="inlineStr"/>
      <c r="D1996">
        <f>HYPERLINK("http://nlpdeep.cs.uic.edu:8080/proofing/gsii/523149-past-medical-history-0-0.pdf","gsii/523149-past-medical-history-0-0.pdf")</f>
        <v/>
      </c>
      <c r="E1996" t="n">
        <v>120842</v>
      </c>
      <c r="F1996" t="n">
        <v>523149</v>
      </c>
      <c r="G1996" t="inlineStr">
        <is>
          <t>Consult</t>
        </is>
      </c>
      <c r="H1996" t="inlineStr">
        <is>
          <t>past-medical-history</t>
        </is>
      </c>
      <c r="I1996" t="inlineStr">
        <is>
          <t>- COPD/?asthma on home O2 at 2-4LPM.</t>
        </is>
      </c>
    </row>
    <row r="1997">
      <c r="A1997" t="inlineStr">
        <is>
          <t>523149-past-medical-history-0-1</t>
        </is>
      </c>
      <c r="B1997" t="inlineStr"/>
      <c r="C1997" t="inlineStr"/>
      <c r="D1997">
        <f>HYPERLINK("http://nlpdeep.cs.uic.edu:8080/proofing/t5/523149-past-medical-history-0-1.pdf","t5/523149-past-medical-history-0-1.pdf")</f>
        <v/>
      </c>
      <c r="E1997" t="n">
        <v>120842</v>
      </c>
      <c r="F1997" t="n">
        <v>523149</v>
      </c>
      <c r="G1997" t="inlineStr">
        <is>
          <t>Consult</t>
        </is>
      </c>
      <c r="H1997" t="inlineStr">
        <is>
          <t>past-medical-history</t>
        </is>
      </c>
      <c r="I1997" t="inlineStr">
        <is>
          <t>Spirometry with only mild to
   moderate obstructive defect, FEV1 1.17 (68% predicted) but low DLCO at
   38% predicted.</t>
        </is>
      </c>
    </row>
    <row r="1998">
      <c r="A1998" t="inlineStr">
        <is>
          <t>523149-past-medical-history-0-1</t>
        </is>
      </c>
      <c r="B1998" t="inlineStr"/>
      <c r="C1998" t="inlineStr"/>
      <c r="D1998">
        <f>HYPERLINK("http://nlpdeep.cs.uic.edu:8080/proofing/gsii/523149-past-medical-history-0-1.pdf","gsii/523149-past-medical-history-0-1.pdf")</f>
        <v/>
      </c>
      <c r="E1998" t="n">
        <v>120842</v>
      </c>
      <c r="F1998" t="n">
        <v>523149</v>
      </c>
      <c r="G1998" t="inlineStr">
        <is>
          <t>Consult</t>
        </is>
      </c>
      <c r="H1998" t="inlineStr">
        <is>
          <t>past-medical-history</t>
        </is>
      </c>
      <c r="I1998" t="inlineStr">
        <is>
          <t>Spirometry with only mild to
   moderate obstructive defect, FEV1 1.17 (68% predicted) but low DLCO at
   38% predicted.</t>
        </is>
      </c>
    </row>
    <row r="1999">
      <c r="A1999" t="inlineStr">
        <is>
          <t>523149-past-medical-history-0-2</t>
        </is>
      </c>
      <c r="B1999" t="inlineStr"/>
      <c r="C1999" t="inlineStr"/>
      <c r="D1999">
        <f>HYPERLINK("http://nlpdeep.cs.uic.edu:8080/proofing/t5/523149-past-medical-history-0-2.pdf","t5/523149-past-medical-history-0-2.pdf")</f>
        <v/>
      </c>
      <c r="E1999" t="n">
        <v>120842</v>
      </c>
      <c r="F1999" t="n">
        <v>523149</v>
      </c>
      <c r="G1999" t="inlineStr">
        <is>
          <t>Consult</t>
        </is>
      </c>
      <c r="H1999" t="inlineStr">
        <is>
          <t>past-medical-history</t>
        </is>
      </c>
      <c r="I1999" t="inlineStr">
        <is>
          <t xml:space="preserve">
   - Diastolic CHF and pulmonary hypertension.</t>
        </is>
      </c>
    </row>
    <row r="2000">
      <c r="A2000" t="inlineStr">
        <is>
          <t>523149-past-medical-history-0-2</t>
        </is>
      </c>
      <c r="B2000" t="inlineStr"/>
      <c r="C2000" t="inlineStr"/>
      <c r="D2000">
        <f>HYPERLINK("http://nlpdeep.cs.uic.edu:8080/proofing/gsii/523149-past-medical-history-0-2.pdf","gsii/523149-past-medical-history-0-2.pdf")</f>
        <v/>
      </c>
      <c r="E2000" t="n">
        <v>120842</v>
      </c>
      <c r="F2000" t="n">
        <v>523149</v>
      </c>
      <c r="G2000" t="inlineStr">
        <is>
          <t>Consult</t>
        </is>
      </c>
      <c r="H2000" t="inlineStr">
        <is>
          <t>past-medical-history</t>
        </is>
      </c>
      <c r="I2000" t="inlineStr">
        <is>
          <t xml:space="preserve">
   - Diastolic CHF and pulmonary hypertension.</t>
        </is>
      </c>
    </row>
    <row r="2001">
      <c r="A2001" t="inlineStr">
        <is>
          <t>523149-past-medical-history-0-3</t>
        </is>
      </c>
      <c r="B2001" t="inlineStr"/>
      <c r="C2001" t="inlineStr"/>
      <c r="D2001">
        <f>HYPERLINK("http://nlpdeep.cs.uic.edu:8080/proofing/t5/523149-past-medical-history-0-3.pdf","t5/523149-past-medical-history-0-3.pdf")</f>
        <v/>
      </c>
      <c r="E2001" t="n">
        <v>120842</v>
      </c>
      <c r="F2001" t="n">
        <v>523149</v>
      </c>
      <c r="G2001" t="inlineStr">
        <is>
          <t>Consult</t>
        </is>
      </c>
      <c r="H2001" t="inlineStr">
        <is>
          <t>past-medical-history</t>
        </is>
      </c>
      <c r="I2001" t="inlineStr">
        <is>
          <t>Last TTE [**12/2151**] with EF
   &gt;55%, mild RV dilation with preserved function, estimated TR gradient
   43-63.</t>
        </is>
      </c>
    </row>
    <row r="2002">
      <c r="A2002" t="inlineStr">
        <is>
          <t>523149-past-medical-history-0-3</t>
        </is>
      </c>
      <c r="B2002" t="inlineStr"/>
      <c r="C2002" t="inlineStr"/>
      <c r="D2002">
        <f>HYPERLINK("http://nlpdeep.cs.uic.edu:8080/proofing/gsii/523149-past-medical-history-0-3.pdf","gsii/523149-past-medical-history-0-3.pdf")</f>
        <v/>
      </c>
      <c r="E2002" t="n">
        <v>120842</v>
      </c>
      <c r="F2002" t="n">
        <v>523149</v>
      </c>
      <c r="G2002" t="inlineStr">
        <is>
          <t>Consult</t>
        </is>
      </c>
      <c r="H2002" t="inlineStr">
        <is>
          <t>past-medical-history</t>
        </is>
      </c>
      <c r="I2002" t="inlineStr">
        <is>
          <t>Last TTE [**12/2151**] with EF
   &gt;55%, mild RV dilation with preserved function, estimated TR gradient
   43-63.</t>
        </is>
      </c>
    </row>
    <row r="2003">
      <c r="A2003" t="inlineStr">
        <is>
          <t>523149-past-medical-history-0-4</t>
        </is>
      </c>
      <c r="B2003" t="inlineStr"/>
      <c r="C2003" t="inlineStr"/>
      <c r="D2003">
        <f>HYPERLINK("http://nlpdeep.cs.uic.edu:8080/proofing/t5/523149-past-medical-history-0-4.pdf","t5/523149-past-medical-history-0-4.pdf")</f>
        <v/>
      </c>
      <c r="E2003" t="n">
        <v>120842</v>
      </c>
      <c r="F2003" t="n">
        <v>523149</v>
      </c>
      <c r="G2003" t="inlineStr">
        <is>
          <t>Consult</t>
        </is>
      </c>
      <c r="H2003" t="inlineStr">
        <is>
          <t>past-medical-history</t>
        </is>
      </c>
      <c r="I2003" t="inlineStr">
        <is>
          <t xml:space="preserve">
   - OSA on home CPAP
   - DM type II
   - HTN
   - s/p R TKR [**2153-3-5**], complicated by desaturation due to COPD
   exacerbation, dCHF, and ?narcotics.</t>
        </is>
      </c>
    </row>
    <row r="2004">
      <c r="A2004" t="inlineStr">
        <is>
          <t>523149-past-medical-history-0-4</t>
        </is>
      </c>
      <c r="B2004" t="inlineStr"/>
      <c r="C2004" t="inlineStr"/>
      <c r="D2004">
        <f>HYPERLINK("http://nlpdeep.cs.uic.edu:8080/proofing/gsii/523149-past-medical-history-0-4.pdf","gsii/523149-past-medical-history-0-4.pdf")</f>
        <v/>
      </c>
      <c r="E2004" t="n">
        <v>120842</v>
      </c>
      <c r="F2004" t="n">
        <v>523149</v>
      </c>
      <c r="G2004" t="inlineStr">
        <is>
          <t>Consult</t>
        </is>
      </c>
      <c r="H2004" t="inlineStr">
        <is>
          <t>past-medical-history</t>
        </is>
      </c>
      <c r="I2004" t="inlineStr">
        <is>
          <t xml:space="preserve">
   - OSA on home CPAP
   - DM type II
   - HTN
   - s/p R TKR [**2153-3-5**], complicated by desaturation due to COPD
   exacerbation, dCHF, and ?narcotics.</t>
        </is>
      </c>
    </row>
    <row r="2005">
      <c r="A2005" t="inlineStr">
        <is>
          <t>523149-past-medical-history-0-5</t>
        </is>
      </c>
      <c r="B2005" t="inlineStr"/>
      <c r="C2005" t="inlineStr"/>
      <c r="D2005">
        <f>HYPERLINK("http://nlpdeep.cs.uic.edu:8080/proofing/t5/523149-past-medical-history-0-5.pdf","t5/523149-past-medical-history-0-5.pdf")</f>
        <v/>
      </c>
      <c r="E2005" t="n">
        <v>120842</v>
      </c>
      <c r="F2005" t="n">
        <v>523149</v>
      </c>
      <c r="G2005" t="inlineStr">
        <is>
          <t>Consult</t>
        </is>
      </c>
      <c r="H2005" t="inlineStr">
        <is>
          <t>past-medical-history</t>
        </is>
      </c>
      <c r="I2005" t="inlineStr">
        <is>
          <t>- s/p L TKR
   - History of rectal cancer s/p chemo, XRT, and s/p transanal rectal ca
   excision
   - s/p h</t>
        </is>
      </c>
    </row>
    <row r="2006">
      <c r="A2006" t="inlineStr">
        <is>
          <t>523149-past-medical-history-0-5</t>
        </is>
      </c>
      <c r="B2006" t="inlineStr"/>
      <c r="C2006" t="inlineStr"/>
      <c r="D2006">
        <f>HYPERLINK("http://nlpdeep.cs.uic.edu:8080/proofing/gsii/523149-past-medical-history-0-5.pdf","gsii/523149-past-medical-history-0-5.pdf")</f>
        <v/>
      </c>
      <c r="E2006" t="n">
        <v>120842</v>
      </c>
      <c r="F2006" t="n">
        <v>523149</v>
      </c>
      <c r="G2006" t="inlineStr">
        <is>
          <t>Consult</t>
        </is>
      </c>
      <c r="H2006" t="inlineStr">
        <is>
          <t>past-medical-history</t>
        </is>
      </c>
      <c r="I2006" t="inlineStr">
        <is>
          <t>- s/p L TKR
   - History of rectal cancer s/p chemo, XRT, and s/p transanal rectal ca
   excision
   - s/p h</t>
        </is>
      </c>
    </row>
    <row r="2007">
      <c r="A2007" t="inlineStr">
        <is>
          <t>523149-social-and-family-history-0-0</t>
        </is>
      </c>
      <c r="B2007" t="inlineStr"/>
      <c r="C2007" t="inlineStr"/>
      <c r="D2007">
        <f>HYPERLINK("http://nlpdeep.cs.uic.edu:8080/proofing/t5/523149-social-and-family-history-0-0.pdf","t5/523149-social-and-family-history-0-0.pdf")</f>
        <v/>
      </c>
      <c r="E2007" t="n">
        <v>120842</v>
      </c>
      <c r="F2007" t="n">
        <v>523149</v>
      </c>
      <c r="G2007" t="inlineStr">
        <is>
          <t>Consult</t>
        </is>
      </c>
      <c r="H2007" t="inlineStr">
        <is>
          <t>social-and-family-history</t>
        </is>
      </c>
      <c r="I2007" t="inlineStr">
        <is>
          <t>Has 11 children and 27 grandchildren.</t>
        </is>
      </c>
    </row>
    <row r="2008">
      <c r="A2008" t="inlineStr">
        <is>
          <t>523149-social-and-family-history-0-0</t>
        </is>
      </c>
      <c r="B2008" t="inlineStr"/>
      <c r="C2008" t="inlineStr"/>
      <c r="D2008">
        <f>HYPERLINK("http://nlpdeep.cs.uic.edu:8080/proofing/gsii/523149-social-and-family-history-0-0.pdf","gsii/523149-social-and-family-history-0-0.pdf")</f>
        <v/>
      </c>
      <c r="E2008" t="n">
        <v>120842</v>
      </c>
      <c r="F2008" t="n">
        <v>523149</v>
      </c>
      <c r="G2008" t="inlineStr">
        <is>
          <t>Consult</t>
        </is>
      </c>
      <c r="H2008" t="inlineStr">
        <is>
          <t>social-and-family-history</t>
        </is>
      </c>
      <c r="I2008" t="inlineStr">
        <is>
          <t>Has 11 children and 27 grandchildren.</t>
        </is>
      </c>
    </row>
    <row r="2009">
      <c r="A2009" t="inlineStr">
        <is>
          <t>523149-social-and-family-history-0-1</t>
        </is>
      </c>
      <c r="B2009" t="inlineStr"/>
      <c r="C2009" t="inlineStr"/>
      <c r="D2009">
        <f>HYPERLINK("http://nlpdeep.cs.uic.edu:8080/proofing/t5/523149-social-and-family-history-0-1.pdf","t5/523149-social-and-family-history-0-1.pdf")</f>
        <v/>
      </c>
      <c r="E2009" t="n">
        <v>120842</v>
      </c>
      <c r="F2009" t="n">
        <v>523149</v>
      </c>
      <c r="G2009" t="inlineStr">
        <is>
          <t>Consult</t>
        </is>
      </c>
      <c r="H2009" t="inlineStr">
        <is>
          <t>social-and-family-history</t>
        </is>
      </c>
      <c r="I2009" t="inlineStr">
        <is>
          <t>She lives alone but has help from
   her many children.</t>
        </is>
      </c>
    </row>
    <row r="2010">
      <c r="A2010" t="inlineStr">
        <is>
          <t>523149-social-and-family-history-0-1</t>
        </is>
      </c>
      <c r="B2010" t="inlineStr"/>
      <c r="C2010" t="inlineStr"/>
      <c r="D2010">
        <f>HYPERLINK("http://nlpdeep.cs.uic.edu:8080/proofing/gsii/523149-social-and-family-history-0-1.pdf","gsii/523149-social-and-family-history-0-1.pdf")</f>
        <v/>
      </c>
      <c r="E2010" t="n">
        <v>120842</v>
      </c>
      <c r="F2010" t="n">
        <v>523149</v>
      </c>
      <c r="G2010" t="inlineStr">
        <is>
          <t>Consult</t>
        </is>
      </c>
      <c r="H2010" t="inlineStr">
        <is>
          <t>social-and-family-history</t>
        </is>
      </c>
      <c r="I2010" t="inlineStr">
        <is>
          <t>She lives alone but has help from
   her many children.</t>
        </is>
      </c>
    </row>
    <row r="2011">
      <c r="A2011" t="inlineStr">
        <is>
          <t>523149-social-and-family-history-0-2</t>
        </is>
      </c>
      <c r="B2011" t="inlineStr"/>
      <c r="C2011" t="inlineStr"/>
      <c r="D2011">
        <f>HYPERLINK("http://nlpdeep.cs.uic.edu:8080/proofing/t5/523149-social-and-family-history-0-2.pdf","t5/523149-social-and-family-history-0-2.pdf")</f>
        <v/>
      </c>
      <c r="E2011" t="n">
        <v>120842</v>
      </c>
      <c r="F2011" t="n">
        <v>523149</v>
      </c>
      <c r="G2011" t="inlineStr">
        <is>
          <t>Consult</t>
        </is>
      </c>
      <c r="H2011" t="inlineStr">
        <is>
          <t>social-and-family-history</t>
        </is>
      </c>
      <c r="I2011" t="inlineStr">
        <is>
          <t>Patient is a former smoker with 40-60 pack year
   smoking history but quit over 10 years prior.</t>
        </is>
      </c>
    </row>
    <row r="2012">
      <c r="A2012" t="inlineStr">
        <is>
          <t>523149-social-and-family-history-0-2</t>
        </is>
      </c>
      <c r="B2012" t="inlineStr"/>
      <c r="C2012" t="inlineStr"/>
      <c r="D2012">
        <f>HYPERLINK("http://nlpdeep.cs.uic.edu:8080/proofing/gsii/523149-social-and-family-history-0-2.pdf","gsii/523149-social-and-family-history-0-2.pdf")</f>
        <v/>
      </c>
      <c r="E2012" t="n">
        <v>120842</v>
      </c>
      <c r="F2012" t="n">
        <v>523149</v>
      </c>
      <c r="G2012" t="inlineStr">
        <is>
          <t>Consult</t>
        </is>
      </c>
      <c r="H2012" t="inlineStr">
        <is>
          <t>social-and-family-history</t>
        </is>
      </c>
      <c r="I2012" t="inlineStr">
        <is>
          <t>Patient is a former smoker with 40-60 pack year
   smoking history but quit over 10 years prior.</t>
        </is>
      </c>
    </row>
    <row r="2013">
      <c r="A2013" t="inlineStr">
        <is>
          <t>523149-social-and-family-history-0-3</t>
        </is>
      </c>
      <c r="B2013" t="inlineStr"/>
      <c r="C2013" t="inlineStr"/>
      <c r="D2013">
        <f>HYPERLINK("http://nlpdeep.cs.uic.edu:8080/proofing/t5/523149-social-and-family-history-0-3.pdf","t5/523149-social-and-family-history-0-3.pdf")</f>
        <v/>
      </c>
      <c r="E2013" t="n">
        <v>120842</v>
      </c>
      <c r="F2013" t="n">
        <v>523149</v>
      </c>
      <c r="G2013" t="inlineStr">
        <is>
          <t>Consult</t>
        </is>
      </c>
      <c r="H2013" t="inlineStr">
        <is>
          <t>social-and-family-history</t>
        </is>
      </c>
      <c r="I2013" t="inlineStr">
        <is>
          <t>No alcohol use.</t>
        </is>
      </c>
    </row>
    <row r="2014">
      <c r="A2014" t="inlineStr">
        <is>
          <t>523149-social-and-family-history-0-3</t>
        </is>
      </c>
      <c r="B2014" t="inlineStr"/>
      <c r="C2014" t="inlineStr"/>
      <c r="D2014">
        <f>HYPERLINK("http://nlpdeep.cs.uic.edu:8080/proofing/gsii/523149-social-and-family-history-0-3.pdf","gsii/523149-social-and-family-history-0-3.pdf")</f>
        <v/>
      </c>
      <c r="E2014" t="n">
        <v>120842</v>
      </c>
      <c r="F2014" t="n">
        <v>523149</v>
      </c>
      <c r="G2014" t="inlineStr">
        <is>
          <t>Consult</t>
        </is>
      </c>
      <c r="H2014" t="inlineStr">
        <is>
          <t>social-and-family-history</t>
        </is>
      </c>
      <c r="I2014" t="inlineStr">
        <is>
          <t>No alcohol use.</t>
        </is>
      </c>
    </row>
    <row r="2015">
      <c r="A2015" t="inlineStr">
        <is>
          <t>523149-social-and-family-history-0-4</t>
        </is>
      </c>
      <c r="B2015" t="inlineStr"/>
      <c r="C2015" t="inlineStr"/>
      <c r="D2015">
        <f>HYPERLINK("http://nlpdeep.cs.uic.edu:8080/proofing/t5/523149-social-and-family-history-0-4.pdf","t5/523149-social-and-family-history-0-4.pdf")</f>
        <v/>
      </c>
      <c r="E2015" t="n">
        <v>120842</v>
      </c>
      <c r="F2015" t="n">
        <v>523149</v>
      </c>
      <c r="G2015" t="inlineStr">
        <is>
          <t>Consult</t>
        </is>
      </c>
      <c r="H2015" t="inlineStr">
        <is>
          <t>social-and-family-history</t>
        </is>
      </c>
      <c r="I2015" t="inlineStr">
        <is>
          <t xml:space="preserve">
   Review of systems otherwise negative.</t>
        </is>
      </c>
    </row>
    <row r="2016">
      <c r="A2016" t="inlineStr">
        <is>
          <t>523149-social-and-family-history-0-4</t>
        </is>
      </c>
      <c r="B2016" t="inlineStr"/>
      <c r="C2016" t="inlineStr"/>
      <c r="D2016">
        <f>HYPERLINK("http://nlpdeep.cs.uic.edu:8080/proofing/gsii/523149-social-and-family-history-0-4.pdf","gsii/523149-social-and-family-history-0-4.pdf")</f>
        <v/>
      </c>
      <c r="E2016" t="n">
        <v>120842</v>
      </c>
      <c r="F2016" t="n">
        <v>523149</v>
      </c>
      <c r="G2016" t="inlineStr">
        <is>
          <t>Consult</t>
        </is>
      </c>
      <c r="H2016" t="inlineStr">
        <is>
          <t>social-and-family-history</t>
        </is>
      </c>
      <c r="I2016" t="inlineStr">
        <is>
          <t xml:space="preserve">
   Review of systems otherwise negative.</t>
        </is>
      </c>
    </row>
    <row r="2017">
      <c r="A2017" t="inlineStr">
        <is>
          <t>523149-physical-examination-0-0</t>
        </is>
      </c>
      <c r="B2017" t="inlineStr"/>
      <c r="C2017" t="inlineStr"/>
      <c r="D2017">
        <f>HYPERLINK("http://nlpdeep.cs.uic.edu:8080/proofing/t5/523149-physical-examination-0-0.pdf","t5/523149-physical-examination-0-0.pdf")</f>
        <v/>
      </c>
      <c r="E2017" t="n">
        <v>120842</v>
      </c>
      <c r="F2017" t="n">
        <v>523149</v>
      </c>
      <c r="G2017" t="inlineStr">
        <is>
          <t>Consult</t>
        </is>
      </c>
      <c r="H2017" t="inlineStr">
        <is>
          <t>physical-examination</t>
        </is>
      </c>
      <c r="I2017" t="inlineStr">
        <is>
          <t>VS - Temp 98F, BP 141/53, HR 79, RR 18, O2-sat 97% 3L
   GENERAL -  labored respirtaions but NAD
   NECK - supple, JVP ~8 cm, no carotid bruits, 2+ carotid pulses
   LUNGS - labored respirations with poor air movement and using acessory
   muscles, wheezing throughout.</t>
        </is>
      </c>
    </row>
    <row r="2018">
      <c r="A2018" t="inlineStr">
        <is>
          <t>523149-physical-examination-0-0</t>
        </is>
      </c>
      <c r="B2018" t="inlineStr"/>
      <c r="C2018" t="inlineStr"/>
      <c r="D2018">
        <f>HYPERLINK("http://nlpdeep.cs.uic.edu:8080/proofing/gsii/523149-physical-examination-0-0.pdf","gsii/523149-physical-examination-0-0.pdf")</f>
        <v/>
      </c>
      <c r="E2018" t="n">
        <v>120842</v>
      </c>
      <c r="F2018" t="n">
        <v>523149</v>
      </c>
      <c r="G2018" t="inlineStr">
        <is>
          <t>Consult</t>
        </is>
      </c>
      <c r="H2018" t="inlineStr">
        <is>
          <t>physical-examination</t>
        </is>
      </c>
      <c r="I2018" t="inlineStr">
        <is>
          <t>VS - Temp 98F, BP 141/53, HR 79, RR 18, O2-sat 97% 3L
   GENERAL -  labored respirtaions but NAD
   NECK - supple, JVP ~8 cm, no carotid bruits, 2+ carotid pulses
   LUNGS - labored respirations with poor air movement and using acessory
   muscles, wheezing throughout.</t>
        </is>
      </c>
    </row>
    <row r="2019">
      <c r="A2019" t="inlineStr">
        <is>
          <t>523149-physical-examination-0-1</t>
        </is>
      </c>
      <c r="B2019" t="inlineStr"/>
      <c r="C2019" t="inlineStr"/>
      <c r="D2019">
        <f>HYPERLINK("http://nlpdeep.cs.uic.edu:8080/proofing/t5/523149-physical-examination-0-1.pdf","t5/523149-physical-examination-0-1.pdf")</f>
        <v/>
      </c>
      <c r="E2019" t="n">
        <v>120842</v>
      </c>
      <c r="F2019" t="n">
        <v>523149</v>
      </c>
      <c r="G2019" t="inlineStr">
        <is>
          <t>Consult</t>
        </is>
      </c>
      <c r="H2019" t="inlineStr">
        <is>
          <t>physical-examination</t>
        </is>
      </c>
      <c r="I2019" t="inlineStr">
        <is>
          <t>HEART - PMI non-displaced, RRR, no MRG, nl S1-S2, no S3 or S4 h</t>
        </is>
      </c>
    </row>
    <row r="2020">
      <c r="A2020" t="inlineStr">
        <is>
          <t>523149-physical-examination-0-1</t>
        </is>
      </c>
      <c r="B2020" t="inlineStr"/>
      <c r="C2020" t="inlineStr"/>
      <c r="D2020">
        <f>HYPERLINK("http://nlpdeep.cs.uic.edu:8080/proofing/gsii/523149-physical-examination-0-1.pdf","gsii/523149-physical-examination-0-1.pdf")</f>
        <v/>
      </c>
      <c r="E2020" t="n">
        <v>120842</v>
      </c>
      <c r="F2020" t="n">
        <v>523149</v>
      </c>
      <c r="G2020" t="inlineStr">
        <is>
          <t>Consult</t>
        </is>
      </c>
      <c r="H2020" t="inlineStr">
        <is>
          <t>physical-examination</t>
        </is>
      </c>
      <c r="I2020" t="inlineStr">
        <is>
          <t>HEART - PMI non-displaced, RRR, no MRG, nl S1-S2, no S3 or S4 h</t>
        </is>
      </c>
    </row>
    <row r="2021">
      <c r="A2021" t="inlineStr">
        <is>
          <t>523149-labs-imaging-0-0</t>
        </is>
      </c>
      <c r="B2021" t="inlineStr"/>
      <c r="C2021" t="inlineStr"/>
      <c r="D2021">
        <f>HYPERLINK("http://nlpdeep.cs.uic.edu:8080/proofing/t5/523149-labs-imaging-0-0.pdf","t5/523149-labs-imaging-0-0.pdf")</f>
        <v/>
      </c>
      <c r="E2021" t="n">
        <v>120842</v>
      </c>
      <c r="F2021" t="n">
        <v>523149</v>
      </c>
      <c r="G2021" t="inlineStr">
        <is>
          <t>Consult</t>
        </is>
      </c>
      <c r="H2021" t="inlineStr">
        <is>
          <t>labs-imaging</t>
        </is>
      </c>
      <c r="I2021" t="inlineStr">
        <is>
          <t>.</t>
        </is>
      </c>
    </row>
    <row r="2022">
      <c r="A2022" t="inlineStr">
        <is>
          <t>523149-labs-imaging-0-0</t>
        </is>
      </c>
      <c r="B2022" t="inlineStr"/>
      <c r="C2022" t="inlineStr"/>
      <c r="D2022">
        <f>HYPERLINK("http://nlpdeep.cs.uic.edu:8080/proofing/gsii/523149-labs-imaging-0-0.pdf","gsii/523149-labs-imaging-0-0.pdf")</f>
        <v/>
      </c>
      <c r="E2022" t="n">
        <v>120842</v>
      </c>
      <c r="F2022" t="n">
        <v>523149</v>
      </c>
      <c r="G2022" t="inlineStr">
        <is>
          <t>Consult</t>
        </is>
      </c>
      <c r="H2022" t="inlineStr">
        <is>
          <t>labs-imaging</t>
        </is>
      </c>
      <c r="I2022" t="inlineStr">
        <is>
          <t>.</t>
        </is>
      </c>
    </row>
    <row r="2023">
      <c r="A2023" t="inlineStr">
        <is>
          <t>523149-labs-imaging-0-1</t>
        </is>
      </c>
      <c r="B2023" t="inlineStr"/>
      <c r="C2023" t="inlineStr"/>
      <c r="D2023">
        <f>HYPERLINK("http://nlpdeep.cs.uic.edu:8080/proofing/t5/523149-labs-imaging-0-1.pdf","t5/523149-labs-imaging-0-1.pdf")</f>
        <v/>
      </c>
      <c r="E2023" t="n">
        <v>120842</v>
      </c>
      <c r="F2023" t="n">
        <v>523149</v>
      </c>
      <c r="G2023" t="inlineStr">
        <is>
          <t>Consult</t>
        </is>
      </c>
      <c r="H2023" t="inlineStr">
        <is>
          <t>labs-imaging</t>
        </is>
      </c>
      <c r="I2023" t="inlineStr">
        <is>
          <t xml:space="preserve">
   138   100      20                     11.3
   ---|-------|------&lt; 187   .</t>
        </is>
      </c>
    </row>
    <row r="2024">
      <c r="A2024" t="inlineStr">
        <is>
          <t>523149-labs-imaging-0-1</t>
        </is>
      </c>
      <c r="B2024" t="inlineStr"/>
      <c r="C2024" t="inlineStr"/>
      <c r="D2024">
        <f>HYPERLINK("http://nlpdeep.cs.uic.edu:8080/proofing/gsii/523149-labs-imaging-0-1.pdf","gsii/523149-labs-imaging-0-1.pdf")</f>
        <v/>
      </c>
      <c r="E2024" t="n">
        <v>120842</v>
      </c>
      <c r="F2024" t="n">
        <v>523149</v>
      </c>
      <c r="G2024" t="inlineStr">
        <is>
          <t>Consult</t>
        </is>
      </c>
      <c r="H2024" t="inlineStr">
        <is>
          <t>labs-imaging</t>
        </is>
      </c>
      <c r="I2024" t="inlineStr">
        <is>
          <t xml:space="preserve">
   138   100      20                     11.3
   ---|-------|------&lt; 187   .</t>
        </is>
      </c>
    </row>
    <row r="2025">
      <c r="A2025" t="inlineStr">
        <is>
          <t>523149-assessment-and-plan-0-0</t>
        </is>
      </c>
      <c r="B2025" t="inlineStr"/>
      <c r="C2025" t="inlineStr"/>
      <c r="D2025">
        <f>HYPERLINK("http://nlpdeep.cs.uic.edu:8080/proofing/t5/523149-assessment-and-plan-0-0.pdf","t5/523149-assessment-and-plan-0-0.pdf")</f>
        <v/>
      </c>
      <c r="E2025" t="n">
        <v>120842</v>
      </c>
      <c r="F2025" t="n">
        <v>523149</v>
      </c>
      <c r="G2025" t="inlineStr">
        <is>
          <t>Consult</t>
        </is>
      </c>
      <c r="H2025" t="inlineStr">
        <is>
          <t>assessment-and-plan</t>
        </is>
      </c>
      <c r="I2025" t="inlineStr">
        <is>
          <t>-
   - Recommendation:
   1)
   2)
   3)
This patient was seen, discussed and evaluated with
Dr.</t>
        </is>
      </c>
    </row>
    <row r="2026">
      <c r="A2026" t="inlineStr">
        <is>
          <t>523149-assessment-and-plan-0-0</t>
        </is>
      </c>
      <c r="B2026" t="inlineStr"/>
      <c r="C2026" t="inlineStr"/>
      <c r="D2026">
        <f>HYPERLINK("http://nlpdeep.cs.uic.edu:8080/proofing/gsii/523149-assessment-and-plan-0-0.pdf","gsii/523149-assessment-and-plan-0-0.pdf")</f>
        <v/>
      </c>
      <c r="E2026" t="n">
        <v>120842</v>
      </c>
      <c r="F2026" t="n">
        <v>523149</v>
      </c>
      <c r="G2026" t="inlineStr">
        <is>
          <t>Consult</t>
        </is>
      </c>
      <c r="H2026" t="inlineStr">
        <is>
          <t>assessment-and-plan</t>
        </is>
      </c>
      <c r="I2026" t="inlineStr">
        <is>
          <t>-
   - Recommendation:
   1)
   2)
   3)
This patient was seen, discussed and evaluated with
Dr.</t>
        </is>
      </c>
    </row>
    <row r="2027">
      <c r="A2027" t="inlineStr">
        <is>
          <t>523149-assessment-and-plan-0-1</t>
        </is>
      </c>
      <c r="B2027" t="inlineStr"/>
      <c r="C2027" t="inlineStr"/>
      <c r="D2027">
        <f>HYPERLINK("http://nlpdeep.cs.uic.edu:8080/proofing/t5/523149-assessment-and-plan-0-1.pdf","t5/523149-assessment-and-plan-0-1.pdf")</f>
        <v/>
      </c>
      <c r="E2027" t="n">
        <v>120842</v>
      </c>
      <c r="F2027" t="n">
        <v>523149</v>
      </c>
      <c r="G2027" t="inlineStr">
        <is>
          <t>Consult</t>
        </is>
      </c>
      <c r="H2027" t="inlineStr">
        <is>
          <t>assessment-and-plan</t>
        </is>
      </c>
      <c r="I2027" t="inlineStr">
        <is>
          <t>________________. Please see his/her note in the inpatient
medical record for additional comments.</t>
        </is>
      </c>
    </row>
    <row r="2028">
      <c r="A2028" t="inlineStr">
        <is>
          <t>523149-assessment-and-plan-0-1</t>
        </is>
      </c>
      <c r="B2028" t="inlineStr"/>
      <c r="C2028" t="inlineStr"/>
      <c r="D2028">
        <f>HYPERLINK("http://nlpdeep.cs.uic.edu:8080/proofing/gsii/523149-assessment-and-plan-0-1.pdf","gsii/523149-assessment-and-plan-0-1.pdf")</f>
        <v/>
      </c>
      <c r="E2028" t="n">
        <v>120842</v>
      </c>
      <c r="F2028" t="n">
        <v>523149</v>
      </c>
      <c r="G2028" t="inlineStr">
        <is>
          <t>Consult</t>
        </is>
      </c>
      <c r="H2028" t="inlineStr">
        <is>
          <t>assessment-and-plan</t>
        </is>
      </c>
      <c r="I2028" t="inlineStr">
        <is>
          <t>________________. Please see his/her note in the inpatient
medical record for additional comments.</t>
        </is>
      </c>
    </row>
    <row r="2029">
      <c r="A2029" t="inlineStr">
        <is>
          <t>522531-24-hour-events-0-0</t>
        </is>
      </c>
      <c r="B2029" t="inlineStr"/>
      <c r="C2029" t="inlineStr"/>
      <c r="D2029">
        <f>HYPERLINK("http://nlpdeep.cs.uic.edu:8080/proofing/t5/522531-24-hour-events-0-0.pdf","t5/522531-24-hour-events-0-0.pdf")</f>
        <v/>
      </c>
      <c r="E2029" t="n">
        <v>120842</v>
      </c>
      <c r="F2029" t="n">
        <v>522531</v>
      </c>
      <c r="G2029" t="inlineStr">
        <is>
          <t>Physician</t>
        </is>
      </c>
      <c r="H2029" t="inlineStr">
        <is>
          <t>24-hour-events</t>
        </is>
      </c>
      <c r="I2029" t="inlineStr">
        <is>
          <t>- Cardiac enzymes negative x 2
   - Complains of some continued dyspnea and dry cough, but improved from
   yesterday.</t>
        </is>
      </c>
    </row>
    <row r="2030">
      <c r="A2030" t="inlineStr">
        <is>
          <t>522531-24-hour-events-0-0</t>
        </is>
      </c>
      <c r="B2030" t="inlineStr"/>
      <c r="C2030" t="inlineStr"/>
      <c r="D2030">
        <f>HYPERLINK("http://nlpdeep.cs.uic.edu:8080/proofing/gsii/522531-24-hour-events-0-0.pdf","gsii/522531-24-hour-events-0-0.pdf")</f>
        <v/>
      </c>
      <c r="E2030" t="n">
        <v>120842</v>
      </c>
      <c r="F2030" t="n">
        <v>522531</v>
      </c>
      <c r="G2030" t="inlineStr">
        <is>
          <t>Physician</t>
        </is>
      </c>
      <c r="H2030" t="inlineStr">
        <is>
          <t>24-hour-events</t>
        </is>
      </c>
      <c r="I2030" t="inlineStr">
        <is>
          <t>- Cardiac enzymes negative x 2
   - Complains of some continued dyspnea and dry cough, but improved from
   yesterday.</t>
        </is>
      </c>
    </row>
    <row r="2031">
      <c r="A2031" t="inlineStr">
        <is>
          <t>522531-24-hour-events-0-1</t>
        </is>
      </c>
      <c r="B2031" t="inlineStr"/>
      <c r="C2031" t="inlineStr"/>
      <c r="D2031">
        <f>HYPERLINK("http://nlpdeep.cs.uic.edu:8080/proofing/t5/522531-24-hour-events-0-1.pdf","t5/522531-24-hour-events-0-1.pdf")</f>
        <v/>
      </c>
      <c r="E2031" t="n">
        <v>120842</v>
      </c>
      <c r="F2031" t="n">
        <v>522531</v>
      </c>
      <c r="G2031" t="inlineStr">
        <is>
          <t>Physician</t>
        </is>
      </c>
      <c r="H2031" t="inlineStr">
        <is>
          <t>24-hour-events</t>
        </is>
      </c>
      <c r="I2031" t="inlineStr">
        <is>
          <t>Also has mild abdominal pain
   History obtained from P</t>
        </is>
      </c>
    </row>
    <row r="2032">
      <c r="A2032" t="inlineStr">
        <is>
          <t>522531-24-hour-events-0-1</t>
        </is>
      </c>
      <c r="B2032" t="inlineStr"/>
      <c r="C2032" t="inlineStr"/>
      <c r="D2032">
        <f>HYPERLINK("http://nlpdeep.cs.uic.edu:8080/proofing/gsii/522531-24-hour-events-0-1.pdf","gsii/522531-24-hour-events-0-1.pdf")</f>
        <v/>
      </c>
      <c r="E2032" t="n">
        <v>120842</v>
      </c>
      <c r="F2032" t="n">
        <v>522531</v>
      </c>
      <c r="G2032" t="inlineStr">
        <is>
          <t>Physician</t>
        </is>
      </c>
      <c r="H2032" t="inlineStr">
        <is>
          <t>24-hour-events</t>
        </is>
      </c>
      <c r="I2032" t="inlineStr">
        <is>
          <t>Also has mild abdominal pain
   History obtained from P</t>
        </is>
      </c>
    </row>
    <row r="2033">
      <c r="A2033" t="inlineStr">
        <is>
          <t>522531-allergies-0-0</t>
        </is>
      </c>
      <c r="B2033" t="inlineStr"/>
      <c r="C2033" t="inlineStr"/>
      <c r="D2033">
        <f>HYPERLINK("http://nlpdeep.cs.uic.edu:8080/proofing/t5/522531-allergies-0-0.pdf","t5/522531-allergies-0-0.pdf")</f>
        <v/>
      </c>
      <c r="E2033" t="n">
        <v>120842</v>
      </c>
      <c r="F2033" t="n">
        <v>522531</v>
      </c>
      <c r="G2033" t="inlineStr">
        <is>
          <t>Physician</t>
        </is>
      </c>
      <c r="H2033" t="inlineStr">
        <is>
          <t>allergies</t>
        </is>
      </c>
      <c r="I2033" t="inlineStr">
        <is>
          <t>History obtained from PatientHayfever (Nasal) (Homeopathic Drugs)
   Cough; s</t>
        </is>
      </c>
    </row>
    <row r="2034">
      <c r="A2034" t="inlineStr">
        <is>
          <t>522531-allergies-0-0</t>
        </is>
      </c>
      <c r="B2034" t="inlineStr"/>
      <c r="C2034" t="inlineStr"/>
      <c r="D2034">
        <f>HYPERLINK("http://nlpdeep.cs.uic.edu:8080/proofing/gsii/522531-allergies-0-0.pdf","gsii/522531-allergies-0-0.pdf")</f>
        <v/>
      </c>
      <c r="E2034" t="n">
        <v>120842</v>
      </c>
      <c r="F2034" t="n">
        <v>522531</v>
      </c>
      <c r="G2034" t="inlineStr">
        <is>
          <t>Physician</t>
        </is>
      </c>
      <c r="H2034" t="inlineStr">
        <is>
          <t>allergies</t>
        </is>
      </c>
      <c r="I2034" t="inlineStr">
        <is>
          <t>History obtained from PatientHayfever (Nasal) (Homeopathic Drugs)
   Cough; s</t>
        </is>
      </c>
    </row>
    <row r="2035">
      <c r="A2035" t="inlineStr">
        <is>
          <t>522531-other-medications-0-0</t>
        </is>
      </c>
      <c r="B2035" t="inlineStr"/>
      <c r="C2035" t="inlineStr"/>
      <c r="D2035">
        <f>HYPERLINK("http://nlpdeep.cs.uic.edu:8080/proofing/t5/522531-other-medications-0-0.pdf","t5/522531-other-medications-0-0.pdf")</f>
        <v/>
      </c>
      <c r="E2035" t="n">
        <v>120842</v>
      </c>
      <c r="F2035" t="n">
        <v>522531</v>
      </c>
      <c r="G2035" t="inlineStr">
        <is>
          <t>Physician</t>
        </is>
      </c>
      <c r="H2035" t="inlineStr">
        <is>
          <t>other-medications</t>
        </is>
      </c>
      <c r="I2035" t="inlineStr">
        <is>
          <t>Other medications:</t>
        </is>
      </c>
    </row>
    <row r="2036">
      <c r="A2036" t="inlineStr">
        <is>
          <t>522531-other-medications-0-0</t>
        </is>
      </c>
      <c r="B2036" t="inlineStr"/>
      <c r="C2036" t="inlineStr"/>
      <c r="D2036">
        <f>HYPERLINK("http://nlpdeep.cs.uic.edu:8080/proofing/gsii/522531-other-medications-0-0.pdf","gsii/522531-other-medications-0-0.pdf")</f>
        <v/>
      </c>
      <c r="E2036" t="n">
        <v>120842</v>
      </c>
      <c r="F2036" t="n">
        <v>522531</v>
      </c>
      <c r="G2036" t="inlineStr">
        <is>
          <t>Physician</t>
        </is>
      </c>
      <c r="H2036" t="inlineStr">
        <is>
          <t>other-medications</t>
        </is>
      </c>
      <c r="I2036" t="inlineStr">
        <is>
          <t>Other medications:</t>
        </is>
      </c>
    </row>
    <row r="2037">
      <c r="A2037" t="inlineStr">
        <is>
          <t>522531-past-medical-history-0-0</t>
        </is>
      </c>
      <c r="B2037" t="inlineStr"/>
      <c r="C2037" t="inlineStr"/>
      <c r="D2037">
        <f>HYPERLINK("http://nlpdeep.cs.uic.edu:8080/proofing/t5/522531-past-medical-history-0-0.pdf","t5/522531-past-medical-history-0-0.pdf")</f>
        <v/>
      </c>
      <c r="E2037" t="n">
        <v>120842</v>
      </c>
      <c r="F2037" t="n">
        <v>522531</v>
      </c>
      <c r="G2037" t="inlineStr">
        <is>
          <t>Physician</t>
        </is>
      </c>
      <c r="H2037" t="inlineStr">
        <is>
          <t>past-medical-history</t>
        </is>
      </c>
      <c r="I2037" t="inlineStr">
        <is>
          <t>Review of systems is unchanged from admission except as noted b</t>
        </is>
      </c>
    </row>
    <row r="2038">
      <c r="A2038" t="inlineStr">
        <is>
          <t>522531-past-medical-history-0-0</t>
        </is>
      </c>
      <c r="B2038" t="inlineStr"/>
      <c r="C2038" t="inlineStr"/>
      <c r="D2038">
        <f>HYPERLINK("http://nlpdeep.cs.uic.edu:8080/proofing/gsii/522531-past-medical-history-0-0.pdf","gsii/522531-past-medical-history-0-0.pdf")</f>
        <v/>
      </c>
      <c r="E2038" t="n">
        <v>120842</v>
      </c>
      <c r="F2038" t="n">
        <v>522531</v>
      </c>
      <c r="G2038" t="inlineStr">
        <is>
          <t>Physician</t>
        </is>
      </c>
      <c r="H2038" t="inlineStr">
        <is>
          <t>past-medical-history</t>
        </is>
      </c>
      <c r="I2038" t="inlineStr">
        <is>
          <t>Review of systems is unchanged from admission except as noted b</t>
        </is>
      </c>
    </row>
    <row r="2039">
      <c r="A2039" t="inlineStr">
        <is>
          <t>522531-review-of-systems-0-0</t>
        </is>
      </c>
      <c r="B2039" t="inlineStr"/>
      <c r="C2039" t="inlineStr"/>
      <c r="D2039">
        <f>HYPERLINK("http://nlpdeep.cs.uic.edu:8080/proofing/t5/522531-review-of-systems-0-0.pdf","t5/522531-review-of-systems-0-0.pdf")</f>
        <v/>
      </c>
      <c r="E2039" t="n">
        <v>120842</v>
      </c>
      <c r="F2039" t="n">
        <v>522531</v>
      </c>
      <c r="G2039" t="inlineStr">
        <is>
          <t>Physician</t>
        </is>
      </c>
      <c r="H2039" t="inlineStr">
        <is>
          <t>review-of-systems</t>
        </is>
      </c>
      <c r="I2039" t="inlineStr">
        <is>
          <t>Respiratory: Cough, Dyspnea, Wheeze
   Gastrointestinal: A</t>
        </is>
      </c>
    </row>
    <row r="2040">
      <c r="A2040" t="inlineStr">
        <is>
          <t>522531-review-of-systems-0-0</t>
        </is>
      </c>
      <c r="B2040" t="inlineStr"/>
      <c r="C2040" t="inlineStr"/>
      <c r="D2040">
        <f>HYPERLINK("http://nlpdeep.cs.uic.edu:8080/proofing/gsii/522531-review-of-systems-0-0.pdf","gsii/522531-review-of-systems-0-0.pdf")</f>
        <v/>
      </c>
      <c r="E2040" t="n">
        <v>120842</v>
      </c>
      <c r="F2040" t="n">
        <v>522531</v>
      </c>
      <c r="G2040" t="inlineStr">
        <is>
          <t>Physician</t>
        </is>
      </c>
      <c r="H2040" t="inlineStr">
        <is>
          <t>review-of-systems</t>
        </is>
      </c>
      <c r="I2040" t="inlineStr">
        <is>
          <t>Respiratory: Cough, Dyspnea, Wheeze
   Gastrointestinal: A</t>
        </is>
      </c>
    </row>
    <row r="2041">
      <c r="A2041" t="inlineStr">
        <is>
          <t>522531-flowsheet-data-vitals-0-0</t>
        </is>
      </c>
      <c r="B2041" t="inlineStr"/>
      <c r="C2041" t="inlineStr"/>
      <c r="D2041">
        <f>HYPERLINK("http://nlpdeep.cs.uic.edu:8080/proofing/t5/522531-flowsheet-data-vitals-0-0.pdf","t5/522531-flowsheet-data-vitals-0-0.pdf")</f>
        <v/>
      </c>
      <c r="E2041" t="n">
        <v>120842</v>
      </c>
      <c r="F2041" t="n">
        <v>522531</v>
      </c>
      <c r="G2041" t="inlineStr">
        <is>
          <t>Physician</t>
        </is>
      </c>
      <c r="H2041" t="inlineStr">
        <is>
          <t>flowsheet-data-vitals</t>
        </is>
      </c>
      <c r="I2041" t="inlineStr">
        <is>
          <t>Vital signs
   Hemodynamic monitoring
   Fluid balance
                                                                  24 hours
                                                               Since [**55**] AM
   Tmax: 36.9
C (98.4
   Tcurrent: 36
C (96.8
   HR: 72 (57 - 90) bpm
   BP: 160/69(93) {130/58(76) - 165/80(100)} mmHg
   RR: 17 (15 - 24) insp/min
   SpO2: 95%
   Heart rhythm: SR (Sinus Rhythm)
   Height: 24 Inch
             Total In:
                                                                  2,290 mL
                                                                     65 mL
   PO:
                                                                    150 mL
             TF:
   IVF:
                                                                     90 mL
                                                                     65 mL
   Blood products:
   Total out:
                                                                  2,050 mL
                                                                  1,060 mL
   Urine:
                                                                  1,200 mL
                                                                  1,060 mL
   NG:
   Stool:
   Drains:
   Balance:
                                                                    240 mL
                                                                   -995 mL
   Respiratory support
   O2 Delivery Device: Aerosol-cool
   SpO2: 95%
   ABG: ///32/</t>
        </is>
      </c>
    </row>
    <row r="2042">
      <c r="A2042" t="inlineStr">
        <is>
          <t>522531-flowsheet-data-vitals-0-0</t>
        </is>
      </c>
      <c r="B2042" t="inlineStr"/>
      <c r="C2042" t="inlineStr"/>
      <c r="D2042">
        <f>HYPERLINK("http://nlpdeep.cs.uic.edu:8080/proofing/gsii/522531-flowsheet-data-vitals-0-0.pdf","gsii/522531-flowsheet-data-vitals-0-0.pdf")</f>
        <v/>
      </c>
      <c r="E2042" t="n">
        <v>120842</v>
      </c>
      <c r="F2042" t="n">
        <v>522531</v>
      </c>
      <c r="G2042" t="inlineStr">
        <is>
          <t>Physician</t>
        </is>
      </c>
      <c r="H2042" t="inlineStr">
        <is>
          <t>flowsheet-data-vitals</t>
        </is>
      </c>
      <c r="I2042" t="inlineStr">
        <is>
          <t>Vital signs
   Hemodynamic monitoring
   Fluid balance
                                                                  24 hours
                                                               Since [**55**] AM
   Tmax: 36.9
C (98.4
   Tcurrent: 36
C (96.8
   HR: 72 (57 - 90) bpm
   BP: 160/69(93) {130/58(76) - 165/80(100)} mmHg
   RR: 17 (15 - 24) insp/min
   SpO2: 95%
   Heart rhythm: SR (Sinus Rhythm)
   Height: 24 Inch
             Total In:
                                                                  2,290 mL
                                                                     65 mL
   PO:
                                                                    150 mL
             TF:
   IVF:
                                                                     90 mL
                                                                     65 mL
   Blood products:
   Total out:
                                                                  2,050 mL
                                                                  1,060 mL
   Urine:
                                                                  1,200 mL
                                                                  1,060 mL
   NG:
   Stool:
   Drains:
   Balance:
                                                                    240 mL
                                                                   -995 mL
   Respiratory support
   O2 Delivery Device: Aerosol-cool
   SpO2: 95%
   ABG: ///32/</t>
        </is>
      </c>
    </row>
    <row r="2043">
      <c r="A2043" t="inlineStr">
        <is>
          <t>522531-physical-examination-0-0</t>
        </is>
      </c>
      <c r="B2043" t="inlineStr"/>
      <c r="C2043" t="inlineStr"/>
      <c r="D2043">
        <f>HYPERLINK("http://nlpdeep.cs.uic.edu:8080/proofing/t5/522531-physical-examination-0-0.pdf","t5/522531-physical-examination-0-0.pdf")</f>
        <v/>
      </c>
      <c r="E2043" t="n">
        <v>120842</v>
      </c>
      <c r="F2043" t="n">
        <v>522531</v>
      </c>
      <c r="G2043" t="inlineStr">
        <is>
          <t>Physician</t>
        </is>
      </c>
      <c r="H2043" t="inlineStr">
        <is>
          <t>physical-examination</t>
        </is>
      </c>
      <c r="I2043" t="inlineStr">
        <is>
          <t>General Appearance: Well nourished, No acute distress
   Cardiovascular: (S1: Normal), (S2: Normal)
   Peripheral Vascular: (Right radial pulse: Present), (Left radial pulse:
   Present), (Right DP pulse: Present), (Left DP pulse: Present)
   Respiratory / Chest: (Expansion: Symmetric), (Percussion: Resonant : ),
   (Breath Sounds: Wheezes : expiratory)
   Abdominal: Soft, Non-tender, Bowel sounds present
   Extremities: Right lower extremity edema: Absent, Left lower extremity
   edema: Absent
   Skin:  Warm
   Neurologic: Attentive, Follows simple commands, Responds to: Verbal
   stimuli, Oriented (to): x3, Movement: Purposeful, Tone: N</t>
        </is>
      </c>
    </row>
    <row r="2044">
      <c r="A2044" t="inlineStr">
        <is>
          <t>522531-physical-examination-0-0</t>
        </is>
      </c>
      <c r="B2044" t="inlineStr"/>
      <c r="C2044" t="inlineStr"/>
      <c r="D2044">
        <f>HYPERLINK("http://nlpdeep.cs.uic.edu:8080/proofing/gsii/522531-physical-examination-0-0.pdf","gsii/522531-physical-examination-0-0.pdf")</f>
        <v/>
      </c>
      <c r="E2044" t="n">
        <v>120842</v>
      </c>
      <c r="F2044" t="n">
        <v>522531</v>
      </c>
      <c r="G2044" t="inlineStr">
        <is>
          <t>Physician</t>
        </is>
      </c>
      <c r="H2044" t="inlineStr">
        <is>
          <t>physical-examination</t>
        </is>
      </c>
      <c r="I2044" t="inlineStr">
        <is>
          <t>General Appearance: Well nourished, No acute distress
   Cardiovascular: (S1: Normal), (S2: Normal)
   Peripheral Vascular: (Right radial pulse: Present), (Left radial pulse:
   Present), (Right DP pulse: Present), (Left DP pulse: Present)
   Respiratory / Chest: (Expansion: Symmetric), (Percussion: Resonant : ),
   (Breath Sounds: Wheezes : expiratory)
   Abdominal: Soft, Non-tender, Bowel sounds present
   Extremities: Right lower extremity edema: Absent, Left lower extremity
   edema: Absent
   Skin:  Warm
   Neurologic: Attentive, Follows simple commands, Responds to: Verbal
   stimuli, Oriented (to): x3, Movement: Purposeful, Tone: N</t>
        </is>
      </c>
    </row>
    <row r="2045">
      <c r="A2045" t="inlineStr">
        <is>
          <t>522531-labs-imaging-0-0</t>
        </is>
      </c>
      <c r="B2045" t="inlineStr"/>
      <c r="C2045" t="inlineStr"/>
      <c r="D2045">
        <f>HYPERLINK("http://nlpdeep.cs.uic.edu:8080/proofing/t5/522531-labs-imaging-0-0.pdf","t5/522531-labs-imaging-0-0.pdf")</f>
        <v/>
      </c>
      <c r="E2045" t="n">
        <v>120842</v>
      </c>
      <c r="F2045" t="n">
        <v>522531</v>
      </c>
      <c r="G2045" t="inlineStr">
        <is>
          <t>Physician</t>
        </is>
      </c>
      <c r="H2045" t="inlineStr">
        <is>
          <t>labs-imaging</t>
        </is>
      </c>
      <c r="I2045" t="inlineStr">
        <is>
          <t>249 K/uL
   10.1 g/dL
   212 mg/dL
   0.6 mg/dL
   32 mEq/L
   4.1 mEq/L
   12 mg/dL
   101 mEq/L
   139 mEq/L
   31.4 %
   8.0 K/uL
        [image002.jpg]
                             [**2153-4-6**]  09:13 PM
                             [**2153-4-7**]  03:32 AM
   WBC
   8.0
   Hct
   31.4
   Plt
   249
   Cr
   0.6
   TropT
   &lt;0.01
   Glucose
   212
   Other labs: CK / CKMB / Troponin-T:87//&lt;0.01, Lactic Acid:1.6 mmol/L,
   Ca++:9.3 mg/dL, Mg++:2.0 mg/dL, PO4:3.5 mg/dL
   Imaging: [**4-6**] CXR: Single AP radiograph of the chest again demonstrates
   hyperexpanded lungs, consistent with emphysema.</t>
        </is>
      </c>
    </row>
    <row r="2046">
      <c r="A2046" t="inlineStr">
        <is>
          <t>522531-labs-imaging-0-0</t>
        </is>
      </c>
      <c r="B2046" t="inlineStr"/>
      <c r="C2046" t="inlineStr"/>
      <c r="D2046">
        <f>HYPERLINK("http://nlpdeep.cs.uic.edu:8080/proofing/gsii/522531-labs-imaging-0-0.pdf","gsii/522531-labs-imaging-0-0.pdf")</f>
        <v/>
      </c>
      <c r="E2046" t="n">
        <v>120842</v>
      </c>
      <c r="F2046" t="n">
        <v>522531</v>
      </c>
      <c r="G2046" t="inlineStr">
        <is>
          <t>Physician</t>
        </is>
      </c>
      <c r="H2046" t="inlineStr">
        <is>
          <t>labs-imaging</t>
        </is>
      </c>
      <c r="I2046" t="inlineStr">
        <is>
          <t>249 K/uL
   10.1 g/dL
   212 mg/dL
   0.6 mg/dL
   32 mEq/L
   4.1 mEq/L
   12 mg/dL
   101 mEq/L
   139 mEq/L
   31.4 %
   8.0 K/uL
        [image002.jpg]
                             [**2153-4-6**]  09:13 PM
                             [**2153-4-7**]  03:32 AM
   WBC
   8.0
   Hct
   31.4
   Plt
   249
   Cr
   0.6
   TropT
   &lt;0.01
   Glucose
   212
   Other labs: CK / CKMB / Troponin-T:87//&lt;0.01, Lactic Acid:1.6 mmol/L,
   Ca++:9.3 mg/dL, Mg++:2.0 mg/dL, PO4:3.5 mg/dL
   Imaging: [**4-6**] CXR: Single AP radiograph of the chest again demonstrates
   hyperexpanded lungs, consistent with emphysema.</t>
        </is>
      </c>
    </row>
    <row r="2047">
      <c r="A2047" t="inlineStr">
        <is>
          <t>522531-labs-imaging-0-1</t>
        </is>
      </c>
      <c r="B2047" t="inlineStr"/>
      <c r="C2047" t="inlineStr"/>
      <c r="D2047">
        <f>HYPERLINK("http://nlpdeep.cs.uic.edu:8080/proofing/t5/522531-labs-imaging-0-1.pdf","t5/522531-labs-imaging-0-1.pdf")</f>
        <v/>
      </c>
      <c r="E2047" t="n">
        <v>120842</v>
      </c>
      <c r="F2047" t="n">
        <v>522531</v>
      </c>
      <c r="G2047" t="inlineStr">
        <is>
          <t>Physician</t>
        </is>
      </c>
      <c r="H2047" t="inlineStr">
        <is>
          <t>labs-imaging</t>
        </is>
      </c>
      <c r="I2047" t="inlineStr">
        <is>
          <t>There is left lower
   lobe atelectasis, with no evidence of focal consolidation or edema.</t>
        </is>
      </c>
    </row>
    <row r="2048">
      <c r="A2048" t="inlineStr">
        <is>
          <t>522531-labs-imaging-0-1</t>
        </is>
      </c>
      <c r="B2048" t="inlineStr"/>
      <c r="C2048" t="inlineStr"/>
      <c r="D2048">
        <f>HYPERLINK("http://nlpdeep.cs.uic.edu:8080/proofing/gsii/522531-labs-imaging-0-1.pdf","gsii/522531-labs-imaging-0-1.pdf")</f>
        <v/>
      </c>
      <c r="E2048" t="n">
        <v>120842</v>
      </c>
      <c r="F2048" t="n">
        <v>522531</v>
      </c>
      <c r="G2048" t="inlineStr">
        <is>
          <t>Physician</t>
        </is>
      </c>
      <c r="H2048" t="inlineStr">
        <is>
          <t>labs-imaging</t>
        </is>
      </c>
      <c r="I2048" t="inlineStr">
        <is>
          <t>There is left lower
   lobe atelectasis, with no evidence of focal consolidation or edema.</t>
        </is>
      </c>
    </row>
    <row r="2049">
      <c r="A2049" t="inlineStr">
        <is>
          <t>522531-labs-imaging-0-2</t>
        </is>
      </c>
      <c r="B2049" t="inlineStr"/>
      <c r="C2049" t="inlineStr"/>
      <c r="D2049">
        <f>HYPERLINK("http://nlpdeep.cs.uic.edu:8080/proofing/t5/522531-labs-imaging-0-2.pdf","t5/522531-labs-imaging-0-2.pdf")</f>
        <v/>
      </c>
      <c r="E2049" t="n">
        <v>120842</v>
      </c>
      <c r="F2049" t="n">
        <v>522531</v>
      </c>
      <c r="G2049" t="inlineStr">
        <is>
          <t>Physician</t>
        </is>
      </c>
      <c r="H2049" t="inlineStr">
        <is>
          <t>labs-imaging</t>
        </is>
      </c>
      <c r="I2049" t="inlineStr">
        <is>
          <t>The
   cardiomediastinal silhouette is again enlarged, with a tortuous and
   calcified aorta.</t>
        </is>
      </c>
    </row>
    <row r="2050">
      <c r="A2050" t="inlineStr">
        <is>
          <t>522531-labs-imaging-0-2</t>
        </is>
      </c>
      <c r="B2050" t="inlineStr"/>
      <c r="C2050" t="inlineStr"/>
      <c r="D2050">
        <f>HYPERLINK("http://nlpdeep.cs.uic.edu:8080/proofing/gsii/522531-labs-imaging-0-2.pdf","gsii/522531-labs-imaging-0-2.pdf")</f>
        <v/>
      </c>
      <c r="E2050" t="n">
        <v>120842</v>
      </c>
      <c r="F2050" t="n">
        <v>522531</v>
      </c>
      <c r="G2050" t="inlineStr">
        <is>
          <t>Physician</t>
        </is>
      </c>
      <c r="H2050" t="inlineStr">
        <is>
          <t>labs-imaging</t>
        </is>
      </c>
      <c r="I2050" t="inlineStr">
        <is>
          <t>The
   cardiomediastinal silhouette is again enlarged, with a tortuous and
   calcified aorta.</t>
        </is>
      </c>
    </row>
    <row r="2051">
      <c r="A2051" t="inlineStr">
        <is>
          <t>522531-labs-imaging-0-3</t>
        </is>
      </c>
      <c r="B2051" t="inlineStr"/>
      <c r="C2051" t="inlineStr"/>
      <c r="D2051">
        <f>HYPERLINK("http://nlpdeep.cs.uic.edu:8080/proofing/t5/522531-labs-imaging-0-3.pdf","t5/522531-labs-imaging-0-3.pdf")</f>
        <v/>
      </c>
      <c r="E2051" t="n">
        <v>120842</v>
      </c>
      <c r="F2051" t="n">
        <v>522531</v>
      </c>
      <c r="G2051" t="inlineStr">
        <is>
          <t>Physician</t>
        </is>
      </c>
      <c r="H2051" t="inlineStr">
        <is>
          <t>labs-imaging</t>
        </is>
      </c>
      <c r="I2051" t="inlineStr">
        <is>
          <t>The osseous structures and soft tissues are
   unremarkable.</t>
        </is>
      </c>
    </row>
    <row r="2052">
      <c r="A2052" t="inlineStr">
        <is>
          <t>522531-labs-imaging-0-3</t>
        </is>
      </c>
      <c r="B2052" t="inlineStr"/>
      <c r="C2052" t="inlineStr"/>
      <c r="D2052">
        <f>HYPERLINK("http://nlpdeep.cs.uic.edu:8080/proofing/gsii/522531-labs-imaging-0-3.pdf","gsii/522531-labs-imaging-0-3.pdf")</f>
        <v/>
      </c>
      <c r="E2052" t="n">
        <v>120842</v>
      </c>
      <c r="F2052" t="n">
        <v>522531</v>
      </c>
      <c r="G2052" t="inlineStr">
        <is>
          <t>Physician</t>
        </is>
      </c>
      <c r="H2052" t="inlineStr">
        <is>
          <t>labs-imaging</t>
        </is>
      </c>
      <c r="I2052" t="inlineStr">
        <is>
          <t>The osseous structures and soft tissues are
   unremarkable.</t>
        </is>
      </c>
    </row>
    <row r="2053">
      <c r="A2053" t="inlineStr">
        <is>
          <t>522531-labs-imaging-0-4</t>
        </is>
      </c>
      <c r="B2053" t="inlineStr"/>
      <c r="C2053" t="inlineStr"/>
      <c r="D2053">
        <f>HYPERLINK("http://nlpdeep.cs.uic.edu:8080/proofing/t5/522531-labs-imaging-0-4.pdf","t5/522531-labs-imaging-0-4.pdf")</f>
        <v/>
      </c>
      <c r="E2053" t="n">
        <v>120842</v>
      </c>
      <c r="F2053" t="n">
        <v>522531</v>
      </c>
      <c r="G2053" t="inlineStr">
        <is>
          <t>Physician</t>
        </is>
      </c>
      <c r="H2053" t="inlineStr">
        <is>
          <t>labs-imaging</t>
        </is>
      </c>
      <c r="I2053" t="inlineStr">
        <is>
          <t>Microbiology: [**4-6**] BCx: pending
   [**4-6**] Resp viral culture: p</t>
        </is>
      </c>
    </row>
    <row r="2054">
      <c r="A2054" t="inlineStr">
        <is>
          <t>522531-labs-imaging-0-4</t>
        </is>
      </c>
      <c r="B2054" t="inlineStr"/>
      <c r="C2054" t="inlineStr"/>
      <c r="D2054">
        <f>HYPERLINK("http://nlpdeep.cs.uic.edu:8080/proofing/gsii/522531-labs-imaging-0-4.pdf","gsii/522531-labs-imaging-0-4.pdf")</f>
        <v/>
      </c>
      <c r="E2054" t="n">
        <v>120842</v>
      </c>
      <c r="F2054" t="n">
        <v>522531</v>
      </c>
      <c r="G2054" t="inlineStr">
        <is>
          <t>Physician</t>
        </is>
      </c>
      <c r="H2054" t="inlineStr">
        <is>
          <t>labs-imaging</t>
        </is>
      </c>
      <c r="I2054" t="inlineStr">
        <is>
          <t>Microbiology: [**4-6**] BCx: pending
   [**4-6**] Resp viral culture: p</t>
        </is>
      </c>
    </row>
    <row r="2055">
      <c r="A2055" t="inlineStr">
        <is>
          <t>522531-assessment-and-plan-0-0</t>
        </is>
      </c>
      <c r="B2055" t="inlineStr"/>
      <c r="C2055" t="inlineStr"/>
      <c r="D2055">
        <f>HYPERLINK("http://nlpdeep.cs.uic.edu:8080/proofing/t5/522531-assessment-and-plan-0-0.pdf","t5/522531-assessment-and-plan-0-0.pdf")</f>
        <v/>
      </c>
      <c r="E2055" t="n">
        <v>120842</v>
      </c>
      <c r="F2055" t="n">
        <v>522531</v>
      </c>
      <c r="G2055" t="inlineStr">
        <is>
          <t>Physician</t>
        </is>
      </c>
      <c r="H2055" t="inlineStr">
        <is>
          <t>assessment-and-plan</t>
        </is>
      </c>
      <c r="I2055" t="inlineStr">
        <is>
          <t>73 YO F with COPD/RAD on home O2, diastolic CHF, recent TKR, presenting
   with two weeks of shortness of breath with acute worsening x 1 day.</t>
        </is>
      </c>
    </row>
    <row r="2056">
      <c r="A2056" t="inlineStr">
        <is>
          <t>522531-assessment-and-plan-0-0</t>
        </is>
      </c>
      <c r="B2056" t="inlineStr"/>
      <c r="C2056" t="inlineStr"/>
      <c r="D2056">
        <f>HYPERLINK("http://nlpdeep.cs.uic.edu:8080/proofing/gsii/522531-assessment-and-plan-0-0.pdf","gsii/522531-assessment-and-plan-0-0.pdf")</f>
        <v/>
      </c>
      <c r="E2056" t="n">
        <v>120842</v>
      </c>
      <c r="F2056" t="n">
        <v>522531</v>
      </c>
      <c r="G2056" t="inlineStr">
        <is>
          <t>Physician</t>
        </is>
      </c>
      <c r="H2056" t="inlineStr">
        <is>
          <t>assessment-and-plan</t>
        </is>
      </c>
      <c r="I2056" t="inlineStr">
        <is>
          <t>73 YO F with COPD/RAD on home O2, diastolic CHF, recent TKR, presenting
   with two weeks of shortness of breath with acute worsening x 1 day.</t>
        </is>
      </c>
    </row>
    <row r="2057">
      <c r="A2057" t="inlineStr">
        <is>
          <t>522531-assessment-and-plan-1-0</t>
        </is>
      </c>
      <c r="B2057" t="inlineStr"/>
      <c r="C2057" t="inlineStr"/>
      <c r="D2057">
        <f>HYPERLINK("http://nlpdeep.cs.uic.edu:8080/proofing/t5/522531-assessment-and-plan-1-0.pdf","t5/522531-assessment-and-plan-1-0.pdf")</f>
        <v/>
      </c>
      <c r="E2057" t="n">
        <v>120842</v>
      </c>
      <c r="F2057" t="n">
        <v>522531</v>
      </c>
      <c r="G2057" t="inlineStr">
        <is>
          <t>Physician</t>
        </is>
      </c>
      <c r="H2057" t="inlineStr">
        <is>
          <t>assessment-and-plan</t>
        </is>
      </c>
      <c r="I2057" t="inlineStr">
        <is>
          <t xml:space="preserve">
   # Hypoxia/respiratory distress:  O2 stable over night with aerosolized
   mask.</t>
        </is>
      </c>
    </row>
    <row r="2058">
      <c r="A2058" t="inlineStr">
        <is>
          <t>522531-assessment-and-plan-1-0</t>
        </is>
      </c>
      <c r="B2058" t="inlineStr"/>
      <c r="C2058" t="inlineStr"/>
      <c r="D2058">
        <f>HYPERLINK("http://nlpdeep.cs.uic.edu:8080/proofing/gsii/522531-assessment-and-plan-1-0.pdf","gsii/522531-assessment-and-plan-1-0.pdf")</f>
        <v/>
      </c>
      <c r="E2058" t="n">
        <v>120842</v>
      </c>
      <c r="F2058" t="n">
        <v>522531</v>
      </c>
      <c r="G2058" t="inlineStr">
        <is>
          <t>Physician</t>
        </is>
      </c>
      <c r="H2058" t="inlineStr">
        <is>
          <t>assessment-and-plan</t>
        </is>
      </c>
      <c r="I2058" t="inlineStr">
        <is>
          <t xml:space="preserve">
   # Hypoxia/respiratory distress:  O2 stable over night with aerosolized
   mask.</t>
        </is>
      </c>
    </row>
    <row r="2059">
      <c r="A2059" t="inlineStr">
        <is>
          <t>522531-assessment-and-plan-1-1</t>
        </is>
      </c>
      <c r="B2059" t="inlineStr"/>
      <c r="C2059" t="inlineStr"/>
      <c r="D2059">
        <f>HYPERLINK("http://nlpdeep.cs.uic.edu:8080/proofing/t5/522531-assessment-and-plan-1-1.pdf","t5/522531-assessment-and-plan-1-1.pdf")</f>
        <v/>
      </c>
      <c r="E2059" t="n">
        <v>120842</v>
      </c>
      <c r="F2059" t="n">
        <v>522531</v>
      </c>
      <c r="G2059" t="inlineStr">
        <is>
          <t>Physician</t>
        </is>
      </c>
      <c r="H2059" t="inlineStr">
        <is>
          <t>assessment-and-plan</t>
        </is>
      </c>
      <c r="I2059" t="inlineStr">
        <is>
          <t>Subjectively improved but continues to cough and wheeze.</t>
        </is>
      </c>
    </row>
    <row r="2060">
      <c r="A2060" t="inlineStr">
        <is>
          <t>522531-assessment-and-plan-1-1</t>
        </is>
      </c>
      <c r="B2060" t="inlineStr"/>
      <c r="C2060" t="inlineStr"/>
      <c r="D2060">
        <f>HYPERLINK("http://nlpdeep.cs.uic.edu:8080/proofing/gsii/522531-assessment-and-plan-1-1.pdf","gsii/522531-assessment-and-plan-1-1.pdf")</f>
        <v/>
      </c>
      <c r="E2060" t="n">
        <v>120842</v>
      </c>
      <c r="F2060" t="n">
        <v>522531</v>
      </c>
      <c r="G2060" t="inlineStr">
        <is>
          <t>Physician</t>
        </is>
      </c>
      <c r="H2060" t="inlineStr">
        <is>
          <t>assessment-and-plan</t>
        </is>
      </c>
      <c r="I2060" t="inlineStr">
        <is>
          <t>Subjectively improved but continues to cough and wheeze.</t>
        </is>
      </c>
    </row>
    <row r="2061">
      <c r="A2061" t="inlineStr">
        <is>
          <t>522531-assessment-and-plan-1-2</t>
        </is>
      </c>
      <c r="B2061" t="inlineStr"/>
      <c r="C2061" t="inlineStr"/>
      <c r="D2061">
        <f>HYPERLINK("http://nlpdeep.cs.uic.edu:8080/proofing/t5/522531-assessment-and-plan-1-2.pdf","t5/522531-assessment-and-plan-1-2.pdf")</f>
        <v/>
      </c>
      <c r="E2061" t="n">
        <v>120842</v>
      </c>
      <c r="F2061" t="n">
        <v>522531</v>
      </c>
      <c r="G2061" t="inlineStr">
        <is>
          <t>Physician</t>
        </is>
      </c>
      <c r="H2061" t="inlineStr">
        <is>
          <t>assessment-and-plan</t>
        </is>
      </c>
      <c r="I2061" t="inlineStr">
        <is>
          <t>CXR
   without focal consolidation, and patient is afebrile without
   leukocytosis.</t>
        </is>
      </c>
    </row>
    <row r="2062">
      <c r="A2062" t="inlineStr">
        <is>
          <t>522531-assessment-and-plan-1-2</t>
        </is>
      </c>
      <c r="B2062" t="inlineStr"/>
      <c r="C2062" t="inlineStr"/>
      <c r="D2062">
        <f>HYPERLINK("http://nlpdeep.cs.uic.edu:8080/proofing/gsii/522531-assessment-and-plan-1-2.pdf","gsii/522531-assessment-and-plan-1-2.pdf")</f>
        <v/>
      </c>
      <c r="E2062" t="n">
        <v>120842</v>
      </c>
      <c r="F2062" t="n">
        <v>522531</v>
      </c>
      <c r="G2062" t="inlineStr">
        <is>
          <t>Physician</t>
        </is>
      </c>
      <c r="H2062" t="inlineStr">
        <is>
          <t>assessment-and-plan</t>
        </is>
      </c>
      <c r="I2062" t="inlineStr">
        <is>
          <t>CXR
   without focal consolidation, and patient is afebrile without
   leukocytosis.</t>
        </is>
      </c>
    </row>
    <row r="2063">
      <c r="A2063" t="inlineStr">
        <is>
          <t>522531-assessment-and-plan-1-3</t>
        </is>
      </c>
      <c r="B2063" t="inlineStr"/>
      <c r="C2063" t="inlineStr"/>
      <c r="D2063">
        <f>HYPERLINK("http://nlpdeep.cs.uic.edu:8080/proofing/t5/522531-assessment-and-plan-1-3.pdf","t5/522531-assessment-and-plan-1-3.pdf")</f>
        <v/>
      </c>
      <c r="E2063" t="n">
        <v>120842</v>
      </c>
      <c r="F2063" t="n">
        <v>522531</v>
      </c>
      <c r="G2063" t="inlineStr">
        <is>
          <t>Physician</t>
        </is>
      </c>
      <c r="H2063" t="inlineStr">
        <is>
          <t>assessment-and-plan</t>
        </is>
      </c>
      <c r="I2063" t="inlineStr">
        <is>
          <t>Cardiac enzymes negative x2.</t>
        </is>
      </c>
    </row>
    <row r="2064">
      <c r="A2064" t="inlineStr">
        <is>
          <t>522531-assessment-and-plan-1-3</t>
        </is>
      </c>
      <c r="B2064" t="inlineStr"/>
      <c r="C2064" t="inlineStr"/>
      <c r="D2064">
        <f>HYPERLINK("http://nlpdeep.cs.uic.edu:8080/proofing/gsii/522531-assessment-and-plan-1-3.pdf","gsii/522531-assessment-and-plan-1-3.pdf")</f>
        <v/>
      </c>
      <c r="E2064" t="n">
        <v>120842</v>
      </c>
      <c r="F2064" t="n">
        <v>522531</v>
      </c>
      <c r="G2064" t="inlineStr">
        <is>
          <t>Physician</t>
        </is>
      </c>
      <c r="H2064" t="inlineStr">
        <is>
          <t>assessment-and-plan</t>
        </is>
      </c>
      <c r="I2064" t="inlineStr">
        <is>
          <t>Cardiac enzymes negative x2.</t>
        </is>
      </c>
    </row>
    <row r="2065">
      <c r="A2065" t="inlineStr">
        <is>
          <t>522531-assessment-and-plan-1-4</t>
        </is>
      </c>
      <c r="B2065" t="inlineStr"/>
      <c r="C2065" t="inlineStr"/>
      <c r="D2065">
        <f>HYPERLINK("http://nlpdeep.cs.uic.edu:8080/proofing/t5/522531-assessment-and-plan-1-4.pdf","t5/522531-assessment-and-plan-1-4.pdf")</f>
        <v/>
      </c>
      <c r="E2065" t="n">
        <v>120842</v>
      </c>
      <c r="F2065" t="n">
        <v>522531</v>
      </c>
      <c r="G2065" t="inlineStr">
        <is>
          <t>Physician</t>
        </is>
      </c>
      <c r="H2065" t="inlineStr">
        <is>
          <t>assessment-and-plan</t>
        </is>
      </c>
      <c r="I2065" t="inlineStr">
        <is>
          <t>Respiratory viral culture
   pending.</t>
        </is>
      </c>
    </row>
    <row r="2066">
      <c r="A2066" t="inlineStr">
        <is>
          <t>522531-assessment-and-plan-1-4</t>
        </is>
      </c>
      <c r="B2066" t="inlineStr"/>
      <c r="C2066" t="inlineStr"/>
      <c r="D2066">
        <f>HYPERLINK("http://nlpdeep.cs.uic.edu:8080/proofing/gsii/522531-assessment-and-plan-1-4.pdf","gsii/522531-assessment-and-plan-1-4.pdf")</f>
        <v/>
      </c>
      <c r="E2066" t="n">
        <v>120842</v>
      </c>
      <c r="F2066" t="n">
        <v>522531</v>
      </c>
      <c r="G2066" t="inlineStr">
        <is>
          <t>Physician</t>
        </is>
      </c>
      <c r="H2066" t="inlineStr">
        <is>
          <t>assessment-and-plan</t>
        </is>
      </c>
      <c r="I2066" t="inlineStr">
        <is>
          <t>Respiratory viral culture
   pending.</t>
        </is>
      </c>
    </row>
    <row r="2067">
      <c r="A2067" t="inlineStr">
        <is>
          <t>522531-assessment-and-plan-1-5</t>
        </is>
      </c>
      <c r="B2067" t="inlineStr"/>
      <c r="C2067" t="inlineStr"/>
      <c r="D2067">
        <f>HYPERLINK("http://nlpdeep.cs.uic.edu:8080/proofing/t5/522531-assessment-and-plan-1-5.pdf","t5/522531-assessment-and-plan-1-5.pdf")</f>
        <v/>
      </c>
      <c r="E2067" t="n">
        <v>120842</v>
      </c>
      <c r="F2067" t="n">
        <v>522531</v>
      </c>
      <c r="G2067" t="inlineStr">
        <is>
          <t>Physician</t>
        </is>
      </c>
      <c r="H2067" t="inlineStr">
        <is>
          <t>assessment-and-plan</t>
        </is>
      </c>
      <c r="I2067" t="inlineStr">
        <is>
          <t xml:space="preserve"> CTA negative for PE in ED.</t>
        </is>
      </c>
    </row>
    <row r="2068">
      <c r="A2068" t="inlineStr">
        <is>
          <t>522531-assessment-and-plan-1-5</t>
        </is>
      </c>
      <c r="B2068" t="inlineStr"/>
      <c r="C2068" t="inlineStr"/>
      <c r="D2068">
        <f>HYPERLINK("http://nlpdeep.cs.uic.edu:8080/proofing/gsii/522531-assessment-and-plan-1-5.pdf","gsii/522531-assessment-and-plan-1-5.pdf")</f>
        <v/>
      </c>
      <c r="E2068" t="n">
        <v>120842</v>
      </c>
      <c r="F2068" t="n">
        <v>522531</v>
      </c>
      <c r="G2068" t="inlineStr">
        <is>
          <t>Physician</t>
        </is>
      </c>
      <c r="H2068" t="inlineStr">
        <is>
          <t>assessment-and-plan</t>
        </is>
      </c>
      <c r="I2068" t="inlineStr">
        <is>
          <t xml:space="preserve"> CTA negative for PE in ED.</t>
        </is>
      </c>
    </row>
    <row r="2069">
      <c r="A2069" t="inlineStr">
        <is>
          <t>522531-assessment-and-plan-1-6</t>
        </is>
      </c>
      <c r="B2069" t="inlineStr"/>
      <c r="C2069" t="inlineStr"/>
      <c r="D2069">
        <f>HYPERLINK("http://nlpdeep.cs.uic.edu:8080/proofing/t5/522531-assessment-and-plan-1-6.pdf","t5/522531-assessment-and-plan-1-6.pdf")</f>
        <v/>
      </c>
      <c r="E2069" t="n">
        <v>120842</v>
      </c>
      <c r="F2069" t="n">
        <v>522531</v>
      </c>
      <c r="G2069" t="inlineStr">
        <is>
          <t>Physician</t>
        </is>
      </c>
      <c r="H2069" t="inlineStr">
        <is>
          <t>assessment-and-plan</t>
        </is>
      </c>
      <c r="I2069" t="inlineStr">
        <is>
          <t xml:space="preserve"> Likely some component of RAD,
   COPD flair.</t>
        </is>
      </c>
    </row>
    <row r="2070">
      <c r="A2070" t="inlineStr">
        <is>
          <t>522531-assessment-and-plan-1-6</t>
        </is>
      </c>
      <c r="B2070" t="inlineStr"/>
      <c r="C2070" t="inlineStr"/>
      <c r="D2070">
        <f>HYPERLINK("http://nlpdeep.cs.uic.edu:8080/proofing/gsii/522531-assessment-and-plan-1-6.pdf","gsii/522531-assessment-and-plan-1-6.pdf")</f>
        <v/>
      </c>
      <c r="E2070" t="n">
        <v>120842</v>
      </c>
      <c r="F2070" t="n">
        <v>522531</v>
      </c>
      <c r="G2070" t="inlineStr">
        <is>
          <t>Physician</t>
        </is>
      </c>
      <c r="H2070" t="inlineStr">
        <is>
          <t>assessment-and-plan</t>
        </is>
      </c>
      <c r="I2070" t="inlineStr">
        <is>
          <t xml:space="preserve"> Likely some component of RAD,
   COPD flair.</t>
        </is>
      </c>
    </row>
    <row r="2071">
      <c r="A2071" t="inlineStr">
        <is>
          <t>522531-assessment-and-plan-1-7</t>
        </is>
      </c>
      <c r="B2071" t="inlineStr"/>
      <c r="C2071" t="inlineStr"/>
      <c r="D2071">
        <f>HYPERLINK("http://nlpdeep.cs.uic.edu:8080/proofing/t5/522531-assessment-and-plan-1-7.pdf","t5/522531-assessment-and-plan-1-7.pdf")</f>
        <v/>
      </c>
      <c r="E2071" t="n">
        <v>120842</v>
      </c>
      <c r="F2071" t="n">
        <v>522531</v>
      </c>
      <c r="G2071" t="inlineStr">
        <is>
          <t>Physician</t>
        </is>
      </c>
      <c r="H2071" t="inlineStr">
        <is>
          <t>assessment-and-plan</t>
        </is>
      </c>
      <c r="I2071" t="inlineStr">
        <is>
          <t xml:space="preserve"> Also may have some element of volume overload given
   diastolic dysfunction and 2.75L in ED, although euvolemic on exam.</t>
        </is>
      </c>
    </row>
    <row r="2072">
      <c r="A2072" t="inlineStr">
        <is>
          <t>522531-assessment-and-plan-1-7</t>
        </is>
      </c>
      <c r="B2072" t="inlineStr"/>
      <c r="C2072" t="inlineStr"/>
      <c r="D2072">
        <f>HYPERLINK("http://nlpdeep.cs.uic.edu:8080/proofing/gsii/522531-assessment-and-plan-1-7.pdf","gsii/522531-assessment-and-plan-1-7.pdf")</f>
        <v/>
      </c>
      <c r="E2072" t="n">
        <v>120842</v>
      </c>
      <c r="F2072" t="n">
        <v>522531</v>
      </c>
      <c r="G2072" t="inlineStr">
        <is>
          <t>Physician</t>
        </is>
      </c>
      <c r="H2072" t="inlineStr">
        <is>
          <t>assessment-and-plan</t>
        </is>
      </c>
      <c r="I2072" t="inlineStr">
        <is>
          <t xml:space="preserve"> Also may have some element of volume overload given
   diastolic dysfunction and 2.75L in ED, although euvolemic on exam.</t>
        </is>
      </c>
    </row>
    <row r="2073">
      <c r="A2073" t="inlineStr">
        <is>
          <t>522531-assessment-and-plan-1-8</t>
        </is>
      </c>
      <c r="B2073" t="inlineStr"/>
      <c r="C2073" t="inlineStr"/>
      <c r="D2073">
        <f>HYPERLINK("http://nlpdeep.cs.uic.edu:8080/proofing/t5/522531-assessment-and-plan-1-8.pdf","t5/522531-assessment-and-plan-1-8.pdf")</f>
        <v/>
      </c>
      <c r="E2073" t="n">
        <v>120842</v>
      </c>
      <c r="F2073" t="n">
        <v>522531</v>
      </c>
      <c r="G2073" t="inlineStr">
        <is>
          <t>Physician</t>
        </is>
      </c>
      <c r="H2073" t="inlineStr">
        <is>
          <t>assessment-and-plan</t>
        </is>
      </c>
      <c r="I2073" t="inlineStr">
        <is>
          <t xml:space="preserve">
   Another consideration for brief hypoxemic episode with quick resolution
   would be an intermittent shunt.</t>
        </is>
      </c>
    </row>
    <row r="2074">
      <c r="A2074" t="inlineStr">
        <is>
          <t>522531-assessment-and-plan-1-8</t>
        </is>
      </c>
      <c r="B2074" t="inlineStr"/>
      <c r="C2074" t="inlineStr"/>
      <c r="D2074">
        <f>HYPERLINK("http://nlpdeep.cs.uic.edu:8080/proofing/gsii/522531-assessment-and-plan-1-8.pdf","gsii/522531-assessment-and-plan-1-8.pdf")</f>
        <v/>
      </c>
      <c r="E2074" t="n">
        <v>120842</v>
      </c>
      <c r="F2074" t="n">
        <v>522531</v>
      </c>
      <c r="G2074" t="inlineStr">
        <is>
          <t>Physician</t>
        </is>
      </c>
      <c r="H2074" t="inlineStr">
        <is>
          <t>assessment-and-plan</t>
        </is>
      </c>
      <c r="I2074" t="inlineStr">
        <is>
          <t xml:space="preserve">
   Another consideration for brief hypoxemic episode with quick resolution
   would be an intermittent shunt.</t>
        </is>
      </c>
    </row>
    <row r="2075">
      <c r="A2075" t="inlineStr">
        <is>
          <t>522531-assessment-and-plan-1-9</t>
        </is>
      </c>
      <c r="B2075" t="inlineStr"/>
      <c r="C2075" t="inlineStr"/>
      <c r="D2075">
        <f>HYPERLINK("http://nlpdeep.cs.uic.edu:8080/proofing/t5/522531-assessment-and-plan-1-9.pdf","t5/522531-assessment-and-plan-1-9.pdf")</f>
        <v/>
      </c>
      <c r="E2075" t="n">
        <v>120842</v>
      </c>
      <c r="F2075" t="n">
        <v>522531</v>
      </c>
      <c r="G2075" t="inlineStr">
        <is>
          <t>Physician</t>
        </is>
      </c>
      <c r="H2075" t="inlineStr">
        <is>
          <t>assessment-and-plan</t>
        </is>
      </c>
      <c r="I2075" t="inlineStr">
        <is>
          <t xml:space="preserve"> PFO with brief opening is one
   possibility which could be explained in Valsalva maneuver.</t>
        </is>
      </c>
    </row>
    <row r="2076">
      <c r="A2076" t="inlineStr">
        <is>
          <t>522531-assessment-and-plan-1-9</t>
        </is>
      </c>
      <c r="B2076" t="inlineStr"/>
      <c r="C2076" t="inlineStr"/>
      <c r="D2076">
        <f>HYPERLINK("http://nlpdeep.cs.uic.edu:8080/proofing/gsii/522531-assessment-and-plan-1-9.pdf","gsii/522531-assessment-and-plan-1-9.pdf")</f>
        <v/>
      </c>
      <c r="E2076" t="n">
        <v>120842</v>
      </c>
      <c r="F2076" t="n">
        <v>522531</v>
      </c>
      <c r="G2076" t="inlineStr">
        <is>
          <t>Physician</t>
        </is>
      </c>
      <c r="H2076" t="inlineStr">
        <is>
          <t>assessment-and-plan</t>
        </is>
      </c>
      <c r="I2076" t="inlineStr">
        <is>
          <t xml:space="preserve"> PFO with brief opening is one
   possibility which could be explained in Valsalva maneuver.</t>
        </is>
      </c>
    </row>
    <row r="2077">
      <c r="A2077" t="inlineStr">
        <is>
          <t>522531-assessment-and-plan-1-10</t>
        </is>
      </c>
      <c r="B2077" t="inlineStr"/>
      <c r="C2077" t="inlineStr"/>
      <c r="D2077">
        <f>HYPERLINK("http://nlpdeep.cs.uic.edu:8080/proofing/t5/522531-assessment-and-plan-1-10.pdf","t5/522531-assessment-and-plan-1-10.pdf")</f>
        <v/>
      </c>
      <c r="E2077" t="n">
        <v>120842</v>
      </c>
      <c r="F2077" t="n">
        <v>522531</v>
      </c>
      <c r="G2077" t="inlineStr">
        <is>
          <t>Physician</t>
        </is>
      </c>
      <c r="H2077" t="inlineStr">
        <is>
          <t>assessment-and-plan</t>
        </is>
      </c>
      <c r="I2077" t="inlineStr"/>
    </row>
    <row r="2078">
      <c r="A2078" t="inlineStr">
        <is>
          <t>522531-assessment-and-plan-1-10</t>
        </is>
      </c>
      <c r="B2078" t="inlineStr"/>
      <c r="C2078" t="inlineStr"/>
      <c r="D2078">
        <f>HYPERLINK("http://nlpdeep.cs.uic.edu:8080/proofing/gsii/522531-assessment-and-plan-1-10.pdf","gsii/522531-assessment-and-plan-1-10.pdf")</f>
        <v/>
      </c>
      <c r="E2078" t="n">
        <v>120842</v>
      </c>
      <c r="F2078" t="n">
        <v>522531</v>
      </c>
      <c r="G2078" t="inlineStr">
        <is>
          <t>Physician</t>
        </is>
      </c>
      <c r="H2078" t="inlineStr">
        <is>
          <t>assessment-and-plan</t>
        </is>
      </c>
      <c r="I2078" t="inlineStr"/>
    </row>
    <row r="2079">
      <c r="A2079" t="inlineStr">
        <is>
          <t>522531-assessment-and-plan-2-0</t>
        </is>
      </c>
      <c r="B2079" t="inlineStr"/>
      <c r="C2079" t="inlineStr"/>
      <c r="D2079">
        <f>HYPERLINK("http://nlpdeep.cs.uic.edu:8080/proofing/t5/522531-assessment-and-plan-2-0.pdf","t5/522531-assessment-and-plan-2-0.pdf")</f>
        <v/>
      </c>
      <c r="E2079" t="n">
        <v>120842</v>
      </c>
      <c r="F2079" t="n">
        <v>522531</v>
      </c>
      <c r="G2079" t="inlineStr">
        <is>
          <t>Physician</t>
        </is>
      </c>
      <c r="H2079" t="inlineStr">
        <is>
          <t>assessment-and-plan</t>
        </is>
      </c>
      <c r="I2079" t="inlineStr">
        <is>
          <t xml:space="preserve">
   # COPD.</t>
        </is>
      </c>
    </row>
    <row r="2080">
      <c r="A2080" t="inlineStr">
        <is>
          <t>522531-assessment-and-plan-2-0</t>
        </is>
      </c>
      <c r="B2080" t="inlineStr"/>
      <c r="C2080" t="inlineStr"/>
      <c r="D2080">
        <f>HYPERLINK("http://nlpdeep.cs.uic.edu:8080/proofing/gsii/522531-assessment-and-plan-2-0.pdf","gsii/522531-assessment-and-plan-2-0.pdf")</f>
        <v/>
      </c>
      <c r="E2080" t="n">
        <v>120842</v>
      </c>
      <c r="F2080" t="n">
        <v>522531</v>
      </c>
      <c r="G2080" t="inlineStr">
        <is>
          <t>Physician</t>
        </is>
      </c>
      <c r="H2080" t="inlineStr">
        <is>
          <t>assessment-and-plan</t>
        </is>
      </c>
      <c r="I2080" t="inlineStr">
        <is>
          <t xml:space="preserve">
   # COPD.</t>
        </is>
      </c>
    </row>
    <row r="2081">
      <c r="A2081" t="inlineStr">
        <is>
          <t>522531-assessment-and-plan-2-1</t>
        </is>
      </c>
      <c r="B2081" t="inlineStr"/>
      <c r="C2081" t="inlineStr"/>
      <c r="D2081">
        <f>HYPERLINK("http://nlpdeep.cs.uic.edu:8080/proofing/t5/522531-assessment-and-plan-2-1.pdf","t5/522531-assessment-and-plan-2-1.pdf")</f>
        <v/>
      </c>
      <c r="E2081" t="n">
        <v>120842</v>
      </c>
      <c r="F2081" t="n">
        <v>522531</v>
      </c>
      <c r="G2081" t="inlineStr">
        <is>
          <t>Physician</t>
        </is>
      </c>
      <c r="H2081" t="inlineStr">
        <is>
          <t>assessment-and-plan</t>
        </is>
      </c>
      <c r="I2081" t="inlineStr">
        <is>
          <t xml:space="preserve"> Mild per most recent PFTs [**2153**] but with significantly
   diminished DLCO.</t>
        </is>
      </c>
    </row>
    <row r="2082">
      <c r="A2082" t="inlineStr">
        <is>
          <t>522531-assessment-and-plan-2-1</t>
        </is>
      </c>
      <c r="B2082" t="inlineStr"/>
      <c r="C2082" t="inlineStr"/>
      <c r="D2082">
        <f>HYPERLINK("http://nlpdeep.cs.uic.edu:8080/proofing/gsii/522531-assessment-and-plan-2-1.pdf","gsii/522531-assessment-and-plan-2-1.pdf")</f>
        <v/>
      </c>
      <c r="E2082" t="n">
        <v>120842</v>
      </c>
      <c r="F2082" t="n">
        <v>522531</v>
      </c>
      <c r="G2082" t="inlineStr">
        <is>
          <t>Physician</t>
        </is>
      </c>
      <c r="H2082" t="inlineStr">
        <is>
          <t>assessment-and-plan</t>
        </is>
      </c>
      <c r="I2082" t="inlineStr">
        <is>
          <t xml:space="preserve"> Mild per most recent PFTs [**2153**] but with significantly
   diminished DLCO.</t>
        </is>
      </c>
    </row>
    <row r="2083">
      <c r="A2083" t="inlineStr">
        <is>
          <t>522531-assessment-and-plan-2-2</t>
        </is>
      </c>
      <c r="B2083" t="inlineStr"/>
      <c r="C2083" t="inlineStr"/>
      <c r="D2083">
        <f>HYPERLINK("http://nlpdeep.cs.uic.edu:8080/proofing/t5/522531-assessment-and-plan-2-2.pdf","t5/522531-assessment-and-plan-2-2.pdf")</f>
        <v/>
      </c>
      <c r="E2083" t="n">
        <v>120842</v>
      </c>
      <c r="F2083" t="n">
        <v>522531</v>
      </c>
      <c r="G2083" t="inlineStr">
        <is>
          <t>Physician</t>
        </is>
      </c>
      <c r="H2083" t="inlineStr">
        <is>
          <t>assessment-and-plan</t>
        </is>
      </c>
      <c r="I2083" t="inlineStr">
        <is>
          <t xml:space="preserve"> Is on home O2, Spiriva, Advair, Albuterol.</t>
        </is>
      </c>
    </row>
    <row r="2084">
      <c r="A2084" t="inlineStr">
        <is>
          <t>522531-assessment-and-plan-2-2</t>
        </is>
      </c>
      <c r="B2084" t="inlineStr"/>
      <c r="C2084" t="inlineStr"/>
      <c r="D2084">
        <f>HYPERLINK("http://nlpdeep.cs.uic.edu:8080/proofing/gsii/522531-assessment-and-plan-2-2.pdf","gsii/522531-assessment-and-plan-2-2.pdf")</f>
        <v/>
      </c>
      <c r="E2084" t="n">
        <v>120842</v>
      </c>
      <c r="F2084" t="n">
        <v>522531</v>
      </c>
      <c r="G2084" t="inlineStr">
        <is>
          <t>Physician</t>
        </is>
      </c>
      <c r="H2084" t="inlineStr">
        <is>
          <t>assessment-and-plan</t>
        </is>
      </c>
      <c r="I2084" t="inlineStr">
        <is>
          <t xml:space="preserve"> Is on home O2, Spiriva, Advair, Albuterol.</t>
        </is>
      </c>
    </row>
    <row r="2085">
      <c r="A2085" t="inlineStr">
        <is>
          <t>522531-assessment-and-plan-2-3</t>
        </is>
      </c>
      <c r="B2085" t="inlineStr"/>
      <c r="C2085" t="inlineStr"/>
      <c r="D2085">
        <f>HYPERLINK("http://nlpdeep.cs.uic.edu:8080/proofing/t5/522531-assessment-and-plan-2-3.pdf","t5/522531-assessment-and-plan-2-3.pdf")</f>
        <v/>
      </c>
      <c r="E2085" t="n">
        <v>120842</v>
      </c>
      <c r="F2085" t="n">
        <v>522531</v>
      </c>
      <c r="G2085" t="inlineStr">
        <is>
          <t>Physician</t>
        </is>
      </c>
      <c r="H2085" t="inlineStr">
        <is>
          <t>assessment-and-plan</t>
        </is>
      </c>
      <c r="I2085" t="inlineStr">
        <is>
          <t xml:space="preserve">
   - Management for acute exacerbation as above.</t>
        </is>
      </c>
    </row>
    <row r="2086">
      <c r="A2086" t="inlineStr">
        <is>
          <t>522531-assessment-and-plan-2-3</t>
        </is>
      </c>
      <c r="B2086" t="inlineStr"/>
      <c r="C2086" t="inlineStr"/>
      <c r="D2086">
        <f>HYPERLINK("http://nlpdeep.cs.uic.edu:8080/proofing/gsii/522531-assessment-and-plan-2-3.pdf","gsii/522531-assessment-and-plan-2-3.pdf")</f>
        <v/>
      </c>
      <c r="E2086" t="n">
        <v>120842</v>
      </c>
      <c r="F2086" t="n">
        <v>522531</v>
      </c>
      <c r="G2086" t="inlineStr">
        <is>
          <t>Physician</t>
        </is>
      </c>
      <c r="H2086" t="inlineStr">
        <is>
          <t>assessment-and-plan</t>
        </is>
      </c>
      <c r="I2086" t="inlineStr">
        <is>
          <t xml:space="preserve">
   - Management for acute exacerbation as above.</t>
        </is>
      </c>
    </row>
    <row r="2087">
      <c r="A2087" t="inlineStr">
        <is>
          <t>522531-assessment-and-plan-2-4</t>
        </is>
      </c>
      <c r="B2087" t="inlineStr"/>
      <c r="C2087" t="inlineStr"/>
      <c r="D2087">
        <f>HYPERLINK("http://nlpdeep.cs.uic.edu:8080/proofing/t5/522531-assessment-and-plan-2-4.pdf","t5/522531-assessment-and-plan-2-4.pdf")</f>
        <v/>
      </c>
      <c r="E2087" t="n">
        <v>120842</v>
      </c>
      <c r="F2087" t="n">
        <v>522531</v>
      </c>
      <c r="G2087" t="inlineStr">
        <is>
          <t>Physician</t>
        </is>
      </c>
      <c r="H2087" t="inlineStr">
        <is>
          <t>assessment-and-plan</t>
        </is>
      </c>
      <c r="I2087" t="inlineStr">
        <is>
          <t xml:space="preserve">
   - Restart spiriva once off ipratroprium nebs.</t>
        </is>
      </c>
    </row>
    <row r="2088">
      <c r="A2088" t="inlineStr">
        <is>
          <t>522531-assessment-and-plan-2-4</t>
        </is>
      </c>
      <c r="B2088" t="inlineStr"/>
      <c r="C2088" t="inlineStr"/>
      <c r="D2088">
        <f>HYPERLINK("http://nlpdeep.cs.uic.edu:8080/proofing/gsii/522531-assessment-and-plan-2-4.pdf","gsii/522531-assessment-and-plan-2-4.pdf")</f>
        <v/>
      </c>
      <c r="E2088" t="n">
        <v>120842</v>
      </c>
      <c r="F2088" t="n">
        <v>522531</v>
      </c>
      <c r="G2088" t="inlineStr">
        <is>
          <t>Physician</t>
        </is>
      </c>
      <c r="H2088" t="inlineStr">
        <is>
          <t>assessment-and-plan</t>
        </is>
      </c>
      <c r="I2088" t="inlineStr">
        <is>
          <t xml:space="preserve">
   - Restart spiriva once off ipratroprium nebs.</t>
        </is>
      </c>
    </row>
    <row r="2089">
      <c r="A2089" t="inlineStr">
        <is>
          <t>522531-assessment-and-plan-2-5</t>
        </is>
      </c>
      <c r="B2089" t="inlineStr"/>
      <c r="C2089" t="inlineStr"/>
      <c r="D2089">
        <f>HYPERLINK("http://nlpdeep.cs.uic.edu:8080/proofing/t5/522531-assessment-and-plan-2-5.pdf","t5/522531-assessment-and-plan-2-5.pdf")</f>
        <v/>
      </c>
      <c r="E2089" t="n">
        <v>120842</v>
      </c>
      <c r="F2089" t="n">
        <v>522531</v>
      </c>
      <c r="G2089" t="inlineStr">
        <is>
          <t>Physician</t>
        </is>
      </c>
      <c r="H2089" t="inlineStr">
        <is>
          <t>assessment-and-plan</t>
        </is>
      </c>
      <c r="I2089" t="inlineStr"/>
    </row>
    <row r="2090">
      <c r="A2090" t="inlineStr">
        <is>
          <t>522531-assessment-and-plan-2-5</t>
        </is>
      </c>
      <c r="B2090" t="inlineStr"/>
      <c r="C2090" t="inlineStr"/>
      <c r="D2090">
        <f>HYPERLINK("http://nlpdeep.cs.uic.edu:8080/proofing/gsii/522531-assessment-and-plan-2-5.pdf","gsii/522531-assessment-and-plan-2-5.pdf")</f>
        <v/>
      </c>
      <c r="E2090" t="n">
        <v>120842</v>
      </c>
      <c r="F2090" t="n">
        <v>522531</v>
      </c>
      <c r="G2090" t="inlineStr">
        <is>
          <t>Physician</t>
        </is>
      </c>
      <c r="H2090" t="inlineStr">
        <is>
          <t>assessment-and-plan</t>
        </is>
      </c>
      <c r="I2090" t="inlineStr"/>
    </row>
    <row r="2091">
      <c r="A2091" t="inlineStr">
        <is>
          <t>522531-assessment-and-plan-3-0</t>
        </is>
      </c>
      <c r="B2091" t="inlineStr"/>
      <c r="C2091" t="inlineStr"/>
      <c r="D2091">
        <f>HYPERLINK("http://nlpdeep.cs.uic.edu:8080/proofing/t5/522531-assessment-and-plan-3-0.pdf","t5/522531-assessment-and-plan-3-0.pdf")</f>
        <v/>
      </c>
      <c r="E2091" t="n">
        <v>120842</v>
      </c>
      <c r="F2091" t="n">
        <v>522531</v>
      </c>
      <c r="G2091" t="inlineStr">
        <is>
          <t>Physician</t>
        </is>
      </c>
      <c r="H2091" t="inlineStr">
        <is>
          <t>assessment-and-plan</t>
        </is>
      </c>
      <c r="I2091" t="inlineStr">
        <is>
          <t xml:space="preserve">
   # Diastolic CHF.</t>
        </is>
      </c>
    </row>
    <row r="2092">
      <c r="A2092" t="inlineStr">
        <is>
          <t>522531-assessment-and-plan-3-0</t>
        </is>
      </c>
      <c r="B2092" t="inlineStr"/>
      <c r="C2092" t="inlineStr"/>
      <c r="D2092">
        <f>HYPERLINK("http://nlpdeep.cs.uic.edu:8080/proofing/gsii/522531-assessment-and-plan-3-0.pdf","gsii/522531-assessment-and-plan-3-0.pdf")</f>
        <v/>
      </c>
      <c r="E2092" t="n">
        <v>120842</v>
      </c>
      <c r="F2092" t="n">
        <v>522531</v>
      </c>
      <c r="G2092" t="inlineStr">
        <is>
          <t>Physician</t>
        </is>
      </c>
      <c r="H2092" t="inlineStr">
        <is>
          <t>assessment-and-plan</t>
        </is>
      </c>
      <c r="I2092" t="inlineStr">
        <is>
          <t xml:space="preserve">
   # Diastolic CHF.</t>
        </is>
      </c>
    </row>
    <row r="2093">
      <c r="A2093" t="inlineStr">
        <is>
          <t>522531-assessment-and-plan-3-1</t>
        </is>
      </c>
      <c r="B2093" t="inlineStr"/>
      <c r="C2093" t="inlineStr"/>
      <c r="D2093">
        <f>HYPERLINK("http://nlpdeep.cs.uic.edu:8080/proofing/t5/522531-assessment-and-plan-3-1.pdf","t5/522531-assessment-and-plan-3-1.pdf")</f>
        <v/>
      </c>
      <c r="E2093" t="n">
        <v>120842</v>
      </c>
      <c r="F2093" t="n">
        <v>522531</v>
      </c>
      <c r="G2093" t="inlineStr">
        <is>
          <t>Physician</t>
        </is>
      </c>
      <c r="H2093" t="inlineStr">
        <is>
          <t>assessment-and-plan</t>
        </is>
      </c>
      <c r="I2093" t="inlineStr">
        <is>
          <t>Euvolemic, as above.</t>
        </is>
      </c>
    </row>
    <row r="2094">
      <c r="A2094" t="inlineStr">
        <is>
          <t>522531-assessment-and-plan-3-1</t>
        </is>
      </c>
      <c r="B2094" t="inlineStr"/>
      <c r="C2094" t="inlineStr"/>
      <c r="D2094">
        <f>HYPERLINK("http://nlpdeep.cs.uic.edu:8080/proofing/gsii/522531-assessment-and-plan-3-1.pdf","gsii/522531-assessment-and-plan-3-1.pdf")</f>
        <v/>
      </c>
      <c r="E2094" t="n">
        <v>120842</v>
      </c>
      <c r="F2094" t="n">
        <v>522531</v>
      </c>
      <c r="G2094" t="inlineStr">
        <is>
          <t>Physician</t>
        </is>
      </c>
      <c r="H2094" t="inlineStr">
        <is>
          <t>assessment-and-plan</t>
        </is>
      </c>
      <c r="I2094" t="inlineStr">
        <is>
          <t>Euvolemic, as above.</t>
        </is>
      </c>
    </row>
    <row r="2095">
      <c r="A2095" t="inlineStr">
        <is>
          <t>522531-assessment-and-plan-3-2</t>
        </is>
      </c>
      <c r="B2095" t="inlineStr"/>
      <c r="C2095" t="inlineStr"/>
      <c r="D2095">
        <f>HYPERLINK("http://nlpdeep.cs.uic.edu:8080/proofing/t5/522531-assessment-and-plan-3-2.pdf","t5/522531-assessment-and-plan-3-2.pdf")</f>
        <v/>
      </c>
      <c r="E2095" t="n">
        <v>120842</v>
      </c>
      <c r="F2095" t="n">
        <v>522531</v>
      </c>
      <c r="G2095" t="inlineStr">
        <is>
          <t>Physician</t>
        </is>
      </c>
      <c r="H2095" t="inlineStr">
        <is>
          <t>assessment-and-plan</t>
        </is>
      </c>
      <c r="I2095" t="inlineStr">
        <is>
          <t>CXR taken prior to IV fluids not
   overly edematous
   - Continue ACEI.</t>
        </is>
      </c>
    </row>
    <row r="2096">
      <c r="A2096" t="inlineStr">
        <is>
          <t>522531-assessment-and-plan-3-2</t>
        </is>
      </c>
      <c r="B2096" t="inlineStr"/>
      <c r="C2096" t="inlineStr"/>
      <c r="D2096">
        <f>HYPERLINK("http://nlpdeep.cs.uic.edu:8080/proofing/gsii/522531-assessment-and-plan-3-2.pdf","gsii/522531-assessment-and-plan-3-2.pdf")</f>
        <v/>
      </c>
      <c r="E2096" t="n">
        <v>120842</v>
      </c>
      <c r="F2096" t="n">
        <v>522531</v>
      </c>
      <c r="G2096" t="inlineStr">
        <is>
          <t>Physician</t>
        </is>
      </c>
      <c r="H2096" t="inlineStr">
        <is>
          <t>assessment-and-plan</t>
        </is>
      </c>
      <c r="I2096" t="inlineStr">
        <is>
          <t>CXR taken prior to IV fluids not
   overly edematous
   - Continue ACEI.</t>
        </is>
      </c>
    </row>
    <row r="2097">
      <c r="A2097" t="inlineStr">
        <is>
          <t>522531-assessment-and-plan-3-3</t>
        </is>
      </c>
      <c r="B2097" t="inlineStr"/>
      <c r="C2097" t="inlineStr"/>
      <c r="D2097">
        <f>HYPERLINK("http://nlpdeep.cs.uic.edu:8080/proofing/t5/522531-assessment-and-plan-3-3.pdf","t5/522531-assessment-and-plan-3-3.pdf")</f>
        <v/>
      </c>
      <c r="E2097" t="n">
        <v>120842</v>
      </c>
      <c r="F2097" t="n">
        <v>522531</v>
      </c>
      <c r="G2097" t="inlineStr">
        <is>
          <t>Physician</t>
        </is>
      </c>
      <c r="H2097" t="inlineStr">
        <is>
          <t>assessment-and-plan</t>
        </is>
      </c>
      <c r="I2097" t="inlineStr">
        <is>
          <t xml:space="preserve">
   - BP control.</t>
        </is>
      </c>
    </row>
    <row r="2098">
      <c r="A2098" t="inlineStr">
        <is>
          <t>522531-assessment-and-plan-3-3</t>
        </is>
      </c>
      <c r="B2098" t="inlineStr"/>
      <c r="C2098" t="inlineStr"/>
      <c r="D2098">
        <f>HYPERLINK("http://nlpdeep.cs.uic.edu:8080/proofing/gsii/522531-assessment-and-plan-3-3.pdf","gsii/522531-assessment-and-plan-3-3.pdf")</f>
        <v/>
      </c>
      <c r="E2098" t="n">
        <v>120842</v>
      </c>
      <c r="F2098" t="n">
        <v>522531</v>
      </c>
      <c r="G2098" t="inlineStr">
        <is>
          <t>Physician</t>
        </is>
      </c>
      <c r="H2098" t="inlineStr">
        <is>
          <t>assessment-and-plan</t>
        </is>
      </c>
      <c r="I2098" t="inlineStr">
        <is>
          <t xml:space="preserve">
   - BP control.</t>
        </is>
      </c>
    </row>
    <row r="2099">
      <c r="A2099" t="inlineStr">
        <is>
          <t>522531-assessment-and-plan-4-0</t>
        </is>
      </c>
      <c r="B2099" t="inlineStr"/>
      <c r="C2099" t="inlineStr"/>
      <c r="D2099">
        <f>HYPERLINK("http://nlpdeep.cs.uic.edu:8080/proofing/t5/522531-assessment-and-plan-4-0.pdf","t5/522531-assessment-and-plan-4-0.pdf")</f>
        <v/>
      </c>
      <c r="E2099" t="n">
        <v>120842</v>
      </c>
      <c r="F2099" t="n">
        <v>522531</v>
      </c>
      <c r="G2099" t="inlineStr">
        <is>
          <t>Physician</t>
        </is>
      </c>
      <c r="H2099" t="inlineStr">
        <is>
          <t>assessment-and-plan</t>
        </is>
      </c>
      <c r="I2099" t="inlineStr">
        <is>
          <t xml:space="preserve">
   # Elevated lactate: Resolved.</t>
        </is>
      </c>
    </row>
    <row r="2100">
      <c r="A2100" t="inlineStr">
        <is>
          <t>522531-assessment-and-plan-4-0</t>
        </is>
      </c>
      <c r="B2100" t="inlineStr"/>
      <c r="C2100" t="inlineStr"/>
      <c r="D2100">
        <f>HYPERLINK("http://nlpdeep.cs.uic.edu:8080/proofing/gsii/522531-assessment-and-plan-4-0.pdf","gsii/522531-assessment-and-plan-4-0.pdf")</f>
        <v/>
      </c>
      <c r="E2100" t="n">
        <v>120842</v>
      </c>
      <c r="F2100" t="n">
        <v>522531</v>
      </c>
      <c r="G2100" t="inlineStr">
        <is>
          <t>Physician</t>
        </is>
      </c>
      <c r="H2100" t="inlineStr">
        <is>
          <t>assessment-and-plan</t>
        </is>
      </c>
      <c r="I2100" t="inlineStr">
        <is>
          <t xml:space="preserve">
   # Elevated lactate: Resolved.</t>
        </is>
      </c>
    </row>
    <row r="2101">
      <c r="A2101" t="inlineStr">
        <is>
          <t>522531-assessment-and-plan-4-1</t>
        </is>
      </c>
      <c r="B2101" t="inlineStr"/>
      <c r="C2101" t="inlineStr"/>
      <c r="D2101">
        <f>HYPERLINK("http://nlpdeep.cs.uic.edu:8080/proofing/t5/522531-assessment-and-plan-4-1.pdf","t5/522531-assessment-and-plan-4-1.pdf")</f>
        <v/>
      </c>
      <c r="E2101" t="n">
        <v>120842</v>
      </c>
      <c r="F2101" t="n">
        <v>522531</v>
      </c>
      <c r="G2101" t="inlineStr">
        <is>
          <t>Physician</t>
        </is>
      </c>
      <c r="H2101" t="inlineStr">
        <is>
          <t>assessment-and-plan</t>
        </is>
      </c>
      <c r="I2101" t="inlineStr">
        <is>
          <t xml:space="preserve">
   - Hold metformin.</t>
        </is>
      </c>
    </row>
    <row r="2102">
      <c r="A2102" t="inlineStr">
        <is>
          <t>522531-assessment-and-plan-4-1</t>
        </is>
      </c>
      <c r="B2102" t="inlineStr"/>
      <c r="C2102" t="inlineStr"/>
      <c r="D2102">
        <f>HYPERLINK("http://nlpdeep.cs.uic.edu:8080/proofing/gsii/522531-assessment-and-plan-4-1.pdf","gsii/522531-assessment-and-plan-4-1.pdf")</f>
        <v/>
      </c>
      <c r="E2102" t="n">
        <v>120842</v>
      </c>
      <c r="F2102" t="n">
        <v>522531</v>
      </c>
      <c r="G2102" t="inlineStr">
        <is>
          <t>Physician</t>
        </is>
      </c>
      <c r="H2102" t="inlineStr">
        <is>
          <t>assessment-and-plan</t>
        </is>
      </c>
      <c r="I2102" t="inlineStr">
        <is>
          <t xml:space="preserve">
   - Hold metformin.</t>
        </is>
      </c>
    </row>
    <row r="2103">
      <c r="A2103" t="inlineStr">
        <is>
          <t>522531-assessment-and-plan-5-0</t>
        </is>
      </c>
      <c r="B2103" t="inlineStr"/>
      <c r="C2103" t="inlineStr"/>
      <c r="D2103">
        <f>HYPERLINK("http://nlpdeep.cs.uic.edu:8080/proofing/t5/522531-assessment-and-plan-5-0.pdf","t5/522531-assessment-and-plan-5-0.pdf")</f>
        <v/>
      </c>
      <c r="E2103" t="n">
        <v>120842</v>
      </c>
      <c r="F2103" t="n">
        <v>522531</v>
      </c>
      <c r="G2103" t="inlineStr">
        <is>
          <t>Physician</t>
        </is>
      </c>
      <c r="H2103" t="inlineStr">
        <is>
          <t>assessment-and-plan</t>
        </is>
      </c>
      <c r="I2103" t="inlineStr">
        <is>
          <t xml:space="preserve">
   # DM type II.</t>
        </is>
      </c>
    </row>
    <row r="2104">
      <c r="A2104" t="inlineStr">
        <is>
          <t>522531-assessment-and-plan-5-0</t>
        </is>
      </c>
      <c r="B2104" t="inlineStr"/>
      <c r="C2104" t="inlineStr"/>
      <c r="D2104">
        <f>HYPERLINK("http://nlpdeep.cs.uic.edu:8080/proofing/gsii/522531-assessment-and-plan-5-0.pdf","gsii/522531-assessment-and-plan-5-0.pdf")</f>
        <v/>
      </c>
      <c r="E2104" t="n">
        <v>120842</v>
      </c>
      <c r="F2104" t="n">
        <v>522531</v>
      </c>
      <c r="G2104" t="inlineStr">
        <is>
          <t>Physician</t>
        </is>
      </c>
      <c r="H2104" t="inlineStr">
        <is>
          <t>assessment-and-plan</t>
        </is>
      </c>
      <c r="I2104" t="inlineStr">
        <is>
          <t xml:space="preserve">
   # DM type II.</t>
        </is>
      </c>
    </row>
    <row r="2105">
      <c r="A2105" t="inlineStr">
        <is>
          <t>522531-assessment-and-plan-5-1</t>
        </is>
      </c>
      <c r="B2105" t="inlineStr"/>
      <c r="C2105" t="inlineStr"/>
      <c r="D2105">
        <f>HYPERLINK("http://nlpdeep.cs.uic.edu:8080/proofing/t5/522531-assessment-and-plan-5-1.pdf","t5/522531-assessment-and-plan-5-1.pdf")</f>
        <v/>
      </c>
      <c r="E2105" t="n">
        <v>120842</v>
      </c>
      <c r="F2105" t="n">
        <v>522531</v>
      </c>
      <c r="G2105" t="inlineStr">
        <is>
          <t>Physician</t>
        </is>
      </c>
      <c r="H2105" t="inlineStr">
        <is>
          <t>assessment-and-plan</t>
        </is>
      </c>
      <c r="I2105" t="inlineStr">
        <is>
          <t xml:space="preserve"> FS elevated on admission &gt; 200.</t>
        </is>
      </c>
    </row>
    <row r="2106">
      <c r="A2106" t="inlineStr">
        <is>
          <t>522531-assessment-and-plan-5-1</t>
        </is>
      </c>
      <c r="B2106" t="inlineStr"/>
      <c r="C2106" t="inlineStr"/>
      <c r="D2106">
        <f>HYPERLINK("http://nlpdeep.cs.uic.edu:8080/proofing/gsii/522531-assessment-and-plan-5-1.pdf","gsii/522531-assessment-and-plan-5-1.pdf")</f>
        <v/>
      </c>
      <c r="E2106" t="n">
        <v>120842</v>
      </c>
      <c r="F2106" t="n">
        <v>522531</v>
      </c>
      <c r="G2106" t="inlineStr">
        <is>
          <t>Physician</t>
        </is>
      </c>
      <c r="H2106" t="inlineStr">
        <is>
          <t>assessment-and-plan</t>
        </is>
      </c>
      <c r="I2106" t="inlineStr">
        <is>
          <t xml:space="preserve"> FS elevated on admission &gt; 200.</t>
        </is>
      </c>
    </row>
    <row r="2107">
      <c r="A2107" t="inlineStr">
        <is>
          <t>522531-assessment-and-plan-5-2</t>
        </is>
      </c>
      <c r="B2107" t="inlineStr"/>
      <c r="C2107" t="inlineStr"/>
      <c r="D2107">
        <f>HYPERLINK("http://nlpdeep.cs.uic.edu:8080/proofing/t5/522531-assessment-and-plan-5-2.pdf","t5/522531-assessment-and-plan-5-2.pdf")</f>
        <v/>
      </c>
      <c r="E2107" t="n">
        <v>120842</v>
      </c>
      <c r="F2107" t="n">
        <v>522531</v>
      </c>
      <c r="G2107" t="inlineStr">
        <is>
          <t>Physician</t>
        </is>
      </c>
      <c r="H2107" t="inlineStr">
        <is>
          <t>assessment-and-plan</t>
        </is>
      </c>
      <c r="I2107" t="inlineStr">
        <is>
          <t xml:space="preserve"> [**2153-3-28**] HbA1c 6.9.</t>
        </is>
      </c>
    </row>
    <row r="2108">
      <c r="A2108" t="inlineStr">
        <is>
          <t>522531-assessment-and-plan-5-2</t>
        </is>
      </c>
      <c r="B2108" t="inlineStr"/>
      <c r="C2108" t="inlineStr"/>
      <c r="D2108">
        <f>HYPERLINK("http://nlpdeep.cs.uic.edu:8080/proofing/gsii/522531-assessment-and-plan-5-2.pdf","gsii/522531-assessment-and-plan-5-2.pdf")</f>
        <v/>
      </c>
      <c r="E2108" t="n">
        <v>120842</v>
      </c>
      <c r="F2108" t="n">
        <v>522531</v>
      </c>
      <c r="G2108" t="inlineStr">
        <is>
          <t>Physician</t>
        </is>
      </c>
      <c r="H2108" t="inlineStr">
        <is>
          <t>assessment-and-plan</t>
        </is>
      </c>
      <c r="I2108" t="inlineStr">
        <is>
          <t xml:space="preserve"> [**2153-3-28**] HbA1c 6.9.</t>
        </is>
      </c>
    </row>
    <row r="2109">
      <c r="A2109" t="inlineStr">
        <is>
          <t>522531-assessment-and-plan-5-3</t>
        </is>
      </c>
      <c r="B2109" t="inlineStr"/>
      <c r="C2109" t="inlineStr"/>
      <c r="D2109">
        <f>HYPERLINK("http://nlpdeep.cs.uic.edu:8080/proofing/t5/522531-assessment-and-plan-5-3.pdf","t5/522531-assessment-and-plan-5-3.pdf")</f>
        <v/>
      </c>
      <c r="E2109" t="n">
        <v>120842</v>
      </c>
      <c r="F2109" t="n">
        <v>522531</v>
      </c>
      <c r="G2109" t="inlineStr">
        <is>
          <t>Physician</t>
        </is>
      </c>
      <c r="H2109" t="inlineStr">
        <is>
          <t>assessment-and-plan</t>
        </is>
      </c>
      <c r="I2109" t="inlineStr"/>
    </row>
    <row r="2110">
      <c r="A2110" t="inlineStr">
        <is>
          <t>522531-assessment-and-plan-5-3</t>
        </is>
      </c>
      <c r="B2110" t="inlineStr"/>
      <c r="C2110" t="inlineStr"/>
      <c r="D2110">
        <f>HYPERLINK("http://nlpdeep.cs.uic.edu:8080/proofing/gsii/522531-assessment-and-plan-5-3.pdf","gsii/522531-assessment-and-plan-5-3.pdf")</f>
        <v/>
      </c>
      <c r="E2110" t="n">
        <v>120842</v>
      </c>
      <c r="F2110" t="n">
        <v>522531</v>
      </c>
      <c r="G2110" t="inlineStr">
        <is>
          <t>Physician</t>
        </is>
      </c>
      <c r="H2110" t="inlineStr">
        <is>
          <t>assessment-and-plan</t>
        </is>
      </c>
      <c r="I2110" t="inlineStr"/>
    </row>
    <row r="2111">
      <c r="A2111" t="inlineStr">
        <is>
          <t>522531-assessment-and-plan-6-0</t>
        </is>
      </c>
      <c r="B2111" t="inlineStr"/>
      <c r="C2111" t="inlineStr"/>
      <c r="D2111">
        <f>HYPERLINK("http://nlpdeep.cs.uic.edu:8080/proofing/t5/522531-assessment-and-plan-6-0.pdf","t5/522531-assessment-and-plan-6-0.pdf")</f>
        <v/>
      </c>
      <c r="E2111" t="n">
        <v>120842</v>
      </c>
      <c r="F2111" t="n">
        <v>522531</v>
      </c>
      <c r="G2111" t="inlineStr">
        <is>
          <t>Physician</t>
        </is>
      </c>
      <c r="H2111" t="inlineStr">
        <is>
          <t>assessment-and-plan</t>
        </is>
      </c>
      <c r="I2111" t="inlineStr">
        <is>
          <t xml:space="preserve">
   # Hypertension
 BP remains elevated.</t>
        </is>
      </c>
    </row>
    <row r="2112">
      <c r="A2112" t="inlineStr">
        <is>
          <t>522531-assessment-and-plan-6-0</t>
        </is>
      </c>
      <c r="B2112" t="inlineStr"/>
      <c r="C2112" t="inlineStr"/>
      <c r="D2112">
        <f>HYPERLINK("http://nlpdeep.cs.uic.edu:8080/proofing/gsii/522531-assessment-and-plan-6-0.pdf","gsii/522531-assessment-and-plan-6-0.pdf")</f>
        <v/>
      </c>
      <c r="E2112" t="n">
        <v>120842</v>
      </c>
      <c r="F2112" t="n">
        <v>522531</v>
      </c>
      <c r="G2112" t="inlineStr">
        <is>
          <t>Physician</t>
        </is>
      </c>
      <c r="H2112" t="inlineStr">
        <is>
          <t>assessment-and-plan</t>
        </is>
      </c>
      <c r="I2112" t="inlineStr">
        <is>
          <t xml:space="preserve">
   # Hypertension
 BP remains elevated.</t>
        </is>
      </c>
    </row>
    <row r="2113">
      <c r="A2113" t="inlineStr">
        <is>
          <t>522531-assessment-and-plan-6-1</t>
        </is>
      </c>
      <c r="B2113" t="inlineStr"/>
      <c r="C2113" t="inlineStr"/>
      <c r="D2113">
        <f>HYPERLINK("http://nlpdeep.cs.uic.edu:8080/proofing/t5/522531-assessment-and-plan-6-1.pdf","t5/522531-assessment-and-plan-6-1.pdf")</f>
        <v/>
      </c>
      <c r="E2113" t="n">
        <v>120842</v>
      </c>
      <c r="F2113" t="n">
        <v>522531</v>
      </c>
      <c r="G2113" t="inlineStr">
        <is>
          <t>Physician</t>
        </is>
      </c>
      <c r="H2113" t="inlineStr">
        <is>
          <t>assessment-and-plan</t>
        </is>
      </c>
      <c r="I2113" t="inlineStr"/>
    </row>
    <row r="2114">
      <c r="A2114" t="inlineStr">
        <is>
          <t>522531-assessment-and-plan-6-1</t>
        </is>
      </c>
      <c r="B2114" t="inlineStr"/>
      <c r="C2114" t="inlineStr"/>
      <c r="D2114">
        <f>HYPERLINK("http://nlpdeep.cs.uic.edu:8080/proofing/gsii/522531-assessment-and-plan-6-1.pdf","gsii/522531-assessment-and-plan-6-1.pdf")</f>
        <v/>
      </c>
      <c r="E2114" t="n">
        <v>120842</v>
      </c>
      <c r="F2114" t="n">
        <v>522531</v>
      </c>
      <c r="G2114" t="inlineStr">
        <is>
          <t>Physician</t>
        </is>
      </c>
      <c r="H2114" t="inlineStr">
        <is>
          <t>assessment-and-plan</t>
        </is>
      </c>
      <c r="I2114" t="inlineStr"/>
    </row>
    <row r="2115">
      <c r="A2115" t="inlineStr">
        <is>
          <t>522531-assessment-and-plan-7-0</t>
        </is>
      </c>
      <c r="B2115" t="inlineStr"/>
      <c r="C2115" t="inlineStr"/>
      <c r="D2115">
        <f>HYPERLINK("http://nlpdeep.cs.uic.edu:8080/proofing/t5/522531-assessment-and-plan-7-0.pdf","t5/522531-assessment-and-plan-7-0.pdf")</f>
        <v/>
      </c>
      <c r="E2115" t="n">
        <v>120842</v>
      </c>
      <c r="F2115" t="n">
        <v>522531</v>
      </c>
      <c r="G2115" t="inlineStr">
        <is>
          <t>Physician</t>
        </is>
      </c>
      <c r="H2115" t="inlineStr">
        <is>
          <t>assessment-and-plan</t>
        </is>
      </c>
      <c r="I2115" t="inlineStr">
        <is>
          <t xml:space="preserve">
   # Anemia: Hct stable, near baseline since [**2153-2-9**].</t>
        </is>
      </c>
    </row>
    <row r="2116">
      <c r="A2116" t="inlineStr">
        <is>
          <t>522531-assessment-and-plan-7-0</t>
        </is>
      </c>
      <c r="B2116" t="inlineStr"/>
      <c r="C2116" t="inlineStr"/>
      <c r="D2116">
        <f>HYPERLINK("http://nlpdeep.cs.uic.edu:8080/proofing/gsii/522531-assessment-and-plan-7-0.pdf","gsii/522531-assessment-and-plan-7-0.pdf")</f>
        <v/>
      </c>
      <c r="E2116" t="n">
        <v>120842</v>
      </c>
      <c r="F2116" t="n">
        <v>522531</v>
      </c>
      <c r="G2116" t="inlineStr">
        <is>
          <t>Physician</t>
        </is>
      </c>
      <c r="H2116" t="inlineStr">
        <is>
          <t>assessment-and-plan</t>
        </is>
      </c>
      <c r="I2116" t="inlineStr">
        <is>
          <t xml:space="preserve">
   # Anemia: Hct stable, near baseline since [**2153-2-9**].</t>
        </is>
      </c>
    </row>
    <row r="2117">
      <c r="A2117" t="inlineStr">
        <is>
          <t>522531-assessment-and-plan-7-1</t>
        </is>
      </c>
      <c r="B2117" t="inlineStr"/>
      <c r="C2117" t="inlineStr"/>
      <c r="D2117">
        <f>HYPERLINK("http://nlpdeep.cs.uic.edu:8080/proofing/t5/522531-assessment-and-plan-7-1.pdf","t5/522531-assessment-and-plan-7-1.pdf")</f>
        <v/>
      </c>
      <c r="E2117" t="n">
        <v>120842</v>
      </c>
      <c r="F2117" t="n">
        <v>522531</v>
      </c>
      <c r="G2117" t="inlineStr">
        <is>
          <t>Physician</t>
        </is>
      </c>
      <c r="H2117" t="inlineStr">
        <is>
          <t>assessment-and-plan</t>
        </is>
      </c>
      <c r="I2117" t="inlineStr"/>
    </row>
    <row r="2118">
      <c r="A2118" t="inlineStr">
        <is>
          <t>522531-assessment-and-plan-7-1</t>
        </is>
      </c>
      <c r="B2118" t="inlineStr"/>
      <c r="C2118" t="inlineStr"/>
      <c r="D2118">
        <f>HYPERLINK("http://nlpdeep.cs.uic.edu:8080/proofing/gsii/522531-assessment-and-plan-7-1.pdf","gsii/522531-assessment-and-plan-7-1.pdf")</f>
        <v/>
      </c>
      <c r="E2118" t="n">
        <v>120842</v>
      </c>
      <c r="F2118" t="n">
        <v>522531</v>
      </c>
      <c r="G2118" t="inlineStr">
        <is>
          <t>Physician</t>
        </is>
      </c>
      <c r="H2118" t="inlineStr">
        <is>
          <t>assessment-and-plan</t>
        </is>
      </c>
      <c r="I2118" t="inlineStr"/>
    </row>
    <row r="2119">
      <c r="A2119" t="inlineStr">
        <is>
          <t>522531-assessment-and-plan-8-0</t>
        </is>
      </c>
      <c r="B2119" t="inlineStr"/>
      <c r="C2119" t="inlineStr"/>
      <c r="D2119">
        <f>HYPERLINK("http://nlpdeep.cs.uic.edu:8080/proofing/t5/522531-assessment-and-plan-8-0.pdf","t5/522531-assessment-and-plan-8-0.pdf")</f>
        <v/>
      </c>
      <c r="E2119" t="n">
        <v>120842</v>
      </c>
      <c r="F2119" t="n">
        <v>522531</v>
      </c>
      <c r="G2119" t="inlineStr">
        <is>
          <t>Physician</t>
        </is>
      </c>
      <c r="H2119" t="inlineStr">
        <is>
          <t>assessment-and-plan</t>
        </is>
      </c>
      <c r="I2119" t="inlineStr">
        <is>
          <t>FEN: No IVF, replete electrolytes, DM diet
   Prophylaxis: Subutaneous heparin
   Access: peripherals x2
   Code: Full (confirmed on admission)
   Communication: Patient  &amp; daughter [**Name (NI) **] (HCP)
   Disposition: pending clinical improvement; consider transfer to floor
   today
   ICU Care
   Nutrition:
   Glycemic Control:
   Lines:
   18 Gauge - [**2153-4-6**] 03:00 PM
   20 Gauge - [**2153-4-6**] 03:00 PM
   Prophylaxis:
   DVT:
   Stress ulcer:
   VAP:
   Comments:
   Communication:  Comments:</t>
        </is>
      </c>
    </row>
    <row r="2120">
      <c r="A2120" t="inlineStr">
        <is>
          <t>522531-assessment-and-plan-8-0</t>
        </is>
      </c>
      <c r="B2120" t="inlineStr"/>
      <c r="C2120" t="inlineStr"/>
      <c r="D2120">
        <f>HYPERLINK("http://nlpdeep.cs.uic.edu:8080/proofing/gsii/522531-assessment-and-plan-8-0.pdf","gsii/522531-assessment-and-plan-8-0.pdf")</f>
        <v/>
      </c>
      <c r="E2120" t="n">
        <v>120842</v>
      </c>
      <c r="F2120" t="n">
        <v>522531</v>
      </c>
      <c r="G2120" t="inlineStr">
        <is>
          <t>Physician</t>
        </is>
      </c>
      <c r="H2120" t="inlineStr">
        <is>
          <t>assessment-and-plan</t>
        </is>
      </c>
      <c r="I2120" t="inlineStr">
        <is>
          <t>FEN: No IVF, replete electrolytes, DM diet
   Prophylaxis: Subutaneous heparin
   Access: peripherals x2
   Code: Full (confirmed on admission)
   Communication: Patient  &amp; daughter [**Name (NI) **] (HCP)
   Disposition: pending clinical improvement; consider transfer to floor
   today
   ICU Care
   Nutrition:
   Glycemic Control:
   Lines:
   18 Gauge - [**2153-4-6**] 03:00 PM
   20 Gauge - [**2153-4-6**] 03:00 PM
   Prophylaxis:
   DVT:
   Stress ulcer:
   VAP:
   Comments:
   Communication:  Comments:</t>
        </is>
      </c>
    </row>
    <row r="2121">
      <c r="A2121" t="inlineStr">
        <is>
          <t>522531-code-status-0-0</t>
        </is>
      </c>
      <c r="B2121" t="inlineStr"/>
      <c r="C2121" t="inlineStr"/>
      <c r="D2121">
        <f>HYPERLINK("http://nlpdeep.cs.uic.edu:8080/proofing/t5/522531-code-status-0-0.pdf","t5/522531-code-status-0-0.pdf")</f>
        <v/>
      </c>
      <c r="E2121" t="n">
        <v>120842</v>
      </c>
      <c r="F2121" t="n">
        <v>522531</v>
      </c>
      <c r="G2121" t="inlineStr">
        <is>
          <t>Physician</t>
        </is>
      </c>
      <c r="H2121" t="inlineStr">
        <is>
          <t>code-status</t>
        </is>
      </c>
      <c r="I2121" t="inlineStr">
        <is>
          <t>Full c</t>
        </is>
      </c>
    </row>
    <row r="2122">
      <c r="A2122" t="inlineStr">
        <is>
          <t>522531-code-status-0-0</t>
        </is>
      </c>
      <c r="B2122" t="inlineStr"/>
      <c r="C2122" t="inlineStr"/>
      <c r="D2122">
        <f>HYPERLINK("http://nlpdeep.cs.uic.edu:8080/proofing/gsii/522531-code-status-0-0.pdf","gsii/522531-code-status-0-0.pdf")</f>
        <v/>
      </c>
      <c r="E2122" t="n">
        <v>120842</v>
      </c>
      <c r="F2122" t="n">
        <v>522531</v>
      </c>
      <c r="G2122" t="inlineStr">
        <is>
          <t>Physician</t>
        </is>
      </c>
      <c r="H2122" t="inlineStr">
        <is>
          <t>code-status</t>
        </is>
      </c>
      <c r="I2122" t="inlineStr">
        <is>
          <t>Full c</t>
        </is>
      </c>
    </row>
    <row r="2123">
      <c r="A2123" t="inlineStr">
        <is>
          <t>522936-chief-complaint-0-0</t>
        </is>
      </c>
      <c r="B2123" t="inlineStr"/>
      <c r="C2123" t="inlineStr"/>
      <c r="D2123">
        <f>HYPERLINK("http://nlpdeep.cs.uic.edu:8080/proofing/t5/522936-chief-complaint-0-0.pdf","t5/522936-chief-complaint-0-0.pdf")</f>
        <v/>
      </c>
      <c r="E2123" t="n">
        <v>120842</v>
      </c>
      <c r="F2123" t="n">
        <v>522936</v>
      </c>
      <c r="G2123" t="inlineStr">
        <is>
          <t>Physician</t>
        </is>
      </c>
      <c r="H2123" t="inlineStr">
        <is>
          <t>chief-complaint</t>
        </is>
      </c>
      <c r="I2123" t="inlineStr">
        <is>
          <t>d</t>
        </is>
      </c>
    </row>
    <row r="2124">
      <c r="A2124" t="inlineStr">
        <is>
          <t>522936-chief-complaint-0-0</t>
        </is>
      </c>
      <c r="B2124" t="inlineStr"/>
      <c r="C2124" t="inlineStr"/>
      <c r="D2124">
        <f>HYPERLINK("http://nlpdeep.cs.uic.edu:8080/proofing/gsii/522936-chief-complaint-0-0.pdf","gsii/522936-chief-complaint-0-0.pdf")</f>
        <v/>
      </c>
      <c r="E2124" t="n">
        <v>120842</v>
      </c>
      <c r="F2124" t="n">
        <v>522936</v>
      </c>
      <c r="G2124" t="inlineStr">
        <is>
          <t>Physician</t>
        </is>
      </c>
      <c r="H2124" t="inlineStr">
        <is>
          <t>chief-complaint</t>
        </is>
      </c>
      <c r="I2124" t="inlineStr">
        <is>
          <t>d</t>
        </is>
      </c>
    </row>
    <row r="2125">
      <c r="A2125" t="inlineStr">
        <is>
          <t>522936-history-of-present-illness-0-0</t>
        </is>
      </c>
      <c r="B2125" t="inlineStr"/>
      <c r="C2125" t="inlineStr"/>
      <c r="D2125">
        <f>HYPERLINK("http://nlpdeep.cs.uic.edu:8080/proofing/t5/522936-history-of-present-illness-0-0.pdf","t5/522936-history-of-present-illness-0-0.pdf")</f>
        <v/>
      </c>
      <c r="E2125" t="n">
        <v>120842</v>
      </c>
      <c r="F2125" t="n">
        <v>522936</v>
      </c>
      <c r="G2125" t="inlineStr">
        <is>
          <t>Physician</t>
        </is>
      </c>
      <c r="H2125" t="inlineStr">
        <is>
          <t>history-of-present-illness</t>
        </is>
      </c>
      <c r="I2125" t="inlineStr">
        <is>
          <t>73F with COPD on home O2 and nebs, diastolic CHF, TKR one month
   ago, presented to ED on [**4-6**] with shortness of breath.</t>
        </is>
      </c>
    </row>
    <row r="2126">
      <c r="A2126" t="inlineStr">
        <is>
          <t>522936-history-of-present-illness-0-0</t>
        </is>
      </c>
      <c r="B2126" t="inlineStr"/>
      <c r="C2126" t="inlineStr"/>
      <c r="D2126">
        <f>HYPERLINK("http://nlpdeep.cs.uic.edu:8080/proofing/gsii/522936-history-of-present-illness-0-0.pdf","gsii/522936-history-of-present-illness-0-0.pdf")</f>
        <v/>
      </c>
      <c r="E2126" t="n">
        <v>120842</v>
      </c>
      <c r="F2126" t="n">
        <v>522936</v>
      </c>
      <c r="G2126" t="inlineStr">
        <is>
          <t>Physician</t>
        </is>
      </c>
      <c r="H2126" t="inlineStr">
        <is>
          <t>history-of-present-illness</t>
        </is>
      </c>
      <c r="I2126" t="inlineStr">
        <is>
          <t>73F with COPD on home O2 and nebs, diastolic CHF, TKR one month
   ago, presented to ED on [**4-6**] with shortness of breath.</t>
        </is>
      </c>
    </row>
    <row r="2127">
      <c r="A2127" t="inlineStr">
        <is>
          <t>522936-history-of-present-illness-0-1</t>
        </is>
      </c>
      <c r="B2127" t="inlineStr"/>
      <c r="C2127" t="inlineStr"/>
      <c r="D2127">
        <f>HYPERLINK("http://nlpdeep.cs.uic.edu:8080/proofing/t5/522936-history-of-present-illness-0-1.pdf","t5/522936-history-of-present-illness-0-1.pdf")</f>
        <v/>
      </c>
      <c r="E2127" t="n">
        <v>120842</v>
      </c>
      <c r="F2127" t="n">
        <v>522936</v>
      </c>
      <c r="G2127" t="inlineStr">
        <is>
          <t>Physician</t>
        </is>
      </c>
      <c r="H2127" t="inlineStr">
        <is>
          <t>history-of-present-illness</t>
        </is>
      </c>
      <c r="I2127" t="inlineStr">
        <is>
          <t>She came to the
   ICU and went to the floor the same day, on the floor developed
   respiratory distress and tachycardia, and now is returning to the ICU.</t>
        </is>
      </c>
    </row>
    <row r="2128">
      <c r="A2128" t="inlineStr">
        <is>
          <t>522936-history-of-present-illness-0-1</t>
        </is>
      </c>
      <c r="B2128" t="inlineStr"/>
      <c r="C2128" t="inlineStr"/>
      <c r="D2128">
        <f>HYPERLINK("http://nlpdeep.cs.uic.edu:8080/proofing/gsii/522936-history-of-present-illness-0-1.pdf","gsii/522936-history-of-present-illness-0-1.pdf")</f>
        <v/>
      </c>
      <c r="E2128" t="n">
        <v>120842</v>
      </c>
      <c r="F2128" t="n">
        <v>522936</v>
      </c>
      <c r="G2128" t="inlineStr">
        <is>
          <t>Physician</t>
        </is>
      </c>
      <c r="H2128" t="inlineStr">
        <is>
          <t>history-of-present-illness</t>
        </is>
      </c>
      <c r="I2128" t="inlineStr">
        <is>
          <t>She came to the
   ICU and went to the floor the same day, on the floor developed
   respiratory distress and tachycardia, and now is returning to the ICU.</t>
        </is>
      </c>
    </row>
    <row r="2129">
      <c r="A2129" t="inlineStr">
        <is>
          <t>522936-history-of-present-illness-0-2</t>
        </is>
      </c>
      <c r="B2129" t="inlineStr"/>
      <c r="C2129" t="inlineStr"/>
      <c r="D2129">
        <f>HYPERLINK("http://nlpdeep.cs.uic.edu:8080/proofing/t5/522936-history-of-present-illness-0-2.pdf","t5/522936-history-of-present-illness-0-2.pdf")</f>
        <v/>
      </c>
      <c r="E2129" t="n">
        <v>120842</v>
      </c>
      <c r="F2129" t="n">
        <v>522936</v>
      </c>
      <c r="G2129" t="inlineStr">
        <is>
          <t>Physician</t>
        </is>
      </c>
      <c r="H2129" t="inlineStr">
        <is>
          <t>history-of-present-illness</t>
        </is>
      </c>
      <c r="I2129" t="inlineStr">
        <is>
          <t xml:space="preserve">
   On the floor she was tachycardic to the 120s, in either AVNRT or AVRT,
   despite Diltiazem 20 mg PO.</t>
        </is>
      </c>
    </row>
    <row r="2130">
      <c r="A2130" t="inlineStr">
        <is>
          <t>522936-history-of-present-illness-0-2</t>
        </is>
      </c>
      <c r="B2130" t="inlineStr"/>
      <c r="C2130" t="inlineStr"/>
      <c r="D2130">
        <f>HYPERLINK("http://nlpdeep.cs.uic.edu:8080/proofing/gsii/522936-history-of-present-illness-0-2.pdf","gsii/522936-history-of-present-illness-0-2.pdf")</f>
        <v/>
      </c>
      <c r="E2130" t="n">
        <v>120842</v>
      </c>
      <c r="F2130" t="n">
        <v>522936</v>
      </c>
      <c r="G2130" t="inlineStr">
        <is>
          <t>Physician</t>
        </is>
      </c>
      <c r="H2130" t="inlineStr">
        <is>
          <t>history-of-present-illness</t>
        </is>
      </c>
      <c r="I2130" t="inlineStr">
        <is>
          <t xml:space="preserve">
   On the floor she was tachycardic to the 120s, in either AVNRT or AVRT,
   despite Diltiazem 20 mg PO.</t>
        </is>
      </c>
    </row>
    <row r="2131">
      <c r="A2131" t="inlineStr">
        <is>
          <t>522936-history-of-present-illness-0-3</t>
        </is>
      </c>
      <c r="B2131" t="inlineStr"/>
      <c r="C2131" t="inlineStr"/>
      <c r="D2131">
        <f>HYPERLINK("http://nlpdeep.cs.uic.edu:8080/proofing/t5/522936-history-of-present-illness-0-3.pdf","t5/522936-history-of-present-illness-0-3.pdf")</f>
        <v/>
      </c>
      <c r="E2131" t="n">
        <v>120842</v>
      </c>
      <c r="F2131" t="n">
        <v>522936</v>
      </c>
      <c r="G2131" t="inlineStr">
        <is>
          <t>Physician</t>
        </is>
      </c>
      <c r="H2131" t="inlineStr">
        <is>
          <t>history-of-present-illness</t>
        </is>
      </c>
      <c r="I2131" t="inlineStr">
        <is>
          <t>She had an ABG of 7.43/43/72 on a NRM.</t>
        </is>
      </c>
    </row>
    <row r="2132">
      <c r="A2132" t="inlineStr">
        <is>
          <t>522936-history-of-present-illness-0-3</t>
        </is>
      </c>
      <c r="B2132" t="inlineStr"/>
      <c r="C2132" t="inlineStr"/>
      <c r="D2132">
        <f>HYPERLINK("http://nlpdeep.cs.uic.edu:8080/proofing/gsii/522936-history-of-present-illness-0-3.pdf","gsii/522936-history-of-present-illness-0-3.pdf")</f>
        <v/>
      </c>
      <c r="E2132" t="n">
        <v>120842</v>
      </c>
      <c r="F2132" t="n">
        <v>522936</v>
      </c>
      <c r="G2132" t="inlineStr">
        <is>
          <t>Physician</t>
        </is>
      </c>
      <c r="H2132" t="inlineStr">
        <is>
          <t>history-of-present-illness</t>
        </is>
      </c>
      <c r="I2132" t="inlineStr">
        <is>
          <t>She had an ABG of 7.43/43/72 on a NRM.</t>
        </is>
      </c>
    </row>
    <row r="2133">
      <c r="A2133" t="inlineStr">
        <is>
          <t>522936-history-of-present-illness-0-4</t>
        </is>
      </c>
      <c r="B2133" t="inlineStr"/>
      <c r="C2133" t="inlineStr"/>
      <c r="D2133">
        <f>HYPERLINK("http://nlpdeep.cs.uic.edu:8080/proofing/t5/522936-history-of-present-illness-0-4.pdf","t5/522936-history-of-present-illness-0-4.pdf")</f>
        <v/>
      </c>
      <c r="E2133" t="n">
        <v>120842</v>
      </c>
      <c r="F2133" t="n">
        <v>522936</v>
      </c>
      <c r="G2133" t="inlineStr">
        <is>
          <t>Physician</t>
        </is>
      </c>
      <c r="H2133" t="inlineStr">
        <is>
          <t>history-of-present-illness</t>
        </is>
      </c>
      <c r="I2133" t="inlineStr">
        <is>
          <t xml:space="preserve">
   Prior to admission she had had worsening dyspnea for 1-2 weeks at home.</t>
        </is>
      </c>
    </row>
    <row r="2134">
      <c r="A2134" t="inlineStr">
        <is>
          <t>522936-history-of-present-illness-0-4</t>
        </is>
      </c>
      <c r="B2134" t="inlineStr"/>
      <c r="C2134" t="inlineStr"/>
      <c r="D2134">
        <f>HYPERLINK("http://nlpdeep.cs.uic.edu:8080/proofing/gsii/522936-history-of-present-illness-0-4.pdf","gsii/522936-history-of-present-illness-0-4.pdf")</f>
        <v/>
      </c>
      <c r="E2134" t="n">
        <v>120842</v>
      </c>
      <c r="F2134" t="n">
        <v>522936</v>
      </c>
      <c r="G2134" t="inlineStr">
        <is>
          <t>Physician</t>
        </is>
      </c>
      <c r="H2134" t="inlineStr">
        <is>
          <t>history-of-present-illness</t>
        </is>
      </c>
      <c r="I2134" t="inlineStr">
        <is>
          <t xml:space="preserve">
   Prior to admission she had had worsening dyspnea for 1-2 weeks at home.</t>
        </is>
      </c>
    </row>
    <row r="2135">
      <c r="A2135" t="inlineStr">
        <is>
          <t>522936-history-of-present-illness-0-5</t>
        </is>
      </c>
      <c r="B2135" t="inlineStr"/>
      <c r="C2135" t="inlineStr"/>
      <c r="D2135">
        <f>HYPERLINK("http://nlpdeep.cs.uic.edu:8080/proofing/t5/522936-history-of-present-illness-0-5.pdf","t5/522936-history-of-present-illness-0-5.pdf")</f>
        <v/>
      </c>
      <c r="E2135" t="n">
        <v>120842</v>
      </c>
      <c r="F2135" t="n">
        <v>522936</v>
      </c>
      <c r="G2135" t="inlineStr">
        <is>
          <t>Physician</t>
        </is>
      </c>
      <c r="H2135" t="inlineStr">
        <is>
          <t>history-of-present-illness</t>
        </is>
      </c>
      <c r="I2135" t="inlineStr">
        <is>
          <t xml:space="preserve">
   Started on azithromycin and steroids last week as an outpatient without
   improvement.</t>
        </is>
      </c>
    </row>
    <row r="2136">
      <c r="A2136" t="inlineStr">
        <is>
          <t>522936-history-of-present-illness-0-5</t>
        </is>
      </c>
      <c r="B2136" t="inlineStr"/>
      <c r="C2136" t="inlineStr"/>
      <c r="D2136">
        <f>HYPERLINK("http://nlpdeep.cs.uic.edu:8080/proofing/gsii/522936-history-of-present-illness-0-5.pdf","gsii/522936-history-of-present-illness-0-5.pdf")</f>
        <v/>
      </c>
      <c r="E2136" t="n">
        <v>120842</v>
      </c>
      <c r="F2136" t="n">
        <v>522936</v>
      </c>
      <c r="G2136" t="inlineStr">
        <is>
          <t>Physician</t>
        </is>
      </c>
      <c r="H2136" t="inlineStr">
        <is>
          <t>history-of-present-illness</t>
        </is>
      </c>
      <c r="I2136" t="inlineStr">
        <is>
          <t xml:space="preserve">
   Started on azithromycin and steroids last week as an outpatient without
   improvement.</t>
        </is>
      </c>
    </row>
    <row r="2137">
      <c r="A2137" t="inlineStr">
        <is>
          <t>522936-history-of-present-illness-0-6</t>
        </is>
      </c>
      <c r="B2137" t="inlineStr"/>
      <c r="C2137" t="inlineStr"/>
      <c r="D2137">
        <f>HYPERLINK("http://nlpdeep.cs.uic.edu:8080/proofing/t5/522936-history-of-present-illness-0-6.pdf","t5/522936-history-of-present-illness-0-6.pdf")</f>
        <v/>
      </c>
      <c r="E2137" t="n">
        <v>120842</v>
      </c>
      <c r="F2137" t="n">
        <v>522936</v>
      </c>
      <c r="G2137" t="inlineStr">
        <is>
          <t>Physician</t>
        </is>
      </c>
      <c r="H2137" t="inlineStr">
        <is>
          <t>history-of-present-illness</t>
        </is>
      </c>
      <c r="I2137" t="inlineStr">
        <is>
          <t>She has gotten both influenza and pneumonia vaccinations.</t>
        </is>
      </c>
    </row>
    <row r="2138">
      <c r="A2138" t="inlineStr">
        <is>
          <t>522936-history-of-present-illness-0-6</t>
        </is>
      </c>
      <c r="B2138" t="inlineStr"/>
      <c r="C2138" t="inlineStr"/>
      <c r="D2138">
        <f>HYPERLINK("http://nlpdeep.cs.uic.edu:8080/proofing/gsii/522936-history-of-present-illness-0-6.pdf","gsii/522936-history-of-present-illness-0-6.pdf")</f>
        <v/>
      </c>
      <c r="E2138" t="n">
        <v>120842</v>
      </c>
      <c r="F2138" t="n">
        <v>522936</v>
      </c>
      <c r="G2138" t="inlineStr">
        <is>
          <t>Physician</t>
        </is>
      </c>
      <c r="H2138" t="inlineStr">
        <is>
          <t>history-of-present-illness</t>
        </is>
      </c>
      <c r="I2138" t="inlineStr">
        <is>
          <t>She has gotten both influenza and pneumonia vaccinations.</t>
        </is>
      </c>
    </row>
    <row r="2139">
      <c r="A2139" t="inlineStr">
        <is>
          <t>522936-history-of-present-illness-0-7</t>
        </is>
      </c>
      <c r="B2139" t="inlineStr"/>
      <c r="C2139" t="inlineStr"/>
      <c r="D2139">
        <f>HYPERLINK("http://nlpdeep.cs.uic.edu:8080/proofing/t5/522936-history-of-present-illness-0-7.pdf","t5/522936-history-of-present-illness-0-7.pdf")</f>
        <v/>
      </c>
      <c r="E2139" t="n">
        <v>120842</v>
      </c>
      <c r="F2139" t="n">
        <v>522936</v>
      </c>
      <c r="G2139" t="inlineStr">
        <is>
          <t>Physician</t>
        </is>
      </c>
      <c r="H2139" t="inlineStr">
        <is>
          <t>history-of-present-illness</t>
        </is>
      </c>
      <c r="I2139" t="inlineStr">
        <is>
          <t xml:space="preserve">
   Never intubated.</t>
        </is>
      </c>
    </row>
    <row r="2140">
      <c r="A2140" t="inlineStr">
        <is>
          <t>522936-history-of-present-illness-0-7</t>
        </is>
      </c>
      <c r="B2140" t="inlineStr"/>
      <c r="C2140" t="inlineStr"/>
      <c r="D2140">
        <f>HYPERLINK("http://nlpdeep.cs.uic.edu:8080/proofing/gsii/522936-history-of-present-illness-0-7.pdf","gsii/522936-history-of-present-illness-0-7.pdf")</f>
        <v/>
      </c>
      <c r="E2140" t="n">
        <v>120842</v>
      </c>
      <c r="F2140" t="n">
        <v>522936</v>
      </c>
      <c r="G2140" t="inlineStr">
        <is>
          <t>Physician</t>
        </is>
      </c>
      <c r="H2140" t="inlineStr">
        <is>
          <t>history-of-present-illness</t>
        </is>
      </c>
      <c r="I2140" t="inlineStr">
        <is>
          <t xml:space="preserve">
   Never intubated.</t>
        </is>
      </c>
    </row>
    <row r="2141">
      <c r="A2141" t="inlineStr">
        <is>
          <t>522936-history-of-present-illness-0-8</t>
        </is>
      </c>
      <c r="B2141" t="inlineStr"/>
      <c r="C2141" t="inlineStr"/>
      <c r="D2141">
        <f>HYPERLINK("http://nlpdeep.cs.uic.edu:8080/proofing/t5/522936-history-of-present-illness-0-8.pdf","t5/522936-history-of-present-illness-0-8.pdf")</f>
        <v/>
      </c>
      <c r="E2141" t="n">
        <v>120842</v>
      </c>
      <c r="F2141" t="n">
        <v>522936</v>
      </c>
      <c r="G2141" t="inlineStr">
        <is>
          <t>Physician</t>
        </is>
      </c>
      <c r="H2141" t="inlineStr">
        <is>
          <t>history-of-present-illness</t>
        </is>
      </c>
      <c r="I2141" t="inlineStr">
        <is>
          <t xml:space="preserve">
   In the ED on [**4-6**], initial vs were: P82 132/84 R26 90% on ?O2,
   ultimately put on ventimask oxygen at 4 LPM.</t>
        </is>
      </c>
    </row>
    <row r="2142">
      <c r="A2142" t="inlineStr">
        <is>
          <t>522936-history-of-present-illness-0-8</t>
        </is>
      </c>
      <c r="B2142" t="inlineStr"/>
      <c r="C2142" t="inlineStr"/>
      <c r="D2142">
        <f>HYPERLINK("http://nlpdeep.cs.uic.edu:8080/proofing/gsii/522936-history-of-present-illness-0-8.pdf","gsii/522936-history-of-present-illness-0-8.pdf")</f>
        <v/>
      </c>
      <c r="E2142" t="n">
        <v>120842</v>
      </c>
      <c r="F2142" t="n">
        <v>522936</v>
      </c>
      <c r="G2142" t="inlineStr">
        <is>
          <t>Physician</t>
        </is>
      </c>
      <c r="H2142" t="inlineStr">
        <is>
          <t>history-of-present-illness</t>
        </is>
      </c>
      <c r="I2142" t="inlineStr">
        <is>
          <t xml:space="preserve">
   In the ED on [**4-6**], initial vs were: P82 132/84 R26 90% on ?O2,
   ultimately put on ventimask oxygen at 4 LPM.</t>
        </is>
      </c>
    </row>
    <row r="2143">
      <c r="A2143" t="inlineStr">
        <is>
          <t>522936-history-of-present-illness-0-9</t>
        </is>
      </c>
      <c r="B2143" t="inlineStr"/>
      <c r="C2143" t="inlineStr"/>
      <c r="D2143">
        <f>HYPERLINK("http://nlpdeep.cs.uic.edu:8080/proofing/t5/522936-history-of-present-illness-0-9.pdf","t5/522936-history-of-present-illness-0-9.pdf")</f>
        <v/>
      </c>
      <c r="E2143" t="n">
        <v>120842</v>
      </c>
      <c r="F2143" t="n">
        <v>522936</v>
      </c>
      <c r="G2143" t="inlineStr">
        <is>
          <t>Physician</t>
        </is>
      </c>
      <c r="H2143" t="inlineStr">
        <is>
          <t>history-of-present-illness</t>
        </is>
      </c>
      <c r="I2143" t="inlineStr">
        <is>
          <t>WBCs 10.9 with normal
   diff, lactate 3.1.</t>
        </is>
      </c>
    </row>
    <row r="2144">
      <c r="A2144" t="inlineStr">
        <is>
          <t>522936-history-of-present-illness-0-9</t>
        </is>
      </c>
      <c r="B2144" t="inlineStr"/>
      <c r="C2144" t="inlineStr"/>
      <c r="D2144">
        <f>HYPERLINK("http://nlpdeep.cs.uic.edu:8080/proofing/gsii/522936-history-of-present-illness-0-9.pdf","gsii/522936-history-of-present-illness-0-9.pdf")</f>
        <v/>
      </c>
      <c r="E2144" t="n">
        <v>120842</v>
      </c>
      <c r="F2144" t="n">
        <v>522936</v>
      </c>
      <c r="G2144" t="inlineStr">
        <is>
          <t>Physician</t>
        </is>
      </c>
      <c r="H2144" t="inlineStr">
        <is>
          <t>history-of-present-illness</t>
        </is>
      </c>
      <c r="I2144" t="inlineStr">
        <is>
          <t>WBCs 10.9 with normal
   diff, lactate 3.1.</t>
        </is>
      </c>
    </row>
    <row r="2145">
      <c r="A2145" t="inlineStr">
        <is>
          <t>522936-history-of-present-illness-0-10</t>
        </is>
      </c>
      <c r="B2145" t="inlineStr"/>
      <c r="C2145" t="inlineStr"/>
      <c r="D2145">
        <f>HYPERLINK("http://nlpdeep.cs.uic.edu:8080/proofing/t5/522936-history-of-present-illness-0-10.pdf","t5/522936-history-of-present-illness-0-10.pdf")</f>
        <v/>
      </c>
      <c r="E2145" t="n">
        <v>120842</v>
      </c>
      <c r="F2145" t="n">
        <v>522936</v>
      </c>
      <c r="G2145" t="inlineStr">
        <is>
          <t>Physician</t>
        </is>
      </c>
      <c r="H2145" t="inlineStr">
        <is>
          <t>history-of-present-illness</t>
        </is>
      </c>
      <c r="I2145" t="inlineStr">
        <is>
          <t>Patient was given Levofloxacin, Ceftriaxone,
   Solumedrol 125 mg, and nebs.</t>
        </is>
      </c>
    </row>
    <row r="2146">
      <c r="A2146" t="inlineStr">
        <is>
          <t>522936-history-of-present-illness-0-10</t>
        </is>
      </c>
      <c r="B2146" t="inlineStr"/>
      <c r="C2146" t="inlineStr"/>
      <c r="D2146">
        <f>HYPERLINK("http://nlpdeep.cs.uic.edu:8080/proofing/gsii/522936-history-of-present-illness-0-10.pdf","gsii/522936-history-of-present-illness-0-10.pdf")</f>
        <v/>
      </c>
      <c r="E2146" t="n">
        <v>120842</v>
      </c>
      <c r="F2146" t="n">
        <v>522936</v>
      </c>
      <c r="G2146" t="inlineStr">
        <is>
          <t>Physician</t>
        </is>
      </c>
      <c r="H2146" t="inlineStr">
        <is>
          <t>history-of-present-illness</t>
        </is>
      </c>
      <c r="I2146" t="inlineStr">
        <is>
          <t>Patient was given Levofloxacin, Ceftriaxone,
   Solumedrol 125 mg, and nebs.</t>
        </is>
      </c>
    </row>
    <row r="2147">
      <c r="A2147" t="inlineStr">
        <is>
          <t>522936-history-of-present-illness-0-11</t>
        </is>
      </c>
      <c r="B2147" t="inlineStr"/>
      <c r="C2147" t="inlineStr"/>
      <c r="D2147">
        <f>HYPERLINK("http://nlpdeep.cs.uic.edu:8080/proofing/t5/522936-history-of-present-illness-0-11.pdf","t5/522936-history-of-present-illness-0-11.pdf")</f>
        <v/>
      </c>
      <c r="E2147" t="n">
        <v>120842</v>
      </c>
      <c r="F2147" t="n">
        <v>522936</v>
      </c>
      <c r="G2147" t="inlineStr">
        <is>
          <t>Physician</t>
        </is>
      </c>
      <c r="H2147" t="inlineStr">
        <is>
          <t>history-of-present-illness</t>
        </is>
      </c>
      <c r="I2147" t="inlineStr">
        <is>
          <t>She went into SVT in the emergency room
   (has history of this - last in ED on [**3-26**], broke with adenosine, CTA
   neg for PE) which broke with oxygen therapy alone (did not end up
   getting adenosine).</t>
        </is>
      </c>
    </row>
    <row r="2148">
      <c r="A2148" t="inlineStr">
        <is>
          <t>522936-history-of-present-illness-0-11</t>
        </is>
      </c>
      <c r="B2148" t="inlineStr"/>
      <c r="C2148" t="inlineStr"/>
      <c r="D2148">
        <f>HYPERLINK("http://nlpdeep.cs.uic.edu:8080/proofing/gsii/522936-history-of-present-illness-0-11.pdf","gsii/522936-history-of-present-illness-0-11.pdf")</f>
        <v/>
      </c>
      <c r="E2148" t="n">
        <v>120842</v>
      </c>
      <c r="F2148" t="n">
        <v>522936</v>
      </c>
      <c r="G2148" t="inlineStr">
        <is>
          <t>Physician</t>
        </is>
      </c>
      <c r="H2148" t="inlineStr">
        <is>
          <t>history-of-present-illness</t>
        </is>
      </c>
      <c r="I2148" t="inlineStr">
        <is>
          <t>She went into SVT in the emergency room
   (has history of this - last in ED on [**3-26**], broke with adenosine, CTA
   neg for PE) which broke with oxygen therapy alone (did not end up
   getting adenosine).</t>
        </is>
      </c>
    </row>
    <row r="2149">
      <c r="A2149" t="inlineStr">
        <is>
          <t>522936-history-of-present-illness-1-0</t>
        </is>
      </c>
      <c r="B2149" t="inlineStr"/>
      <c r="C2149" t="inlineStr"/>
      <c r="D2149">
        <f>HYPERLINK("http://nlpdeep.cs.uic.edu:8080/proofing/t5/522936-history-of-present-illness-1-0.pdf","t5/522936-history-of-present-illness-1-0.pdf")</f>
        <v/>
      </c>
      <c r="E2149" t="n">
        <v>120842</v>
      </c>
      <c r="F2149" t="n">
        <v>522936</v>
      </c>
      <c r="G2149" t="inlineStr">
        <is>
          <t>Physician</t>
        </is>
      </c>
      <c r="H2149" t="inlineStr">
        <is>
          <t>history-of-present-illness</t>
        </is>
      </c>
      <c r="I2149" t="inlineStr">
        <is>
          <t xml:space="preserve">
   In the ICU on [**4-6**], patient confirmed history as above.</t>
        </is>
      </c>
    </row>
    <row r="2150">
      <c r="A2150" t="inlineStr">
        <is>
          <t>522936-history-of-present-illness-1-0</t>
        </is>
      </c>
      <c r="B2150" t="inlineStr"/>
      <c r="C2150" t="inlineStr"/>
      <c r="D2150">
        <f>HYPERLINK("http://nlpdeep.cs.uic.edu:8080/proofing/gsii/522936-history-of-present-illness-1-0.pdf","gsii/522936-history-of-present-illness-1-0.pdf")</f>
        <v/>
      </c>
      <c r="E2150" t="n">
        <v>120842</v>
      </c>
      <c r="F2150" t="n">
        <v>522936</v>
      </c>
      <c r="G2150" t="inlineStr">
        <is>
          <t>Physician</t>
        </is>
      </c>
      <c r="H2150" t="inlineStr">
        <is>
          <t>history-of-present-illness</t>
        </is>
      </c>
      <c r="I2150" t="inlineStr">
        <is>
          <t xml:space="preserve">
   In the ICU on [**4-6**], patient confirmed history as above.</t>
        </is>
      </c>
    </row>
    <row r="2151">
      <c r="A2151" t="inlineStr">
        <is>
          <t>522936-history-of-present-illness-1-1</t>
        </is>
      </c>
      <c r="B2151" t="inlineStr"/>
      <c r="C2151" t="inlineStr"/>
      <c r="D2151">
        <f>HYPERLINK("http://nlpdeep.cs.uic.edu:8080/proofing/t5/522936-history-of-present-illness-1-1.pdf","t5/522936-history-of-present-illness-1-1.pdf")</f>
        <v/>
      </c>
      <c r="E2151" t="n">
        <v>120842</v>
      </c>
      <c r="F2151" t="n">
        <v>522936</v>
      </c>
      <c r="G2151" t="inlineStr">
        <is>
          <t>Physician</t>
        </is>
      </c>
      <c r="H2151" t="inlineStr">
        <is>
          <t>history-of-present-illness</t>
        </is>
      </c>
      <c r="I2151" t="inlineStr">
        <is>
          <t>Daughters
   additionally add that she left rehab around [**2153-3-22**] and 'hasn't been
   herself since'.</t>
        </is>
      </c>
    </row>
    <row r="2152">
      <c r="A2152" t="inlineStr">
        <is>
          <t>522936-history-of-present-illness-1-1</t>
        </is>
      </c>
      <c r="B2152" t="inlineStr"/>
      <c r="C2152" t="inlineStr"/>
      <c r="D2152">
        <f>HYPERLINK("http://nlpdeep.cs.uic.edu:8080/proofing/gsii/522936-history-of-present-illness-1-1.pdf","gsii/522936-history-of-present-illness-1-1.pdf")</f>
        <v/>
      </c>
      <c r="E2152" t="n">
        <v>120842</v>
      </c>
      <c r="F2152" t="n">
        <v>522936</v>
      </c>
      <c r="G2152" t="inlineStr">
        <is>
          <t>Physician</t>
        </is>
      </c>
      <c r="H2152" t="inlineStr">
        <is>
          <t>history-of-present-illness</t>
        </is>
      </c>
      <c r="I2152" t="inlineStr">
        <is>
          <t>Daughters
   additionally add that she left rehab around [**2153-3-22**] and 'hasn't been
   herself since'.</t>
        </is>
      </c>
    </row>
    <row r="2153">
      <c r="A2153" t="inlineStr">
        <is>
          <t>522936-history-of-present-illness-1-2</t>
        </is>
      </c>
      <c r="B2153" t="inlineStr"/>
      <c r="C2153" t="inlineStr"/>
      <c r="D2153">
        <f>HYPERLINK("http://nlpdeep.cs.uic.edu:8080/proofing/t5/522936-history-of-present-illness-1-2.pdf","t5/522936-history-of-present-illness-1-2.pdf")</f>
        <v/>
      </c>
      <c r="E2153" t="n">
        <v>120842</v>
      </c>
      <c r="F2153" t="n">
        <v>522936</v>
      </c>
      <c r="G2153" t="inlineStr">
        <is>
          <t>Physician</t>
        </is>
      </c>
      <c r="H2153" t="inlineStr">
        <is>
          <t>history-of-present-illness</t>
        </is>
      </c>
      <c r="I2153" t="inlineStr">
        <is>
          <t>At baseline is on 2L NC and unable to ambulate stairs
   recently due to TKR.</t>
        </is>
      </c>
    </row>
    <row r="2154">
      <c r="A2154" t="inlineStr">
        <is>
          <t>522936-history-of-present-illness-1-2</t>
        </is>
      </c>
      <c r="B2154" t="inlineStr"/>
      <c r="C2154" t="inlineStr"/>
      <c r="D2154">
        <f>HYPERLINK("http://nlpdeep.cs.uic.edu:8080/proofing/gsii/522936-history-of-present-illness-1-2.pdf","gsii/522936-history-of-present-illness-1-2.pdf")</f>
        <v/>
      </c>
      <c r="E2154" t="n">
        <v>120842</v>
      </c>
      <c r="F2154" t="n">
        <v>522936</v>
      </c>
      <c r="G2154" t="inlineStr">
        <is>
          <t>Physician</t>
        </is>
      </c>
      <c r="H2154" t="inlineStr">
        <is>
          <t>history-of-present-illness</t>
        </is>
      </c>
      <c r="I2154" t="inlineStr">
        <is>
          <t>At baseline is on 2L NC and unable to ambulate stairs
   recently due to TKR.</t>
        </is>
      </c>
    </row>
    <row r="2155">
      <c r="A2155" t="inlineStr">
        <is>
          <t>522936-history-of-present-illness-1-3</t>
        </is>
      </c>
      <c r="B2155" t="inlineStr"/>
      <c r="C2155" t="inlineStr"/>
      <c r="D2155">
        <f>HYPERLINK("http://nlpdeep.cs.uic.edu:8080/proofing/t5/522936-history-of-present-illness-1-3.pdf","t5/522936-history-of-present-illness-1-3.pdf")</f>
        <v/>
      </c>
      <c r="E2155" t="n">
        <v>120842</v>
      </c>
      <c r="F2155" t="n">
        <v>522936</v>
      </c>
      <c r="G2155" t="inlineStr">
        <is>
          <t>Physician</t>
        </is>
      </c>
      <c r="H2155" t="inlineStr">
        <is>
          <t>history-of-present-illness</t>
        </is>
      </c>
      <c r="I2155" t="inlineStr">
        <is>
          <t>Has felt warm recently, no fever or chills.</t>
        </is>
      </c>
    </row>
    <row r="2156">
      <c r="A2156" t="inlineStr">
        <is>
          <t>522936-history-of-present-illness-1-3</t>
        </is>
      </c>
      <c r="B2156" t="inlineStr"/>
      <c r="C2156" t="inlineStr"/>
      <c r="D2156">
        <f>HYPERLINK("http://nlpdeep.cs.uic.edu:8080/proofing/gsii/522936-history-of-present-illness-1-3.pdf","gsii/522936-history-of-present-illness-1-3.pdf")</f>
        <v/>
      </c>
      <c r="E2156" t="n">
        <v>120842</v>
      </c>
      <c r="F2156" t="n">
        <v>522936</v>
      </c>
      <c r="G2156" t="inlineStr">
        <is>
          <t>Physician</t>
        </is>
      </c>
      <c r="H2156" t="inlineStr">
        <is>
          <t>history-of-present-illness</t>
        </is>
      </c>
      <c r="I2156" t="inlineStr">
        <is>
          <t>Has felt warm recently, no fever or chills.</t>
        </is>
      </c>
    </row>
    <row r="2157">
      <c r="A2157" t="inlineStr">
        <is>
          <t>522936-history-of-present-illness-1-4</t>
        </is>
      </c>
      <c r="B2157" t="inlineStr"/>
      <c r="C2157" t="inlineStr"/>
      <c r="D2157">
        <f>HYPERLINK("http://nlpdeep.cs.uic.edu:8080/proofing/t5/522936-history-of-present-illness-1-4.pdf","t5/522936-history-of-present-illness-1-4.pdf")</f>
        <v/>
      </c>
      <c r="E2157" t="n">
        <v>120842</v>
      </c>
      <c r="F2157" t="n">
        <v>522936</v>
      </c>
      <c r="G2157" t="inlineStr">
        <is>
          <t>Physician</t>
        </is>
      </c>
      <c r="H2157" t="inlineStr">
        <is>
          <t>history-of-present-illness</t>
        </is>
      </c>
      <c r="I2157" t="inlineStr">
        <is>
          <t>No
   myalgia, arthralgia.</t>
        </is>
      </c>
    </row>
    <row r="2158">
      <c r="A2158" t="inlineStr">
        <is>
          <t>522936-history-of-present-illness-1-4</t>
        </is>
      </c>
      <c r="B2158" t="inlineStr"/>
      <c r="C2158" t="inlineStr"/>
      <c r="D2158">
        <f>HYPERLINK("http://nlpdeep.cs.uic.edu:8080/proofing/gsii/522936-history-of-present-illness-1-4.pdf","gsii/522936-history-of-present-illness-1-4.pdf")</f>
        <v/>
      </c>
      <c r="E2158" t="n">
        <v>120842</v>
      </c>
      <c r="F2158" t="n">
        <v>522936</v>
      </c>
      <c r="G2158" t="inlineStr">
        <is>
          <t>Physician</t>
        </is>
      </c>
      <c r="H2158" t="inlineStr">
        <is>
          <t>history-of-present-illness</t>
        </is>
      </c>
      <c r="I2158" t="inlineStr">
        <is>
          <t>No
   myalgia, arthralgia.</t>
        </is>
      </c>
    </row>
    <row r="2159">
      <c r="A2159" t="inlineStr">
        <is>
          <t>522936-history-of-present-illness-1-5</t>
        </is>
      </c>
      <c r="B2159" t="inlineStr"/>
      <c r="C2159" t="inlineStr"/>
      <c r="D2159">
        <f>HYPERLINK("http://nlpdeep.cs.uic.edu:8080/proofing/t5/522936-history-of-present-illness-1-5.pdf","t5/522936-history-of-present-illness-1-5.pdf")</f>
        <v/>
      </c>
      <c r="E2159" t="n">
        <v>120842</v>
      </c>
      <c r="F2159" t="n">
        <v>522936</v>
      </c>
      <c r="G2159" t="inlineStr">
        <is>
          <t>Physician</t>
        </is>
      </c>
      <c r="H2159" t="inlineStr">
        <is>
          <t>history-of-present-illness</t>
        </is>
      </c>
      <c r="I2159" t="inlineStr">
        <is>
          <t>No N/V/D or dysuria.</t>
        </is>
      </c>
    </row>
    <row r="2160">
      <c r="A2160" t="inlineStr">
        <is>
          <t>522936-history-of-present-illness-1-5</t>
        </is>
      </c>
      <c r="B2160" t="inlineStr"/>
      <c r="C2160" t="inlineStr"/>
      <c r="D2160">
        <f>HYPERLINK("http://nlpdeep.cs.uic.edu:8080/proofing/gsii/522936-history-of-present-illness-1-5.pdf","gsii/522936-history-of-present-illness-1-5.pdf")</f>
        <v/>
      </c>
      <c r="E2160" t="n">
        <v>120842</v>
      </c>
      <c r="F2160" t="n">
        <v>522936</v>
      </c>
      <c r="G2160" t="inlineStr">
        <is>
          <t>Physician</t>
        </is>
      </c>
      <c r="H2160" t="inlineStr">
        <is>
          <t>history-of-present-illness</t>
        </is>
      </c>
      <c r="I2160" t="inlineStr">
        <is>
          <t>No N/V/D or dysuria.</t>
        </is>
      </c>
    </row>
    <row r="2161">
      <c r="A2161" t="inlineStr">
        <is>
          <t>522936-history-of-present-illness-1-6</t>
        </is>
      </c>
      <c r="B2161" t="inlineStr"/>
      <c r="C2161" t="inlineStr"/>
      <c r="D2161">
        <f>HYPERLINK("http://nlpdeep.cs.uic.edu:8080/proofing/t5/522936-history-of-present-illness-1-6.pdf","t5/522936-history-of-present-illness-1-6.pdf")</f>
        <v/>
      </c>
      <c r="E2161" t="n">
        <v>120842</v>
      </c>
      <c r="F2161" t="n">
        <v>522936</v>
      </c>
      <c r="G2161" t="inlineStr">
        <is>
          <t>Physician</t>
        </is>
      </c>
      <c r="H2161" t="inlineStr">
        <is>
          <t>history-of-present-illness</t>
        </is>
      </c>
      <c r="I2161" t="inlineStr">
        <is>
          <t>No known sick contacts.</t>
        </is>
      </c>
    </row>
    <row r="2162">
      <c r="A2162" t="inlineStr">
        <is>
          <t>522936-history-of-present-illness-1-6</t>
        </is>
      </c>
      <c r="B2162" t="inlineStr"/>
      <c r="C2162" t="inlineStr"/>
      <c r="D2162">
        <f>HYPERLINK("http://nlpdeep.cs.uic.edu:8080/proofing/gsii/522936-history-of-present-illness-1-6.pdf","gsii/522936-history-of-present-illness-1-6.pdf")</f>
        <v/>
      </c>
      <c r="E2162" t="n">
        <v>120842</v>
      </c>
      <c r="F2162" t="n">
        <v>522936</v>
      </c>
      <c r="G2162" t="inlineStr">
        <is>
          <t>Physician</t>
        </is>
      </c>
      <c r="H2162" t="inlineStr">
        <is>
          <t>history-of-present-illness</t>
        </is>
      </c>
      <c r="I2162" t="inlineStr">
        <is>
          <t>No known sick contacts.</t>
        </is>
      </c>
    </row>
    <row r="2163">
      <c r="A2163" t="inlineStr">
        <is>
          <t>522936-history-of-present-illness-1-7</t>
        </is>
      </c>
      <c r="B2163" t="inlineStr"/>
      <c r="C2163" t="inlineStr"/>
      <c r="D2163">
        <f>HYPERLINK("http://nlpdeep.cs.uic.edu:8080/proofing/t5/522936-history-of-present-illness-1-7.pdf","t5/522936-history-of-present-illness-1-7.pdf")</f>
        <v/>
      </c>
      <c r="E2163" t="n">
        <v>120842</v>
      </c>
      <c r="F2163" t="n">
        <v>522936</v>
      </c>
      <c r="G2163" t="inlineStr">
        <is>
          <t>Physician</t>
        </is>
      </c>
      <c r="H2163" t="inlineStr">
        <is>
          <t>history-of-present-illness</t>
        </is>
      </c>
      <c r="I2163" t="inlineStr">
        <is>
          <t xml:space="preserve">
   Also with HA due to 'coughing' and minimally productive cough.</t>
        </is>
      </c>
    </row>
    <row r="2164">
      <c r="A2164" t="inlineStr">
        <is>
          <t>522936-history-of-present-illness-1-7</t>
        </is>
      </c>
      <c r="B2164" t="inlineStr"/>
      <c r="C2164" t="inlineStr"/>
      <c r="D2164">
        <f>HYPERLINK("http://nlpdeep.cs.uic.edu:8080/proofing/gsii/522936-history-of-present-illness-1-7.pdf","gsii/522936-history-of-present-illness-1-7.pdf")</f>
        <v/>
      </c>
      <c r="E2164" t="n">
        <v>120842</v>
      </c>
      <c r="F2164" t="n">
        <v>522936</v>
      </c>
      <c r="G2164" t="inlineStr">
        <is>
          <t>Physician</t>
        </is>
      </c>
      <c r="H2164" t="inlineStr">
        <is>
          <t>history-of-present-illness</t>
        </is>
      </c>
      <c r="I2164" t="inlineStr">
        <is>
          <t xml:space="preserve">
   Also with HA due to 'coughing' and minimally productive cough.</t>
        </is>
      </c>
    </row>
    <row r="2165">
      <c r="A2165" t="inlineStr">
        <is>
          <t>522936-allergies-0-0</t>
        </is>
      </c>
      <c r="B2165" t="inlineStr"/>
      <c r="C2165" t="inlineStr"/>
      <c r="D2165">
        <f>HYPERLINK("http://nlpdeep.cs.uic.edu:8080/proofing/t5/522936-allergies-0-0.pdf","t5/522936-allergies-0-0.pdf")</f>
        <v/>
      </c>
      <c r="E2165" t="n">
        <v>120842</v>
      </c>
      <c r="F2165" t="n">
        <v>522936</v>
      </c>
      <c r="G2165" t="inlineStr">
        <is>
          <t>Physician</t>
        </is>
      </c>
      <c r="H2165" t="inlineStr">
        <is>
          <t>allergies</t>
        </is>
      </c>
      <c r="I2165" t="inlineStr">
        <is>
          <t>Hay fever (Nasal) (Homeopathic Drugs)
   Cough; s</t>
        </is>
      </c>
    </row>
    <row r="2166">
      <c r="A2166" t="inlineStr">
        <is>
          <t>522936-allergies-0-0</t>
        </is>
      </c>
      <c r="B2166" t="inlineStr"/>
      <c r="C2166" t="inlineStr"/>
      <c r="D2166">
        <f>HYPERLINK("http://nlpdeep.cs.uic.edu:8080/proofing/gsii/522936-allergies-0-0.pdf","gsii/522936-allergies-0-0.pdf")</f>
        <v/>
      </c>
      <c r="E2166" t="n">
        <v>120842</v>
      </c>
      <c r="F2166" t="n">
        <v>522936</v>
      </c>
      <c r="G2166" t="inlineStr">
        <is>
          <t>Physician</t>
        </is>
      </c>
      <c r="H2166" t="inlineStr">
        <is>
          <t>allergies</t>
        </is>
      </c>
      <c r="I2166" t="inlineStr">
        <is>
          <t>Hay fever (Nasal) (Homeopathic Drugs)
   Cough; s</t>
        </is>
      </c>
    </row>
    <row r="2167">
      <c r="A2167" t="inlineStr">
        <is>
          <t>522936-other-medications-0-0</t>
        </is>
      </c>
      <c r="B2167" t="inlineStr"/>
      <c r="C2167" t="inlineStr"/>
      <c r="D2167">
        <f>HYPERLINK("http://nlpdeep.cs.uic.edu:8080/proofing/t5/522936-other-medications-0-0.pdf","t5/522936-other-medications-0-0.pdf")</f>
        <v/>
      </c>
      <c r="E2167" t="n">
        <v>120842</v>
      </c>
      <c r="F2167" t="n">
        <v>522936</v>
      </c>
      <c r="G2167" t="inlineStr">
        <is>
          <t>Physician</t>
        </is>
      </c>
      <c r="H2167" t="inlineStr">
        <is>
          <t>other-medications</t>
        </is>
      </c>
      <c r="I2167" t="inlineStr">
        <is>
          <t>Heparin Sodium (Prophylaxis) - [**2153-4-8**] 10:56 PM
   Other medications:
   - Home O2 - 2LPM at rest, 4 LPM with exertion
   - Advair 500-50 twice a day
   - Albuterol neb or MDI Q6H as needed for wheezing, SOB
   - Captopril 50 mg TID
   - Fluoxetine 20 mg TID
   - Glipizide 5 mg Daily
   - Lorazepam 0.5 mg [**Hospital1 7**] as needed for Anxiety.</t>
        </is>
      </c>
    </row>
    <row r="2168">
      <c r="A2168" t="inlineStr">
        <is>
          <t>522936-other-medications-0-0</t>
        </is>
      </c>
      <c r="B2168" t="inlineStr"/>
      <c r="C2168" t="inlineStr"/>
      <c r="D2168">
        <f>HYPERLINK("http://nlpdeep.cs.uic.edu:8080/proofing/gsii/522936-other-medications-0-0.pdf","gsii/522936-other-medications-0-0.pdf")</f>
        <v/>
      </c>
      <c r="E2168" t="n">
        <v>120842</v>
      </c>
      <c r="F2168" t="n">
        <v>522936</v>
      </c>
      <c r="G2168" t="inlineStr">
        <is>
          <t>Physician</t>
        </is>
      </c>
      <c r="H2168" t="inlineStr">
        <is>
          <t>other-medications</t>
        </is>
      </c>
      <c r="I2168" t="inlineStr">
        <is>
          <t>Heparin Sodium (Prophylaxis) - [**2153-4-8**] 10:56 PM
   Other medications:
   - Home O2 - 2LPM at rest, 4 LPM with exertion
   - Advair 500-50 twice a day
   - Albuterol neb or MDI Q6H as needed for wheezing, SOB
   - Captopril 50 mg TID
   - Fluoxetine 20 mg TID
   - Glipizide 5 mg Daily
   - Lorazepam 0.5 mg [**Hospital1 7**] as needed for Anxiety.</t>
        </is>
      </c>
    </row>
    <row r="2169">
      <c r="A2169" t="inlineStr">
        <is>
          <t>522936-other-medications-0-1</t>
        </is>
      </c>
      <c r="B2169" t="inlineStr"/>
      <c r="C2169" t="inlineStr"/>
      <c r="D2169">
        <f>HYPERLINK("http://nlpdeep.cs.uic.edu:8080/proofing/t5/522936-other-medications-0-1.pdf","t5/522936-other-medications-0-1.pdf")</f>
        <v/>
      </c>
      <c r="E2169" t="n">
        <v>120842</v>
      </c>
      <c r="F2169" t="n">
        <v>522936</v>
      </c>
      <c r="G2169" t="inlineStr">
        <is>
          <t>Physician</t>
        </is>
      </c>
      <c r="H2169" t="inlineStr">
        <is>
          <t>other-medications</t>
        </is>
      </c>
      <c r="I2169" t="inlineStr">
        <is>
          <t xml:space="preserve">
   - Metformin 500 mg SR [**Hospital1 7**]
   - Montelukast 10 mg DAILY
   - Simvastatin 40 mg DAILY
   - Spiriva 18 mcg once a day.</t>
        </is>
      </c>
    </row>
    <row r="2170">
      <c r="A2170" t="inlineStr">
        <is>
          <t>522936-other-medications-0-1</t>
        </is>
      </c>
      <c r="B2170" t="inlineStr"/>
      <c r="C2170" t="inlineStr"/>
      <c r="D2170">
        <f>HYPERLINK("http://nlpdeep.cs.uic.edu:8080/proofing/gsii/522936-other-medications-0-1.pdf","gsii/522936-other-medications-0-1.pdf")</f>
        <v/>
      </c>
      <c r="E2170" t="n">
        <v>120842</v>
      </c>
      <c r="F2170" t="n">
        <v>522936</v>
      </c>
      <c r="G2170" t="inlineStr">
        <is>
          <t>Physician</t>
        </is>
      </c>
      <c r="H2170" t="inlineStr">
        <is>
          <t>other-medications</t>
        </is>
      </c>
      <c r="I2170" t="inlineStr">
        <is>
          <t xml:space="preserve">
   - Metformin 500 mg SR [**Hospital1 7**]
   - Montelukast 10 mg DAILY
   - Simvastatin 40 mg DAILY
   - Spiriva 18 mcg once a day.</t>
        </is>
      </c>
    </row>
    <row r="2171">
      <c r="A2171" t="inlineStr">
        <is>
          <t>522936-other-medications-0-2</t>
        </is>
      </c>
      <c r="B2171" t="inlineStr"/>
      <c r="C2171" t="inlineStr"/>
      <c r="D2171">
        <f>HYPERLINK("http://nlpdeep.cs.uic.edu:8080/proofing/t5/522936-other-medications-0-2.pdf","t5/522936-other-medications-0-2.pdf")</f>
        <v/>
      </c>
      <c r="E2171" t="n">
        <v>120842</v>
      </c>
      <c r="F2171" t="n">
        <v>522936</v>
      </c>
      <c r="G2171" t="inlineStr">
        <is>
          <t>Physician</t>
        </is>
      </c>
      <c r="H2171" t="inlineStr">
        <is>
          <t>other-medications</t>
        </is>
      </c>
      <c r="I2171" t="inlineStr">
        <is>
          <t xml:space="preserve">
   - Calcium 500 + D 500 mg(1,250mg)-400 unit twice a day.</t>
        </is>
      </c>
    </row>
    <row r="2172">
      <c r="A2172" t="inlineStr">
        <is>
          <t>522936-other-medications-0-2</t>
        </is>
      </c>
      <c r="B2172" t="inlineStr"/>
      <c r="C2172" t="inlineStr"/>
      <c r="D2172">
        <f>HYPERLINK("http://nlpdeep.cs.uic.edu:8080/proofing/gsii/522936-other-medications-0-2.pdf","gsii/522936-other-medications-0-2.pdf")</f>
        <v/>
      </c>
      <c r="E2172" t="n">
        <v>120842</v>
      </c>
      <c r="F2172" t="n">
        <v>522936</v>
      </c>
      <c r="G2172" t="inlineStr">
        <is>
          <t>Physician</t>
        </is>
      </c>
      <c r="H2172" t="inlineStr">
        <is>
          <t>other-medications</t>
        </is>
      </c>
      <c r="I2172" t="inlineStr">
        <is>
          <t xml:space="preserve">
   - Calcium 500 + D 500 mg(1,250mg)-400 unit twice a day.</t>
        </is>
      </c>
    </row>
    <row r="2173">
      <c r="A2173" t="inlineStr">
        <is>
          <t>522936-other-medications-0-3</t>
        </is>
      </c>
      <c r="B2173" t="inlineStr"/>
      <c r="C2173" t="inlineStr"/>
      <c r="D2173">
        <f>HYPERLINK("http://nlpdeep.cs.uic.edu:8080/proofing/t5/522936-other-medications-0-3.pdf","t5/522936-other-medications-0-3.pdf")</f>
        <v/>
      </c>
      <c r="E2173" t="n">
        <v>120842</v>
      </c>
      <c r="F2173" t="n">
        <v>522936</v>
      </c>
      <c r="G2173" t="inlineStr">
        <is>
          <t>Physician</t>
        </is>
      </c>
      <c r="H2173" t="inlineStr">
        <is>
          <t>other-medications</t>
        </is>
      </c>
      <c r="I2173" t="inlineStr">
        <is>
          <t xml:space="preserve">
   - Enoxaparin 30 mg/0.3 mL SC Q12H for 4 weeks.</t>
        </is>
      </c>
    </row>
    <row r="2174">
      <c r="A2174" t="inlineStr">
        <is>
          <t>522936-other-medications-0-3</t>
        </is>
      </c>
      <c r="B2174" t="inlineStr"/>
      <c r="C2174" t="inlineStr"/>
      <c r="D2174">
        <f>HYPERLINK("http://nlpdeep.cs.uic.edu:8080/proofing/gsii/522936-other-medications-0-3.pdf","gsii/522936-other-medications-0-3.pdf")</f>
        <v/>
      </c>
      <c r="E2174" t="n">
        <v>120842</v>
      </c>
      <c r="F2174" t="n">
        <v>522936</v>
      </c>
      <c r="G2174" t="inlineStr">
        <is>
          <t>Physician</t>
        </is>
      </c>
      <c r="H2174" t="inlineStr">
        <is>
          <t>other-medications</t>
        </is>
      </c>
      <c r="I2174" t="inlineStr">
        <is>
          <t xml:space="preserve">
   - Enoxaparin 30 mg/0.3 mL SC Q12H for 4 weeks.</t>
        </is>
      </c>
    </row>
    <row r="2175">
      <c r="A2175" t="inlineStr">
        <is>
          <t>522936-other-medications-0-4</t>
        </is>
      </c>
      <c r="B2175" t="inlineStr"/>
      <c r="C2175" t="inlineStr"/>
      <c r="D2175">
        <f>HYPERLINK("http://nlpdeep.cs.uic.edu:8080/proofing/t5/522936-other-medications-0-4.pdf","t5/522936-other-medications-0-4.pdf")</f>
        <v/>
      </c>
      <c r="E2175" t="n">
        <v>120842</v>
      </c>
      <c r="F2175" t="n">
        <v>522936</v>
      </c>
      <c r="G2175" t="inlineStr">
        <is>
          <t>Physician</t>
        </is>
      </c>
      <c r="H2175" t="inlineStr">
        <is>
          <t>other-medications</t>
        </is>
      </c>
      <c r="I2175" t="inlineStr">
        <is>
          <t xml:space="preserve"> Stopped [**4-1**]
   - Omeprazole 20 mg once a day.</t>
        </is>
      </c>
    </row>
    <row r="2176">
      <c r="A2176" t="inlineStr">
        <is>
          <t>522936-other-medications-0-4</t>
        </is>
      </c>
      <c r="B2176" t="inlineStr"/>
      <c r="C2176" t="inlineStr"/>
      <c r="D2176">
        <f>HYPERLINK("http://nlpdeep.cs.uic.edu:8080/proofing/gsii/522936-other-medications-0-4.pdf","gsii/522936-other-medications-0-4.pdf")</f>
        <v/>
      </c>
      <c r="E2176" t="n">
        <v>120842</v>
      </c>
      <c r="F2176" t="n">
        <v>522936</v>
      </c>
      <c r="G2176" t="inlineStr">
        <is>
          <t>Physician</t>
        </is>
      </c>
      <c r="H2176" t="inlineStr">
        <is>
          <t>other-medications</t>
        </is>
      </c>
      <c r="I2176" t="inlineStr">
        <is>
          <t xml:space="preserve"> Stopped [**4-1**]
   - Omeprazole 20 mg once a day.</t>
        </is>
      </c>
    </row>
    <row r="2177">
      <c r="A2177" t="inlineStr">
        <is>
          <t>522936-other-medications-0-5</t>
        </is>
      </c>
      <c r="B2177" t="inlineStr"/>
      <c r="C2177" t="inlineStr"/>
      <c r="D2177">
        <f>HYPERLINK("http://nlpdeep.cs.uic.edu:8080/proofing/t5/522936-other-medications-0-5.pdf","t5/522936-other-medications-0-5.pdf")</f>
        <v/>
      </c>
      <c r="E2177" t="n">
        <v>120842</v>
      </c>
      <c r="F2177" t="n">
        <v>522936</v>
      </c>
      <c r="G2177" t="inlineStr">
        <is>
          <t>Physician</t>
        </is>
      </c>
      <c r="H2177" t="inlineStr">
        <is>
          <t>other-medications</t>
        </is>
      </c>
      <c r="I2177" t="inlineStr">
        <is>
          <t>- Docusate Sodium 100 mg [**Hospital1 7**]
   - Multivitamin DAILY
   - Ferrous Sulfate 300 mg DAILY
   - Vitamin D 1000 IU daily
   - Robitussin DM PRN Cough s</t>
        </is>
      </c>
    </row>
    <row r="2178">
      <c r="A2178" t="inlineStr">
        <is>
          <t>522936-other-medications-0-5</t>
        </is>
      </c>
      <c r="B2178" t="inlineStr"/>
      <c r="C2178" t="inlineStr"/>
      <c r="D2178">
        <f>HYPERLINK("http://nlpdeep.cs.uic.edu:8080/proofing/gsii/522936-other-medications-0-5.pdf","gsii/522936-other-medications-0-5.pdf")</f>
        <v/>
      </c>
      <c r="E2178" t="n">
        <v>120842</v>
      </c>
      <c r="F2178" t="n">
        <v>522936</v>
      </c>
      <c r="G2178" t="inlineStr">
        <is>
          <t>Physician</t>
        </is>
      </c>
      <c r="H2178" t="inlineStr">
        <is>
          <t>other-medications</t>
        </is>
      </c>
      <c r="I2178" t="inlineStr">
        <is>
          <t>- Docusate Sodium 100 mg [**Hospital1 7**]
   - Multivitamin DAILY
   - Ferrous Sulfate 300 mg DAILY
   - Vitamin D 1000 IU daily
   - Robitussin DM PRN Cough s</t>
        </is>
      </c>
    </row>
    <row r="2179">
      <c r="A2179" t="inlineStr">
        <is>
          <t>522936-past-medical-history-0-0</t>
        </is>
      </c>
      <c r="B2179" t="inlineStr"/>
      <c r="C2179" t="inlineStr"/>
      <c r="D2179">
        <f>HYPERLINK("http://nlpdeep.cs.uic.edu:8080/proofing/t5/522936-past-medical-history-0-0.pdf","t5/522936-past-medical-history-0-0.pdf")</f>
        <v/>
      </c>
      <c r="E2179" t="n">
        <v>120842</v>
      </c>
      <c r="F2179" t="n">
        <v>522936</v>
      </c>
      <c r="G2179" t="inlineStr">
        <is>
          <t>Physician</t>
        </is>
      </c>
      <c r="H2179" t="inlineStr">
        <is>
          <t>past-medical-history</t>
        </is>
      </c>
      <c r="I2179" t="inlineStr">
        <is>
          <t>- COPD/?asthma on home O2 at 2-4LPM.</t>
        </is>
      </c>
    </row>
    <row r="2180">
      <c r="A2180" t="inlineStr">
        <is>
          <t>522936-past-medical-history-0-0</t>
        </is>
      </c>
      <c r="B2180" t="inlineStr"/>
      <c r="C2180" t="inlineStr"/>
      <c r="D2180">
        <f>HYPERLINK("http://nlpdeep.cs.uic.edu:8080/proofing/gsii/522936-past-medical-history-0-0.pdf","gsii/522936-past-medical-history-0-0.pdf")</f>
        <v/>
      </c>
      <c r="E2180" t="n">
        <v>120842</v>
      </c>
      <c r="F2180" t="n">
        <v>522936</v>
      </c>
      <c r="G2180" t="inlineStr">
        <is>
          <t>Physician</t>
        </is>
      </c>
      <c r="H2180" t="inlineStr">
        <is>
          <t>past-medical-history</t>
        </is>
      </c>
      <c r="I2180" t="inlineStr">
        <is>
          <t>- COPD/?asthma on home O2 at 2-4LPM.</t>
        </is>
      </c>
    </row>
    <row r="2181">
      <c r="A2181" t="inlineStr">
        <is>
          <t>522936-past-medical-history-0-1</t>
        </is>
      </c>
      <c r="B2181" t="inlineStr"/>
      <c r="C2181" t="inlineStr"/>
      <c r="D2181">
        <f>HYPERLINK("http://nlpdeep.cs.uic.edu:8080/proofing/t5/522936-past-medical-history-0-1.pdf","t5/522936-past-medical-history-0-1.pdf")</f>
        <v/>
      </c>
      <c r="E2181" t="n">
        <v>120842</v>
      </c>
      <c r="F2181" t="n">
        <v>522936</v>
      </c>
      <c r="G2181" t="inlineStr">
        <is>
          <t>Physician</t>
        </is>
      </c>
      <c r="H2181" t="inlineStr">
        <is>
          <t>past-medical-history</t>
        </is>
      </c>
      <c r="I2181" t="inlineStr">
        <is>
          <t>Spirometry with only mild to
   moderate obstructive defect, FEV1 1.17 (68% predicted) but low DLCO at
   38% predicted.</t>
        </is>
      </c>
    </row>
    <row r="2182">
      <c r="A2182" t="inlineStr">
        <is>
          <t>522936-past-medical-history-0-1</t>
        </is>
      </c>
      <c r="B2182" t="inlineStr"/>
      <c r="C2182" t="inlineStr"/>
      <c r="D2182">
        <f>HYPERLINK("http://nlpdeep.cs.uic.edu:8080/proofing/gsii/522936-past-medical-history-0-1.pdf","gsii/522936-past-medical-history-0-1.pdf")</f>
        <v/>
      </c>
      <c r="E2182" t="n">
        <v>120842</v>
      </c>
      <c r="F2182" t="n">
        <v>522936</v>
      </c>
      <c r="G2182" t="inlineStr">
        <is>
          <t>Physician</t>
        </is>
      </c>
      <c r="H2182" t="inlineStr">
        <is>
          <t>past-medical-history</t>
        </is>
      </c>
      <c r="I2182" t="inlineStr">
        <is>
          <t>Spirometry with only mild to
   moderate obstructive defect, FEV1 1.17 (68% predicted) but low DLCO at
   38% predicted.</t>
        </is>
      </c>
    </row>
    <row r="2183">
      <c r="A2183" t="inlineStr">
        <is>
          <t>522936-past-medical-history-0-2</t>
        </is>
      </c>
      <c r="B2183" t="inlineStr"/>
      <c r="C2183" t="inlineStr"/>
      <c r="D2183">
        <f>HYPERLINK("http://nlpdeep.cs.uic.edu:8080/proofing/t5/522936-past-medical-history-0-2.pdf","t5/522936-past-medical-history-0-2.pdf")</f>
        <v/>
      </c>
      <c r="E2183" t="n">
        <v>120842</v>
      </c>
      <c r="F2183" t="n">
        <v>522936</v>
      </c>
      <c r="G2183" t="inlineStr">
        <is>
          <t>Physician</t>
        </is>
      </c>
      <c r="H2183" t="inlineStr">
        <is>
          <t>past-medical-history</t>
        </is>
      </c>
      <c r="I2183" t="inlineStr">
        <is>
          <t xml:space="preserve">
   - Diastolic CHF and pulmonary hypertension.</t>
        </is>
      </c>
    </row>
    <row r="2184">
      <c r="A2184" t="inlineStr">
        <is>
          <t>522936-past-medical-history-0-2</t>
        </is>
      </c>
      <c r="B2184" t="inlineStr"/>
      <c r="C2184" t="inlineStr"/>
      <c r="D2184">
        <f>HYPERLINK("http://nlpdeep.cs.uic.edu:8080/proofing/gsii/522936-past-medical-history-0-2.pdf","gsii/522936-past-medical-history-0-2.pdf")</f>
        <v/>
      </c>
      <c r="E2184" t="n">
        <v>120842</v>
      </c>
      <c r="F2184" t="n">
        <v>522936</v>
      </c>
      <c r="G2184" t="inlineStr">
        <is>
          <t>Physician</t>
        </is>
      </c>
      <c r="H2184" t="inlineStr">
        <is>
          <t>past-medical-history</t>
        </is>
      </c>
      <c r="I2184" t="inlineStr">
        <is>
          <t xml:space="preserve">
   - Diastolic CHF and pulmonary hypertension.</t>
        </is>
      </c>
    </row>
    <row r="2185">
      <c r="A2185" t="inlineStr">
        <is>
          <t>522936-past-medical-history-0-3</t>
        </is>
      </c>
      <c r="B2185" t="inlineStr"/>
      <c r="C2185" t="inlineStr"/>
      <c r="D2185">
        <f>HYPERLINK("http://nlpdeep.cs.uic.edu:8080/proofing/t5/522936-past-medical-history-0-3.pdf","t5/522936-past-medical-history-0-3.pdf")</f>
        <v/>
      </c>
      <c r="E2185" t="n">
        <v>120842</v>
      </c>
      <c r="F2185" t="n">
        <v>522936</v>
      </c>
      <c r="G2185" t="inlineStr">
        <is>
          <t>Physician</t>
        </is>
      </c>
      <c r="H2185" t="inlineStr">
        <is>
          <t>past-medical-history</t>
        </is>
      </c>
      <c r="I2185" t="inlineStr">
        <is>
          <t>Last TTE [**12/2151**] with EF
   &gt;55%, mild RV dilation with preserved function, estimated TR gradient
   43-63.</t>
        </is>
      </c>
    </row>
    <row r="2186">
      <c r="A2186" t="inlineStr">
        <is>
          <t>522936-past-medical-history-0-3</t>
        </is>
      </c>
      <c r="B2186" t="inlineStr"/>
      <c r="C2186" t="inlineStr"/>
      <c r="D2186">
        <f>HYPERLINK("http://nlpdeep.cs.uic.edu:8080/proofing/gsii/522936-past-medical-history-0-3.pdf","gsii/522936-past-medical-history-0-3.pdf")</f>
        <v/>
      </c>
      <c r="E2186" t="n">
        <v>120842</v>
      </c>
      <c r="F2186" t="n">
        <v>522936</v>
      </c>
      <c r="G2186" t="inlineStr">
        <is>
          <t>Physician</t>
        </is>
      </c>
      <c r="H2186" t="inlineStr">
        <is>
          <t>past-medical-history</t>
        </is>
      </c>
      <c r="I2186" t="inlineStr">
        <is>
          <t>Last TTE [**12/2151**] with EF
   &gt;55%, mild RV dilation with preserved function, estimated TR gradient
   43-63.</t>
        </is>
      </c>
    </row>
    <row r="2187">
      <c r="A2187" t="inlineStr">
        <is>
          <t>522936-past-medical-history-0-4</t>
        </is>
      </c>
      <c r="B2187" t="inlineStr"/>
      <c r="C2187" t="inlineStr"/>
      <c r="D2187">
        <f>HYPERLINK("http://nlpdeep.cs.uic.edu:8080/proofing/t5/522936-past-medical-history-0-4.pdf","t5/522936-past-medical-history-0-4.pdf")</f>
        <v/>
      </c>
      <c r="E2187" t="n">
        <v>120842</v>
      </c>
      <c r="F2187" t="n">
        <v>522936</v>
      </c>
      <c r="G2187" t="inlineStr">
        <is>
          <t>Physician</t>
        </is>
      </c>
      <c r="H2187" t="inlineStr">
        <is>
          <t>past-medical-history</t>
        </is>
      </c>
      <c r="I2187" t="inlineStr">
        <is>
          <t xml:space="preserve">
   - OSA on home CPAP
   - DM type II
   - HTN
   - s/p R TKR [**2153-3-5**], complicated by desaturation due to COPD
   exacerbation, dCHF, and ?narcotics.</t>
        </is>
      </c>
    </row>
    <row r="2188">
      <c r="A2188" t="inlineStr">
        <is>
          <t>522936-past-medical-history-0-4</t>
        </is>
      </c>
      <c r="B2188" t="inlineStr"/>
      <c r="C2188" t="inlineStr"/>
      <c r="D2188">
        <f>HYPERLINK("http://nlpdeep.cs.uic.edu:8080/proofing/gsii/522936-past-medical-history-0-4.pdf","gsii/522936-past-medical-history-0-4.pdf")</f>
        <v/>
      </c>
      <c r="E2188" t="n">
        <v>120842</v>
      </c>
      <c r="F2188" t="n">
        <v>522936</v>
      </c>
      <c r="G2188" t="inlineStr">
        <is>
          <t>Physician</t>
        </is>
      </c>
      <c r="H2188" t="inlineStr">
        <is>
          <t>past-medical-history</t>
        </is>
      </c>
      <c r="I2188" t="inlineStr">
        <is>
          <t xml:space="preserve">
   - OSA on home CPAP
   - DM type II
   - HTN
   - s/p R TKR [**2153-3-5**], complicated by desaturation due to COPD
   exacerbation, dCHF, and ?narcotics.</t>
        </is>
      </c>
    </row>
    <row r="2189">
      <c r="A2189" t="inlineStr">
        <is>
          <t>522936-past-medical-history-0-5</t>
        </is>
      </c>
      <c r="B2189" t="inlineStr"/>
      <c r="C2189" t="inlineStr"/>
      <c r="D2189">
        <f>HYPERLINK("http://nlpdeep.cs.uic.edu:8080/proofing/t5/522936-past-medical-history-0-5.pdf","t5/522936-past-medical-history-0-5.pdf")</f>
        <v/>
      </c>
      <c r="E2189" t="n">
        <v>120842</v>
      </c>
      <c r="F2189" t="n">
        <v>522936</v>
      </c>
      <c r="G2189" t="inlineStr">
        <is>
          <t>Physician</t>
        </is>
      </c>
      <c r="H2189" t="inlineStr">
        <is>
          <t>past-medical-history</t>
        </is>
      </c>
      <c r="I2189" t="inlineStr">
        <is>
          <t>- s/p L TKR
   - History of rectal cancer s/p chemo, XRT, and s/p transanal rectal ca
   excision
   - s/p hysterectomy
   - Anxiety / D</t>
        </is>
      </c>
    </row>
    <row r="2190">
      <c r="A2190" t="inlineStr">
        <is>
          <t>522936-past-medical-history-0-5</t>
        </is>
      </c>
      <c r="B2190" t="inlineStr"/>
      <c r="C2190" t="inlineStr"/>
      <c r="D2190">
        <f>HYPERLINK("http://nlpdeep.cs.uic.edu:8080/proofing/gsii/522936-past-medical-history-0-5.pdf","gsii/522936-past-medical-history-0-5.pdf")</f>
        <v/>
      </c>
      <c r="E2190" t="n">
        <v>120842</v>
      </c>
      <c r="F2190" t="n">
        <v>522936</v>
      </c>
      <c r="G2190" t="inlineStr">
        <is>
          <t>Physician</t>
        </is>
      </c>
      <c r="H2190" t="inlineStr">
        <is>
          <t>past-medical-history</t>
        </is>
      </c>
      <c r="I2190" t="inlineStr">
        <is>
          <t>- s/p L TKR
   - History of rectal cancer s/p chemo, XRT, and s/p transanal rectal ca
   excision
   - s/p hysterectomy
   - Anxiety / D</t>
        </is>
      </c>
    </row>
    <row r="2191">
      <c r="A2191" t="inlineStr">
        <is>
          <t>522936-family-history-0-0</t>
        </is>
      </c>
      <c r="B2191" t="inlineStr"/>
      <c r="C2191" t="inlineStr"/>
      <c r="D2191">
        <f>HYPERLINK("http://nlpdeep.cs.uic.edu:8080/proofing/t5/522936-family-history-0-0.pdf","t5/522936-family-history-0-0.pdf")</f>
        <v/>
      </c>
      <c r="E2191" t="n">
        <v>120842</v>
      </c>
      <c r="F2191" t="n">
        <v>522936</v>
      </c>
      <c r="G2191" t="inlineStr">
        <is>
          <t>Physician</t>
        </is>
      </c>
      <c r="H2191" t="inlineStr">
        <is>
          <t>family-history</t>
        </is>
      </c>
      <c r="I2191" t="inlineStr">
        <is>
          <t>Has 11 children and 27 grandchildren.</t>
        </is>
      </c>
    </row>
    <row r="2192">
      <c r="A2192" t="inlineStr">
        <is>
          <t>522936-family-history-0-0</t>
        </is>
      </c>
      <c r="B2192" t="inlineStr"/>
      <c r="C2192" t="inlineStr"/>
      <c r="D2192">
        <f>HYPERLINK("http://nlpdeep.cs.uic.edu:8080/proofing/gsii/522936-family-history-0-0.pdf","gsii/522936-family-history-0-0.pdf")</f>
        <v/>
      </c>
      <c r="E2192" t="n">
        <v>120842</v>
      </c>
      <c r="F2192" t="n">
        <v>522936</v>
      </c>
      <c r="G2192" t="inlineStr">
        <is>
          <t>Physician</t>
        </is>
      </c>
      <c r="H2192" t="inlineStr">
        <is>
          <t>family-history</t>
        </is>
      </c>
      <c r="I2192" t="inlineStr">
        <is>
          <t>Has 11 children and 27 grandchildren.</t>
        </is>
      </c>
    </row>
    <row r="2193">
      <c r="A2193" t="inlineStr">
        <is>
          <t>522936-family-history-0-1</t>
        </is>
      </c>
      <c r="B2193" t="inlineStr"/>
      <c r="C2193" t="inlineStr"/>
      <c r="D2193">
        <f>HYPERLINK("http://nlpdeep.cs.uic.edu:8080/proofing/t5/522936-family-history-0-1.pdf","t5/522936-family-history-0-1.pdf")</f>
        <v/>
      </c>
      <c r="E2193" t="n">
        <v>120842</v>
      </c>
      <c r="F2193" t="n">
        <v>522936</v>
      </c>
      <c r="G2193" t="inlineStr">
        <is>
          <t>Physician</t>
        </is>
      </c>
      <c r="H2193" t="inlineStr">
        <is>
          <t>family-history</t>
        </is>
      </c>
      <c r="I2193" t="inlineStr">
        <is>
          <t>She lives alone but has help from
   her many children.</t>
        </is>
      </c>
    </row>
    <row r="2194">
      <c r="A2194" t="inlineStr">
        <is>
          <t>522936-family-history-0-1</t>
        </is>
      </c>
      <c r="B2194" t="inlineStr"/>
      <c r="C2194" t="inlineStr"/>
      <c r="D2194">
        <f>HYPERLINK("http://nlpdeep.cs.uic.edu:8080/proofing/gsii/522936-family-history-0-1.pdf","gsii/522936-family-history-0-1.pdf")</f>
        <v/>
      </c>
      <c r="E2194" t="n">
        <v>120842</v>
      </c>
      <c r="F2194" t="n">
        <v>522936</v>
      </c>
      <c r="G2194" t="inlineStr">
        <is>
          <t>Physician</t>
        </is>
      </c>
      <c r="H2194" t="inlineStr">
        <is>
          <t>family-history</t>
        </is>
      </c>
      <c r="I2194" t="inlineStr">
        <is>
          <t>She lives alone but has help from
   her many children.</t>
        </is>
      </c>
    </row>
    <row r="2195">
      <c r="A2195" t="inlineStr">
        <is>
          <t>522936-social-history-0-0</t>
        </is>
      </c>
      <c r="B2195" t="inlineStr"/>
      <c r="C2195" t="inlineStr"/>
      <c r="D2195">
        <f>HYPERLINK("http://nlpdeep.cs.uic.edu:8080/proofing/t5/522936-social-history-0-0.pdf","t5/522936-social-history-0-0.pdf")</f>
        <v/>
      </c>
      <c r="E2195" t="n">
        <v>120842</v>
      </c>
      <c r="F2195" t="n">
        <v>522936</v>
      </c>
      <c r="G2195" t="inlineStr">
        <is>
          <t>Physician</t>
        </is>
      </c>
      <c r="H2195" t="inlineStr">
        <is>
          <t>social-history</t>
        </is>
      </c>
      <c r="I2195" t="inlineStr">
        <is>
          <t>Patient is a former smoker with 40-60 pack year
   smoking history but quit over 10 years prior.</t>
        </is>
      </c>
    </row>
    <row r="2196">
      <c r="A2196" t="inlineStr">
        <is>
          <t>522936-social-history-0-0</t>
        </is>
      </c>
      <c r="B2196" t="inlineStr"/>
      <c r="C2196" t="inlineStr"/>
      <c r="D2196">
        <f>HYPERLINK("http://nlpdeep.cs.uic.edu:8080/proofing/gsii/522936-social-history-0-0.pdf","gsii/522936-social-history-0-0.pdf")</f>
        <v/>
      </c>
      <c r="E2196" t="n">
        <v>120842</v>
      </c>
      <c r="F2196" t="n">
        <v>522936</v>
      </c>
      <c r="G2196" t="inlineStr">
        <is>
          <t>Physician</t>
        </is>
      </c>
      <c r="H2196" t="inlineStr">
        <is>
          <t>social-history</t>
        </is>
      </c>
      <c r="I2196" t="inlineStr">
        <is>
          <t>Patient is a former smoker with 40-60 pack year
   smoking history but quit over 10 years prior.</t>
        </is>
      </c>
    </row>
    <row r="2197">
      <c r="A2197" t="inlineStr">
        <is>
          <t>522936-social-history-0-1</t>
        </is>
      </c>
      <c r="B2197" t="inlineStr"/>
      <c r="C2197" t="inlineStr"/>
      <c r="D2197">
        <f>HYPERLINK("http://nlpdeep.cs.uic.edu:8080/proofing/t5/522936-social-history-0-1.pdf","t5/522936-social-history-0-1.pdf")</f>
        <v/>
      </c>
      <c r="E2197" t="n">
        <v>120842</v>
      </c>
      <c r="F2197" t="n">
        <v>522936</v>
      </c>
      <c r="G2197" t="inlineStr">
        <is>
          <t>Physician</t>
        </is>
      </c>
      <c r="H2197" t="inlineStr">
        <is>
          <t>social-history</t>
        </is>
      </c>
      <c r="I2197" t="inlineStr">
        <is>
          <t xml:space="preserve"> No alcohol use.</t>
        </is>
      </c>
    </row>
    <row r="2198">
      <c r="A2198" t="inlineStr">
        <is>
          <t>522936-social-history-0-1</t>
        </is>
      </c>
      <c r="B2198" t="inlineStr"/>
      <c r="C2198" t="inlineStr"/>
      <c r="D2198">
        <f>HYPERLINK("http://nlpdeep.cs.uic.edu:8080/proofing/gsii/522936-social-history-0-1.pdf","gsii/522936-social-history-0-1.pdf")</f>
        <v/>
      </c>
      <c r="E2198" t="n">
        <v>120842</v>
      </c>
      <c r="F2198" t="n">
        <v>522936</v>
      </c>
      <c r="G2198" t="inlineStr">
        <is>
          <t>Physician</t>
        </is>
      </c>
      <c r="H2198" t="inlineStr">
        <is>
          <t>social-history</t>
        </is>
      </c>
      <c r="I2198" t="inlineStr">
        <is>
          <t xml:space="preserve"> No alcohol use.</t>
        </is>
      </c>
    </row>
    <row r="2199">
      <c r="A2199" t="inlineStr">
        <is>
          <t>522936-review-of-systems-0-0</t>
        </is>
      </c>
      <c r="B2199" t="inlineStr"/>
      <c r="C2199" t="inlineStr"/>
      <c r="D2199">
        <f>HYPERLINK("http://nlpdeep.cs.uic.edu:8080/proofing/t5/522936-review-of-systems-0-0.pdf","t5/522936-review-of-systems-0-0.pdf")</f>
        <v/>
      </c>
      <c r="E2199" t="n">
        <v>120842</v>
      </c>
      <c r="F2199" t="n">
        <v>522936</v>
      </c>
      <c r="G2199" t="inlineStr">
        <is>
          <t>Physician</t>
        </is>
      </c>
      <c r="H2199" t="inlineStr">
        <is>
          <t>review-of-systems</t>
        </is>
      </c>
      <c r="I2199" t="inlineStr">
        <is>
          <t>(+) Per HPI
   (-) Denies fever, chills, night sweats, recent weight loss or gain.</t>
        </is>
      </c>
    </row>
    <row r="2200">
      <c r="A2200" t="inlineStr">
        <is>
          <t>522936-review-of-systems-0-0</t>
        </is>
      </c>
      <c r="B2200" t="inlineStr"/>
      <c r="C2200" t="inlineStr"/>
      <c r="D2200">
        <f>HYPERLINK("http://nlpdeep.cs.uic.edu:8080/proofing/gsii/522936-review-of-systems-0-0.pdf","gsii/522936-review-of-systems-0-0.pdf")</f>
        <v/>
      </c>
      <c r="E2200" t="n">
        <v>120842</v>
      </c>
      <c r="F2200" t="n">
        <v>522936</v>
      </c>
      <c r="G2200" t="inlineStr">
        <is>
          <t>Physician</t>
        </is>
      </c>
      <c r="H2200" t="inlineStr">
        <is>
          <t>review-of-systems</t>
        </is>
      </c>
      <c r="I2200" t="inlineStr">
        <is>
          <t>(+) Per HPI
   (-) Denies fever, chills, night sweats, recent weight loss or gain.</t>
        </is>
      </c>
    </row>
    <row r="2201">
      <c r="A2201" t="inlineStr">
        <is>
          <t>522936-review-of-systems-0-1</t>
        </is>
      </c>
      <c r="B2201" t="inlineStr"/>
      <c r="C2201" t="inlineStr"/>
      <c r="D2201">
        <f>HYPERLINK("http://nlpdeep.cs.uic.edu:8080/proofing/t5/522936-review-of-systems-0-1.pdf","t5/522936-review-of-systems-0-1.pdf")</f>
        <v/>
      </c>
      <c r="E2201" t="n">
        <v>120842</v>
      </c>
      <c r="F2201" t="n">
        <v>522936</v>
      </c>
      <c r="G2201" t="inlineStr">
        <is>
          <t>Physician</t>
        </is>
      </c>
      <c r="H2201" t="inlineStr">
        <is>
          <t>review-of-systems</t>
        </is>
      </c>
      <c r="I2201" t="inlineStr">
        <is>
          <t xml:space="preserve">
   Denies sinus tenderness, rhinorrhea or congestion.</t>
        </is>
      </c>
    </row>
    <row r="2202">
      <c r="A2202" t="inlineStr">
        <is>
          <t>522936-review-of-systems-0-1</t>
        </is>
      </c>
      <c r="B2202" t="inlineStr"/>
      <c r="C2202" t="inlineStr"/>
      <c r="D2202">
        <f>HYPERLINK("http://nlpdeep.cs.uic.edu:8080/proofing/gsii/522936-review-of-systems-0-1.pdf","gsii/522936-review-of-systems-0-1.pdf")</f>
        <v/>
      </c>
      <c r="E2202" t="n">
        <v>120842</v>
      </c>
      <c r="F2202" t="n">
        <v>522936</v>
      </c>
      <c r="G2202" t="inlineStr">
        <is>
          <t>Physician</t>
        </is>
      </c>
      <c r="H2202" t="inlineStr">
        <is>
          <t>review-of-systems</t>
        </is>
      </c>
      <c r="I2202" t="inlineStr">
        <is>
          <t xml:space="preserve">
   Denies sinus tenderness, rhinorrhea or congestion.</t>
        </is>
      </c>
    </row>
    <row r="2203">
      <c r="A2203" t="inlineStr">
        <is>
          <t>522936-review-of-systems-0-2</t>
        </is>
      </c>
      <c r="B2203" t="inlineStr"/>
      <c r="C2203" t="inlineStr"/>
      <c r="D2203">
        <f>HYPERLINK("http://nlpdeep.cs.uic.edu:8080/proofing/t5/522936-review-of-systems-0-2.pdf","t5/522936-review-of-systems-0-2.pdf")</f>
        <v/>
      </c>
      <c r="E2203" t="n">
        <v>120842</v>
      </c>
      <c r="F2203" t="n">
        <v>522936</v>
      </c>
      <c r="G2203" t="inlineStr">
        <is>
          <t>Physician</t>
        </is>
      </c>
      <c r="H2203" t="inlineStr">
        <is>
          <t>review-of-systems</t>
        </is>
      </c>
      <c r="I2203" t="inlineStr">
        <is>
          <t>Denied chest pain or
   tightness, palpitations.</t>
        </is>
      </c>
    </row>
    <row r="2204">
      <c r="A2204" t="inlineStr">
        <is>
          <t>522936-review-of-systems-0-2</t>
        </is>
      </c>
      <c r="B2204" t="inlineStr"/>
      <c r="C2204" t="inlineStr"/>
      <c r="D2204">
        <f>HYPERLINK("http://nlpdeep.cs.uic.edu:8080/proofing/gsii/522936-review-of-systems-0-2.pdf","gsii/522936-review-of-systems-0-2.pdf")</f>
        <v/>
      </c>
      <c r="E2204" t="n">
        <v>120842</v>
      </c>
      <c r="F2204" t="n">
        <v>522936</v>
      </c>
      <c r="G2204" t="inlineStr">
        <is>
          <t>Physician</t>
        </is>
      </c>
      <c r="H2204" t="inlineStr">
        <is>
          <t>review-of-systems</t>
        </is>
      </c>
      <c r="I2204" t="inlineStr">
        <is>
          <t>Denied chest pain or
   tightness, palpitations.</t>
        </is>
      </c>
    </row>
    <row r="2205">
      <c r="A2205" t="inlineStr">
        <is>
          <t>522936-review-of-systems-0-3</t>
        </is>
      </c>
      <c r="B2205" t="inlineStr"/>
      <c r="C2205" t="inlineStr"/>
      <c r="D2205">
        <f>HYPERLINK("http://nlpdeep.cs.uic.edu:8080/proofing/t5/522936-review-of-systems-0-3.pdf","t5/522936-review-of-systems-0-3.pdf")</f>
        <v/>
      </c>
      <c r="E2205" t="n">
        <v>120842</v>
      </c>
      <c r="F2205" t="n">
        <v>522936</v>
      </c>
      <c r="G2205" t="inlineStr">
        <is>
          <t>Physician</t>
        </is>
      </c>
      <c r="H2205" t="inlineStr">
        <is>
          <t>review-of-systems</t>
        </is>
      </c>
      <c r="I2205" t="inlineStr">
        <is>
          <t>Denied nausea, vomiting, diarrhea,
   constipation or abdominal pain.</t>
        </is>
      </c>
    </row>
    <row r="2206">
      <c r="A2206" t="inlineStr">
        <is>
          <t>522936-review-of-systems-0-3</t>
        </is>
      </c>
      <c r="B2206" t="inlineStr"/>
      <c r="C2206" t="inlineStr"/>
      <c r="D2206">
        <f>HYPERLINK("http://nlpdeep.cs.uic.edu:8080/proofing/gsii/522936-review-of-systems-0-3.pdf","gsii/522936-review-of-systems-0-3.pdf")</f>
        <v/>
      </c>
      <c r="E2206" t="n">
        <v>120842</v>
      </c>
      <c r="F2206" t="n">
        <v>522936</v>
      </c>
      <c r="G2206" t="inlineStr">
        <is>
          <t>Physician</t>
        </is>
      </c>
      <c r="H2206" t="inlineStr">
        <is>
          <t>review-of-systems</t>
        </is>
      </c>
      <c r="I2206" t="inlineStr">
        <is>
          <t>Denied nausea, vomiting, diarrhea,
   constipation or abdominal pain.</t>
        </is>
      </c>
    </row>
    <row r="2207">
      <c r="A2207" t="inlineStr">
        <is>
          <t>522936-review-of-systems-0-4</t>
        </is>
      </c>
      <c r="B2207" t="inlineStr"/>
      <c r="C2207" t="inlineStr"/>
      <c r="D2207">
        <f>HYPERLINK("http://nlpdeep.cs.uic.edu:8080/proofing/t5/522936-review-of-systems-0-4.pdf","t5/522936-review-of-systems-0-4.pdf")</f>
        <v/>
      </c>
      <c r="E2207" t="n">
        <v>120842</v>
      </c>
      <c r="F2207" t="n">
        <v>522936</v>
      </c>
      <c r="G2207" t="inlineStr">
        <is>
          <t>Physician</t>
        </is>
      </c>
      <c r="H2207" t="inlineStr">
        <is>
          <t>review-of-systems</t>
        </is>
      </c>
      <c r="I2207" t="inlineStr">
        <is>
          <t>No recent change in bowel or bladder
   habits.</t>
        </is>
      </c>
    </row>
    <row r="2208">
      <c r="A2208" t="inlineStr">
        <is>
          <t>522936-review-of-systems-0-4</t>
        </is>
      </c>
      <c r="B2208" t="inlineStr"/>
      <c r="C2208" t="inlineStr"/>
      <c r="D2208">
        <f>HYPERLINK("http://nlpdeep.cs.uic.edu:8080/proofing/gsii/522936-review-of-systems-0-4.pdf","gsii/522936-review-of-systems-0-4.pdf")</f>
        <v/>
      </c>
      <c r="E2208" t="n">
        <v>120842</v>
      </c>
      <c r="F2208" t="n">
        <v>522936</v>
      </c>
      <c r="G2208" t="inlineStr">
        <is>
          <t>Physician</t>
        </is>
      </c>
      <c r="H2208" t="inlineStr">
        <is>
          <t>review-of-systems</t>
        </is>
      </c>
      <c r="I2208" t="inlineStr">
        <is>
          <t>No recent change in bowel or bladder
   habits.</t>
        </is>
      </c>
    </row>
    <row r="2209">
      <c r="A2209" t="inlineStr">
        <is>
          <t>522936-review-of-systems-0-5</t>
        </is>
      </c>
      <c r="B2209" t="inlineStr"/>
      <c r="C2209" t="inlineStr"/>
      <c r="D2209">
        <f>HYPERLINK("http://nlpdeep.cs.uic.edu:8080/proofing/t5/522936-review-of-systems-0-5.pdf","t5/522936-review-of-systems-0-5.pdf")</f>
        <v/>
      </c>
      <c r="E2209" t="n">
        <v>120842</v>
      </c>
      <c r="F2209" t="n">
        <v>522936</v>
      </c>
      <c r="G2209" t="inlineStr">
        <is>
          <t>Physician</t>
        </is>
      </c>
      <c r="H2209" t="inlineStr">
        <is>
          <t>review-of-systems</t>
        </is>
      </c>
      <c r="I2209" t="inlineStr">
        <is>
          <t>No dysuria.</t>
        </is>
      </c>
    </row>
    <row r="2210">
      <c r="A2210" t="inlineStr">
        <is>
          <t>522936-review-of-systems-0-5</t>
        </is>
      </c>
      <c r="B2210" t="inlineStr"/>
      <c r="C2210" t="inlineStr"/>
      <c r="D2210">
        <f>HYPERLINK("http://nlpdeep.cs.uic.edu:8080/proofing/gsii/522936-review-of-systems-0-5.pdf","gsii/522936-review-of-systems-0-5.pdf")</f>
        <v/>
      </c>
      <c r="E2210" t="n">
        <v>120842</v>
      </c>
      <c r="F2210" t="n">
        <v>522936</v>
      </c>
      <c r="G2210" t="inlineStr">
        <is>
          <t>Physician</t>
        </is>
      </c>
      <c r="H2210" t="inlineStr">
        <is>
          <t>review-of-systems</t>
        </is>
      </c>
      <c r="I2210" t="inlineStr">
        <is>
          <t>No dysuria.</t>
        </is>
      </c>
    </row>
    <row r="2211">
      <c r="A2211" t="inlineStr">
        <is>
          <t>522936-review-of-systems-0-6</t>
        </is>
      </c>
      <c r="B2211" t="inlineStr"/>
      <c r="C2211" t="inlineStr"/>
      <c r="D2211">
        <f>HYPERLINK("http://nlpdeep.cs.uic.edu:8080/proofing/t5/522936-review-of-systems-0-6.pdf","t5/522936-review-of-systems-0-6.pdf")</f>
        <v/>
      </c>
      <c r="E2211" t="n">
        <v>120842</v>
      </c>
      <c r="F2211" t="n">
        <v>522936</v>
      </c>
      <c r="G2211" t="inlineStr">
        <is>
          <t>Physician</t>
        </is>
      </c>
      <c r="H2211" t="inlineStr">
        <is>
          <t>review-of-systems</t>
        </is>
      </c>
      <c r="I2211" t="inlineStr">
        <is>
          <t>Denied arthralgias or myalgias.</t>
        </is>
      </c>
    </row>
    <row r="2212">
      <c r="A2212" t="inlineStr">
        <is>
          <t>522936-review-of-systems-0-6</t>
        </is>
      </c>
      <c r="B2212" t="inlineStr"/>
      <c r="C2212" t="inlineStr"/>
      <c r="D2212">
        <f>HYPERLINK("http://nlpdeep.cs.uic.edu:8080/proofing/gsii/522936-review-of-systems-0-6.pdf","gsii/522936-review-of-systems-0-6.pdf")</f>
        <v/>
      </c>
      <c r="E2212" t="n">
        <v>120842</v>
      </c>
      <c r="F2212" t="n">
        <v>522936</v>
      </c>
      <c r="G2212" t="inlineStr">
        <is>
          <t>Physician</t>
        </is>
      </c>
      <c r="H2212" t="inlineStr">
        <is>
          <t>review-of-systems</t>
        </is>
      </c>
      <c r="I2212" t="inlineStr">
        <is>
          <t>Denied arthralgias or myalgias.</t>
        </is>
      </c>
    </row>
    <row r="2213">
      <c r="A2213" t="inlineStr">
        <is>
          <t>522936-flowsheet-data-vitals-0-0</t>
        </is>
      </c>
      <c r="B2213" t="inlineStr"/>
      <c r="C2213" t="inlineStr"/>
      <c r="D2213">
        <f>HYPERLINK("http://nlpdeep.cs.uic.edu:8080/proofing/t5/522936-flowsheet-data-vitals-0-0.pdf","t5/522936-flowsheet-data-vitals-0-0.pdf")</f>
        <v/>
      </c>
      <c r="E2213" t="n">
        <v>120842</v>
      </c>
      <c r="F2213" t="n">
        <v>522936</v>
      </c>
      <c r="G2213" t="inlineStr">
        <is>
          <t>Physician</t>
        </is>
      </c>
      <c r="H2213" t="inlineStr">
        <is>
          <t>flowsheet-data-vitals</t>
        </is>
      </c>
      <c r="I2213" t="inlineStr">
        <is>
          <t>Vital Signs
   Hemodynamic monitoring
   Fluid Balance
                                                                  24 hours
                                                               Since [**55**] AM
   Tmax: 36.4
C (97.6
   Tcurrent: 36.4
C (97.6
   HR: 97 (97 - 138) bpm
   BP: 149/57(83) {128/57(83) - 149/69(83)} mmHg
   RR: 30 (23 - 30) insp/min
   SpO2: 98%
   Heart rhythm: SR (Sinus Rhythm)
   Height: 24 Inch
                  Total In:
                                                                    509 mL
                  PO:
                                                                    300 mL
                  TF:
   IVF:
                                                                    209 mL
   Blood products:
   Total out:
                                                                  1,550 mL
                                                                    450 mL
   Urine:
                                                                  1,550 mL
                                                                    450 mL
   NG:
   Stool:
   Drains:
   Balance:
                                                                 -1,041 mL
                                                                   -450 mL
   Respiratory
   SpO2: 98%</t>
        </is>
      </c>
    </row>
    <row r="2214">
      <c r="A2214" t="inlineStr">
        <is>
          <t>522936-flowsheet-data-vitals-0-0</t>
        </is>
      </c>
      <c r="B2214" t="inlineStr"/>
      <c r="C2214" t="inlineStr"/>
      <c r="D2214">
        <f>HYPERLINK("http://nlpdeep.cs.uic.edu:8080/proofing/gsii/522936-flowsheet-data-vitals-0-0.pdf","gsii/522936-flowsheet-data-vitals-0-0.pdf")</f>
        <v/>
      </c>
      <c r="E2214" t="n">
        <v>120842</v>
      </c>
      <c r="F2214" t="n">
        <v>522936</v>
      </c>
      <c r="G2214" t="inlineStr">
        <is>
          <t>Physician</t>
        </is>
      </c>
      <c r="H2214" t="inlineStr">
        <is>
          <t>flowsheet-data-vitals</t>
        </is>
      </c>
      <c r="I2214" t="inlineStr">
        <is>
          <t>Vital Signs
   Hemodynamic monitoring
   Fluid Balance
                                                                  24 hours
                                                               Since [**55**] AM
   Tmax: 36.4
C (97.6
   Tcurrent: 36.4
C (97.6
   HR: 97 (97 - 138) bpm
   BP: 149/57(83) {128/57(83) - 149/69(83)} mmHg
   RR: 30 (23 - 30) insp/min
   SpO2: 98%
   Heart rhythm: SR (Sinus Rhythm)
   Height: 24 Inch
                  Total In:
                                                                    509 mL
                  PO:
                                                                    300 mL
                  TF:
   IVF:
                                                                    209 mL
   Blood products:
   Total out:
                                                                  1,550 mL
                                                                    450 mL
   Urine:
                                                                  1,550 mL
                                                                    450 mL
   NG:
   Stool:
   Drains:
   Balance:
                                                                 -1,041 mL
                                                                   -450 mL
   Respiratory
   SpO2: 98%</t>
        </is>
      </c>
    </row>
    <row r="2215">
      <c r="A2215" t="inlineStr">
        <is>
          <t>522936-physical-examination-0-0</t>
        </is>
      </c>
      <c r="B2215" t="inlineStr"/>
      <c r="C2215" t="inlineStr"/>
      <c r="D2215">
        <f>HYPERLINK("http://nlpdeep.cs.uic.edu:8080/proofing/t5/522936-physical-examination-0-0.pdf","t5/522936-physical-examination-0-0.pdf")</f>
        <v/>
      </c>
      <c r="E2215" t="n">
        <v>120842</v>
      </c>
      <c r="F2215" t="n">
        <v>522936</v>
      </c>
      <c r="G2215" t="inlineStr">
        <is>
          <t>Physician</t>
        </is>
      </c>
      <c r="H2215" t="inlineStr">
        <is>
          <t>physical-examination</t>
        </is>
      </c>
      <c r="I2215" t="inlineStr">
        <is>
          <t>Vitals: T: 97.6   BP: 128/69 P: 85, but transiently also in 130s R: 20
   O2: 96% on face mask
   General: Alert, oriented, no acute distress
   HEENT: Sclera anicteric, MMM, oropharynx clear
   Lungs: Expiratory wheezes
   CV: Regular rate and rhythm, normal S1 + S2, no murmurs, rubs, gallops
   Abdomen: soft, non-tender, non-distended, bowel sounds present, no
   rebound tenderness or guarding
   Ext: warm, well perfused, 2+ pulses, no clubbing, cyanosis or edema.</t>
        </is>
      </c>
    </row>
    <row r="2216">
      <c r="A2216" t="inlineStr">
        <is>
          <t>522936-physical-examination-0-0</t>
        </is>
      </c>
      <c r="B2216" t="inlineStr"/>
      <c r="C2216" t="inlineStr"/>
      <c r="D2216">
        <f>HYPERLINK("http://nlpdeep.cs.uic.edu:8080/proofing/gsii/522936-physical-examination-0-0.pdf","gsii/522936-physical-examination-0-0.pdf")</f>
        <v/>
      </c>
      <c r="E2216" t="n">
        <v>120842</v>
      </c>
      <c r="F2216" t="n">
        <v>522936</v>
      </c>
      <c r="G2216" t="inlineStr">
        <is>
          <t>Physician</t>
        </is>
      </c>
      <c r="H2216" t="inlineStr">
        <is>
          <t>physical-examination</t>
        </is>
      </c>
      <c r="I2216" t="inlineStr">
        <is>
          <t>Vitals: T: 97.6   BP: 128/69 P: 85, but transiently also in 130s R: 20
   O2: 96% on face mask
   General: Alert, oriented, no acute distress
   HEENT: Sclera anicteric, MMM, oropharynx clear
   Lungs: Expiratory wheezes
   CV: Regular rate and rhythm, normal S1 + S2, no murmurs, rubs, gallops
   Abdomen: soft, non-tender, non-distended, bowel sounds present, no
   rebound tenderness or guarding
   Ext: warm, well perfused, 2+ pulses, no clubbing, cyanosis or edema.</t>
        </is>
      </c>
    </row>
    <row r="2217">
      <c r="A2217" t="inlineStr">
        <is>
          <t>522936-physical-examination-0-1</t>
        </is>
      </c>
      <c r="B2217" t="inlineStr"/>
      <c r="C2217" t="inlineStr"/>
      <c r="D2217">
        <f>HYPERLINK("http://nlpdeep.cs.uic.edu:8080/proofing/t5/522936-physical-examination-0-1.pdf","t5/522936-physical-examination-0-1.pdf")</f>
        <v/>
      </c>
      <c r="E2217" t="n">
        <v>120842</v>
      </c>
      <c r="F2217" t="n">
        <v>522936</v>
      </c>
      <c r="G2217" t="inlineStr">
        <is>
          <t>Physician</t>
        </is>
      </c>
      <c r="H2217" t="inlineStr">
        <is>
          <t>physical-examination</t>
        </is>
      </c>
      <c r="I2217" t="inlineStr">
        <is>
          <t>No
   signs of infection at knee incision, well h</t>
        </is>
      </c>
    </row>
    <row r="2218">
      <c r="A2218" t="inlineStr">
        <is>
          <t>522936-physical-examination-0-1</t>
        </is>
      </c>
      <c r="B2218" t="inlineStr"/>
      <c r="C2218" t="inlineStr"/>
      <c r="D2218">
        <f>HYPERLINK("http://nlpdeep.cs.uic.edu:8080/proofing/gsii/522936-physical-examination-0-1.pdf","gsii/522936-physical-examination-0-1.pdf")</f>
        <v/>
      </c>
      <c r="E2218" t="n">
        <v>120842</v>
      </c>
      <c r="F2218" t="n">
        <v>522936</v>
      </c>
      <c r="G2218" t="inlineStr">
        <is>
          <t>Physician</t>
        </is>
      </c>
      <c r="H2218" t="inlineStr">
        <is>
          <t>physical-examination</t>
        </is>
      </c>
      <c r="I2218" t="inlineStr">
        <is>
          <t>No
   signs of infection at knee incision, well h</t>
        </is>
      </c>
    </row>
    <row r="2219">
      <c r="A2219" t="inlineStr">
        <is>
          <t>522936-labs-imaging-0-0</t>
        </is>
      </c>
      <c r="B2219" t="inlineStr"/>
      <c r="C2219" t="inlineStr"/>
      <c r="D2219">
        <f>HYPERLINK("http://nlpdeep.cs.uic.edu:8080/proofing/t5/522936-labs-imaging-0-0.pdf","t5/522936-labs-imaging-0-0.pdf")</f>
        <v/>
      </c>
      <c r="E2219" t="n">
        <v>120842</v>
      </c>
      <c r="F2219" t="n">
        <v>522936</v>
      </c>
      <c r="G2219" t="inlineStr">
        <is>
          <t>Physician</t>
        </is>
      </c>
      <c r="H2219" t="inlineStr">
        <is>
          <t>labs-imaging</t>
        </is>
      </c>
      <c r="I2219" t="inlineStr">
        <is>
          <t>249 K/uL
   10.1 g/dL
   239
   0.6 mg/dL
   12 mg/dL
   32 mEq/L
   101 mEq/L
   4.1 mEq/L
   139 mEq/L
   31.4 %
   8.0 K/uL
        [image002.jpg]
                                  [**2149-2-10**]
                          2:33 A2/26/[**2153**]  09:13 PM
                                  [**2149-2-14**]
                         10:20 P2/27/[**2153**]  03:32 AM
                                  [**2149-2-15**]
                          1:20 P2/28/[**2153**]  10:00 PM
                                  [**2149-2-16**]
                                   11:50 P
                                  [**2149-2-17**]
                                   1:20 A
                                  [**2149-2-18**]
                                   7:20 P
                                  1//11/006
                                   1:23 P
                                  [**2149-3-13**]
                                   1:20 P
                                  [**2149-3-13**]
                                   11:20 P
                                  [**2149-3-13**]
                                   4:20 P
   WBC
                                     8.0
   Hct
                                    31.4
   Plt
                                     249
   Cr
                                     0.6
   TropT
                                    &lt;0.01
   Glucose
                                     212
                                     239
   Other labs: CK / CKMB / Troponin-T:87//&lt;0.01, Lactic Acid:1.6 mmol/L,
   Ca++:9.3 mg/dL, Mg++:2.0 mg/dL, PO4:3.5 mg/dL
   [**4-6**]:  Cardiac enzymes: CK85/MB-/Tn&lt;0.01 -&gt; CK87/MB-/Tn&lt;0.01
   CXR: Even clearer than from [**4-6**], no signs of fluid o/l, hyperinflated
   lungs.</t>
        </is>
      </c>
    </row>
    <row r="2220">
      <c r="A2220" t="inlineStr">
        <is>
          <t>522936-labs-imaging-0-0</t>
        </is>
      </c>
      <c r="B2220" t="inlineStr"/>
      <c r="C2220" t="inlineStr"/>
      <c r="D2220">
        <f>HYPERLINK("http://nlpdeep.cs.uic.edu:8080/proofing/gsii/522936-labs-imaging-0-0.pdf","gsii/522936-labs-imaging-0-0.pdf")</f>
        <v/>
      </c>
      <c r="E2220" t="n">
        <v>120842</v>
      </c>
      <c r="F2220" t="n">
        <v>522936</v>
      </c>
      <c r="G2220" t="inlineStr">
        <is>
          <t>Physician</t>
        </is>
      </c>
      <c r="H2220" t="inlineStr">
        <is>
          <t>labs-imaging</t>
        </is>
      </c>
      <c r="I2220" t="inlineStr">
        <is>
          <t>249 K/uL
   10.1 g/dL
   239
   0.6 mg/dL
   12 mg/dL
   32 mEq/L
   101 mEq/L
   4.1 mEq/L
   139 mEq/L
   31.4 %
   8.0 K/uL
        [image002.jpg]
                                  [**2149-2-10**]
                          2:33 A2/26/[**2153**]  09:13 PM
                                  [**2149-2-14**]
                         10:20 P2/27/[**2153**]  03:32 AM
                                  [**2149-2-15**]
                          1:20 P2/28/[**2153**]  10:00 PM
                                  [**2149-2-16**]
                                   11:50 P
                                  [**2149-2-17**]
                                   1:20 A
                                  [**2149-2-18**]
                                   7:20 P
                                  1//11/006
                                   1:23 P
                                  [**2149-3-13**]
                                   1:20 P
                                  [**2149-3-13**]
                                   11:20 P
                                  [**2149-3-13**]
                                   4:20 P
   WBC
                                     8.0
   Hct
                                    31.4
   Plt
                                     249
   Cr
                                     0.6
   TropT
                                    &lt;0.01
   Glucose
                                     212
                                     239
   Other labs: CK / CKMB / Troponin-T:87//&lt;0.01, Lactic Acid:1.6 mmol/L,
   Ca++:9.3 mg/dL, Mg++:2.0 mg/dL, PO4:3.5 mg/dL
   [**4-6**]:  Cardiac enzymes: CK85/MB-/Tn&lt;0.01 -&gt; CK87/MB-/Tn&lt;0.01
   CXR: Even clearer than from [**4-6**], no signs of fluid o/l, hyperinflated
   lungs.</t>
        </is>
      </c>
    </row>
    <row r="2221">
      <c r="A2221" t="inlineStr">
        <is>
          <t>522936-labs-imaging-0-1</t>
        </is>
      </c>
      <c r="B2221" t="inlineStr"/>
      <c r="C2221" t="inlineStr"/>
      <c r="D2221">
        <f>HYPERLINK("http://nlpdeep.cs.uic.edu:8080/proofing/t5/522936-labs-imaging-0-1.pdf","t5/522936-labs-imaging-0-1.pdf")</f>
        <v/>
      </c>
      <c r="E2221" t="n">
        <v>120842</v>
      </c>
      <c r="F2221" t="n">
        <v>522936</v>
      </c>
      <c r="G2221" t="inlineStr">
        <is>
          <t>Physician</t>
        </is>
      </c>
      <c r="H2221" t="inlineStr">
        <is>
          <t>labs-imaging</t>
        </is>
      </c>
      <c r="I2221" t="inlineStr">
        <is>
          <t>Compared to [**4-6**], may be clearer in RML.</t>
        </is>
      </c>
    </row>
    <row r="2222">
      <c r="A2222" t="inlineStr">
        <is>
          <t>522936-labs-imaging-0-1</t>
        </is>
      </c>
      <c r="B2222" t="inlineStr"/>
      <c r="C2222" t="inlineStr"/>
      <c r="D2222">
        <f>HYPERLINK("http://nlpdeep.cs.uic.edu:8080/proofing/gsii/522936-labs-imaging-0-1.pdf","gsii/522936-labs-imaging-0-1.pdf")</f>
        <v/>
      </c>
      <c r="E2222" t="n">
        <v>120842</v>
      </c>
      <c r="F2222" t="n">
        <v>522936</v>
      </c>
      <c r="G2222" t="inlineStr">
        <is>
          <t>Physician</t>
        </is>
      </c>
      <c r="H2222" t="inlineStr">
        <is>
          <t>labs-imaging</t>
        </is>
      </c>
      <c r="I2222" t="inlineStr">
        <is>
          <t>Compared to [**4-6**], may be clearer in RML.</t>
        </is>
      </c>
    </row>
    <row r="2223">
      <c r="A2223" t="inlineStr">
        <is>
          <t>522936-labs-imaging-0-2</t>
        </is>
      </c>
      <c r="B2223" t="inlineStr"/>
      <c r="C2223" t="inlineStr"/>
      <c r="D2223">
        <f>HYPERLINK("http://nlpdeep.cs.uic.edu:8080/proofing/t5/522936-labs-imaging-0-2.pdf","t5/522936-labs-imaging-0-2.pdf")</f>
        <v/>
      </c>
      <c r="E2223" t="n">
        <v>120842</v>
      </c>
      <c r="F2223" t="n">
        <v>522936</v>
      </c>
      <c r="G2223" t="inlineStr">
        <is>
          <t>Physician</t>
        </is>
      </c>
      <c r="H2223" t="inlineStr">
        <is>
          <t>labs-imaging</t>
        </is>
      </c>
      <c r="I2223" t="inlineStr">
        <is>
          <t xml:space="preserve">
   Echo in [**2151**]: Moderate to severe pulmonary hypertension.</t>
        </is>
      </c>
    </row>
    <row r="2224">
      <c r="A2224" t="inlineStr">
        <is>
          <t>522936-labs-imaging-0-2</t>
        </is>
      </c>
      <c r="B2224" t="inlineStr"/>
      <c r="C2224" t="inlineStr"/>
      <c r="D2224">
        <f>HYPERLINK("http://nlpdeep.cs.uic.edu:8080/proofing/gsii/522936-labs-imaging-0-2.pdf","gsii/522936-labs-imaging-0-2.pdf")</f>
        <v/>
      </c>
      <c r="E2224" t="n">
        <v>120842</v>
      </c>
      <c r="F2224" t="n">
        <v>522936</v>
      </c>
      <c r="G2224" t="inlineStr">
        <is>
          <t>Physician</t>
        </is>
      </c>
      <c r="H2224" t="inlineStr">
        <is>
          <t>labs-imaging</t>
        </is>
      </c>
      <c r="I2224" t="inlineStr">
        <is>
          <t xml:space="preserve">
   Echo in [**2151**]: Moderate to severe pulmonary hypertension.</t>
        </is>
      </c>
    </row>
    <row r="2225">
      <c r="A2225" t="inlineStr">
        <is>
          <t>522936-labs-imaging-0-3</t>
        </is>
      </c>
      <c r="B2225" t="inlineStr"/>
      <c r="C2225" t="inlineStr"/>
      <c r="D2225">
        <f>HYPERLINK("http://nlpdeep.cs.uic.edu:8080/proofing/t5/522936-labs-imaging-0-3.pdf","t5/522936-labs-imaging-0-3.pdf")</f>
        <v/>
      </c>
      <c r="E2225" t="n">
        <v>120842</v>
      </c>
      <c r="F2225" t="n">
        <v>522936</v>
      </c>
      <c r="G2225" t="inlineStr">
        <is>
          <t>Physician</t>
        </is>
      </c>
      <c r="H2225" t="inlineStr">
        <is>
          <t>labs-imaging</t>
        </is>
      </c>
      <c r="I2225" t="inlineStr">
        <is>
          <t>Moderate
   symmetric LV hypertrophy with preserved systolic function.</t>
        </is>
      </c>
    </row>
    <row r="2226">
      <c r="A2226" t="inlineStr">
        <is>
          <t>522936-labs-imaging-0-3</t>
        </is>
      </c>
      <c r="B2226" t="inlineStr"/>
      <c r="C2226" t="inlineStr"/>
      <c r="D2226">
        <f>HYPERLINK("http://nlpdeep.cs.uic.edu:8080/proofing/gsii/522936-labs-imaging-0-3.pdf","gsii/522936-labs-imaging-0-3.pdf")</f>
        <v/>
      </c>
      <c r="E2226" t="n">
        <v>120842</v>
      </c>
      <c r="F2226" t="n">
        <v>522936</v>
      </c>
      <c r="G2226" t="inlineStr">
        <is>
          <t>Physician</t>
        </is>
      </c>
      <c r="H2226" t="inlineStr">
        <is>
          <t>labs-imaging</t>
        </is>
      </c>
      <c r="I2226" t="inlineStr">
        <is>
          <t>Moderate
   symmetric LV hypertrophy with preserved systolic function.</t>
        </is>
      </c>
    </row>
    <row r="2227">
      <c r="A2227" t="inlineStr">
        <is>
          <t>522936-labs-imaging-0-4</t>
        </is>
      </c>
      <c r="B2227" t="inlineStr"/>
      <c r="C2227" t="inlineStr"/>
      <c r="D2227">
        <f>HYPERLINK("http://nlpdeep.cs.uic.edu:8080/proofing/t5/522936-labs-imaging-0-4.pdf","t5/522936-labs-imaging-0-4.pdf")</f>
        <v/>
      </c>
      <c r="E2227" t="n">
        <v>120842</v>
      </c>
      <c r="F2227" t="n">
        <v>522936</v>
      </c>
      <c r="G2227" t="inlineStr">
        <is>
          <t>Physician</t>
        </is>
      </c>
      <c r="H2227" t="inlineStr">
        <is>
          <t>labs-imaging</t>
        </is>
      </c>
      <c r="I2227" t="inlineStr">
        <is>
          <t>Mildly
   dilated RV with preserved systolic function.</t>
        </is>
      </c>
    </row>
    <row r="2228">
      <c r="A2228" t="inlineStr">
        <is>
          <t>522936-labs-imaging-0-4</t>
        </is>
      </c>
      <c r="B2228" t="inlineStr"/>
      <c r="C2228" t="inlineStr"/>
      <c r="D2228">
        <f>HYPERLINK("http://nlpdeep.cs.uic.edu:8080/proofing/gsii/522936-labs-imaging-0-4.pdf","gsii/522936-labs-imaging-0-4.pdf")</f>
        <v/>
      </c>
      <c r="E2228" t="n">
        <v>120842</v>
      </c>
      <c r="F2228" t="n">
        <v>522936</v>
      </c>
      <c r="G2228" t="inlineStr">
        <is>
          <t>Physician</t>
        </is>
      </c>
      <c r="H2228" t="inlineStr">
        <is>
          <t>labs-imaging</t>
        </is>
      </c>
      <c r="I2228" t="inlineStr">
        <is>
          <t>Mildly
   dilated RV with preserved systolic function.</t>
        </is>
      </c>
    </row>
    <row r="2229">
      <c r="A2229" t="inlineStr">
        <is>
          <t>522936-labs-imaging-0-5</t>
        </is>
      </c>
      <c r="B2229" t="inlineStr"/>
      <c r="C2229" t="inlineStr"/>
      <c r="D2229">
        <f>HYPERLINK("http://nlpdeep.cs.uic.edu:8080/proofing/t5/522936-labs-imaging-0-5.pdf","t5/522936-labs-imaging-0-5.pdf")</f>
        <v/>
      </c>
      <c r="E2229" t="n">
        <v>120842</v>
      </c>
      <c r="F2229" t="n">
        <v>522936</v>
      </c>
      <c r="G2229" t="inlineStr">
        <is>
          <t>Physician</t>
        </is>
      </c>
      <c r="H2229" t="inlineStr">
        <is>
          <t>labs-imaging</t>
        </is>
      </c>
      <c r="I2229" t="inlineStr">
        <is>
          <t xml:space="preserve">
   CTA [**3-25**]:
   1.</t>
        </is>
      </c>
    </row>
    <row r="2230">
      <c r="A2230" t="inlineStr">
        <is>
          <t>522936-labs-imaging-0-5</t>
        </is>
      </c>
      <c r="B2230" t="inlineStr"/>
      <c r="C2230" t="inlineStr"/>
      <c r="D2230">
        <f>HYPERLINK("http://nlpdeep.cs.uic.edu:8080/proofing/gsii/522936-labs-imaging-0-5.pdf","gsii/522936-labs-imaging-0-5.pdf")</f>
        <v/>
      </c>
      <c r="E2230" t="n">
        <v>120842</v>
      </c>
      <c r="F2230" t="n">
        <v>522936</v>
      </c>
      <c r="G2230" t="inlineStr">
        <is>
          <t>Physician</t>
        </is>
      </c>
      <c r="H2230" t="inlineStr">
        <is>
          <t>labs-imaging</t>
        </is>
      </c>
      <c r="I2230" t="inlineStr">
        <is>
          <t xml:space="preserve">
   CTA [**3-25**]:
   1.</t>
        </is>
      </c>
    </row>
    <row r="2231">
      <c r="A2231" t="inlineStr">
        <is>
          <t>522936-labs-imaging-0-6</t>
        </is>
      </c>
      <c r="B2231" t="inlineStr"/>
      <c r="C2231" t="inlineStr"/>
      <c r="D2231">
        <f>HYPERLINK("http://nlpdeep.cs.uic.edu:8080/proofing/t5/522936-labs-imaging-0-6.pdf","t5/522936-labs-imaging-0-6.pdf")</f>
        <v/>
      </c>
      <c r="E2231" t="n">
        <v>120842</v>
      </c>
      <c r="F2231" t="n">
        <v>522936</v>
      </c>
      <c r="G2231" t="inlineStr">
        <is>
          <t>Physician</t>
        </is>
      </c>
      <c r="H2231" t="inlineStr">
        <is>
          <t>labs-imaging</t>
        </is>
      </c>
      <c r="I2231" t="inlineStr">
        <is>
          <t>No evidence of pulmonary embolism.</t>
        </is>
      </c>
    </row>
    <row r="2232">
      <c r="A2232" t="inlineStr">
        <is>
          <t>522936-labs-imaging-0-6</t>
        </is>
      </c>
      <c r="B2232" t="inlineStr"/>
      <c r="C2232" t="inlineStr"/>
      <c r="D2232">
        <f>HYPERLINK("http://nlpdeep.cs.uic.edu:8080/proofing/gsii/522936-labs-imaging-0-6.pdf","gsii/522936-labs-imaging-0-6.pdf")</f>
        <v/>
      </c>
      <c r="E2232" t="n">
        <v>120842</v>
      </c>
      <c r="F2232" t="n">
        <v>522936</v>
      </c>
      <c r="G2232" t="inlineStr">
        <is>
          <t>Physician</t>
        </is>
      </c>
      <c r="H2232" t="inlineStr">
        <is>
          <t>labs-imaging</t>
        </is>
      </c>
      <c r="I2232" t="inlineStr">
        <is>
          <t>No evidence of pulmonary embolism.</t>
        </is>
      </c>
    </row>
    <row r="2233">
      <c r="A2233" t="inlineStr">
        <is>
          <t>522936-labs-imaging-0-7</t>
        </is>
      </c>
      <c r="B2233" t="inlineStr"/>
      <c r="C2233" t="inlineStr"/>
      <c r="D2233">
        <f>HYPERLINK("http://nlpdeep.cs.uic.edu:8080/proofing/t5/522936-labs-imaging-0-7.pdf","t5/522936-labs-imaging-0-7.pdf")</f>
        <v/>
      </c>
      <c r="E2233" t="n">
        <v>120842</v>
      </c>
      <c r="F2233" t="n">
        <v>522936</v>
      </c>
      <c r="G2233" t="inlineStr">
        <is>
          <t>Physician</t>
        </is>
      </c>
      <c r="H2233" t="inlineStr">
        <is>
          <t>labs-imaging</t>
        </is>
      </c>
      <c r="I2233" t="inlineStr">
        <is>
          <t>Emphysema, with stable pulmonary nodules within the left lower and
   right upper lobes.</t>
        </is>
      </c>
    </row>
    <row r="2234">
      <c r="A2234" t="inlineStr">
        <is>
          <t>522936-labs-imaging-0-7</t>
        </is>
      </c>
      <c r="B2234" t="inlineStr"/>
      <c r="C2234" t="inlineStr"/>
      <c r="D2234">
        <f>HYPERLINK("http://nlpdeep.cs.uic.edu:8080/proofing/gsii/522936-labs-imaging-0-7.pdf","gsii/522936-labs-imaging-0-7.pdf")</f>
        <v/>
      </c>
      <c r="E2234" t="n">
        <v>120842</v>
      </c>
      <c r="F2234" t="n">
        <v>522936</v>
      </c>
      <c r="G2234" t="inlineStr">
        <is>
          <t>Physician</t>
        </is>
      </c>
      <c r="H2234" t="inlineStr">
        <is>
          <t>labs-imaging</t>
        </is>
      </c>
      <c r="I2234" t="inlineStr">
        <is>
          <t>Emphysema, with stable pulmonary nodules within the left lower and
   right upper lobes.</t>
        </is>
      </c>
    </row>
    <row r="2235">
      <c r="A2235" t="inlineStr">
        <is>
          <t>522936-assessment-and-plan-0-0</t>
        </is>
      </c>
      <c r="B2235" t="inlineStr"/>
      <c r="C2235" t="inlineStr"/>
      <c r="D2235">
        <f>HYPERLINK("http://nlpdeep.cs.uic.edu:8080/proofing/t5/522936-assessment-and-plan-0-0.pdf","t5/522936-assessment-and-plan-0-0.pdf")</f>
        <v/>
      </c>
      <c r="E2235" t="n">
        <v>120842</v>
      </c>
      <c r="F2235" t="n">
        <v>522936</v>
      </c>
      <c r="G2235" t="inlineStr">
        <is>
          <t>Physician</t>
        </is>
      </c>
      <c r="H2235" t="inlineStr">
        <is>
          <t>assessment-and-plan</t>
        </is>
      </c>
      <c r="I2235" t="inlineStr">
        <is>
          <t>73-year-old female with COPD/RAD on home O2, diastolic CHF, recent TKR,
   presenting with respiratory distress and tachycardia.</t>
        </is>
      </c>
    </row>
    <row r="2236">
      <c r="A2236" t="inlineStr">
        <is>
          <t>522936-assessment-and-plan-0-0</t>
        </is>
      </c>
      <c r="B2236" t="inlineStr"/>
      <c r="C2236" t="inlineStr"/>
      <c r="D2236">
        <f>HYPERLINK("http://nlpdeep.cs.uic.edu:8080/proofing/gsii/522936-assessment-and-plan-0-0.pdf","gsii/522936-assessment-and-plan-0-0.pdf")</f>
        <v/>
      </c>
      <c r="E2236" t="n">
        <v>120842</v>
      </c>
      <c r="F2236" t="n">
        <v>522936</v>
      </c>
      <c r="G2236" t="inlineStr">
        <is>
          <t>Physician</t>
        </is>
      </c>
      <c r="H2236" t="inlineStr">
        <is>
          <t>assessment-and-plan</t>
        </is>
      </c>
      <c r="I2236" t="inlineStr">
        <is>
          <t>73-year-old female with COPD/RAD on home O2, diastolic CHF, recent TKR,
   presenting with respiratory distress and tachycardia.</t>
        </is>
      </c>
    </row>
    <row r="2237">
      <c r="A2237" t="inlineStr">
        <is>
          <t>522936-assessment-and-plan-0-1</t>
        </is>
      </c>
      <c r="B2237" t="inlineStr"/>
      <c r="C2237" t="inlineStr"/>
      <c r="D2237">
        <f>HYPERLINK("http://nlpdeep.cs.uic.edu:8080/proofing/t5/522936-assessment-and-plan-0-1.pdf","t5/522936-assessment-and-plan-0-1.pdf")</f>
        <v/>
      </c>
      <c r="E2237" t="n">
        <v>120842</v>
      </c>
      <c r="F2237" t="n">
        <v>522936</v>
      </c>
      <c r="G2237" t="inlineStr">
        <is>
          <t>Physician</t>
        </is>
      </c>
      <c r="H2237" t="inlineStr">
        <is>
          <t>assessment-and-plan</t>
        </is>
      </c>
      <c r="I2237" t="inlineStr">
        <is>
          <t xml:space="preserve">
   # Respiratory distress &amp; Leukocytosis: White count doubled from 8 to
   15.</t>
        </is>
      </c>
    </row>
    <row r="2238">
      <c r="A2238" t="inlineStr">
        <is>
          <t>522936-assessment-and-plan-0-1</t>
        </is>
      </c>
      <c r="B2238" t="inlineStr"/>
      <c r="C2238" t="inlineStr"/>
      <c r="D2238">
        <f>HYPERLINK("http://nlpdeep.cs.uic.edu:8080/proofing/gsii/522936-assessment-and-plan-0-1.pdf","gsii/522936-assessment-and-plan-0-1.pdf")</f>
        <v/>
      </c>
      <c r="E2238" t="n">
        <v>120842</v>
      </c>
      <c r="F2238" t="n">
        <v>522936</v>
      </c>
      <c r="G2238" t="inlineStr">
        <is>
          <t>Physician</t>
        </is>
      </c>
      <c r="H2238" t="inlineStr">
        <is>
          <t>assessment-and-plan</t>
        </is>
      </c>
      <c r="I2238" t="inlineStr">
        <is>
          <t xml:space="preserve">
   # Respiratory distress &amp; Leukocytosis: White count doubled from 8 to
   15.</t>
        </is>
      </c>
    </row>
    <row r="2239">
      <c r="A2239" t="inlineStr">
        <is>
          <t>522936-assessment-and-plan-0-2</t>
        </is>
      </c>
      <c r="B2239" t="inlineStr"/>
      <c r="C2239" t="inlineStr"/>
      <c r="D2239">
        <f>HYPERLINK("http://nlpdeep.cs.uic.edu:8080/proofing/t5/522936-assessment-and-plan-0-2.pdf","t5/522936-assessment-and-plan-0-2.pdf")</f>
        <v/>
      </c>
      <c r="E2239" t="n">
        <v>120842</v>
      </c>
      <c r="F2239" t="n">
        <v>522936</v>
      </c>
      <c r="G2239" t="inlineStr">
        <is>
          <t>Physician</t>
        </is>
      </c>
      <c r="H2239" t="inlineStr">
        <is>
          <t>assessment-and-plan</t>
        </is>
      </c>
      <c r="I2239" t="inlineStr">
        <is>
          <t>She did receive steroids in ED 2 days ago, or she could be mounting
   an infection again.</t>
        </is>
      </c>
    </row>
    <row r="2240">
      <c r="A2240" t="inlineStr">
        <is>
          <t>522936-assessment-and-plan-0-2</t>
        </is>
      </c>
      <c r="B2240" t="inlineStr"/>
      <c r="C2240" t="inlineStr"/>
      <c r="D2240">
        <f>HYPERLINK("http://nlpdeep.cs.uic.edu:8080/proofing/gsii/522936-assessment-and-plan-0-2.pdf","gsii/522936-assessment-and-plan-0-2.pdf")</f>
        <v/>
      </c>
      <c r="E2240" t="n">
        <v>120842</v>
      </c>
      <c r="F2240" t="n">
        <v>522936</v>
      </c>
      <c r="G2240" t="inlineStr">
        <is>
          <t>Physician</t>
        </is>
      </c>
      <c r="H2240" t="inlineStr">
        <is>
          <t>assessment-and-plan</t>
        </is>
      </c>
      <c r="I2240" t="inlineStr">
        <is>
          <t>She did receive steroids in ED 2 days ago, or she could be mounting
   an infection again.</t>
        </is>
      </c>
    </row>
    <row r="2241">
      <c r="A2241" t="inlineStr">
        <is>
          <t>522936-assessment-and-plan-0-3</t>
        </is>
      </c>
      <c r="B2241" t="inlineStr"/>
      <c r="C2241" t="inlineStr"/>
      <c r="D2241">
        <f>HYPERLINK("http://nlpdeep.cs.uic.edu:8080/proofing/t5/522936-assessment-and-plan-0-3.pdf","t5/522936-assessment-and-plan-0-3.pdf")</f>
        <v/>
      </c>
      <c r="E2241" t="n">
        <v>120842</v>
      </c>
      <c r="F2241" t="n">
        <v>522936</v>
      </c>
      <c r="G2241" t="inlineStr">
        <is>
          <t>Physician</t>
        </is>
      </c>
      <c r="H2241" t="inlineStr">
        <is>
          <t>assessment-and-plan</t>
        </is>
      </c>
      <c r="I2241" t="inlineStr">
        <is>
          <t>CXR looks clear.</t>
        </is>
      </c>
    </row>
    <row r="2242">
      <c r="A2242" t="inlineStr">
        <is>
          <t>522936-assessment-and-plan-0-3</t>
        </is>
      </c>
      <c r="B2242" t="inlineStr"/>
      <c r="C2242" t="inlineStr"/>
      <c r="D2242">
        <f>HYPERLINK("http://nlpdeep.cs.uic.edu:8080/proofing/gsii/522936-assessment-and-plan-0-3.pdf","gsii/522936-assessment-and-plan-0-3.pdf")</f>
        <v/>
      </c>
      <c r="E2242" t="n">
        <v>120842</v>
      </c>
      <c r="F2242" t="n">
        <v>522936</v>
      </c>
      <c r="G2242" t="inlineStr">
        <is>
          <t>Physician</t>
        </is>
      </c>
      <c r="H2242" t="inlineStr">
        <is>
          <t>assessment-and-plan</t>
        </is>
      </c>
      <c r="I2242" t="inlineStr">
        <is>
          <t>CXR looks clear.</t>
        </is>
      </c>
    </row>
    <row r="2243">
      <c r="A2243" t="inlineStr">
        <is>
          <t>522936-assessment-and-plan-0-4</t>
        </is>
      </c>
      <c r="B2243" t="inlineStr"/>
      <c r="C2243" t="inlineStr"/>
      <c r="D2243">
        <f>HYPERLINK("http://nlpdeep.cs.uic.edu:8080/proofing/t5/522936-assessment-and-plan-0-4.pdf","t5/522936-assessment-and-plan-0-4.pdf")</f>
        <v/>
      </c>
      <c r="E2243" t="n">
        <v>120842</v>
      </c>
      <c r="F2243" t="n">
        <v>522936</v>
      </c>
      <c r="G2243" t="inlineStr">
        <is>
          <t>Physician</t>
        </is>
      </c>
      <c r="H2243" t="inlineStr">
        <is>
          <t>assessment-and-plan</t>
        </is>
      </c>
      <c r="I2243" t="inlineStr">
        <is>
          <t>COPD mild per most recent PFTs
   [**2153**].</t>
        </is>
      </c>
    </row>
    <row r="2244">
      <c r="A2244" t="inlineStr">
        <is>
          <t>522936-assessment-and-plan-0-4</t>
        </is>
      </c>
      <c r="B2244" t="inlineStr"/>
      <c r="C2244" t="inlineStr"/>
      <c r="D2244">
        <f>HYPERLINK("http://nlpdeep.cs.uic.edu:8080/proofing/gsii/522936-assessment-and-plan-0-4.pdf","gsii/522936-assessment-and-plan-0-4.pdf")</f>
        <v/>
      </c>
      <c r="E2244" t="n">
        <v>120842</v>
      </c>
      <c r="F2244" t="n">
        <v>522936</v>
      </c>
      <c r="G2244" t="inlineStr">
        <is>
          <t>Physician</t>
        </is>
      </c>
      <c r="H2244" t="inlineStr">
        <is>
          <t>assessment-and-plan</t>
        </is>
      </c>
      <c r="I2244" t="inlineStr">
        <is>
          <t>COPD mild per most recent PFTs
   [**2153**].</t>
        </is>
      </c>
    </row>
    <row r="2245">
      <c r="A2245" t="inlineStr">
        <is>
          <t>522936-assessment-and-plan-0-5</t>
        </is>
      </c>
      <c r="B2245" t="inlineStr"/>
      <c r="C2245" t="inlineStr"/>
      <c r="D2245">
        <f>HYPERLINK("http://nlpdeep.cs.uic.edu:8080/proofing/t5/522936-assessment-and-plan-0-5.pdf","t5/522936-assessment-and-plan-0-5.pdf")</f>
        <v/>
      </c>
      <c r="E2245" t="n">
        <v>120842</v>
      </c>
      <c r="F2245" t="n">
        <v>522936</v>
      </c>
      <c r="G2245" t="inlineStr">
        <is>
          <t>Physician</t>
        </is>
      </c>
      <c r="H2245" t="inlineStr">
        <is>
          <t>assessment-and-plan</t>
        </is>
      </c>
      <c r="I2245" t="inlineStr">
        <is>
          <t>Possibly etiologies include PNA, COPD exacerbation, heart
   failure, coronary ischemia or possibly PE.</t>
        </is>
      </c>
    </row>
    <row r="2246">
      <c r="A2246" t="inlineStr">
        <is>
          <t>522936-assessment-and-plan-0-5</t>
        </is>
      </c>
      <c r="B2246" t="inlineStr"/>
      <c r="C2246" t="inlineStr"/>
      <c r="D2246">
        <f>HYPERLINK("http://nlpdeep.cs.uic.edu:8080/proofing/gsii/522936-assessment-and-plan-0-5.pdf","gsii/522936-assessment-and-plan-0-5.pdf")</f>
        <v/>
      </c>
      <c r="E2246" t="n">
        <v>120842</v>
      </c>
      <c r="F2246" t="n">
        <v>522936</v>
      </c>
      <c r="G2246" t="inlineStr">
        <is>
          <t>Physician</t>
        </is>
      </c>
      <c r="H2246" t="inlineStr">
        <is>
          <t>assessment-and-plan</t>
        </is>
      </c>
      <c r="I2246" t="inlineStr">
        <is>
          <t>Possibly etiologies include PNA, COPD exacerbation, heart
   failure, coronary ischemia or possibly PE.</t>
        </is>
      </c>
    </row>
    <row r="2247">
      <c r="A2247" t="inlineStr">
        <is>
          <t>522936-assessment-and-plan-0-6</t>
        </is>
      </c>
      <c r="B2247" t="inlineStr"/>
      <c r="C2247" t="inlineStr"/>
      <c r="D2247">
        <f>HYPERLINK("http://nlpdeep.cs.uic.edu:8080/proofing/t5/522936-assessment-and-plan-0-6.pdf","t5/522936-assessment-and-plan-0-6.pdf")</f>
        <v/>
      </c>
      <c r="E2247" t="n">
        <v>120842</v>
      </c>
      <c r="F2247" t="n">
        <v>522936</v>
      </c>
      <c r="G2247" t="inlineStr">
        <is>
          <t>Physician</t>
        </is>
      </c>
      <c r="H2247" t="inlineStr">
        <is>
          <t>assessment-and-plan</t>
        </is>
      </c>
      <c r="I2247" t="inlineStr">
        <is>
          <t>CTA negative in ED on [**3-25**].</t>
        </is>
      </c>
    </row>
    <row r="2248">
      <c r="A2248" t="inlineStr">
        <is>
          <t>522936-assessment-and-plan-0-6</t>
        </is>
      </c>
      <c r="B2248" t="inlineStr"/>
      <c r="C2248" t="inlineStr"/>
      <c r="D2248">
        <f>HYPERLINK("http://nlpdeep.cs.uic.edu:8080/proofing/gsii/522936-assessment-and-plan-0-6.pdf","gsii/522936-assessment-and-plan-0-6.pdf")</f>
        <v/>
      </c>
      <c r="E2248" t="n">
        <v>120842</v>
      </c>
      <c r="F2248" t="n">
        <v>522936</v>
      </c>
      <c r="G2248" t="inlineStr">
        <is>
          <t>Physician</t>
        </is>
      </c>
      <c r="H2248" t="inlineStr">
        <is>
          <t>assessment-and-plan</t>
        </is>
      </c>
      <c r="I2248" t="inlineStr">
        <is>
          <t>CTA negative in ED on [**3-25**].</t>
        </is>
      </c>
    </row>
    <row r="2249">
      <c r="A2249" t="inlineStr">
        <is>
          <t>522936-assessment-and-plan-0-7</t>
        </is>
      </c>
      <c r="B2249" t="inlineStr"/>
      <c r="C2249" t="inlineStr"/>
      <c r="D2249">
        <f>HYPERLINK("http://nlpdeep.cs.uic.edu:8080/proofing/t5/522936-assessment-and-plan-0-7.pdf","t5/522936-assessment-and-plan-0-7.pdf")</f>
        <v/>
      </c>
      <c r="E2249" t="n">
        <v>120842</v>
      </c>
      <c r="F2249" t="n">
        <v>522936</v>
      </c>
      <c r="G2249" t="inlineStr">
        <is>
          <t>Physician</t>
        </is>
      </c>
      <c r="H2249" t="inlineStr">
        <is>
          <t>assessment-and-plan</t>
        </is>
      </c>
      <c r="I2249" t="inlineStr">
        <is>
          <t xml:space="preserve">
   She is s/p total knee replacement 1 month ago but was on 1 month of
   Lovenox post-operatively (she confirms), on heparin SQ here.</t>
        </is>
      </c>
    </row>
    <row r="2250">
      <c r="A2250" t="inlineStr">
        <is>
          <t>522936-assessment-and-plan-0-7</t>
        </is>
      </c>
      <c r="B2250" t="inlineStr"/>
      <c r="C2250" t="inlineStr"/>
      <c r="D2250">
        <f>HYPERLINK("http://nlpdeep.cs.uic.edu:8080/proofing/gsii/522936-assessment-and-plan-0-7.pdf","gsii/522936-assessment-and-plan-0-7.pdf")</f>
        <v/>
      </c>
      <c r="E2250" t="n">
        <v>120842</v>
      </c>
      <c r="F2250" t="n">
        <v>522936</v>
      </c>
      <c r="G2250" t="inlineStr">
        <is>
          <t>Physician</t>
        </is>
      </c>
      <c r="H2250" t="inlineStr">
        <is>
          <t>assessment-and-plan</t>
        </is>
      </c>
      <c r="I2250" t="inlineStr">
        <is>
          <t xml:space="preserve">
   She is s/p total knee replacement 1 month ago but was on 1 month of
   Lovenox post-operatively (she confirms), on heparin SQ here.</t>
        </is>
      </c>
    </row>
    <row r="2251">
      <c r="A2251" t="inlineStr">
        <is>
          <t>522936-assessment-and-plan-0-8</t>
        </is>
      </c>
      <c r="B2251" t="inlineStr"/>
      <c r="C2251" t="inlineStr"/>
      <c r="D2251">
        <f>HYPERLINK("http://nlpdeep.cs.uic.edu:8080/proofing/t5/522936-assessment-and-plan-0-8.pdf","t5/522936-assessment-and-plan-0-8.pdf")</f>
        <v/>
      </c>
      <c r="E2251" t="n">
        <v>120842</v>
      </c>
      <c r="F2251" t="n">
        <v>522936</v>
      </c>
      <c r="G2251" t="inlineStr">
        <is>
          <t>Physician</t>
        </is>
      </c>
      <c r="H2251" t="inlineStr">
        <is>
          <t>assessment-and-plan</t>
        </is>
      </c>
      <c r="I2251" t="inlineStr">
        <is>
          <t>Had CEs
   trended before, no chest pain.</t>
        </is>
      </c>
    </row>
    <row r="2252">
      <c r="A2252" t="inlineStr">
        <is>
          <t>522936-assessment-and-plan-0-8</t>
        </is>
      </c>
      <c r="B2252" t="inlineStr"/>
      <c r="C2252" t="inlineStr"/>
      <c r="D2252">
        <f>HYPERLINK("http://nlpdeep.cs.uic.edu:8080/proofing/gsii/522936-assessment-and-plan-0-8.pdf","gsii/522936-assessment-and-plan-0-8.pdf")</f>
        <v/>
      </c>
      <c r="E2252" t="n">
        <v>120842</v>
      </c>
      <c r="F2252" t="n">
        <v>522936</v>
      </c>
      <c r="G2252" t="inlineStr">
        <is>
          <t>Physician</t>
        </is>
      </c>
      <c r="H2252" t="inlineStr">
        <is>
          <t>assessment-and-plan</t>
        </is>
      </c>
      <c r="I2252" t="inlineStr">
        <is>
          <t>Had CEs
   trended before, no chest pain.</t>
        </is>
      </c>
    </row>
    <row r="2253">
      <c r="A2253" t="inlineStr">
        <is>
          <t>522936-assessment-and-plan-0-9</t>
        </is>
      </c>
      <c r="B2253" t="inlineStr"/>
      <c r="C2253" t="inlineStr"/>
      <c r="D2253">
        <f>HYPERLINK("http://nlpdeep.cs.uic.edu:8080/proofing/t5/522936-assessment-and-plan-0-9.pdf","t5/522936-assessment-and-plan-0-9.pdf")</f>
        <v/>
      </c>
      <c r="E2253" t="n">
        <v>120842</v>
      </c>
      <c r="F2253" t="n">
        <v>522936</v>
      </c>
      <c r="G2253" t="inlineStr">
        <is>
          <t>Physician</t>
        </is>
      </c>
      <c r="H2253" t="inlineStr">
        <is>
          <t>assessment-and-plan</t>
        </is>
      </c>
      <c r="I2253" t="inlineStr">
        <is>
          <t>Diffuse wheezing most c/w COPD.</t>
        </is>
      </c>
    </row>
    <row r="2254">
      <c r="A2254" t="inlineStr">
        <is>
          <t>522936-assessment-and-plan-0-9</t>
        </is>
      </c>
      <c r="B2254" t="inlineStr"/>
      <c r="C2254" t="inlineStr"/>
      <c r="D2254">
        <f>HYPERLINK("http://nlpdeep.cs.uic.edu:8080/proofing/gsii/522936-assessment-and-plan-0-9.pdf","gsii/522936-assessment-and-plan-0-9.pdf")</f>
        <v/>
      </c>
      <c r="E2254" t="n">
        <v>120842</v>
      </c>
      <c r="F2254" t="n">
        <v>522936</v>
      </c>
      <c r="G2254" t="inlineStr">
        <is>
          <t>Physician</t>
        </is>
      </c>
      <c r="H2254" t="inlineStr">
        <is>
          <t>assessment-and-plan</t>
        </is>
      </c>
      <c r="I2254" t="inlineStr">
        <is>
          <t>Diffuse wheezing most c/w COPD.</t>
        </is>
      </c>
    </row>
    <row r="2255">
      <c r="A2255" t="inlineStr">
        <is>
          <t>522936-assessment-and-plan-0-10</t>
        </is>
      </c>
      <c r="B2255" t="inlineStr"/>
      <c r="C2255" t="inlineStr"/>
      <c r="D2255">
        <f>HYPERLINK("http://nlpdeep.cs.uic.edu:8080/proofing/t5/522936-assessment-and-plan-0-10.pdf","t5/522936-assessment-and-plan-0-10.pdf")</f>
        <v/>
      </c>
      <c r="E2255" t="n">
        <v>120842</v>
      </c>
      <c r="F2255" t="n">
        <v>522936</v>
      </c>
      <c r="G2255" t="inlineStr">
        <is>
          <t>Physician</t>
        </is>
      </c>
      <c r="H2255" t="inlineStr">
        <is>
          <t>assessment-and-plan</t>
        </is>
      </c>
      <c r="I2255" t="inlineStr"/>
    </row>
    <row r="2256">
      <c r="A2256" t="inlineStr">
        <is>
          <t>522936-assessment-and-plan-0-10</t>
        </is>
      </c>
      <c r="B2256" t="inlineStr"/>
      <c r="C2256" t="inlineStr"/>
      <c r="D2256">
        <f>HYPERLINK("http://nlpdeep.cs.uic.edu:8080/proofing/gsii/522936-assessment-and-plan-0-10.pdf","gsii/522936-assessment-and-plan-0-10.pdf")</f>
        <v/>
      </c>
      <c r="E2256" t="n">
        <v>120842</v>
      </c>
      <c r="F2256" t="n">
        <v>522936</v>
      </c>
      <c r="G2256" t="inlineStr">
        <is>
          <t>Physician</t>
        </is>
      </c>
      <c r="H2256" t="inlineStr">
        <is>
          <t>assessment-and-plan</t>
        </is>
      </c>
      <c r="I2256" t="inlineStr"/>
    </row>
    <row r="2257">
      <c r="A2257" t="inlineStr">
        <is>
          <t>522936-assessment-and-plan-1-0</t>
        </is>
      </c>
      <c r="B2257" t="inlineStr"/>
      <c r="C2257" t="inlineStr"/>
      <c r="D2257">
        <f>HYPERLINK("http://nlpdeep.cs.uic.edu:8080/proofing/t5/522936-assessment-and-plan-1-0.pdf","t5/522936-assessment-and-plan-1-0.pdf")</f>
        <v/>
      </c>
      <c r="E2257" t="n">
        <v>120842</v>
      </c>
      <c r="F2257" t="n">
        <v>522936</v>
      </c>
      <c r="G2257" t="inlineStr">
        <is>
          <t>Physician</t>
        </is>
      </c>
      <c r="H2257" t="inlineStr">
        <is>
          <t>assessment-and-plan</t>
        </is>
      </c>
      <c r="I2257" t="inlineStr">
        <is>
          <t xml:space="preserve">
   # Tachycardia: AVNRT vs.</t>
        </is>
      </c>
    </row>
    <row r="2258">
      <c r="A2258" t="inlineStr">
        <is>
          <t>522936-assessment-and-plan-1-0</t>
        </is>
      </c>
      <c r="B2258" t="inlineStr"/>
      <c r="C2258" t="inlineStr"/>
      <c r="D2258">
        <f>HYPERLINK("http://nlpdeep.cs.uic.edu:8080/proofing/gsii/522936-assessment-and-plan-1-0.pdf","gsii/522936-assessment-and-plan-1-0.pdf")</f>
        <v/>
      </c>
      <c r="E2258" t="n">
        <v>120842</v>
      </c>
      <c r="F2258" t="n">
        <v>522936</v>
      </c>
      <c r="G2258" t="inlineStr">
        <is>
          <t>Physician</t>
        </is>
      </c>
      <c r="H2258" t="inlineStr">
        <is>
          <t>assessment-and-plan</t>
        </is>
      </c>
      <c r="I2258" t="inlineStr">
        <is>
          <t xml:space="preserve">
   # Tachycardia: AVNRT vs.</t>
        </is>
      </c>
    </row>
    <row r="2259">
      <c r="A2259" t="inlineStr">
        <is>
          <t>522936-assessment-and-plan-1-1</t>
        </is>
      </c>
      <c r="B2259" t="inlineStr"/>
      <c r="C2259" t="inlineStr"/>
      <c r="D2259">
        <f>HYPERLINK("http://nlpdeep.cs.uic.edu:8080/proofing/t5/522936-assessment-and-plan-1-1.pdf","t5/522936-assessment-and-plan-1-1.pdf")</f>
        <v/>
      </c>
      <c r="E2259" t="n">
        <v>120842</v>
      </c>
      <c r="F2259" t="n">
        <v>522936</v>
      </c>
      <c r="G2259" t="inlineStr">
        <is>
          <t>Physician</t>
        </is>
      </c>
      <c r="H2259" t="inlineStr">
        <is>
          <t>assessment-and-plan</t>
        </is>
      </c>
      <c r="I2259" t="inlineStr">
        <is>
          <t>ART.</t>
        </is>
      </c>
    </row>
    <row r="2260">
      <c r="A2260" t="inlineStr">
        <is>
          <t>522936-assessment-and-plan-1-1</t>
        </is>
      </c>
      <c r="B2260" t="inlineStr"/>
      <c r="C2260" t="inlineStr"/>
      <c r="D2260">
        <f>HYPERLINK("http://nlpdeep.cs.uic.edu:8080/proofing/gsii/522936-assessment-and-plan-1-1.pdf","gsii/522936-assessment-and-plan-1-1.pdf")</f>
        <v/>
      </c>
      <c r="E2260" t="n">
        <v>120842</v>
      </c>
      <c r="F2260" t="n">
        <v>522936</v>
      </c>
      <c r="G2260" t="inlineStr">
        <is>
          <t>Physician</t>
        </is>
      </c>
      <c r="H2260" t="inlineStr">
        <is>
          <t>assessment-and-plan</t>
        </is>
      </c>
      <c r="I2260" t="inlineStr">
        <is>
          <t>ART.</t>
        </is>
      </c>
    </row>
    <row r="2261">
      <c r="A2261" t="inlineStr">
        <is>
          <t>522936-assessment-and-plan-1-2</t>
        </is>
      </c>
      <c r="B2261" t="inlineStr"/>
      <c r="C2261" t="inlineStr"/>
      <c r="D2261">
        <f>HYPERLINK("http://nlpdeep.cs.uic.edu:8080/proofing/t5/522936-assessment-and-plan-1-2.pdf","t5/522936-assessment-and-plan-1-2.pdf")</f>
        <v/>
      </c>
      <c r="E2261" t="n">
        <v>120842</v>
      </c>
      <c r="F2261" t="n">
        <v>522936</v>
      </c>
      <c r="G2261" t="inlineStr">
        <is>
          <t>Physician</t>
        </is>
      </c>
      <c r="H2261" t="inlineStr">
        <is>
          <t>assessment-and-plan</t>
        </is>
      </c>
      <c r="I2261" t="inlineStr">
        <is>
          <t>As a COPD patient she's at risk for
   atrial arrhythmias.</t>
        </is>
      </c>
    </row>
    <row r="2262">
      <c r="A2262" t="inlineStr">
        <is>
          <t>522936-assessment-and-plan-1-2</t>
        </is>
      </c>
      <c r="B2262" t="inlineStr"/>
      <c r="C2262" t="inlineStr"/>
      <c r="D2262">
        <f>HYPERLINK("http://nlpdeep.cs.uic.edu:8080/proofing/gsii/522936-assessment-and-plan-1-2.pdf","gsii/522936-assessment-and-plan-1-2.pdf")</f>
        <v/>
      </c>
      <c r="E2262" t="n">
        <v>120842</v>
      </c>
      <c r="F2262" t="n">
        <v>522936</v>
      </c>
      <c r="G2262" t="inlineStr">
        <is>
          <t>Physician</t>
        </is>
      </c>
      <c r="H2262" t="inlineStr">
        <is>
          <t>assessment-and-plan</t>
        </is>
      </c>
      <c r="I2262" t="inlineStr">
        <is>
          <t>As a COPD patient she's at risk for
   atrial arrhythmias.</t>
        </is>
      </c>
    </row>
    <row r="2263">
      <c r="A2263" t="inlineStr">
        <is>
          <t>522936-assessment-and-plan-1-3</t>
        </is>
      </c>
      <c r="B2263" t="inlineStr"/>
      <c r="C2263" t="inlineStr"/>
      <c r="D2263">
        <f>HYPERLINK("http://nlpdeep.cs.uic.edu:8080/proofing/t5/522936-assessment-and-plan-1-3.pdf","t5/522936-assessment-and-plan-1-3.pdf")</f>
        <v/>
      </c>
      <c r="E2263" t="n">
        <v>120842</v>
      </c>
      <c r="F2263" t="n">
        <v>522936</v>
      </c>
      <c r="G2263" t="inlineStr">
        <is>
          <t>Physician</t>
        </is>
      </c>
      <c r="H2263" t="inlineStr">
        <is>
          <t>assessment-and-plan</t>
        </is>
      </c>
      <c r="I2263" t="inlineStr">
        <is>
          <t>Seems to go into arrhythmias after her barking
   coughs.</t>
        </is>
      </c>
    </row>
    <row r="2264">
      <c r="A2264" t="inlineStr">
        <is>
          <t>522936-assessment-and-plan-1-3</t>
        </is>
      </c>
      <c r="B2264" t="inlineStr"/>
      <c r="C2264" t="inlineStr"/>
      <c r="D2264">
        <f>HYPERLINK("http://nlpdeep.cs.uic.edu:8080/proofing/gsii/522936-assessment-and-plan-1-3.pdf","gsii/522936-assessment-and-plan-1-3.pdf")</f>
        <v/>
      </c>
      <c r="E2264" t="n">
        <v>120842</v>
      </c>
      <c r="F2264" t="n">
        <v>522936</v>
      </c>
      <c r="G2264" t="inlineStr">
        <is>
          <t>Physician</t>
        </is>
      </c>
      <c r="H2264" t="inlineStr">
        <is>
          <t>assessment-and-plan</t>
        </is>
      </c>
      <c r="I2264" t="inlineStr">
        <is>
          <t>Seems to go into arrhythmias after her barking
   coughs.</t>
        </is>
      </c>
    </row>
    <row r="2265">
      <c r="A2265" t="inlineStr">
        <is>
          <t>522936-assessment-and-plan-1-4</t>
        </is>
      </c>
      <c r="B2265" t="inlineStr"/>
      <c r="C2265" t="inlineStr"/>
      <c r="D2265">
        <f>HYPERLINK("http://nlpdeep.cs.uic.edu:8080/proofing/t5/522936-assessment-and-plan-1-4.pdf","t5/522936-assessment-and-plan-1-4.pdf")</f>
        <v/>
      </c>
      <c r="E2265" t="n">
        <v>120842</v>
      </c>
      <c r="F2265" t="n">
        <v>522936</v>
      </c>
      <c r="G2265" t="inlineStr">
        <is>
          <t>Physician</t>
        </is>
      </c>
      <c r="H2265" t="inlineStr">
        <is>
          <t>assessment-and-plan</t>
        </is>
      </c>
      <c r="I2265" t="inlineStr">
        <is>
          <t xml:space="preserve">
   - continue Tessalon [**Doctor Last Name **], Mucinex to knock back her cough
   - cards c/s in AM
   - continue PO Diltiazem
   - Echo in AM
   # Diastolic CHF.</t>
        </is>
      </c>
    </row>
    <row r="2266">
      <c r="A2266" t="inlineStr">
        <is>
          <t>522936-assessment-and-plan-1-4</t>
        </is>
      </c>
      <c r="B2266" t="inlineStr"/>
      <c r="C2266" t="inlineStr"/>
      <c r="D2266">
        <f>HYPERLINK("http://nlpdeep.cs.uic.edu:8080/proofing/gsii/522936-assessment-and-plan-1-4.pdf","gsii/522936-assessment-and-plan-1-4.pdf")</f>
        <v/>
      </c>
      <c r="E2266" t="n">
        <v>120842</v>
      </c>
      <c r="F2266" t="n">
        <v>522936</v>
      </c>
      <c r="G2266" t="inlineStr">
        <is>
          <t>Physician</t>
        </is>
      </c>
      <c r="H2266" t="inlineStr">
        <is>
          <t>assessment-and-plan</t>
        </is>
      </c>
      <c r="I2266" t="inlineStr">
        <is>
          <t xml:space="preserve">
   - continue Tessalon [**Doctor Last Name **], Mucinex to knock back her cough
   - cards c/s in AM
   - continue PO Diltiazem
   - Echo in AM
   # Diastolic CHF.</t>
        </is>
      </c>
    </row>
    <row r="2267">
      <c r="A2267" t="inlineStr">
        <is>
          <t>522936-assessment-and-plan-1-5</t>
        </is>
      </c>
      <c r="B2267" t="inlineStr"/>
      <c r="C2267" t="inlineStr"/>
      <c r="D2267">
        <f>HYPERLINK("http://nlpdeep.cs.uic.edu:8080/proofing/t5/522936-assessment-and-plan-1-5.pdf","t5/522936-assessment-and-plan-1-5.pdf")</f>
        <v/>
      </c>
      <c r="E2267" t="n">
        <v>120842</v>
      </c>
      <c r="F2267" t="n">
        <v>522936</v>
      </c>
      <c r="G2267" t="inlineStr">
        <is>
          <t>Physician</t>
        </is>
      </c>
      <c r="H2267" t="inlineStr">
        <is>
          <t>assessment-and-plan</t>
        </is>
      </c>
      <c r="I2267" t="inlineStr">
        <is>
          <t>Rate control key for her will be key.</t>
        </is>
      </c>
    </row>
    <row r="2268">
      <c r="A2268" t="inlineStr">
        <is>
          <t>522936-assessment-and-plan-1-5</t>
        </is>
      </c>
      <c r="B2268" t="inlineStr"/>
      <c r="C2268" t="inlineStr"/>
      <c r="D2268">
        <f>HYPERLINK("http://nlpdeep.cs.uic.edu:8080/proofing/gsii/522936-assessment-and-plan-1-5.pdf","gsii/522936-assessment-and-plan-1-5.pdf")</f>
        <v/>
      </c>
      <c r="E2268" t="n">
        <v>120842</v>
      </c>
      <c r="F2268" t="n">
        <v>522936</v>
      </c>
      <c r="G2268" t="inlineStr">
        <is>
          <t>Physician</t>
        </is>
      </c>
      <c r="H2268" t="inlineStr">
        <is>
          <t>assessment-and-plan</t>
        </is>
      </c>
      <c r="I2268" t="inlineStr">
        <is>
          <t>Rate control key for her will be key.</t>
        </is>
      </c>
    </row>
    <row r="2269">
      <c r="A2269" t="inlineStr">
        <is>
          <t>522936-assessment-and-plan-1-6</t>
        </is>
      </c>
      <c r="B2269" t="inlineStr"/>
      <c r="C2269" t="inlineStr"/>
      <c r="D2269">
        <f>HYPERLINK("http://nlpdeep.cs.uic.edu:8080/proofing/t5/522936-assessment-and-plan-1-6.pdf","t5/522936-assessment-and-plan-1-6.pdf")</f>
        <v/>
      </c>
      <c r="E2269" t="n">
        <v>120842</v>
      </c>
      <c r="F2269" t="n">
        <v>522936</v>
      </c>
      <c r="G2269" t="inlineStr">
        <is>
          <t>Physician</t>
        </is>
      </c>
      <c r="H2269" t="inlineStr">
        <is>
          <t>assessment-and-plan</t>
        </is>
      </c>
      <c r="I2269" t="inlineStr">
        <is>
          <t>Her chest Xray
   shows no fluid overload, not a diuresis candidate now.</t>
        </is>
      </c>
    </row>
    <row r="2270">
      <c r="A2270" t="inlineStr">
        <is>
          <t>522936-assessment-and-plan-1-6</t>
        </is>
      </c>
      <c r="B2270" t="inlineStr"/>
      <c r="C2270" t="inlineStr"/>
      <c r="D2270">
        <f>HYPERLINK("http://nlpdeep.cs.uic.edu:8080/proofing/gsii/522936-assessment-and-plan-1-6.pdf","gsii/522936-assessment-and-plan-1-6.pdf")</f>
        <v/>
      </c>
      <c r="E2270" t="n">
        <v>120842</v>
      </c>
      <c r="F2270" t="n">
        <v>522936</v>
      </c>
      <c r="G2270" t="inlineStr">
        <is>
          <t>Physician</t>
        </is>
      </c>
      <c r="H2270" t="inlineStr">
        <is>
          <t>assessment-and-plan</t>
        </is>
      </c>
      <c r="I2270" t="inlineStr">
        <is>
          <t>Her chest Xray
   shows no fluid overload, not a diuresis candidate now.</t>
        </is>
      </c>
    </row>
    <row r="2271">
      <c r="A2271" t="inlineStr">
        <is>
          <t>522936-assessment-and-plan-1-7</t>
        </is>
      </c>
      <c r="B2271" t="inlineStr"/>
      <c r="C2271" t="inlineStr"/>
      <c r="D2271">
        <f>HYPERLINK("http://nlpdeep.cs.uic.edu:8080/proofing/t5/522936-assessment-and-plan-1-7.pdf","t5/522936-assessment-and-plan-1-7.pdf")</f>
        <v/>
      </c>
      <c r="E2271" t="n">
        <v>120842</v>
      </c>
      <c r="F2271" t="n">
        <v>522936</v>
      </c>
      <c r="G2271" t="inlineStr">
        <is>
          <t>Physician</t>
        </is>
      </c>
      <c r="H2271" t="inlineStr">
        <is>
          <t>assessment-and-plan</t>
        </is>
      </c>
      <c r="I2271" t="inlineStr">
        <is>
          <t xml:space="preserve">
   - Continue ACEI.</t>
        </is>
      </c>
    </row>
    <row r="2272">
      <c r="A2272" t="inlineStr">
        <is>
          <t>522936-assessment-and-plan-1-7</t>
        </is>
      </c>
      <c r="B2272" t="inlineStr"/>
      <c r="C2272" t="inlineStr"/>
      <c r="D2272">
        <f>HYPERLINK("http://nlpdeep.cs.uic.edu:8080/proofing/gsii/522936-assessment-and-plan-1-7.pdf","gsii/522936-assessment-and-plan-1-7.pdf")</f>
        <v/>
      </c>
      <c r="E2272" t="n">
        <v>120842</v>
      </c>
      <c r="F2272" t="n">
        <v>522936</v>
      </c>
      <c r="G2272" t="inlineStr">
        <is>
          <t>Physician</t>
        </is>
      </c>
      <c r="H2272" t="inlineStr">
        <is>
          <t>assessment-and-plan</t>
        </is>
      </c>
      <c r="I2272" t="inlineStr">
        <is>
          <t xml:space="preserve">
   - Continue ACEI.</t>
        </is>
      </c>
    </row>
    <row r="2273">
      <c r="A2273" t="inlineStr">
        <is>
          <t>522936-assessment-and-plan-1-8</t>
        </is>
      </c>
      <c r="B2273" t="inlineStr"/>
      <c r="C2273" t="inlineStr"/>
      <c r="D2273">
        <f>HYPERLINK("http://nlpdeep.cs.uic.edu:8080/proofing/t5/522936-assessment-and-plan-1-8.pdf","t5/522936-assessment-and-plan-1-8.pdf")</f>
        <v/>
      </c>
      <c r="E2273" t="n">
        <v>120842</v>
      </c>
      <c r="F2273" t="n">
        <v>522936</v>
      </c>
      <c r="G2273" t="inlineStr">
        <is>
          <t>Physician</t>
        </is>
      </c>
      <c r="H2273" t="inlineStr">
        <is>
          <t>assessment-and-plan</t>
        </is>
      </c>
      <c r="I2273" t="inlineStr"/>
    </row>
    <row r="2274">
      <c r="A2274" t="inlineStr">
        <is>
          <t>522936-assessment-and-plan-1-8</t>
        </is>
      </c>
      <c r="B2274" t="inlineStr"/>
      <c r="C2274" t="inlineStr"/>
      <c r="D2274">
        <f>HYPERLINK("http://nlpdeep.cs.uic.edu:8080/proofing/gsii/522936-assessment-and-plan-1-8.pdf","gsii/522936-assessment-and-plan-1-8.pdf")</f>
        <v/>
      </c>
      <c r="E2274" t="n">
        <v>120842</v>
      </c>
      <c r="F2274" t="n">
        <v>522936</v>
      </c>
      <c r="G2274" t="inlineStr">
        <is>
          <t>Physician</t>
        </is>
      </c>
      <c r="H2274" t="inlineStr">
        <is>
          <t>assessment-and-plan</t>
        </is>
      </c>
      <c r="I2274" t="inlineStr"/>
    </row>
    <row r="2275">
      <c r="A2275" t="inlineStr">
        <is>
          <t>522936-assessment-and-plan-2-0</t>
        </is>
      </c>
      <c r="B2275" t="inlineStr"/>
      <c r="C2275" t="inlineStr"/>
      <c r="D2275">
        <f>HYPERLINK("http://nlpdeep.cs.uic.edu:8080/proofing/t5/522936-assessment-and-plan-2-0.pdf","t5/522936-assessment-and-plan-2-0.pdf")</f>
        <v/>
      </c>
      <c r="E2275" t="n">
        <v>120842</v>
      </c>
      <c r="F2275" t="n">
        <v>522936</v>
      </c>
      <c r="G2275" t="inlineStr">
        <is>
          <t>Physician</t>
        </is>
      </c>
      <c r="H2275" t="inlineStr">
        <is>
          <t>assessment-and-plan</t>
        </is>
      </c>
      <c r="I2275" t="inlineStr">
        <is>
          <t xml:space="preserve">
   # DM type II.</t>
        </is>
      </c>
    </row>
    <row r="2276">
      <c r="A2276" t="inlineStr">
        <is>
          <t>522936-assessment-and-plan-2-0</t>
        </is>
      </c>
      <c r="B2276" t="inlineStr"/>
      <c r="C2276" t="inlineStr"/>
      <c r="D2276">
        <f>HYPERLINK("http://nlpdeep.cs.uic.edu:8080/proofing/gsii/522936-assessment-and-plan-2-0.pdf","gsii/522936-assessment-and-plan-2-0.pdf")</f>
        <v/>
      </c>
      <c r="E2276" t="n">
        <v>120842</v>
      </c>
      <c r="F2276" t="n">
        <v>522936</v>
      </c>
      <c r="G2276" t="inlineStr">
        <is>
          <t>Physician</t>
        </is>
      </c>
      <c r="H2276" t="inlineStr">
        <is>
          <t>assessment-and-plan</t>
        </is>
      </c>
      <c r="I2276" t="inlineStr">
        <is>
          <t xml:space="preserve">
   # DM type II.</t>
        </is>
      </c>
    </row>
    <row r="2277">
      <c r="A2277" t="inlineStr">
        <is>
          <t>522936-assessment-and-plan-2-1</t>
        </is>
      </c>
      <c r="B2277" t="inlineStr"/>
      <c r="C2277" t="inlineStr"/>
      <c r="D2277">
        <f>HYPERLINK("http://nlpdeep.cs.uic.edu:8080/proofing/t5/522936-assessment-and-plan-2-1.pdf","t5/522936-assessment-and-plan-2-1.pdf")</f>
        <v/>
      </c>
      <c r="E2277" t="n">
        <v>120842</v>
      </c>
      <c r="F2277" t="n">
        <v>522936</v>
      </c>
      <c r="G2277" t="inlineStr">
        <is>
          <t>Physician</t>
        </is>
      </c>
      <c r="H2277" t="inlineStr">
        <is>
          <t>assessment-and-plan</t>
        </is>
      </c>
      <c r="I2277" t="inlineStr">
        <is>
          <t xml:space="preserve">
   - ISS.</t>
        </is>
      </c>
    </row>
    <row r="2278">
      <c r="A2278" t="inlineStr">
        <is>
          <t>522936-assessment-and-plan-2-1</t>
        </is>
      </c>
      <c r="B2278" t="inlineStr"/>
      <c r="C2278" t="inlineStr"/>
      <c r="D2278">
        <f>HYPERLINK("http://nlpdeep.cs.uic.edu:8080/proofing/gsii/522936-assessment-and-plan-2-1.pdf","gsii/522936-assessment-and-plan-2-1.pdf")</f>
        <v/>
      </c>
      <c r="E2278" t="n">
        <v>120842</v>
      </c>
      <c r="F2278" t="n">
        <v>522936</v>
      </c>
      <c r="G2278" t="inlineStr">
        <is>
          <t>Physician</t>
        </is>
      </c>
      <c r="H2278" t="inlineStr">
        <is>
          <t>assessment-and-plan</t>
        </is>
      </c>
      <c r="I2278" t="inlineStr">
        <is>
          <t xml:space="preserve">
   - ISS.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78"/>
  <sheetViews>
    <sheetView workbookViewId="0">
      <selection activeCell="A1" sqref="A1"/>
    </sheetView>
  </sheetViews>
  <sheetFormatPr baseColWidth="8" defaultRowHeight="15"/>
  <sheetData>
    <row r="1">
      <c r="A1" s="1" t="inlineStr">
        <is>
          <t>id</t>
        </is>
      </c>
      <c r="B1" s="1" t="inlineStr">
        <is>
          <t>how_correct</t>
        </is>
      </c>
      <c r="C1" s="1" t="inlineStr">
        <is>
          <t>issues</t>
        </is>
      </c>
      <c r="D1" s="1" t="inlineStr">
        <is>
          <t>file</t>
        </is>
      </c>
      <c r="E1" s="1" t="inlineStr">
        <is>
          <t>hadm_id</t>
        </is>
      </c>
      <c r="F1" s="1" t="inlineStr">
        <is>
          <t>note_id</t>
        </is>
      </c>
      <c r="G1" s="1" t="inlineStr">
        <is>
          <t>category</t>
        </is>
      </c>
      <c r="H1" s="1" t="inlineStr">
        <is>
          <t>section</t>
        </is>
      </c>
      <c r="I1" s="1" t="inlineStr">
        <is>
          <t>sent</t>
        </is>
      </c>
    </row>
    <row r="2">
      <c r="A2" t="inlineStr">
        <is>
          <t>522936-assessment-and-plan-2-2</t>
        </is>
      </c>
      <c r="B2" t="inlineStr"/>
      <c r="C2" t="inlineStr"/>
      <c r="D2">
        <f>HYPERLINK("http://nlpdeep.cs.uic.edu:8080/proofing/t5/522936-assessment-and-plan-2-2.pdf","t5/522936-assessment-and-plan-2-2.pdf")</f>
        <v/>
      </c>
      <c r="E2" t="n">
        <v>120842</v>
      </c>
      <c r="F2" t="n">
        <v>522936</v>
      </c>
      <c r="G2" t="inlineStr">
        <is>
          <t>Physician</t>
        </is>
      </c>
      <c r="H2" t="inlineStr">
        <is>
          <t>assessment-and-plan</t>
        </is>
      </c>
      <c r="I2" t="inlineStr">
        <is>
          <t xml:space="preserve">
   - Hold metformin for now.</t>
        </is>
      </c>
    </row>
    <row r="3">
      <c r="A3" t="inlineStr">
        <is>
          <t>522936-assessment-and-plan-2-2</t>
        </is>
      </c>
      <c r="B3" t="inlineStr"/>
      <c r="C3" t="inlineStr"/>
      <c r="D3">
        <f>HYPERLINK("http://nlpdeep.cs.uic.edu:8080/proofing/gsii/522936-assessment-and-plan-2-2.pdf","gsii/522936-assessment-and-plan-2-2.pdf")</f>
        <v/>
      </c>
      <c r="E3" t="n">
        <v>120842</v>
      </c>
      <c r="F3" t="n">
        <v>522936</v>
      </c>
      <c r="G3" t="inlineStr">
        <is>
          <t>Physician</t>
        </is>
      </c>
      <c r="H3" t="inlineStr">
        <is>
          <t>assessment-and-plan</t>
        </is>
      </c>
      <c r="I3" t="inlineStr">
        <is>
          <t xml:space="preserve">
   - Hold metformin for now.</t>
        </is>
      </c>
    </row>
    <row r="4">
      <c r="A4" t="inlineStr">
        <is>
          <t>522936-assessment-and-plan-2-3</t>
        </is>
      </c>
      <c r="B4" t="inlineStr"/>
      <c r="C4" t="inlineStr"/>
      <c r="D4">
        <f>HYPERLINK("http://nlpdeep.cs.uic.edu:8080/proofing/t5/522936-assessment-and-plan-2-3.pdf","t5/522936-assessment-and-plan-2-3.pdf")</f>
        <v/>
      </c>
      <c r="E4" t="n">
        <v>120842</v>
      </c>
      <c r="F4" t="n">
        <v>522936</v>
      </c>
      <c r="G4" t="inlineStr">
        <is>
          <t>Physician</t>
        </is>
      </c>
      <c r="H4" t="inlineStr">
        <is>
          <t>assessment-and-plan</t>
        </is>
      </c>
      <c r="I4" t="inlineStr">
        <is>
          <t xml:space="preserve">
   - +/- glipizide.</t>
        </is>
      </c>
    </row>
    <row r="5">
      <c r="A5" t="inlineStr">
        <is>
          <t>522936-assessment-and-plan-2-3</t>
        </is>
      </c>
      <c r="B5" t="inlineStr"/>
      <c r="C5" t="inlineStr"/>
      <c r="D5">
        <f>HYPERLINK("http://nlpdeep.cs.uic.edu:8080/proofing/gsii/522936-assessment-and-plan-2-3.pdf","gsii/522936-assessment-and-plan-2-3.pdf")</f>
        <v/>
      </c>
      <c r="E5" t="n">
        <v>120842</v>
      </c>
      <c r="F5" t="n">
        <v>522936</v>
      </c>
      <c r="G5" t="inlineStr">
        <is>
          <t>Physician</t>
        </is>
      </c>
      <c r="H5" t="inlineStr">
        <is>
          <t>assessment-and-plan</t>
        </is>
      </c>
      <c r="I5" t="inlineStr">
        <is>
          <t xml:space="preserve">
   - +/- glipizide.</t>
        </is>
      </c>
    </row>
    <row r="6">
      <c r="A6" t="inlineStr">
        <is>
          <t>522936-assessment-and-plan-3-0</t>
        </is>
      </c>
      <c r="B6" t="inlineStr"/>
      <c r="C6" t="inlineStr"/>
      <c r="D6">
        <f>HYPERLINK("http://nlpdeep.cs.uic.edu:8080/proofing/t5/522936-assessment-and-plan-3-0.pdf","t5/522936-assessment-and-plan-3-0.pdf")</f>
        <v/>
      </c>
      <c r="E6" t="n">
        <v>120842</v>
      </c>
      <c r="F6" t="n">
        <v>522936</v>
      </c>
      <c r="G6" t="inlineStr">
        <is>
          <t>Physician</t>
        </is>
      </c>
      <c r="H6" t="inlineStr">
        <is>
          <t>assessment-and-plan</t>
        </is>
      </c>
      <c r="I6" t="inlineStr">
        <is>
          <t xml:space="preserve">
   # Hypertension.</t>
        </is>
      </c>
    </row>
    <row r="7">
      <c r="A7" t="inlineStr">
        <is>
          <t>522936-assessment-and-plan-3-0</t>
        </is>
      </c>
      <c r="B7" t="inlineStr"/>
      <c r="C7" t="inlineStr"/>
      <c r="D7">
        <f>HYPERLINK("http://nlpdeep.cs.uic.edu:8080/proofing/gsii/522936-assessment-and-plan-3-0.pdf","gsii/522936-assessment-and-plan-3-0.pdf")</f>
        <v/>
      </c>
      <c r="E7" t="n">
        <v>120842</v>
      </c>
      <c r="F7" t="n">
        <v>522936</v>
      </c>
      <c r="G7" t="inlineStr">
        <is>
          <t>Physician</t>
        </is>
      </c>
      <c r="H7" t="inlineStr">
        <is>
          <t>assessment-and-plan</t>
        </is>
      </c>
      <c r="I7" t="inlineStr">
        <is>
          <t xml:space="preserve">
   # Hypertension.</t>
        </is>
      </c>
    </row>
    <row r="8">
      <c r="A8" t="inlineStr">
        <is>
          <t>522936-assessment-and-plan-3-1</t>
        </is>
      </c>
      <c r="B8" t="inlineStr"/>
      <c r="C8" t="inlineStr"/>
      <c r="D8">
        <f>HYPERLINK("http://nlpdeep.cs.uic.edu:8080/proofing/t5/522936-assessment-and-plan-3-1.pdf","t5/522936-assessment-and-plan-3-1.pdf")</f>
        <v/>
      </c>
      <c r="E8" t="n">
        <v>120842</v>
      </c>
      <c r="F8" t="n">
        <v>522936</v>
      </c>
      <c r="G8" t="inlineStr">
        <is>
          <t>Physician</t>
        </is>
      </c>
      <c r="H8" t="inlineStr">
        <is>
          <t>assessment-and-plan</t>
        </is>
      </c>
      <c r="I8" t="inlineStr">
        <is>
          <t xml:space="preserve">
   - Captopril and HCTZ.</t>
        </is>
      </c>
    </row>
    <row r="9">
      <c r="A9" t="inlineStr">
        <is>
          <t>522936-assessment-and-plan-3-1</t>
        </is>
      </c>
      <c r="B9" t="inlineStr"/>
      <c r="C9" t="inlineStr"/>
      <c r="D9">
        <f>HYPERLINK("http://nlpdeep.cs.uic.edu:8080/proofing/gsii/522936-assessment-and-plan-3-1.pdf","gsii/522936-assessment-and-plan-3-1.pdf")</f>
        <v/>
      </c>
      <c r="E9" t="n">
        <v>120842</v>
      </c>
      <c r="F9" t="n">
        <v>522936</v>
      </c>
      <c r="G9" t="inlineStr">
        <is>
          <t>Physician</t>
        </is>
      </c>
      <c r="H9" t="inlineStr">
        <is>
          <t>assessment-and-plan</t>
        </is>
      </c>
      <c r="I9" t="inlineStr">
        <is>
          <t xml:space="preserve">
   - Captopril and HCTZ.</t>
        </is>
      </c>
    </row>
    <row r="10">
      <c r="A10" t="inlineStr">
        <is>
          <t>522936-assessment-and-plan-4-0</t>
        </is>
      </c>
      <c r="B10" t="inlineStr"/>
      <c r="C10" t="inlineStr"/>
      <c r="D10">
        <f>HYPERLINK("http://nlpdeep.cs.uic.edu:8080/proofing/t5/522936-assessment-and-plan-4-0.pdf","t5/522936-assessment-and-plan-4-0.pdf")</f>
        <v/>
      </c>
      <c r="E10" t="n">
        <v>120842</v>
      </c>
      <c r="F10" t="n">
        <v>522936</v>
      </c>
      <c r="G10" t="inlineStr">
        <is>
          <t>Physician</t>
        </is>
      </c>
      <c r="H10" t="inlineStr">
        <is>
          <t>assessment-and-plan</t>
        </is>
      </c>
      <c r="I10" t="inlineStr">
        <is>
          <t xml:space="preserve">
   # Anemia.</t>
        </is>
      </c>
    </row>
    <row r="11">
      <c r="A11" t="inlineStr">
        <is>
          <t>522936-assessment-and-plan-4-0</t>
        </is>
      </c>
      <c r="B11" t="inlineStr"/>
      <c r="C11" t="inlineStr"/>
      <c r="D11">
        <f>HYPERLINK("http://nlpdeep.cs.uic.edu:8080/proofing/gsii/522936-assessment-and-plan-4-0.pdf","gsii/522936-assessment-and-plan-4-0.pdf")</f>
        <v/>
      </c>
      <c r="E11" t="n">
        <v>120842</v>
      </c>
      <c r="F11" t="n">
        <v>522936</v>
      </c>
      <c r="G11" t="inlineStr">
        <is>
          <t>Physician</t>
        </is>
      </c>
      <c r="H11" t="inlineStr">
        <is>
          <t>assessment-and-plan</t>
        </is>
      </c>
      <c r="I11" t="inlineStr">
        <is>
          <t xml:space="preserve">
   # Anemia.</t>
        </is>
      </c>
    </row>
    <row r="12">
      <c r="A12" t="inlineStr">
        <is>
          <t>522936-assessment-and-plan-4-1</t>
        </is>
      </c>
      <c r="B12" t="inlineStr"/>
      <c r="C12" t="inlineStr"/>
      <c r="D12">
        <f>HYPERLINK("http://nlpdeep.cs.uic.edu:8080/proofing/t5/522936-assessment-and-plan-4-1.pdf","t5/522936-assessment-and-plan-4-1.pdf")</f>
        <v/>
      </c>
      <c r="E12" t="n">
        <v>120842</v>
      </c>
      <c r="F12" t="n">
        <v>522936</v>
      </c>
      <c r="G12" t="inlineStr">
        <is>
          <t>Physician</t>
        </is>
      </c>
      <c r="H12" t="inlineStr">
        <is>
          <t>assessment-and-plan</t>
        </is>
      </c>
      <c r="I12" t="inlineStr">
        <is>
          <t>More or less at baseline.</t>
        </is>
      </c>
    </row>
    <row r="13">
      <c r="A13" t="inlineStr">
        <is>
          <t>522936-assessment-and-plan-4-1</t>
        </is>
      </c>
      <c r="B13" t="inlineStr"/>
      <c r="C13" t="inlineStr"/>
      <c r="D13">
        <f>HYPERLINK("http://nlpdeep.cs.uic.edu:8080/proofing/gsii/522936-assessment-and-plan-4-1.pdf","gsii/522936-assessment-and-plan-4-1.pdf")</f>
        <v/>
      </c>
      <c r="E13" t="n">
        <v>120842</v>
      </c>
      <c r="F13" t="n">
        <v>522936</v>
      </c>
      <c r="G13" t="inlineStr">
        <is>
          <t>Physician</t>
        </is>
      </c>
      <c r="H13" t="inlineStr">
        <is>
          <t>assessment-and-plan</t>
        </is>
      </c>
      <c r="I13" t="inlineStr">
        <is>
          <t>More or less at baseline.</t>
        </is>
      </c>
    </row>
    <row r="14">
      <c r="A14" t="inlineStr">
        <is>
          <t>522936-assessment-and-plan-4-2</t>
        </is>
      </c>
      <c r="B14" t="inlineStr"/>
      <c r="C14" t="inlineStr"/>
      <c r="D14">
        <f>HYPERLINK("http://nlpdeep.cs.uic.edu:8080/proofing/t5/522936-assessment-and-plan-4-2.pdf","t5/522936-assessment-and-plan-4-2.pdf")</f>
        <v/>
      </c>
      <c r="E14" t="n">
        <v>120842</v>
      </c>
      <c r="F14" t="n">
        <v>522936</v>
      </c>
      <c r="G14" t="inlineStr">
        <is>
          <t>Physician</t>
        </is>
      </c>
      <c r="H14" t="inlineStr">
        <is>
          <t>assessment-and-plan</t>
        </is>
      </c>
      <c r="I14" t="inlineStr">
        <is>
          <t xml:space="preserve">
   - Monitor.</t>
        </is>
      </c>
    </row>
    <row r="15">
      <c r="A15" t="inlineStr">
        <is>
          <t>522936-assessment-and-plan-4-2</t>
        </is>
      </c>
      <c r="B15" t="inlineStr"/>
      <c r="C15" t="inlineStr"/>
      <c r="D15">
        <f>HYPERLINK("http://nlpdeep.cs.uic.edu:8080/proofing/gsii/522936-assessment-and-plan-4-2.pdf","gsii/522936-assessment-and-plan-4-2.pdf")</f>
        <v/>
      </c>
      <c r="E15" t="n">
        <v>120842</v>
      </c>
      <c r="F15" t="n">
        <v>522936</v>
      </c>
      <c r="G15" t="inlineStr">
        <is>
          <t>Physician</t>
        </is>
      </c>
      <c r="H15" t="inlineStr">
        <is>
          <t>assessment-and-plan</t>
        </is>
      </c>
      <c r="I15" t="inlineStr">
        <is>
          <t xml:space="preserve">
   - Monitor.</t>
        </is>
      </c>
    </row>
    <row r="16">
      <c r="A16" t="inlineStr">
        <is>
          <t>522936-assessment-and-plan-5-0</t>
        </is>
      </c>
      <c r="B16" t="inlineStr"/>
      <c r="C16" t="inlineStr"/>
      <c r="D16">
        <f>HYPERLINK("http://nlpdeep.cs.uic.edu:8080/proofing/t5/522936-assessment-and-plan-5-0.pdf","t5/522936-assessment-and-plan-5-0.pdf")</f>
        <v/>
      </c>
      <c r="E16" t="n">
        <v>120842</v>
      </c>
      <c r="F16" t="n">
        <v>522936</v>
      </c>
      <c r="G16" t="inlineStr">
        <is>
          <t>Physician</t>
        </is>
      </c>
      <c r="H16" t="inlineStr">
        <is>
          <t>assessment-and-plan</t>
        </is>
      </c>
      <c r="I16" t="inlineStr">
        <is>
          <t>FEN: No IVF, replete electrolytes, regular diet
   Prophylaxis: Subutaneous heparin
   Access: peripherals
   20 Gauge - [**2153-4-8**] 09:30 P</t>
        </is>
      </c>
    </row>
    <row r="17">
      <c r="A17" t="inlineStr">
        <is>
          <t>522936-assessment-and-plan-5-0</t>
        </is>
      </c>
      <c r="B17" t="inlineStr"/>
      <c r="C17" t="inlineStr"/>
      <c r="D17">
        <f>HYPERLINK("http://nlpdeep.cs.uic.edu:8080/proofing/gsii/522936-assessment-and-plan-5-0.pdf","gsii/522936-assessment-and-plan-5-0.pdf")</f>
        <v/>
      </c>
      <c r="E17" t="n">
        <v>120842</v>
      </c>
      <c r="F17" t="n">
        <v>522936</v>
      </c>
      <c r="G17" t="inlineStr">
        <is>
          <t>Physician</t>
        </is>
      </c>
      <c r="H17" t="inlineStr">
        <is>
          <t>assessment-and-plan</t>
        </is>
      </c>
      <c r="I17" t="inlineStr">
        <is>
          <t>FEN: No IVF, replete electrolytes, regular diet
   Prophylaxis: Subutaneous heparin
   Access: peripherals
   20 Gauge - [**2153-4-8**] 09:30 P</t>
        </is>
      </c>
    </row>
    <row r="18">
      <c r="A18" t="inlineStr">
        <is>
          <t>522936-code-status-0-0</t>
        </is>
      </c>
      <c r="B18" t="inlineStr"/>
      <c r="C18" t="inlineStr"/>
      <c r="D18">
        <f>HYPERLINK("http://nlpdeep.cs.uic.edu:8080/proofing/t5/522936-code-status-0-0.pdf","t5/522936-code-status-0-0.pdf")</f>
        <v/>
      </c>
      <c r="E18" t="n">
        <v>120842</v>
      </c>
      <c r="F18" t="n">
        <v>522936</v>
      </c>
      <c r="G18" t="inlineStr">
        <is>
          <t>Physician</t>
        </is>
      </c>
      <c r="H18" t="inlineStr">
        <is>
          <t>code-status</t>
        </is>
      </c>
      <c r="I18" t="inlineStr">
        <is>
          <t>Full (confirmed on admission)</t>
        </is>
      </c>
    </row>
    <row r="19">
      <c r="A19" t="inlineStr">
        <is>
          <t>522936-code-status-0-0</t>
        </is>
      </c>
      <c r="B19" t="inlineStr"/>
      <c r="C19" t="inlineStr"/>
      <c r="D19">
        <f>HYPERLINK("http://nlpdeep.cs.uic.edu:8080/proofing/gsii/522936-code-status-0-0.pdf","gsii/522936-code-status-0-0.pdf")</f>
        <v/>
      </c>
      <c r="E19" t="n">
        <v>120842</v>
      </c>
      <c r="F19" t="n">
        <v>522936</v>
      </c>
      <c r="G19" t="inlineStr">
        <is>
          <t>Physician</t>
        </is>
      </c>
      <c r="H19" t="inlineStr">
        <is>
          <t>code-status</t>
        </is>
      </c>
      <c r="I19" t="inlineStr">
        <is>
          <t>Full (confirmed on admission)</t>
        </is>
      </c>
    </row>
    <row r="20">
      <c r="A20" t="inlineStr">
        <is>
          <t>522936-communication-0-0</t>
        </is>
      </c>
      <c r="B20" t="inlineStr"/>
      <c r="C20" t="inlineStr"/>
      <c r="D20">
        <f>HYPERLINK("http://nlpdeep.cs.uic.edu:8080/proofing/t5/522936-communication-0-0.pdf","t5/522936-communication-0-0.pdf")</f>
        <v/>
      </c>
      <c r="E20" t="n">
        <v>120842</v>
      </c>
      <c r="F20" t="n">
        <v>522936</v>
      </c>
      <c r="G20" t="inlineStr">
        <is>
          <t>Physician</t>
        </is>
      </c>
      <c r="H20" t="inlineStr">
        <is>
          <t>communication</t>
        </is>
      </c>
      <c r="I20" t="inlineStr">
        <is>
          <t>P</t>
        </is>
      </c>
    </row>
    <row r="21">
      <c r="A21" t="inlineStr">
        <is>
          <t>522936-communication-0-0</t>
        </is>
      </c>
      <c r="B21" t="inlineStr"/>
      <c r="C21" t="inlineStr"/>
      <c r="D21">
        <f>HYPERLINK("http://nlpdeep.cs.uic.edu:8080/proofing/gsii/522936-communication-0-0.pdf","gsii/522936-communication-0-0.pdf")</f>
        <v/>
      </c>
      <c r="E21" t="n">
        <v>120842</v>
      </c>
      <c r="F21" t="n">
        <v>522936</v>
      </c>
      <c r="G21" t="inlineStr">
        <is>
          <t>Physician</t>
        </is>
      </c>
      <c r="H21" t="inlineStr">
        <is>
          <t>communication</t>
        </is>
      </c>
      <c r="I21" t="inlineStr">
        <is>
          <t>P</t>
        </is>
      </c>
    </row>
    <row r="22">
      <c r="A22" t="inlineStr">
        <is>
          <t>522936-disposition-0-0</t>
        </is>
      </c>
      <c r="B22" t="inlineStr"/>
      <c r="C22" t="inlineStr"/>
      <c r="D22">
        <f>HYPERLINK("http://nlpdeep.cs.uic.edu:8080/proofing/t5/522936-disposition-0-0.pdf","t5/522936-disposition-0-0.pdf")</f>
        <v/>
      </c>
      <c r="E22" t="n">
        <v>120842</v>
      </c>
      <c r="F22" t="n">
        <v>522936</v>
      </c>
      <c r="G22" t="inlineStr">
        <is>
          <t>Physician</t>
        </is>
      </c>
      <c r="H22" t="inlineStr">
        <is>
          <t>disposition</t>
        </is>
      </c>
      <c r="I22" t="inlineStr">
        <is>
          <t>ICU)</t>
        </is>
      </c>
    </row>
    <row r="23">
      <c r="A23" t="inlineStr">
        <is>
          <t>522936-disposition-0-0</t>
        </is>
      </c>
      <c r="B23" t="inlineStr"/>
      <c r="C23" t="inlineStr"/>
      <c r="D23">
        <f>HYPERLINK("http://nlpdeep.cs.uic.edu:8080/proofing/gsii/522936-disposition-0-0.pdf","gsii/522936-disposition-0-0.pdf")</f>
        <v/>
      </c>
      <c r="E23" t="n">
        <v>120842</v>
      </c>
      <c r="F23" t="n">
        <v>522936</v>
      </c>
      <c r="G23" t="inlineStr">
        <is>
          <t>Physician</t>
        </is>
      </c>
      <c r="H23" t="inlineStr">
        <is>
          <t>disposition</t>
        </is>
      </c>
      <c r="I23" t="inlineStr">
        <is>
          <t>ICU)</t>
        </is>
      </c>
    </row>
    <row r="24">
      <c r="A24" t="inlineStr">
        <is>
          <t>523069-24-hour-events-0-0</t>
        </is>
      </c>
      <c r="B24" t="inlineStr"/>
      <c r="C24" t="inlineStr"/>
      <c r="D24">
        <f>HYPERLINK("http://nlpdeep.cs.uic.edu:8080/proofing/t5/523069-24-hour-events-0-0.pdf","t5/523069-24-hour-events-0-0.pdf")</f>
        <v/>
      </c>
      <c r="E24" t="n">
        <v>120842</v>
      </c>
      <c r="F24" t="n">
        <v>523069</v>
      </c>
      <c r="G24" t="inlineStr">
        <is>
          <t>Physician</t>
        </is>
      </c>
      <c r="H24" t="inlineStr">
        <is>
          <t>24-hour-events</t>
        </is>
      </c>
      <c r="I24" t="inlineStr">
        <is>
          <t>No acute events overnight, coughing spell this am with sinus tach to
   110s, resolved once coughing under c</t>
        </is>
      </c>
    </row>
    <row r="25">
      <c r="A25" t="inlineStr">
        <is>
          <t>523069-24-hour-events-0-0</t>
        </is>
      </c>
      <c r="B25" t="inlineStr"/>
      <c r="C25" t="inlineStr"/>
      <c r="D25">
        <f>HYPERLINK("http://nlpdeep.cs.uic.edu:8080/proofing/gsii/523069-24-hour-events-0-0.pdf","gsii/523069-24-hour-events-0-0.pdf")</f>
        <v/>
      </c>
      <c r="E25" t="n">
        <v>120842</v>
      </c>
      <c r="F25" t="n">
        <v>523069</v>
      </c>
      <c r="G25" t="inlineStr">
        <is>
          <t>Physician</t>
        </is>
      </c>
      <c r="H25" t="inlineStr">
        <is>
          <t>24-hour-events</t>
        </is>
      </c>
      <c r="I25" t="inlineStr">
        <is>
          <t>No acute events overnight, coughing spell this am with sinus tach to
   110s, resolved once coughing under c</t>
        </is>
      </c>
    </row>
    <row r="26">
      <c r="A26" t="inlineStr">
        <is>
          <t>523069-allergies-0-0</t>
        </is>
      </c>
      <c r="B26" t="inlineStr"/>
      <c r="C26" t="inlineStr"/>
      <c r="D26">
        <f>HYPERLINK("http://nlpdeep.cs.uic.edu:8080/proofing/t5/523069-allergies-0-0.pdf","t5/523069-allergies-0-0.pdf")</f>
        <v/>
      </c>
      <c r="E26" t="n">
        <v>120842</v>
      </c>
      <c r="F26" t="n">
        <v>523069</v>
      </c>
      <c r="G26" t="inlineStr">
        <is>
          <t>Physician</t>
        </is>
      </c>
      <c r="H26" t="inlineStr">
        <is>
          <t>allergies</t>
        </is>
      </c>
      <c r="I26" t="inlineStr">
        <is>
          <t>Hayfever (Nasal) (Homeopathic Drugs)
   Cough; s</t>
        </is>
      </c>
    </row>
    <row r="27">
      <c r="A27" t="inlineStr">
        <is>
          <t>523069-allergies-0-0</t>
        </is>
      </c>
      <c r="B27" t="inlineStr"/>
      <c r="C27" t="inlineStr"/>
      <c r="D27">
        <f>HYPERLINK("http://nlpdeep.cs.uic.edu:8080/proofing/gsii/523069-allergies-0-0.pdf","gsii/523069-allergies-0-0.pdf")</f>
        <v/>
      </c>
      <c r="E27" t="n">
        <v>120842</v>
      </c>
      <c r="F27" t="n">
        <v>523069</v>
      </c>
      <c r="G27" t="inlineStr">
        <is>
          <t>Physician</t>
        </is>
      </c>
      <c r="H27" t="inlineStr">
        <is>
          <t>allergies</t>
        </is>
      </c>
      <c r="I27" t="inlineStr">
        <is>
          <t>Hayfever (Nasal) (Homeopathic Drugs)
   Cough; s</t>
        </is>
      </c>
    </row>
    <row r="28">
      <c r="A28" t="inlineStr">
        <is>
          <t>523069-other-medications-0-0</t>
        </is>
      </c>
      <c r="B28" t="inlineStr"/>
      <c r="C28" t="inlineStr"/>
      <c r="D28">
        <f>HYPERLINK("http://nlpdeep.cs.uic.edu:8080/proofing/t5/523069-other-medications-0-0.pdf","t5/523069-other-medications-0-0.pdf")</f>
        <v/>
      </c>
      <c r="E28" t="n">
        <v>120842</v>
      </c>
      <c r="F28" t="n">
        <v>523069</v>
      </c>
      <c r="G28" t="inlineStr">
        <is>
          <t>Physician</t>
        </is>
      </c>
      <c r="H28" t="inlineStr">
        <is>
          <t>other-medications</t>
        </is>
      </c>
      <c r="I28" t="inlineStr">
        <is>
          <t>Heparin Sodium (Prophylaxis) - [**2153-4-8**] 10:56 PM
   Other medications:</t>
        </is>
      </c>
    </row>
    <row r="29">
      <c r="A29" t="inlineStr">
        <is>
          <t>523069-other-medications-0-0</t>
        </is>
      </c>
      <c r="B29" t="inlineStr"/>
      <c r="C29" t="inlineStr"/>
      <c r="D29">
        <f>HYPERLINK("http://nlpdeep.cs.uic.edu:8080/proofing/gsii/523069-other-medications-0-0.pdf","gsii/523069-other-medications-0-0.pdf")</f>
        <v/>
      </c>
      <c r="E29" t="n">
        <v>120842</v>
      </c>
      <c r="F29" t="n">
        <v>523069</v>
      </c>
      <c r="G29" t="inlineStr">
        <is>
          <t>Physician</t>
        </is>
      </c>
      <c r="H29" t="inlineStr">
        <is>
          <t>other-medications</t>
        </is>
      </c>
      <c r="I29" t="inlineStr">
        <is>
          <t>Heparin Sodium (Prophylaxis) - [**2153-4-8**] 10:56 PM
   Other medications:</t>
        </is>
      </c>
    </row>
    <row r="30">
      <c r="A30" t="inlineStr">
        <is>
          <t>523069-past-medical-history-0-0</t>
        </is>
      </c>
      <c r="B30" t="inlineStr"/>
      <c r="C30" t="inlineStr"/>
      <c r="D30">
        <f>HYPERLINK("http://nlpdeep.cs.uic.edu:8080/proofing/t5/523069-past-medical-history-0-0.pdf","t5/523069-past-medical-history-0-0.pdf")</f>
        <v/>
      </c>
      <c r="E30" t="n">
        <v>120842</v>
      </c>
      <c r="F30" t="n">
        <v>523069</v>
      </c>
      <c r="G30" t="inlineStr">
        <is>
          <t>Physician</t>
        </is>
      </c>
      <c r="H30" t="inlineStr">
        <is>
          <t>past-medical-history</t>
        </is>
      </c>
      <c r="I30" t="inlineStr">
        <is>
          <t>family history:</t>
        </is>
      </c>
    </row>
    <row r="31">
      <c r="A31" t="inlineStr">
        <is>
          <t>523069-past-medical-history-0-0</t>
        </is>
      </c>
      <c r="B31" t="inlineStr"/>
      <c r="C31" t="inlineStr"/>
      <c r="D31">
        <f>HYPERLINK("http://nlpdeep.cs.uic.edu:8080/proofing/gsii/523069-past-medical-history-0-0.pdf","gsii/523069-past-medical-history-0-0.pdf")</f>
        <v/>
      </c>
      <c r="E31" t="n">
        <v>120842</v>
      </c>
      <c r="F31" t="n">
        <v>523069</v>
      </c>
      <c r="G31" t="inlineStr">
        <is>
          <t>Physician</t>
        </is>
      </c>
      <c r="H31" t="inlineStr">
        <is>
          <t>past-medical-history</t>
        </is>
      </c>
      <c r="I31" t="inlineStr">
        <is>
          <t>family history:</t>
        </is>
      </c>
    </row>
    <row r="32">
      <c r="A32" t="inlineStr">
        <is>
          <t>523069-flowsheet-data-vitals-0-0</t>
        </is>
      </c>
      <c r="B32" t="inlineStr"/>
      <c r="C32" t="inlineStr"/>
      <c r="D32">
        <f>HYPERLINK("http://nlpdeep.cs.uic.edu:8080/proofing/t5/523069-flowsheet-data-vitals-0-0.pdf","t5/523069-flowsheet-data-vitals-0-0.pdf")</f>
        <v/>
      </c>
      <c r="E32" t="n">
        <v>120842</v>
      </c>
      <c r="F32" t="n">
        <v>523069</v>
      </c>
      <c r="G32" t="inlineStr">
        <is>
          <t>Physician</t>
        </is>
      </c>
      <c r="H32" t="inlineStr">
        <is>
          <t>flowsheet-data-vitals</t>
        </is>
      </c>
      <c r="I32" t="inlineStr">
        <is>
          <t>Vital signs
   Hemodynamic monitoring
   Fluid balance
                                                                  24 hours
                                                               Since [**55**] AM
   Tmax: 36.4
C (97.6
   Tcurrent: 36.4
C (97.6
   HR: 73 (60 - 138) bpm
   BP: 149/74(92) {128/57(76) - 159/114(122)} mmHg
   RR: 26 (15 - 30) insp/min
   SpO2: 92%
   Heart rhythm: SR (Sinus Rhythm)
   Height: 24 Inch
                  Total In:
                  320 mL
   PO:
                  320 mL
   TF:
   IVF:
   Blood products:
   Total out:
                                                                    450 mL
                                                                    400 mL
   Urine:
                                                                    450 mL
                                                                    400 mL
   NG:
   Stool:
   Drains:
   Balance:
                                                                   -450 mL
                                                                    -80 mL
   Respiratory support
   O2 Delivery Device: Nasal cannula
   SpO2: 92%
   ABG: ///28/</t>
        </is>
      </c>
    </row>
    <row r="33">
      <c r="A33" t="inlineStr">
        <is>
          <t>523069-flowsheet-data-vitals-0-0</t>
        </is>
      </c>
      <c r="B33" t="inlineStr"/>
      <c r="C33" t="inlineStr"/>
      <c r="D33">
        <f>HYPERLINK("http://nlpdeep.cs.uic.edu:8080/proofing/gsii/523069-flowsheet-data-vitals-0-0.pdf","gsii/523069-flowsheet-data-vitals-0-0.pdf")</f>
        <v/>
      </c>
      <c r="E33" t="n">
        <v>120842</v>
      </c>
      <c r="F33" t="n">
        <v>523069</v>
      </c>
      <c r="G33" t="inlineStr">
        <is>
          <t>Physician</t>
        </is>
      </c>
      <c r="H33" t="inlineStr">
        <is>
          <t>flowsheet-data-vitals</t>
        </is>
      </c>
      <c r="I33" t="inlineStr">
        <is>
          <t>Vital signs
   Hemodynamic monitoring
   Fluid balance
                                                                  24 hours
                                                               Since [**55**] AM
   Tmax: 36.4
C (97.6
   Tcurrent: 36.4
C (97.6
   HR: 73 (60 - 138) bpm
   BP: 149/74(92) {128/57(76) - 159/114(122)} mmHg
   RR: 26 (15 - 30) insp/min
   SpO2: 92%
   Heart rhythm: SR (Sinus Rhythm)
   Height: 24 Inch
                  Total In:
                  320 mL
   PO:
                  320 mL
   TF:
   IVF:
   Blood products:
   Total out:
                                                                    450 mL
                                                                    400 mL
   Urine:
                                                                    450 mL
                                                                    400 mL
   NG:
   Stool:
   Drains:
   Balance:
                                                                   -450 mL
                                                                    -80 mL
   Respiratory support
   O2 Delivery Device: Nasal cannula
   SpO2: 92%
   ABG: ///28/</t>
        </is>
      </c>
    </row>
    <row r="34">
      <c r="A34" t="inlineStr">
        <is>
          <t>523069-physical-examination-0-0</t>
        </is>
      </c>
      <c r="B34" t="inlineStr"/>
      <c r="C34" t="inlineStr"/>
      <c r="D34">
        <f>HYPERLINK("http://nlpdeep.cs.uic.edu:8080/proofing/t5/523069-physical-examination-0-0.pdf","t5/523069-physical-examination-0-0.pdf")</f>
        <v/>
      </c>
      <c r="E34" t="n">
        <v>120842</v>
      </c>
      <c r="F34" t="n">
        <v>523069</v>
      </c>
      <c r="G34" t="inlineStr">
        <is>
          <t>Physician</t>
        </is>
      </c>
      <c r="H34" t="inlineStr">
        <is>
          <t>physical-examination</t>
        </is>
      </c>
      <c r="I34" t="inlineStr">
        <is>
          <t>Gen: NAD, sitting up, talks in sentences
   Diffuse expiratory wheezing, good air e</t>
        </is>
      </c>
    </row>
    <row r="35">
      <c r="A35" t="inlineStr">
        <is>
          <t>523069-physical-examination-0-0</t>
        </is>
      </c>
      <c r="B35" t="inlineStr"/>
      <c r="C35" t="inlineStr"/>
      <c r="D35">
        <f>HYPERLINK("http://nlpdeep.cs.uic.edu:8080/proofing/gsii/523069-physical-examination-0-0.pdf","gsii/523069-physical-examination-0-0.pdf")</f>
        <v/>
      </c>
      <c r="E35" t="n">
        <v>120842</v>
      </c>
      <c r="F35" t="n">
        <v>523069</v>
      </c>
      <c r="G35" t="inlineStr">
        <is>
          <t>Physician</t>
        </is>
      </c>
      <c r="H35" t="inlineStr">
        <is>
          <t>physical-examination</t>
        </is>
      </c>
      <c r="I35" t="inlineStr">
        <is>
          <t>Gen: NAD, sitting up, talks in sentences
   Diffuse expiratory wheezing, good air e</t>
        </is>
      </c>
    </row>
    <row r="36">
      <c r="A36" t="inlineStr">
        <is>
          <t>523069-labs-imaging-0-0</t>
        </is>
      </c>
      <c r="B36" t="inlineStr"/>
      <c r="C36" t="inlineStr"/>
      <c r="D36">
        <f>HYPERLINK("http://nlpdeep.cs.uic.edu:8080/proofing/t5/523069-labs-imaging-0-0.pdf","t5/523069-labs-imaging-0-0.pdf")</f>
        <v/>
      </c>
      <c r="E36" t="n">
        <v>120842</v>
      </c>
      <c r="F36" t="n">
        <v>523069</v>
      </c>
      <c r="G36" t="inlineStr">
        <is>
          <t>Physician</t>
        </is>
      </c>
      <c r="H36" t="inlineStr">
        <is>
          <t>labs-imaging</t>
        </is>
      </c>
      <c r="I36" t="inlineStr">
        <is>
          <t>300 K/uL
   11.3 g/dL
   187 mg/dL
   0.6 mg/dL
   28 mEq/L
   4.9 mEq/L
   20 mg/dL
   100 mEq/L
   138 mEq/L
   35.0 %
   13.3 K/uL
        [image002.jpg]
                             [**2153-4-6**]  09:13 PM
                             [**2153-4-7**]  03:32 AM
                             [**2153-4-8**]  10:00 PM
                             [**2153-4-9**]  05:54 AM
   WBC
   8.0
   13.3
   Hct
   31.4
   35.0
   Plt
   249
   300
   Cr
   0.6
   0.6
   TropT
   &lt;0.01
   Glucose
   [**Telephone/Fax (3) 13712**]
   Other labs: CK / CKMB / Troponin-T:87//&lt;0.01, Lactic Acid:1.6 mmol/L,
   Ca++:9.5 mg/dL, Mg++:2.0 mg/dL, PO4:4.3 mg/d</t>
        </is>
      </c>
    </row>
    <row r="37">
      <c r="A37" t="inlineStr">
        <is>
          <t>523069-labs-imaging-0-0</t>
        </is>
      </c>
      <c r="B37" t="inlineStr"/>
      <c r="C37" t="inlineStr"/>
      <c r="D37">
        <f>HYPERLINK("http://nlpdeep.cs.uic.edu:8080/proofing/gsii/523069-labs-imaging-0-0.pdf","gsii/523069-labs-imaging-0-0.pdf")</f>
        <v/>
      </c>
      <c r="E37" t="n">
        <v>120842</v>
      </c>
      <c r="F37" t="n">
        <v>523069</v>
      </c>
      <c r="G37" t="inlineStr">
        <is>
          <t>Physician</t>
        </is>
      </c>
      <c r="H37" t="inlineStr">
        <is>
          <t>labs-imaging</t>
        </is>
      </c>
      <c r="I37" t="inlineStr">
        <is>
          <t>300 K/uL
   11.3 g/dL
   187 mg/dL
   0.6 mg/dL
   28 mEq/L
   4.9 mEq/L
   20 mg/dL
   100 mEq/L
   138 mEq/L
   35.0 %
   13.3 K/uL
        [image002.jpg]
                             [**2153-4-6**]  09:13 PM
                             [**2153-4-7**]  03:32 AM
                             [**2153-4-8**]  10:00 PM
                             [**2153-4-9**]  05:54 AM
   WBC
   8.0
   13.3
   Hct
   31.4
   35.0
   Plt
   249
   300
   Cr
   0.6
   0.6
   TropT
   &lt;0.01
   Glucose
   [**Telephone/Fax (3) 13712**]
   Other labs: CK / CKMB / Troponin-T:87//&lt;0.01, Lactic Acid:1.6 mmol/L,
   Ca++:9.5 mg/dL, Mg++:2.0 mg/dL, PO4:4.3 mg/d</t>
        </is>
      </c>
    </row>
    <row r="38">
      <c r="A38" t="inlineStr">
        <is>
          <t>523069-assessment-and-plan-0-0</t>
        </is>
      </c>
      <c r="B38" t="inlineStr"/>
      <c r="C38" t="inlineStr"/>
      <c r="D38">
        <f>HYPERLINK("http://nlpdeep.cs.uic.edu:8080/proofing/t5/523069-assessment-and-plan-0-0.pdf","t5/523069-assessment-and-plan-0-0.pdf")</f>
        <v/>
      </c>
      <c r="E38" t="n">
        <v>120842</v>
      </c>
      <c r="F38" t="n">
        <v>523069</v>
      </c>
      <c r="G38" t="inlineStr">
        <is>
          <t>Physician</t>
        </is>
      </c>
      <c r="H38" t="inlineStr">
        <is>
          <t>assessment-and-plan</t>
        </is>
      </c>
      <c r="I38" t="inlineStr">
        <is>
          <t>73-year-old female with COPD/RAD on home O2, diastolic CHF, recent TKR,
   presenting with respiratory distress and tachycardia.</t>
        </is>
      </c>
    </row>
    <row r="39">
      <c r="A39" t="inlineStr">
        <is>
          <t>523069-assessment-and-plan-0-0</t>
        </is>
      </c>
      <c r="B39" t="inlineStr"/>
      <c r="C39" t="inlineStr"/>
      <c r="D39">
        <f>HYPERLINK("http://nlpdeep.cs.uic.edu:8080/proofing/gsii/523069-assessment-and-plan-0-0.pdf","gsii/523069-assessment-and-plan-0-0.pdf")</f>
        <v/>
      </c>
      <c r="E39" t="n">
        <v>120842</v>
      </c>
      <c r="F39" t="n">
        <v>523069</v>
      </c>
      <c r="G39" t="inlineStr">
        <is>
          <t>Physician</t>
        </is>
      </c>
      <c r="H39" t="inlineStr">
        <is>
          <t>assessment-and-plan</t>
        </is>
      </c>
      <c r="I39" t="inlineStr">
        <is>
          <t>73-year-old female with COPD/RAD on home O2, diastolic CHF, recent TKR,
   presenting with respiratory distress and tachycardia.</t>
        </is>
      </c>
    </row>
    <row r="40">
      <c r="A40" t="inlineStr">
        <is>
          <t>523069-assessment-and-plan-0-1</t>
        </is>
      </c>
      <c r="B40" t="inlineStr"/>
      <c r="C40" t="inlineStr"/>
      <c r="D40">
        <f>HYPERLINK("http://nlpdeep.cs.uic.edu:8080/proofing/t5/523069-assessment-and-plan-0-1.pdf","t5/523069-assessment-and-plan-0-1.pdf")</f>
        <v/>
      </c>
      <c r="E40" t="n">
        <v>120842</v>
      </c>
      <c r="F40" t="n">
        <v>523069</v>
      </c>
      <c r="G40" t="inlineStr">
        <is>
          <t>Physician</t>
        </is>
      </c>
      <c r="H40" t="inlineStr">
        <is>
          <t>assessment-and-plan</t>
        </is>
      </c>
      <c r="I40" t="inlineStr">
        <is>
          <t xml:space="preserve">
   # Respiratory distress &amp; Leukocytosis: White count doubled from 8 to
   15, now 13.3.</t>
        </is>
      </c>
    </row>
    <row r="41">
      <c r="A41" t="inlineStr">
        <is>
          <t>523069-assessment-and-plan-0-1</t>
        </is>
      </c>
      <c r="B41" t="inlineStr"/>
      <c r="C41" t="inlineStr"/>
      <c r="D41">
        <f>HYPERLINK("http://nlpdeep.cs.uic.edu:8080/proofing/gsii/523069-assessment-and-plan-0-1.pdf","gsii/523069-assessment-and-plan-0-1.pdf")</f>
        <v/>
      </c>
      <c r="E41" t="n">
        <v>120842</v>
      </c>
      <c r="F41" t="n">
        <v>523069</v>
      </c>
      <c r="G41" t="inlineStr">
        <is>
          <t>Physician</t>
        </is>
      </c>
      <c r="H41" t="inlineStr">
        <is>
          <t>assessment-and-plan</t>
        </is>
      </c>
      <c r="I41" t="inlineStr">
        <is>
          <t xml:space="preserve">
   # Respiratory distress &amp; Leukocytosis: White count doubled from 8 to
   15, now 13.3.</t>
        </is>
      </c>
    </row>
    <row r="42">
      <c r="A42" t="inlineStr">
        <is>
          <t>523069-assessment-and-plan-0-2</t>
        </is>
      </c>
      <c r="B42" t="inlineStr"/>
      <c r="C42" t="inlineStr"/>
      <c r="D42">
        <f>HYPERLINK("http://nlpdeep.cs.uic.edu:8080/proofing/t5/523069-assessment-and-plan-0-2.pdf","t5/523069-assessment-and-plan-0-2.pdf")</f>
        <v/>
      </c>
      <c r="E42" t="n">
        <v>120842</v>
      </c>
      <c r="F42" t="n">
        <v>523069</v>
      </c>
      <c r="G42" t="inlineStr">
        <is>
          <t>Physician</t>
        </is>
      </c>
      <c r="H42" t="inlineStr">
        <is>
          <t>assessment-and-plan</t>
        </is>
      </c>
      <c r="I42" t="inlineStr">
        <is>
          <t xml:space="preserve"> She did receive steroids in ED 3 days ago.</t>
        </is>
      </c>
    </row>
    <row r="43">
      <c r="A43" t="inlineStr">
        <is>
          <t>523069-assessment-and-plan-0-2</t>
        </is>
      </c>
      <c r="B43" t="inlineStr"/>
      <c r="C43" t="inlineStr"/>
      <c r="D43">
        <f>HYPERLINK("http://nlpdeep.cs.uic.edu:8080/proofing/gsii/523069-assessment-and-plan-0-2.pdf","gsii/523069-assessment-and-plan-0-2.pdf")</f>
        <v/>
      </c>
      <c r="E43" t="n">
        <v>120842</v>
      </c>
      <c r="F43" t="n">
        <v>523069</v>
      </c>
      <c r="G43" t="inlineStr">
        <is>
          <t>Physician</t>
        </is>
      </c>
      <c r="H43" t="inlineStr">
        <is>
          <t>assessment-and-plan</t>
        </is>
      </c>
      <c r="I43" t="inlineStr">
        <is>
          <t xml:space="preserve"> She did receive steroids in ED 3 days ago.</t>
        </is>
      </c>
    </row>
    <row r="44">
      <c r="A44" t="inlineStr">
        <is>
          <t>523069-assessment-and-plan-0-3</t>
        </is>
      </c>
      <c r="B44" t="inlineStr"/>
      <c r="C44" t="inlineStr"/>
      <c r="D44">
        <f>HYPERLINK("http://nlpdeep.cs.uic.edu:8080/proofing/t5/523069-assessment-and-plan-0-3.pdf","t5/523069-assessment-and-plan-0-3.pdf")</f>
        <v/>
      </c>
      <c r="E44" t="n">
        <v>120842</v>
      </c>
      <c r="F44" t="n">
        <v>523069</v>
      </c>
      <c r="G44" t="inlineStr">
        <is>
          <t>Physician</t>
        </is>
      </c>
      <c r="H44" t="inlineStr">
        <is>
          <t>assessment-and-plan</t>
        </is>
      </c>
      <c r="I44" t="inlineStr">
        <is>
          <t>CXR pending
   this morning.</t>
        </is>
      </c>
    </row>
    <row r="45">
      <c r="A45" t="inlineStr">
        <is>
          <t>523069-assessment-and-plan-0-3</t>
        </is>
      </c>
      <c r="B45" t="inlineStr"/>
      <c r="C45" t="inlineStr"/>
      <c r="D45">
        <f>HYPERLINK("http://nlpdeep.cs.uic.edu:8080/proofing/gsii/523069-assessment-and-plan-0-3.pdf","gsii/523069-assessment-and-plan-0-3.pdf")</f>
        <v/>
      </c>
      <c r="E45" t="n">
        <v>120842</v>
      </c>
      <c r="F45" t="n">
        <v>523069</v>
      </c>
      <c r="G45" t="inlineStr">
        <is>
          <t>Physician</t>
        </is>
      </c>
      <c r="H45" t="inlineStr">
        <is>
          <t>assessment-and-plan</t>
        </is>
      </c>
      <c r="I45" t="inlineStr">
        <is>
          <t>CXR pending
   this morning.</t>
        </is>
      </c>
    </row>
    <row r="46">
      <c r="A46" t="inlineStr">
        <is>
          <t>523069-assessment-and-plan-0-4</t>
        </is>
      </c>
      <c r="B46" t="inlineStr"/>
      <c r="C46" t="inlineStr"/>
      <c r="D46">
        <f>HYPERLINK("http://nlpdeep.cs.uic.edu:8080/proofing/t5/523069-assessment-and-plan-0-4.pdf","t5/523069-assessment-and-plan-0-4.pdf")</f>
        <v/>
      </c>
      <c r="E46" t="n">
        <v>120842</v>
      </c>
      <c r="F46" t="n">
        <v>523069</v>
      </c>
      <c r="G46" t="inlineStr">
        <is>
          <t>Physician</t>
        </is>
      </c>
      <c r="H46" t="inlineStr">
        <is>
          <t>assessment-and-plan</t>
        </is>
      </c>
      <c r="I46" t="inlineStr">
        <is>
          <t>COPD mild per most recent PFTs [**2153**].</t>
        </is>
      </c>
    </row>
    <row r="47">
      <c r="A47" t="inlineStr">
        <is>
          <t>523069-assessment-and-plan-0-4</t>
        </is>
      </c>
      <c r="B47" t="inlineStr"/>
      <c r="C47" t="inlineStr"/>
      <c r="D47">
        <f>HYPERLINK("http://nlpdeep.cs.uic.edu:8080/proofing/gsii/523069-assessment-and-plan-0-4.pdf","gsii/523069-assessment-and-plan-0-4.pdf")</f>
        <v/>
      </c>
      <c r="E47" t="n">
        <v>120842</v>
      </c>
      <c r="F47" t="n">
        <v>523069</v>
      </c>
      <c r="G47" t="inlineStr">
        <is>
          <t>Physician</t>
        </is>
      </c>
      <c r="H47" t="inlineStr">
        <is>
          <t>assessment-and-plan</t>
        </is>
      </c>
      <c r="I47" t="inlineStr">
        <is>
          <t>COPD mild per most recent PFTs [**2153**].</t>
        </is>
      </c>
    </row>
    <row r="48">
      <c r="A48" t="inlineStr">
        <is>
          <t>523069-assessment-and-plan-0-5</t>
        </is>
      </c>
      <c r="B48" t="inlineStr"/>
      <c r="C48" t="inlineStr"/>
      <c r="D48">
        <f>HYPERLINK("http://nlpdeep.cs.uic.edu:8080/proofing/t5/523069-assessment-and-plan-0-5.pdf","t5/523069-assessment-and-plan-0-5.pdf")</f>
        <v/>
      </c>
      <c r="E48" t="n">
        <v>120842</v>
      </c>
      <c r="F48" t="n">
        <v>523069</v>
      </c>
      <c r="G48" t="inlineStr">
        <is>
          <t>Physician</t>
        </is>
      </c>
      <c r="H48" t="inlineStr">
        <is>
          <t>assessment-and-plan</t>
        </is>
      </c>
      <c r="I48" t="inlineStr">
        <is>
          <t>Possibly etiologies
   include PNA, COPD exacerbation, heart failure, coronary ischemia or
   possibly PE.</t>
        </is>
      </c>
    </row>
    <row r="49">
      <c r="A49" t="inlineStr">
        <is>
          <t>523069-assessment-and-plan-0-5</t>
        </is>
      </c>
      <c r="B49" t="inlineStr"/>
      <c r="C49" t="inlineStr"/>
      <c r="D49">
        <f>HYPERLINK("http://nlpdeep.cs.uic.edu:8080/proofing/gsii/523069-assessment-and-plan-0-5.pdf","gsii/523069-assessment-and-plan-0-5.pdf")</f>
        <v/>
      </c>
      <c r="E49" t="n">
        <v>120842</v>
      </c>
      <c r="F49" t="n">
        <v>523069</v>
      </c>
      <c r="G49" t="inlineStr">
        <is>
          <t>Physician</t>
        </is>
      </c>
      <c r="H49" t="inlineStr">
        <is>
          <t>assessment-and-plan</t>
        </is>
      </c>
      <c r="I49" t="inlineStr">
        <is>
          <t>Possibly etiologies
   include PNA, COPD exacerbation, heart failure, coronary ischemia or
   possibly PE.</t>
        </is>
      </c>
    </row>
    <row r="50">
      <c r="A50" t="inlineStr">
        <is>
          <t>523069-assessment-and-plan-0-6</t>
        </is>
      </c>
      <c r="B50" t="inlineStr"/>
      <c r="C50" t="inlineStr"/>
      <c r="D50">
        <f>HYPERLINK("http://nlpdeep.cs.uic.edu:8080/proofing/t5/523069-assessment-and-plan-0-6.pdf","t5/523069-assessment-and-plan-0-6.pdf")</f>
        <v/>
      </c>
      <c r="E50" t="n">
        <v>120842</v>
      </c>
      <c r="F50" t="n">
        <v>523069</v>
      </c>
      <c r="G50" t="inlineStr">
        <is>
          <t>Physician</t>
        </is>
      </c>
      <c r="H50" t="inlineStr">
        <is>
          <t>assessment-and-plan</t>
        </is>
      </c>
      <c r="I50" t="inlineStr">
        <is>
          <t>CTA negative in ED on [**3-25**].</t>
        </is>
      </c>
    </row>
    <row r="51">
      <c r="A51" t="inlineStr">
        <is>
          <t>523069-assessment-and-plan-0-6</t>
        </is>
      </c>
      <c r="B51" t="inlineStr"/>
      <c r="C51" t="inlineStr"/>
      <c r="D51">
        <f>HYPERLINK("http://nlpdeep.cs.uic.edu:8080/proofing/gsii/523069-assessment-and-plan-0-6.pdf","gsii/523069-assessment-and-plan-0-6.pdf")</f>
        <v/>
      </c>
      <c r="E51" t="n">
        <v>120842</v>
      </c>
      <c r="F51" t="n">
        <v>523069</v>
      </c>
      <c r="G51" t="inlineStr">
        <is>
          <t>Physician</t>
        </is>
      </c>
      <c r="H51" t="inlineStr">
        <is>
          <t>assessment-and-plan</t>
        </is>
      </c>
      <c r="I51" t="inlineStr">
        <is>
          <t>CTA negative in ED on [**3-25**].</t>
        </is>
      </c>
    </row>
    <row r="52">
      <c r="A52" t="inlineStr">
        <is>
          <t>523069-assessment-and-plan-0-7</t>
        </is>
      </c>
      <c r="B52" t="inlineStr"/>
      <c r="C52" t="inlineStr"/>
      <c r="D52">
        <f>HYPERLINK("http://nlpdeep.cs.uic.edu:8080/proofing/t5/523069-assessment-and-plan-0-7.pdf","t5/523069-assessment-and-plan-0-7.pdf")</f>
        <v/>
      </c>
      <c r="E52" t="n">
        <v>120842</v>
      </c>
      <c r="F52" t="n">
        <v>523069</v>
      </c>
      <c r="G52" t="inlineStr">
        <is>
          <t>Physician</t>
        </is>
      </c>
      <c r="H52" t="inlineStr">
        <is>
          <t>assessment-and-plan</t>
        </is>
      </c>
      <c r="I52" t="inlineStr">
        <is>
          <t>She is s/p total knee
   replacement 1 month ago but was on 1 month of Lovenox post-operatively
   (she confirms), on heparin SQ here.</t>
        </is>
      </c>
    </row>
    <row r="53">
      <c r="A53" t="inlineStr">
        <is>
          <t>523069-assessment-and-plan-0-7</t>
        </is>
      </c>
      <c r="B53" t="inlineStr"/>
      <c r="C53" t="inlineStr"/>
      <c r="D53">
        <f>HYPERLINK("http://nlpdeep.cs.uic.edu:8080/proofing/gsii/523069-assessment-and-plan-0-7.pdf","gsii/523069-assessment-and-plan-0-7.pdf")</f>
        <v/>
      </c>
      <c r="E53" t="n">
        <v>120842</v>
      </c>
      <c r="F53" t="n">
        <v>523069</v>
      </c>
      <c r="G53" t="inlineStr">
        <is>
          <t>Physician</t>
        </is>
      </c>
      <c r="H53" t="inlineStr">
        <is>
          <t>assessment-and-plan</t>
        </is>
      </c>
      <c r="I53" t="inlineStr">
        <is>
          <t>She is s/p total knee
   replacement 1 month ago but was on 1 month of Lovenox post-operatively
   (she confirms), on heparin SQ here.</t>
        </is>
      </c>
    </row>
    <row r="54">
      <c r="A54" t="inlineStr">
        <is>
          <t>523069-assessment-and-plan-0-8</t>
        </is>
      </c>
      <c r="B54" t="inlineStr"/>
      <c r="C54" t="inlineStr"/>
      <c r="D54">
        <f>HYPERLINK("http://nlpdeep.cs.uic.edu:8080/proofing/t5/523069-assessment-and-plan-0-8.pdf","t5/523069-assessment-and-plan-0-8.pdf")</f>
        <v/>
      </c>
      <c r="E54" t="n">
        <v>120842</v>
      </c>
      <c r="F54" t="n">
        <v>523069</v>
      </c>
      <c r="G54" t="inlineStr">
        <is>
          <t>Physician</t>
        </is>
      </c>
      <c r="H54" t="inlineStr">
        <is>
          <t>assessment-and-plan</t>
        </is>
      </c>
      <c r="I54" t="inlineStr">
        <is>
          <t>Had CEs trended.</t>
        </is>
      </c>
    </row>
    <row r="55">
      <c r="A55" t="inlineStr">
        <is>
          <t>523069-assessment-and-plan-0-8</t>
        </is>
      </c>
      <c r="B55" t="inlineStr"/>
      <c r="C55" t="inlineStr"/>
      <c r="D55">
        <f>HYPERLINK("http://nlpdeep.cs.uic.edu:8080/proofing/gsii/523069-assessment-and-plan-0-8.pdf","gsii/523069-assessment-and-plan-0-8.pdf")</f>
        <v/>
      </c>
      <c r="E55" t="n">
        <v>120842</v>
      </c>
      <c r="F55" t="n">
        <v>523069</v>
      </c>
      <c r="G55" t="inlineStr">
        <is>
          <t>Physician</t>
        </is>
      </c>
      <c r="H55" t="inlineStr">
        <is>
          <t>assessment-and-plan</t>
        </is>
      </c>
      <c r="I55" t="inlineStr">
        <is>
          <t>Had CEs trended.</t>
        </is>
      </c>
    </row>
    <row r="56">
      <c r="A56" t="inlineStr">
        <is>
          <t>523069-assessment-and-plan-0-9</t>
        </is>
      </c>
      <c r="B56" t="inlineStr"/>
      <c r="C56" t="inlineStr"/>
      <c r="D56">
        <f>HYPERLINK("http://nlpdeep.cs.uic.edu:8080/proofing/t5/523069-assessment-and-plan-0-9.pdf","t5/523069-assessment-and-plan-0-9.pdf")</f>
        <v/>
      </c>
      <c r="E56" t="n">
        <v>120842</v>
      </c>
      <c r="F56" t="n">
        <v>523069</v>
      </c>
      <c r="G56" t="inlineStr">
        <is>
          <t>Physician</t>
        </is>
      </c>
      <c r="H56" t="inlineStr">
        <is>
          <t>assessment-and-plan</t>
        </is>
      </c>
      <c r="I56" t="inlineStr">
        <is>
          <t>Diffuse wheezing
   most c/w COPD.</t>
        </is>
      </c>
    </row>
    <row r="57">
      <c r="A57" t="inlineStr">
        <is>
          <t>523069-assessment-and-plan-0-9</t>
        </is>
      </c>
      <c r="B57" t="inlineStr"/>
      <c r="C57" t="inlineStr"/>
      <c r="D57">
        <f>HYPERLINK("http://nlpdeep.cs.uic.edu:8080/proofing/gsii/523069-assessment-and-plan-0-9.pdf","gsii/523069-assessment-and-plan-0-9.pdf")</f>
        <v/>
      </c>
      <c r="E57" t="n">
        <v>120842</v>
      </c>
      <c r="F57" t="n">
        <v>523069</v>
      </c>
      <c r="G57" t="inlineStr">
        <is>
          <t>Physician</t>
        </is>
      </c>
      <c r="H57" t="inlineStr">
        <is>
          <t>assessment-and-plan</t>
        </is>
      </c>
      <c r="I57" t="inlineStr">
        <is>
          <t>Diffuse wheezing
   most c/w COPD.</t>
        </is>
      </c>
    </row>
    <row r="58">
      <c r="A58" t="inlineStr">
        <is>
          <t>523069-assessment-and-plan-0-10</t>
        </is>
      </c>
      <c r="B58" t="inlineStr"/>
      <c r="C58" t="inlineStr"/>
      <c r="D58">
        <f>HYPERLINK("http://nlpdeep.cs.uic.edu:8080/proofing/t5/523069-assessment-and-plan-0-10.pdf","t5/523069-assessment-and-plan-0-10.pdf")</f>
        <v/>
      </c>
      <c r="E58" t="n">
        <v>120842</v>
      </c>
      <c r="F58" t="n">
        <v>523069</v>
      </c>
      <c r="G58" t="inlineStr">
        <is>
          <t>Physician</t>
        </is>
      </c>
      <c r="H58" t="inlineStr">
        <is>
          <t>assessment-and-plan</t>
        </is>
      </c>
      <c r="I58" t="inlineStr"/>
    </row>
    <row r="59">
      <c r="A59" t="inlineStr">
        <is>
          <t>523069-assessment-and-plan-0-10</t>
        </is>
      </c>
      <c r="B59" t="inlineStr"/>
      <c r="C59" t="inlineStr"/>
      <c r="D59">
        <f>HYPERLINK("http://nlpdeep.cs.uic.edu:8080/proofing/gsii/523069-assessment-and-plan-0-10.pdf","gsii/523069-assessment-and-plan-0-10.pdf")</f>
        <v/>
      </c>
      <c r="E59" t="n">
        <v>120842</v>
      </c>
      <c r="F59" t="n">
        <v>523069</v>
      </c>
      <c r="G59" t="inlineStr">
        <is>
          <t>Physician</t>
        </is>
      </c>
      <c r="H59" t="inlineStr">
        <is>
          <t>assessment-and-plan</t>
        </is>
      </c>
      <c r="I59" t="inlineStr"/>
    </row>
    <row r="60">
      <c r="A60" t="inlineStr">
        <is>
          <t>523069-assessment-and-plan-1-0</t>
        </is>
      </c>
      <c r="B60" t="inlineStr"/>
      <c r="C60" t="inlineStr"/>
      <c r="D60">
        <f>HYPERLINK("http://nlpdeep.cs.uic.edu:8080/proofing/t5/523069-assessment-and-plan-1-0.pdf","t5/523069-assessment-and-plan-1-0.pdf")</f>
        <v/>
      </c>
      <c r="E60" t="n">
        <v>120842</v>
      </c>
      <c r="F60" t="n">
        <v>523069</v>
      </c>
      <c r="G60" t="inlineStr">
        <is>
          <t>Physician</t>
        </is>
      </c>
      <c r="H60" t="inlineStr">
        <is>
          <t>assessment-and-plan</t>
        </is>
      </c>
      <c r="I60" t="inlineStr">
        <is>
          <t xml:space="preserve">
   # Tachycardia: AVNRT vs.</t>
        </is>
      </c>
    </row>
    <row r="61">
      <c r="A61" t="inlineStr">
        <is>
          <t>523069-assessment-and-plan-1-0</t>
        </is>
      </c>
      <c r="B61" t="inlineStr"/>
      <c r="C61" t="inlineStr"/>
      <c r="D61">
        <f>HYPERLINK("http://nlpdeep.cs.uic.edu:8080/proofing/gsii/523069-assessment-and-plan-1-0.pdf","gsii/523069-assessment-and-plan-1-0.pdf")</f>
        <v/>
      </c>
      <c r="E61" t="n">
        <v>120842</v>
      </c>
      <c r="F61" t="n">
        <v>523069</v>
      </c>
      <c r="G61" t="inlineStr">
        <is>
          <t>Physician</t>
        </is>
      </c>
      <c r="H61" t="inlineStr">
        <is>
          <t>assessment-and-plan</t>
        </is>
      </c>
      <c r="I61" t="inlineStr">
        <is>
          <t xml:space="preserve">
   # Tachycardia: AVNRT vs.</t>
        </is>
      </c>
    </row>
    <row r="62">
      <c r="A62" t="inlineStr">
        <is>
          <t>523069-assessment-and-plan-1-1</t>
        </is>
      </c>
      <c r="B62" t="inlineStr"/>
      <c r="C62" t="inlineStr"/>
      <c r="D62">
        <f>HYPERLINK("http://nlpdeep.cs.uic.edu:8080/proofing/t5/523069-assessment-and-plan-1-1.pdf","t5/523069-assessment-and-plan-1-1.pdf")</f>
        <v/>
      </c>
      <c r="E62" t="n">
        <v>120842</v>
      </c>
      <c r="F62" t="n">
        <v>523069</v>
      </c>
      <c r="G62" t="inlineStr">
        <is>
          <t>Physician</t>
        </is>
      </c>
      <c r="H62" t="inlineStr">
        <is>
          <t>assessment-and-plan</t>
        </is>
      </c>
      <c r="I62" t="inlineStr">
        <is>
          <t>ART v.</t>
        </is>
      </c>
    </row>
    <row r="63">
      <c r="A63" t="inlineStr">
        <is>
          <t>523069-assessment-and-plan-1-1</t>
        </is>
      </c>
      <c r="B63" t="inlineStr"/>
      <c r="C63" t="inlineStr"/>
      <c r="D63">
        <f>HYPERLINK("http://nlpdeep.cs.uic.edu:8080/proofing/gsii/523069-assessment-and-plan-1-1.pdf","gsii/523069-assessment-and-plan-1-1.pdf")</f>
        <v/>
      </c>
      <c r="E63" t="n">
        <v>120842</v>
      </c>
      <c r="F63" t="n">
        <v>523069</v>
      </c>
      <c r="G63" t="inlineStr">
        <is>
          <t>Physician</t>
        </is>
      </c>
      <c r="H63" t="inlineStr">
        <is>
          <t>assessment-and-plan</t>
        </is>
      </c>
      <c r="I63" t="inlineStr">
        <is>
          <t>ART v.</t>
        </is>
      </c>
    </row>
    <row r="64">
      <c r="A64" t="inlineStr">
        <is>
          <t>523069-assessment-and-plan-1-2</t>
        </is>
      </c>
      <c r="B64" t="inlineStr"/>
      <c r="C64" t="inlineStr"/>
      <c r="D64">
        <f>HYPERLINK("http://nlpdeep.cs.uic.edu:8080/proofing/t5/523069-assessment-and-plan-1-2.pdf","t5/523069-assessment-and-plan-1-2.pdf")</f>
        <v/>
      </c>
      <c r="E64" t="n">
        <v>120842</v>
      </c>
      <c r="F64" t="n">
        <v>523069</v>
      </c>
      <c r="G64" t="inlineStr">
        <is>
          <t>Physician</t>
        </is>
      </c>
      <c r="H64" t="inlineStr">
        <is>
          <t>assessment-and-plan</t>
        </is>
      </c>
      <c r="I64" t="inlineStr">
        <is>
          <t>sinus tachycardia.</t>
        </is>
      </c>
    </row>
    <row r="65">
      <c r="A65" t="inlineStr">
        <is>
          <t>523069-assessment-and-plan-1-2</t>
        </is>
      </c>
      <c r="B65" t="inlineStr"/>
      <c r="C65" t="inlineStr"/>
      <c r="D65">
        <f>HYPERLINK("http://nlpdeep.cs.uic.edu:8080/proofing/gsii/523069-assessment-and-plan-1-2.pdf","gsii/523069-assessment-and-plan-1-2.pdf")</f>
        <v/>
      </c>
      <c r="E65" t="n">
        <v>120842</v>
      </c>
      <c r="F65" t="n">
        <v>523069</v>
      </c>
      <c r="G65" t="inlineStr">
        <is>
          <t>Physician</t>
        </is>
      </c>
      <c r="H65" t="inlineStr">
        <is>
          <t>assessment-and-plan</t>
        </is>
      </c>
      <c r="I65" t="inlineStr">
        <is>
          <t>sinus tachycardia.</t>
        </is>
      </c>
    </row>
    <row r="66">
      <c r="A66" t="inlineStr">
        <is>
          <t>523069-assessment-and-plan-1-3</t>
        </is>
      </c>
      <c r="B66" t="inlineStr"/>
      <c r="C66" t="inlineStr"/>
      <c r="D66">
        <f>HYPERLINK("http://nlpdeep.cs.uic.edu:8080/proofing/t5/523069-assessment-and-plan-1-3.pdf","t5/523069-assessment-and-plan-1-3.pdf")</f>
        <v/>
      </c>
      <c r="E66" t="n">
        <v>120842</v>
      </c>
      <c r="F66" t="n">
        <v>523069</v>
      </c>
      <c r="G66" t="inlineStr">
        <is>
          <t>Physician</t>
        </is>
      </c>
      <c r="H66" t="inlineStr">
        <is>
          <t>assessment-and-plan</t>
        </is>
      </c>
      <c r="I66" t="inlineStr">
        <is>
          <t>As a COPD patient
   she's at risk for atrial arrhythmias.</t>
        </is>
      </c>
    </row>
    <row r="67">
      <c r="A67" t="inlineStr">
        <is>
          <t>523069-assessment-and-plan-1-3</t>
        </is>
      </c>
      <c r="B67" t="inlineStr"/>
      <c r="C67" t="inlineStr"/>
      <c r="D67">
        <f>HYPERLINK("http://nlpdeep.cs.uic.edu:8080/proofing/gsii/523069-assessment-and-plan-1-3.pdf","gsii/523069-assessment-and-plan-1-3.pdf")</f>
        <v/>
      </c>
      <c r="E67" t="n">
        <v>120842</v>
      </c>
      <c r="F67" t="n">
        <v>523069</v>
      </c>
      <c r="G67" t="inlineStr">
        <is>
          <t>Physician</t>
        </is>
      </c>
      <c r="H67" t="inlineStr">
        <is>
          <t>assessment-and-plan</t>
        </is>
      </c>
      <c r="I67" t="inlineStr">
        <is>
          <t>As a COPD patient
   she's at risk for atrial arrhythmias.</t>
        </is>
      </c>
    </row>
    <row r="68">
      <c r="A68" t="inlineStr">
        <is>
          <t>523069-assessment-and-plan-1-4</t>
        </is>
      </c>
      <c r="B68" t="inlineStr"/>
      <c r="C68" t="inlineStr"/>
      <c r="D68">
        <f>HYPERLINK("http://nlpdeep.cs.uic.edu:8080/proofing/t5/523069-assessment-and-plan-1-4.pdf","t5/523069-assessment-and-plan-1-4.pdf")</f>
        <v/>
      </c>
      <c r="E68" t="n">
        <v>120842</v>
      </c>
      <c r="F68" t="n">
        <v>523069</v>
      </c>
      <c r="G68" t="inlineStr">
        <is>
          <t>Physician</t>
        </is>
      </c>
      <c r="H68" t="inlineStr">
        <is>
          <t>assessment-and-plan</t>
        </is>
      </c>
      <c r="I68" t="inlineStr">
        <is>
          <t>Seems to go into arrhythmias
   after her barking coughs.</t>
        </is>
      </c>
    </row>
    <row r="69">
      <c r="A69" t="inlineStr">
        <is>
          <t>523069-assessment-and-plan-1-4</t>
        </is>
      </c>
      <c r="B69" t="inlineStr"/>
      <c r="C69" t="inlineStr"/>
      <c r="D69">
        <f>HYPERLINK("http://nlpdeep.cs.uic.edu:8080/proofing/gsii/523069-assessment-and-plan-1-4.pdf","gsii/523069-assessment-and-plan-1-4.pdf")</f>
        <v/>
      </c>
      <c r="E69" t="n">
        <v>120842</v>
      </c>
      <c r="F69" t="n">
        <v>523069</v>
      </c>
      <c r="G69" t="inlineStr">
        <is>
          <t>Physician</t>
        </is>
      </c>
      <c r="H69" t="inlineStr">
        <is>
          <t>assessment-and-plan</t>
        </is>
      </c>
      <c r="I69" t="inlineStr">
        <is>
          <t>Seems to go into arrhythmias
   after her barking coughs.</t>
        </is>
      </c>
    </row>
    <row r="70">
      <c r="A70" t="inlineStr">
        <is>
          <t>523069-assessment-and-plan-1-5</t>
        </is>
      </c>
      <c r="B70" t="inlineStr"/>
      <c r="C70" t="inlineStr"/>
      <c r="D70">
        <f>HYPERLINK("http://nlpdeep.cs.uic.edu:8080/proofing/t5/523069-assessment-and-plan-1-5.pdf","t5/523069-assessment-and-plan-1-5.pdf")</f>
        <v/>
      </c>
      <c r="E70" t="n">
        <v>120842</v>
      </c>
      <c r="F70" t="n">
        <v>523069</v>
      </c>
      <c r="G70" t="inlineStr">
        <is>
          <t>Physician</t>
        </is>
      </c>
      <c r="H70" t="inlineStr">
        <is>
          <t>assessment-and-plan</t>
        </is>
      </c>
      <c r="I70" t="inlineStr">
        <is>
          <t xml:space="preserve"> Today had episode of sinus tach with
   coughing spell.</t>
        </is>
      </c>
    </row>
    <row r="71">
      <c r="A71" t="inlineStr">
        <is>
          <t>523069-assessment-and-plan-1-5</t>
        </is>
      </c>
      <c r="B71" t="inlineStr"/>
      <c r="C71" t="inlineStr"/>
      <c r="D71">
        <f>HYPERLINK("http://nlpdeep.cs.uic.edu:8080/proofing/gsii/523069-assessment-and-plan-1-5.pdf","gsii/523069-assessment-and-plan-1-5.pdf")</f>
        <v/>
      </c>
      <c r="E71" t="n">
        <v>120842</v>
      </c>
      <c r="F71" t="n">
        <v>523069</v>
      </c>
      <c r="G71" t="inlineStr">
        <is>
          <t>Physician</t>
        </is>
      </c>
      <c r="H71" t="inlineStr">
        <is>
          <t>assessment-and-plan</t>
        </is>
      </c>
      <c r="I71" t="inlineStr">
        <is>
          <t xml:space="preserve"> Today had episode of sinus tach with
   coughing spell.</t>
        </is>
      </c>
    </row>
    <row r="72">
      <c r="A72" t="inlineStr">
        <is>
          <t>523069-assessment-and-plan-1-6</t>
        </is>
      </c>
      <c r="B72" t="inlineStr"/>
      <c r="C72" t="inlineStr"/>
      <c r="D72">
        <f>HYPERLINK("http://nlpdeep.cs.uic.edu:8080/proofing/t5/523069-assessment-and-plan-1-6.pdf","t5/523069-assessment-and-plan-1-6.pdf")</f>
        <v/>
      </c>
      <c r="E72" t="n">
        <v>120842</v>
      </c>
      <c r="F72" t="n">
        <v>523069</v>
      </c>
      <c r="G72" t="inlineStr">
        <is>
          <t>Physician</t>
        </is>
      </c>
      <c r="H72" t="inlineStr">
        <is>
          <t>assessment-and-plan</t>
        </is>
      </c>
      <c r="I72" t="inlineStr">
        <is>
          <t xml:space="preserve"> Resolved after coughing spell.</t>
        </is>
      </c>
    </row>
    <row r="73">
      <c r="A73" t="inlineStr">
        <is>
          <t>523069-assessment-and-plan-1-6</t>
        </is>
      </c>
      <c r="B73" t="inlineStr"/>
      <c r="C73" t="inlineStr"/>
      <c r="D73">
        <f>HYPERLINK("http://nlpdeep.cs.uic.edu:8080/proofing/gsii/523069-assessment-and-plan-1-6.pdf","gsii/523069-assessment-and-plan-1-6.pdf")</f>
        <v/>
      </c>
      <c r="E73" t="n">
        <v>120842</v>
      </c>
      <c r="F73" t="n">
        <v>523069</v>
      </c>
      <c r="G73" t="inlineStr">
        <is>
          <t>Physician</t>
        </is>
      </c>
      <c r="H73" t="inlineStr">
        <is>
          <t>assessment-and-plan</t>
        </is>
      </c>
      <c r="I73" t="inlineStr">
        <is>
          <t xml:space="preserve"> Resolved after coughing spell.</t>
        </is>
      </c>
    </row>
    <row r="74">
      <c r="A74" t="inlineStr">
        <is>
          <t>523069-assessment-and-plan-1-7</t>
        </is>
      </c>
      <c r="B74" t="inlineStr"/>
      <c r="C74" t="inlineStr"/>
      <c r="D74">
        <f>HYPERLINK("http://nlpdeep.cs.uic.edu:8080/proofing/t5/523069-assessment-and-plan-1-7.pdf","t5/523069-assessment-and-plan-1-7.pdf")</f>
        <v/>
      </c>
      <c r="E74" t="n">
        <v>120842</v>
      </c>
      <c r="F74" t="n">
        <v>523069</v>
      </c>
      <c r="G74" t="inlineStr">
        <is>
          <t>Physician</t>
        </is>
      </c>
      <c r="H74" t="inlineStr">
        <is>
          <t>assessment-and-plan</t>
        </is>
      </c>
      <c r="I74" t="inlineStr">
        <is>
          <t xml:space="preserve">
   - continue Tessalon Perles, Mucinex to knock back her cough
   - cards c/s in AM for recommendation of control of AVNRT
   - continue PO Diltiazem
   - Echo in AM
   # Diastolic CHF.</t>
        </is>
      </c>
    </row>
    <row r="75">
      <c r="A75" t="inlineStr">
        <is>
          <t>523069-assessment-and-plan-1-7</t>
        </is>
      </c>
      <c r="B75" t="inlineStr"/>
      <c r="C75" t="inlineStr"/>
      <c r="D75">
        <f>HYPERLINK("http://nlpdeep.cs.uic.edu:8080/proofing/gsii/523069-assessment-and-plan-1-7.pdf","gsii/523069-assessment-and-plan-1-7.pdf")</f>
        <v/>
      </c>
      <c r="E75" t="n">
        <v>120842</v>
      </c>
      <c r="F75" t="n">
        <v>523069</v>
      </c>
      <c r="G75" t="inlineStr">
        <is>
          <t>Physician</t>
        </is>
      </c>
      <c r="H75" t="inlineStr">
        <is>
          <t>assessment-and-plan</t>
        </is>
      </c>
      <c r="I75" t="inlineStr">
        <is>
          <t xml:space="preserve">
   - continue Tessalon Perles, Mucinex to knock back her cough
   - cards c/s in AM for recommendation of control of AVNRT
   - continue PO Diltiazem
   - Echo in AM
   # Diastolic CHF.</t>
        </is>
      </c>
    </row>
    <row r="76">
      <c r="A76" t="inlineStr">
        <is>
          <t>523069-assessment-and-plan-1-8</t>
        </is>
      </c>
      <c r="B76" t="inlineStr"/>
      <c r="C76" t="inlineStr"/>
      <c r="D76">
        <f>HYPERLINK("http://nlpdeep.cs.uic.edu:8080/proofing/t5/523069-assessment-and-plan-1-8.pdf","t5/523069-assessment-and-plan-1-8.pdf")</f>
        <v/>
      </c>
      <c r="E76" t="n">
        <v>120842</v>
      </c>
      <c r="F76" t="n">
        <v>523069</v>
      </c>
      <c r="G76" t="inlineStr">
        <is>
          <t>Physician</t>
        </is>
      </c>
      <c r="H76" t="inlineStr">
        <is>
          <t>assessment-and-plan</t>
        </is>
      </c>
      <c r="I76" t="inlineStr">
        <is>
          <t>Rate control key for her will be key.</t>
        </is>
      </c>
    </row>
    <row r="77">
      <c r="A77" t="inlineStr">
        <is>
          <t>523069-assessment-and-plan-1-8</t>
        </is>
      </c>
      <c r="B77" t="inlineStr"/>
      <c r="C77" t="inlineStr"/>
      <c r="D77">
        <f>HYPERLINK("http://nlpdeep.cs.uic.edu:8080/proofing/gsii/523069-assessment-and-plan-1-8.pdf","gsii/523069-assessment-and-plan-1-8.pdf")</f>
        <v/>
      </c>
      <c r="E77" t="n">
        <v>120842</v>
      </c>
      <c r="F77" t="n">
        <v>523069</v>
      </c>
      <c r="G77" t="inlineStr">
        <is>
          <t>Physician</t>
        </is>
      </c>
      <c r="H77" t="inlineStr">
        <is>
          <t>assessment-and-plan</t>
        </is>
      </c>
      <c r="I77" t="inlineStr">
        <is>
          <t>Rate control key for her will be key.</t>
        </is>
      </c>
    </row>
    <row r="78">
      <c r="A78" t="inlineStr">
        <is>
          <t>523069-assessment-and-plan-1-9</t>
        </is>
      </c>
      <c r="B78" t="inlineStr"/>
      <c r="C78" t="inlineStr"/>
      <c r="D78">
        <f>HYPERLINK("http://nlpdeep.cs.uic.edu:8080/proofing/t5/523069-assessment-and-plan-1-9.pdf","t5/523069-assessment-and-plan-1-9.pdf")</f>
        <v/>
      </c>
      <c r="E78" t="n">
        <v>120842</v>
      </c>
      <c r="F78" t="n">
        <v>523069</v>
      </c>
      <c r="G78" t="inlineStr">
        <is>
          <t>Physician</t>
        </is>
      </c>
      <c r="H78" t="inlineStr">
        <is>
          <t>assessment-and-plan</t>
        </is>
      </c>
      <c r="I78" t="inlineStr">
        <is>
          <t>Her chest Xray
   shows no fluid overload, not a diuresis candidate now.</t>
        </is>
      </c>
    </row>
    <row r="79">
      <c r="A79" t="inlineStr">
        <is>
          <t>523069-assessment-and-plan-1-9</t>
        </is>
      </c>
      <c r="B79" t="inlineStr"/>
      <c r="C79" t="inlineStr"/>
      <c r="D79">
        <f>HYPERLINK("http://nlpdeep.cs.uic.edu:8080/proofing/gsii/523069-assessment-and-plan-1-9.pdf","gsii/523069-assessment-and-plan-1-9.pdf")</f>
        <v/>
      </c>
      <c r="E79" t="n">
        <v>120842</v>
      </c>
      <c r="F79" t="n">
        <v>523069</v>
      </c>
      <c r="G79" t="inlineStr">
        <is>
          <t>Physician</t>
        </is>
      </c>
      <c r="H79" t="inlineStr">
        <is>
          <t>assessment-and-plan</t>
        </is>
      </c>
      <c r="I79" t="inlineStr">
        <is>
          <t>Her chest Xray
   shows no fluid overload, not a diuresis candidate now.</t>
        </is>
      </c>
    </row>
    <row r="80">
      <c r="A80" t="inlineStr">
        <is>
          <t>523069-assessment-and-plan-1-10</t>
        </is>
      </c>
      <c r="B80" t="inlineStr"/>
      <c r="C80" t="inlineStr"/>
      <c r="D80">
        <f>HYPERLINK("http://nlpdeep.cs.uic.edu:8080/proofing/t5/523069-assessment-and-plan-1-10.pdf","t5/523069-assessment-and-plan-1-10.pdf")</f>
        <v/>
      </c>
      <c r="E80" t="n">
        <v>120842</v>
      </c>
      <c r="F80" t="n">
        <v>523069</v>
      </c>
      <c r="G80" t="inlineStr">
        <is>
          <t>Physician</t>
        </is>
      </c>
      <c r="H80" t="inlineStr">
        <is>
          <t>assessment-and-plan</t>
        </is>
      </c>
      <c r="I80" t="inlineStr">
        <is>
          <t xml:space="preserve"> BNP 1188
   - Continue ACEI.</t>
        </is>
      </c>
    </row>
    <row r="81">
      <c r="A81" t="inlineStr">
        <is>
          <t>523069-assessment-and-plan-1-10</t>
        </is>
      </c>
      <c r="B81" t="inlineStr"/>
      <c r="C81" t="inlineStr"/>
      <c r="D81">
        <f>HYPERLINK("http://nlpdeep.cs.uic.edu:8080/proofing/gsii/523069-assessment-and-plan-1-10.pdf","gsii/523069-assessment-and-plan-1-10.pdf")</f>
        <v/>
      </c>
      <c r="E81" t="n">
        <v>120842</v>
      </c>
      <c r="F81" t="n">
        <v>523069</v>
      </c>
      <c r="G81" t="inlineStr">
        <is>
          <t>Physician</t>
        </is>
      </c>
      <c r="H81" t="inlineStr">
        <is>
          <t>assessment-and-plan</t>
        </is>
      </c>
      <c r="I81" t="inlineStr">
        <is>
          <t xml:space="preserve"> BNP 1188
   - Continue ACEI.</t>
        </is>
      </c>
    </row>
    <row r="82">
      <c r="A82" t="inlineStr">
        <is>
          <t>523069-assessment-and-plan-1-11</t>
        </is>
      </c>
      <c r="B82" t="inlineStr"/>
      <c r="C82" t="inlineStr"/>
      <c r="D82">
        <f>HYPERLINK("http://nlpdeep.cs.uic.edu:8080/proofing/t5/523069-assessment-and-plan-1-11.pdf","t5/523069-assessment-and-plan-1-11.pdf")</f>
        <v/>
      </c>
      <c r="E82" t="n">
        <v>120842</v>
      </c>
      <c r="F82" t="n">
        <v>523069</v>
      </c>
      <c r="G82" t="inlineStr">
        <is>
          <t>Physician</t>
        </is>
      </c>
      <c r="H82" t="inlineStr">
        <is>
          <t>assessment-and-plan</t>
        </is>
      </c>
      <c r="I82" t="inlineStr">
        <is>
          <t xml:space="preserve">
   - Echo
   # DM type II.</t>
        </is>
      </c>
    </row>
    <row r="83">
      <c r="A83" t="inlineStr">
        <is>
          <t>523069-assessment-and-plan-1-11</t>
        </is>
      </c>
      <c r="B83" t="inlineStr"/>
      <c r="C83" t="inlineStr"/>
      <c r="D83">
        <f>HYPERLINK("http://nlpdeep.cs.uic.edu:8080/proofing/gsii/523069-assessment-and-plan-1-11.pdf","gsii/523069-assessment-and-plan-1-11.pdf")</f>
        <v/>
      </c>
      <c r="E83" t="n">
        <v>120842</v>
      </c>
      <c r="F83" t="n">
        <v>523069</v>
      </c>
      <c r="G83" t="inlineStr">
        <is>
          <t>Physician</t>
        </is>
      </c>
      <c r="H83" t="inlineStr">
        <is>
          <t>assessment-and-plan</t>
        </is>
      </c>
      <c r="I83" t="inlineStr">
        <is>
          <t xml:space="preserve">
   - Echo
   # DM type II.</t>
        </is>
      </c>
    </row>
    <row r="84">
      <c r="A84" t="inlineStr">
        <is>
          <t>523069-assessment-and-plan-1-12</t>
        </is>
      </c>
      <c r="B84" t="inlineStr"/>
      <c r="C84" t="inlineStr"/>
      <c r="D84">
        <f>HYPERLINK("http://nlpdeep.cs.uic.edu:8080/proofing/t5/523069-assessment-and-plan-1-12.pdf","t5/523069-assessment-and-plan-1-12.pdf")</f>
        <v/>
      </c>
      <c r="E84" t="n">
        <v>120842</v>
      </c>
      <c r="F84" t="n">
        <v>523069</v>
      </c>
      <c r="G84" t="inlineStr">
        <is>
          <t>Physician</t>
        </is>
      </c>
      <c r="H84" t="inlineStr">
        <is>
          <t>assessment-and-plan</t>
        </is>
      </c>
      <c r="I84" t="inlineStr">
        <is>
          <t xml:space="preserve">
   - ISS
   - Hold metformin for now.</t>
        </is>
      </c>
    </row>
    <row r="85">
      <c r="A85" t="inlineStr">
        <is>
          <t>523069-assessment-and-plan-1-12</t>
        </is>
      </c>
      <c r="B85" t="inlineStr"/>
      <c r="C85" t="inlineStr"/>
      <c r="D85">
        <f>HYPERLINK("http://nlpdeep.cs.uic.edu:8080/proofing/gsii/523069-assessment-and-plan-1-12.pdf","gsii/523069-assessment-and-plan-1-12.pdf")</f>
        <v/>
      </c>
      <c r="E85" t="n">
        <v>120842</v>
      </c>
      <c r="F85" t="n">
        <v>523069</v>
      </c>
      <c r="G85" t="inlineStr">
        <is>
          <t>Physician</t>
        </is>
      </c>
      <c r="H85" t="inlineStr">
        <is>
          <t>assessment-and-plan</t>
        </is>
      </c>
      <c r="I85" t="inlineStr">
        <is>
          <t xml:space="preserve">
   - ISS
   - Hold metformin for now.</t>
        </is>
      </c>
    </row>
    <row r="86">
      <c r="A86" t="inlineStr">
        <is>
          <t>523069-assessment-and-plan-1-13</t>
        </is>
      </c>
      <c r="B86" t="inlineStr"/>
      <c r="C86" t="inlineStr"/>
      <c r="D86">
        <f>HYPERLINK("http://nlpdeep.cs.uic.edu:8080/proofing/t5/523069-assessment-and-plan-1-13.pdf","t5/523069-assessment-and-plan-1-13.pdf")</f>
        <v/>
      </c>
      <c r="E86" t="n">
        <v>120842</v>
      </c>
      <c r="F86" t="n">
        <v>523069</v>
      </c>
      <c r="G86" t="inlineStr">
        <is>
          <t>Physician</t>
        </is>
      </c>
      <c r="H86" t="inlineStr">
        <is>
          <t>assessment-and-plan</t>
        </is>
      </c>
      <c r="I86" t="inlineStr"/>
    </row>
    <row r="87">
      <c r="A87" t="inlineStr">
        <is>
          <t>523069-assessment-and-plan-1-13</t>
        </is>
      </c>
      <c r="B87" t="inlineStr"/>
      <c r="C87" t="inlineStr"/>
      <c r="D87">
        <f>HYPERLINK("http://nlpdeep.cs.uic.edu:8080/proofing/gsii/523069-assessment-and-plan-1-13.pdf","gsii/523069-assessment-and-plan-1-13.pdf")</f>
        <v/>
      </c>
      <c r="E87" t="n">
        <v>120842</v>
      </c>
      <c r="F87" t="n">
        <v>523069</v>
      </c>
      <c r="G87" t="inlineStr">
        <is>
          <t>Physician</t>
        </is>
      </c>
      <c r="H87" t="inlineStr">
        <is>
          <t>assessment-and-plan</t>
        </is>
      </c>
      <c r="I87" t="inlineStr"/>
    </row>
    <row r="88">
      <c r="A88" t="inlineStr">
        <is>
          <t>523069-assessment-and-plan-2-0</t>
        </is>
      </c>
      <c r="B88" t="inlineStr"/>
      <c r="C88" t="inlineStr"/>
      <c r="D88">
        <f>HYPERLINK("http://nlpdeep.cs.uic.edu:8080/proofing/t5/523069-assessment-and-plan-2-0.pdf","t5/523069-assessment-and-plan-2-0.pdf")</f>
        <v/>
      </c>
      <c r="E88" t="n">
        <v>120842</v>
      </c>
      <c r="F88" t="n">
        <v>523069</v>
      </c>
      <c r="G88" t="inlineStr">
        <is>
          <t>Physician</t>
        </is>
      </c>
      <c r="H88" t="inlineStr">
        <is>
          <t>assessment-and-plan</t>
        </is>
      </c>
      <c r="I88" t="inlineStr">
        <is>
          <t xml:space="preserve">
   # Hypertension.</t>
        </is>
      </c>
    </row>
    <row r="89">
      <c r="A89" t="inlineStr">
        <is>
          <t>523069-assessment-and-plan-2-0</t>
        </is>
      </c>
      <c r="B89" t="inlineStr"/>
      <c r="C89" t="inlineStr"/>
      <c r="D89">
        <f>HYPERLINK("http://nlpdeep.cs.uic.edu:8080/proofing/gsii/523069-assessment-and-plan-2-0.pdf","gsii/523069-assessment-and-plan-2-0.pdf")</f>
        <v/>
      </c>
      <c r="E89" t="n">
        <v>120842</v>
      </c>
      <c r="F89" t="n">
        <v>523069</v>
      </c>
      <c r="G89" t="inlineStr">
        <is>
          <t>Physician</t>
        </is>
      </c>
      <c r="H89" t="inlineStr">
        <is>
          <t>assessment-and-plan</t>
        </is>
      </c>
      <c r="I89" t="inlineStr">
        <is>
          <t xml:space="preserve">
   # Hypertension.</t>
        </is>
      </c>
    </row>
    <row r="90">
      <c r="A90" t="inlineStr">
        <is>
          <t>523069-assessment-and-plan-2-1</t>
        </is>
      </c>
      <c r="B90" t="inlineStr"/>
      <c r="C90" t="inlineStr"/>
      <c r="D90">
        <f>HYPERLINK("http://nlpdeep.cs.uic.edu:8080/proofing/t5/523069-assessment-and-plan-2-1.pdf","t5/523069-assessment-and-plan-2-1.pdf")</f>
        <v/>
      </c>
      <c r="E90" t="n">
        <v>120842</v>
      </c>
      <c r="F90" t="n">
        <v>523069</v>
      </c>
      <c r="G90" t="inlineStr">
        <is>
          <t>Physician</t>
        </is>
      </c>
      <c r="H90" t="inlineStr">
        <is>
          <t>assessment-and-plan</t>
        </is>
      </c>
      <c r="I90" t="inlineStr">
        <is>
          <t xml:space="preserve">
   - Home Captopril and HCTZ.</t>
        </is>
      </c>
    </row>
    <row r="91">
      <c r="A91" t="inlineStr">
        <is>
          <t>523069-assessment-and-plan-2-1</t>
        </is>
      </c>
      <c r="B91" t="inlineStr"/>
      <c r="C91" t="inlineStr"/>
      <c r="D91">
        <f>HYPERLINK("http://nlpdeep.cs.uic.edu:8080/proofing/gsii/523069-assessment-and-plan-2-1.pdf","gsii/523069-assessment-and-plan-2-1.pdf")</f>
        <v/>
      </c>
      <c r="E91" t="n">
        <v>120842</v>
      </c>
      <c r="F91" t="n">
        <v>523069</v>
      </c>
      <c r="G91" t="inlineStr">
        <is>
          <t>Physician</t>
        </is>
      </c>
      <c r="H91" t="inlineStr">
        <is>
          <t>assessment-and-plan</t>
        </is>
      </c>
      <c r="I91" t="inlineStr">
        <is>
          <t xml:space="preserve">
   - Home Captopril and HCTZ.</t>
        </is>
      </c>
    </row>
    <row r="92">
      <c r="A92" t="inlineStr">
        <is>
          <t>523069-assessment-and-plan-2-2</t>
        </is>
      </c>
      <c r="B92" t="inlineStr"/>
      <c r="C92" t="inlineStr"/>
      <c r="D92">
        <f>HYPERLINK("http://nlpdeep.cs.uic.edu:8080/proofing/t5/523069-assessment-and-plan-2-2.pdf","t5/523069-assessment-and-plan-2-2.pdf")</f>
        <v/>
      </c>
      <c r="E92" t="n">
        <v>120842</v>
      </c>
      <c r="F92" t="n">
        <v>523069</v>
      </c>
      <c r="G92" t="inlineStr">
        <is>
          <t>Physician</t>
        </is>
      </c>
      <c r="H92" t="inlineStr">
        <is>
          <t>assessment-and-plan</t>
        </is>
      </c>
      <c r="I92" t="inlineStr"/>
    </row>
    <row r="93">
      <c r="A93" t="inlineStr">
        <is>
          <t>523069-assessment-and-plan-2-2</t>
        </is>
      </c>
      <c r="B93" t="inlineStr"/>
      <c r="C93" t="inlineStr"/>
      <c r="D93">
        <f>HYPERLINK("http://nlpdeep.cs.uic.edu:8080/proofing/gsii/523069-assessment-and-plan-2-2.pdf","gsii/523069-assessment-and-plan-2-2.pdf")</f>
        <v/>
      </c>
      <c r="E93" t="n">
        <v>120842</v>
      </c>
      <c r="F93" t="n">
        <v>523069</v>
      </c>
      <c r="G93" t="inlineStr">
        <is>
          <t>Physician</t>
        </is>
      </c>
      <c r="H93" t="inlineStr">
        <is>
          <t>assessment-and-plan</t>
        </is>
      </c>
      <c r="I93" t="inlineStr"/>
    </row>
    <row r="94">
      <c r="A94" t="inlineStr">
        <is>
          <t>523069-assessment-and-plan-3-0</t>
        </is>
      </c>
      <c r="B94" t="inlineStr"/>
      <c r="C94" t="inlineStr"/>
      <c r="D94">
        <f>HYPERLINK("http://nlpdeep.cs.uic.edu:8080/proofing/t5/523069-assessment-and-plan-3-0.pdf","t5/523069-assessment-and-plan-3-0.pdf")</f>
        <v/>
      </c>
      <c r="E94" t="n">
        <v>120842</v>
      </c>
      <c r="F94" t="n">
        <v>523069</v>
      </c>
      <c r="G94" t="inlineStr">
        <is>
          <t>Physician</t>
        </is>
      </c>
      <c r="H94" t="inlineStr">
        <is>
          <t>assessment-and-plan</t>
        </is>
      </c>
      <c r="I94" t="inlineStr">
        <is>
          <t xml:space="preserve">
   # Anemia.</t>
        </is>
      </c>
    </row>
    <row r="95">
      <c r="A95" t="inlineStr">
        <is>
          <t>523069-assessment-and-plan-3-0</t>
        </is>
      </c>
      <c r="B95" t="inlineStr"/>
      <c r="C95" t="inlineStr"/>
      <c r="D95">
        <f>HYPERLINK("http://nlpdeep.cs.uic.edu:8080/proofing/gsii/523069-assessment-and-plan-3-0.pdf","gsii/523069-assessment-and-plan-3-0.pdf")</f>
        <v/>
      </c>
      <c r="E95" t="n">
        <v>120842</v>
      </c>
      <c r="F95" t="n">
        <v>523069</v>
      </c>
      <c r="G95" t="inlineStr">
        <is>
          <t>Physician</t>
        </is>
      </c>
      <c r="H95" t="inlineStr">
        <is>
          <t>assessment-and-plan</t>
        </is>
      </c>
      <c r="I95" t="inlineStr">
        <is>
          <t xml:space="preserve">
   # Anemia.</t>
        </is>
      </c>
    </row>
    <row r="96">
      <c r="A96" t="inlineStr">
        <is>
          <t>523069-assessment-and-plan-3-1</t>
        </is>
      </c>
      <c r="B96" t="inlineStr"/>
      <c r="C96" t="inlineStr"/>
      <c r="D96">
        <f>HYPERLINK("http://nlpdeep.cs.uic.edu:8080/proofing/t5/523069-assessment-and-plan-3-1.pdf","t5/523069-assessment-and-plan-3-1.pdf")</f>
        <v/>
      </c>
      <c r="E96" t="n">
        <v>120842</v>
      </c>
      <c r="F96" t="n">
        <v>523069</v>
      </c>
      <c r="G96" t="inlineStr">
        <is>
          <t>Physician</t>
        </is>
      </c>
      <c r="H96" t="inlineStr">
        <is>
          <t>assessment-and-plan</t>
        </is>
      </c>
      <c r="I96" t="inlineStr">
        <is>
          <t>More or less at baseline.</t>
        </is>
      </c>
    </row>
    <row r="97">
      <c r="A97" t="inlineStr">
        <is>
          <t>523069-assessment-and-plan-3-1</t>
        </is>
      </c>
      <c r="B97" t="inlineStr"/>
      <c r="C97" t="inlineStr"/>
      <c r="D97">
        <f>HYPERLINK("http://nlpdeep.cs.uic.edu:8080/proofing/gsii/523069-assessment-and-plan-3-1.pdf","gsii/523069-assessment-and-plan-3-1.pdf")</f>
        <v/>
      </c>
      <c r="E97" t="n">
        <v>120842</v>
      </c>
      <c r="F97" t="n">
        <v>523069</v>
      </c>
      <c r="G97" t="inlineStr">
        <is>
          <t>Physician</t>
        </is>
      </c>
      <c r="H97" t="inlineStr">
        <is>
          <t>assessment-and-plan</t>
        </is>
      </c>
      <c r="I97" t="inlineStr">
        <is>
          <t>More or less at baseline.</t>
        </is>
      </c>
    </row>
    <row r="98">
      <c r="A98" t="inlineStr">
        <is>
          <t>523069-assessment-and-plan-3-2</t>
        </is>
      </c>
      <c r="B98" t="inlineStr"/>
      <c r="C98" t="inlineStr"/>
      <c r="D98">
        <f>HYPERLINK("http://nlpdeep.cs.uic.edu:8080/proofing/t5/523069-assessment-and-plan-3-2.pdf","t5/523069-assessment-and-plan-3-2.pdf")</f>
        <v/>
      </c>
      <c r="E98" t="n">
        <v>120842</v>
      </c>
      <c r="F98" t="n">
        <v>523069</v>
      </c>
      <c r="G98" t="inlineStr">
        <is>
          <t>Physician</t>
        </is>
      </c>
      <c r="H98" t="inlineStr">
        <is>
          <t>assessment-and-plan</t>
        </is>
      </c>
      <c r="I98" t="inlineStr">
        <is>
          <t xml:space="preserve">
   - Monitor.</t>
        </is>
      </c>
    </row>
    <row r="99">
      <c r="A99" t="inlineStr">
        <is>
          <t>523069-assessment-and-plan-3-2</t>
        </is>
      </c>
      <c r="B99" t="inlineStr"/>
      <c r="C99" t="inlineStr"/>
      <c r="D99">
        <f>HYPERLINK("http://nlpdeep.cs.uic.edu:8080/proofing/gsii/523069-assessment-and-plan-3-2.pdf","gsii/523069-assessment-and-plan-3-2.pdf")</f>
        <v/>
      </c>
      <c r="E99" t="n">
        <v>120842</v>
      </c>
      <c r="F99" t="n">
        <v>523069</v>
      </c>
      <c r="G99" t="inlineStr">
        <is>
          <t>Physician</t>
        </is>
      </c>
      <c r="H99" t="inlineStr">
        <is>
          <t>assessment-and-plan</t>
        </is>
      </c>
      <c r="I99" t="inlineStr">
        <is>
          <t xml:space="preserve">
   - Monitor.</t>
        </is>
      </c>
    </row>
    <row r="100">
      <c r="A100" t="inlineStr">
        <is>
          <t>523069-assessment-and-plan-4-0</t>
        </is>
      </c>
      <c r="B100" t="inlineStr"/>
      <c r="C100" t="inlineStr"/>
      <c r="D100">
        <f>HYPERLINK("http://nlpdeep.cs.uic.edu:8080/proofing/t5/523069-assessment-and-plan-4-0.pdf","t5/523069-assessment-and-plan-4-0.pdf")</f>
        <v/>
      </c>
      <c r="E100" t="n">
        <v>120842</v>
      </c>
      <c r="F100" t="n">
        <v>523069</v>
      </c>
      <c r="G100" t="inlineStr">
        <is>
          <t>Physician</t>
        </is>
      </c>
      <c r="H100" t="inlineStr">
        <is>
          <t>assessment-and-plan</t>
        </is>
      </c>
      <c r="I100" t="inlineStr">
        <is>
          <t>FEN: No IVF, replete electrolytes, regular diet
   Prophylaxis: Subcutaneous heparin
   Access: peripherals
   20 Gauge - [**2153-4-8**] 09:30 P</t>
        </is>
      </c>
    </row>
    <row r="101">
      <c r="A101" t="inlineStr">
        <is>
          <t>523069-assessment-and-plan-4-0</t>
        </is>
      </c>
      <c r="B101" t="inlineStr"/>
      <c r="C101" t="inlineStr"/>
      <c r="D101">
        <f>HYPERLINK("http://nlpdeep.cs.uic.edu:8080/proofing/gsii/523069-assessment-and-plan-4-0.pdf","gsii/523069-assessment-and-plan-4-0.pdf")</f>
        <v/>
      </c>
      <c r="E101" t="n">
        <v>120842</v>
      </c>
      <c r="F101" t="n">
        <v>523069</v>
      </c>
      <c r="G101" t="inlineStr">
        <is>
          <t>Physician</t>
        </is>
      </c>
      <c r="H101" t="inlineStr">
        <is>
          <t>assessment-and-plan</t>
        </is>
      </c>
      <c r="I101" t="inlineStr">
        <is>
          <t>FEN: No IVF, replete electrolytes, regular diet
   Prophylaxis: Subcutaneous heparin
   Access: peripherals
   20 Gauge - [**2153-4-8**] 09:30 P</t>
        </is>
      </c>
    </row>
    <row r="102">
      <c r="A102" t="inlineStr">
        <is>
          <t>523069-code-status-0-0</t>
        </is>
      </c>
      <c r="B102" t="inlineStr"/>
      <c r="C102" t="inlineStr"/>
      <c r="D102">
        <f>HYPERLINK("http://nlpdeep.cs.uic.edu:8080/proofing/t5/523069-code-status-0-0.pdf","t5/523069-code-status-0-0.pdf")</f>
        <v/>
      </c>
      <c r="E102" t="n">
        <v>120842</v>
      </c>
      <c r="F102" t="n">
        <v>523069</v>
      </c>
      <c r="G102" t="inlineStr">
        <is>
          <t>Physician</t>
        </is>
      </c>
      <c r="H102" t="inlineStr">
        <is>
          <t>code-status</t>
        </is>
      </c>
      <c r="I102" t="inlineStr">
        <is>
          <t>Full (confirmed on admission)</t>
        </is>
      </c>
    </row>
    <row r="103">
      <c r="A103" t="inlineStr">
        <is>
          <t>523069-code-status-0-0</t>
        </is>
      </c>
      <c r="B103" t="inlineStr"/>
      <c r="C103" t="inlineStr"/>
      <c r="D103">
        <f>HYPERLINK("http://nlpdeep.cs.uic.edu:8080/proofing/gsii/523069-code-status-0-0.pdf","gsii/523069-code-status-0-0.pdf")</f>
        <v/>
      </c>
      <c r="E103" t="n">
        <v>120842</v>
      </c>
      <c r="F103" t="n">
        <v>523069</v>
      </c>
      <c r="G103" t="inlineStr">
        <is>
          <t>Physician</t>
        </is>
      </c>
      <c r="H103" t="inlineStr">
        <is>
          <t>code-status</t>
        </is>
      </c>
      <c r="I103" t="inlineStr">
        <is>
          <t>Full (confirmed on admission)</t>
        </is>
      </c>
    </row>
    <row r="104">
      <c r="A104" t="inlineStr">
        <is>
          <t>523069-communication-0-0</t>
        </is>
      </c>
      <c r="B104" t="inlineStr"/>
      <c r="C104" t="inlineStr"/>
      <c r="D104">
        <f>HYPERLINK("http://nlpdeep.cs.uic.edu:8080/proofing/t5/523069-communication-0-0.pdf","t5/523069-communication-0-0.pdf")</f>
        <v/>
      </c>
      <c r="E104" t="n">
        <v>120842</v>
      </c>
      <c r="F104" t="n">
        <v>523069</v>
      </c>
      <c r="G104" t="inlineStr">
        <is>
          <t>Physician</t>
        </is>
      </c>
      <c r="H104" t="inlineStr">
        <is>
          <t>communication</t>
        </is>
      </c>
      <c r="I104" t="inlineStr">
        <is>
          <t>P</t>
        </is>
      </c>
    </row>
    <row r="105">
      <c r="A105" t="inlineStr">
        <is>
          <t>523069-communication-0-0</t>
        </is>
      </c>
      <c r="B105" t="inlineStr"/>
      <c r="C105" t="inlineStr"/>
      <c r="D105">
        <f>HYPERLINK("http://nlpdeep.cs.uic.edu:8080/proofing/gsii/523069-communication-0-0.pdf","gsii/523069-communication-0-0.pdf")</f>
        <v/>
      </c>
      <c r="E105" t="n">
        <v>120842</v>
      </c>
      <c r="F105" t="n">
        <v>523069</v>
      </c>
      <c r="G105" t="inlineStr">
        <is>
          <t>Physician</t>
        </is>
      </c>
      <c r="H105" t="inlineStr">
        <is>
          <t>communication</t>
        </is>
      </c>
      <c r="I105" t="inlineStr">
        <is>
          <t>P</t>
        </is>
      </c>
    </row>
    <row r="106">
      <c r="A106" t="inlineStr">
        <is>
          <t>523069-disposition-0-0</t>
        </is>
      </c>
      <c r="B106" t="inlineStr"/>
      <c r="C106" t="inlineStr"/>
      <c r="D106">
        <f>HYPERLINK("http://nlpdeep.cs.uic.edu:8080/proofing/t5/523069-disposition-0-0.pdf","t5/523069-disposition-0-0.pdf")</f>
        <v/>
      </c>
      <c r="E106" t="n">
        <v>120842</v>
      </c>
      <c r="F106" t="n">
        <v>523069</v>
      </c>
      <c r="G106" t="inlineStr">
        <is>
          <t>Physician</t>
        </is>
      </c>
      <c r="H106" t="inlineStr">
        <is>
          <t>disposition</t>
        </is>
      </c>
      <c r="I106" t="inlineStr">
        <is>
          <t>call out?</t>
        </is>
      </c>
    </row>
    <row r="107">
      <c r="A107" t="inlineStr">
        <is>
          <t>523069-disposition-0-0</t>
        </is>
      </c>
      <c r="B107" t="inlineStr"/>
      <c r="C107" t="inlineStr"/>
      <c r="D107">
        <f>HYPERLINK("http://nlpdeep.cs.uic.edu:8080/proofing/gsii/523069-disposition-0-0.pdf","gsii/523069-disposition-0-0.pdf")</f>
        <v/>
      </c>
      <c r="E107" t="n">
        <v>120842</v>
      </c>
      <c r="F107" t="n">
        <v>523069</v>
      </c>
      <c r="G107" t="inlineStr">
        <is>
          <t>Physician</t>
        </is>
      </c>
      <c r="H107" t="inlineStr">
        <is>
          <t>disposition</t>
        </is>
      </c>
      <c r="I107" t="inlineStr">
        <is>
          <t>call out?</t>
        </is>
      </c>
    </row>
    <row r="108">
      <c r="A108" t="inlineStr">
        <is>
          <t>522935-chief-complaint-0-0</t>
        </is>
      </c>
      <c r="B108" t="inlineStr"/>
      <c r="C108" t="inlineStr"/>
      <c r="D108">
        <f>HYPERLINK("http://nlpdeep.cs.uic.edu:8080/proofing/t5/522935-chief-complaint-0-0.pdf","t5/522935-chief-complaint-0-0.pdf")</f>
        <v/>
      </c>
      <c r="E108" t="n">
        <v>120842</v>
      </c>
      <c r="F108" t="n">
        <v>522935</v>
      </c>
      <c r="G108" t="inlineStr">
        <is>
          <t>Physician</t>
        </is>
      </c>
      <c r="H108" t="inlineStr">
        <is>
          <t>chief-complaint</t>
        </is>
      </c>
      <c r="I108" t="inlineStr"/>
    </row>
    <row r="109">
      <c r="A109" t="inlineStr">
        <is>
          <t>522935-chief-complaint-0-0</t>
        </is>
      </c>
      <c r="B109" t="inlineStr"/>
      <c r="C109" t="inlineStr"/>
      <c r="D109">
        <f>HYPERLINK("http://nlpdeep.cs.uic.edu:8080/proofing/gsii/522935-chief-complaint-0-0.pdf","gsii/522935-chief-complaint-0-0.pdf")</f>
        <v/>
      </c>
      <c r="E109" t="n">
        <v>120842</v>
      </c>
      <c r="F109" t="n">
        <v>522935</v>
      </c>
      <c r="G109" t="inlineStr">
        <is>
          <t>Physician</t>
        </is>
      </c>
      <c r="H109" t="inlineStr">
        <is>
          <t>chief-complaint</t>
        </is>
      </c>
      <c r="I109" t="inlineStr"/>
    </row>
    <row r="110">
      <c r="A110" t="inlineStr">
        <is>
          <t>522935-chief-complaint-1-0</t>
        </is>
      </c>
      <c r="B110" t="inlineStr"/>
      <c r="C110" t="inlineStr"/>
      <c r="D110">
        <f>HYPERLINK("http://nlpdeep.cs.uic.edu:8080/proofing/t5/522935-chief-complaint-1-0.pdf","t5/522935-chief-complaint-1-0.pdf")</f>
        <v/>
      </c>
      <c r="E110" t="n">
        <v>120842</v>
      </c>
      <c r="F110" t="n">
        <v>522935</v>
      </c>
      <c r="G110" t="inlineStr">
        <is>
          <t>Physician</t>
        </is>
      </c>
      <c r="H110" t="inlineStr">
        <is>
          <t>chief-complaint</t>
        </is>
      </c>
      <c r="I110" t="inlineStr">
        <is>
          <t xml:space="preserve">
   Reason for MICU admission: tachypnea and high oxygen requirements
   .</t>
        </is>
      </c>
    </row>
    <row r="111">
      <c r="A111" t="inlineStr">
        <is>
          <t>522935-chief-complaint-1-0</t>
        </is>
      </c>
      <c r="B111" t="inlineStr"/>
      <c r="C111" t="inlineStr"/>
      <c r="D111">
        <f>HYPERLINK("http://nlpdeep.cs.uic.edu:8080/proofing/gsii/522935-chief-complaint-1-0.pdf","gsii/522935-chief-complaint-1-0.pdf")</f>
        <v/>
      </c>
      <c r="E111" t="n">
        <v>120842</v>
      </c>
      <c r="F111" t="n">
        <v>522935</v>
      </c>
      <c r="G111" t="inlineStr">
        <is>
          <t>Physician</t>
        </is>
      </c>
      <c r="H111" t="inlineStr">
        <is>
          <t>chief-complaint</t>
        </is>
      </c>
      <c r="I111" t="inlineStr">
        <is>
          <t xml:space="preserve">
   Reason for MICU admission: tachypnea and high oxygen requirements
   .</t>
        </is>
      </c>
    </row>
    <row r="112">
      <c r="A112" t="inlineStr">
        <is>
          <t>522935-history-of-present-illness-0-0</t>
        </is>
      </c>
      <c r="B112" t="inlineStr"/>
      <c r="C112" t="inlineStr"/>
      <c r="D112">
        <f>HYPERLINK("http://nlpdeep.cs.uic.edu:8080/proofing/t5/522935-history-of-present-illness-0-0.pdf","t5/522935-history-of-present-illness-0-0.pdf")</f>
        <v/>
      </c>
      <c r="E112" t="n">
        <v>120842</v>
      </c>
      <c r="F112" t="n">
        <v>522935</v>
      </c>
      <c r="G112" t="inlineStr">
        <is>
          <t>Physician</t>
        </is>
      </c>
      <c r="H112" t="inlineStr">
        <is>
          <t>history-of-present-illness</t>
        </is>
      </c>
      <c r="I112" t="inlineStr">
        <is>
          <t>.</t>
        </is>
      </c>
    </row>
    <row r="113">
      <c r="A113" t="inlineStr">
        <is>
          <t>522935-history-of-present-illness-0-0</t>
        </is>
      </c>
      <c r="B113" t="inlineStr"/>
      <c r="C113" t="inlineStr"/>
      <c r="D113">
        <f>HYPERLINK("http://nlpdeep.cs.uic.edu:8080/proofing/gsii/522935-history-of-present-illness-0-0.pdf","gsii/522935-history-of-present-illness-0-0.pdf")</f>
        <v/>
      </c>
      <c r="E113" t="n">
        <v>120842</v>
      </c>
      <c r="F113" t="n">
        <v>522935</v>
      </c>
      <c r="G113" t="inlineStr">
        <is>
          <t>Physician</t>
        </is>
      </c>
      <c r="H113" t="inlineStr">
        <is>
          <t>history-of-present-illness</t>
        </is>
      </c>
      <c r="I113" t="inlineStr">
        <is>
          <t>.</t>
        </is>
      </c>
    </row>
    <row r="114">
      <c r="A114" t="inlineStr">
        <is>
          <t>522935-current-medications-0-0</t>
        </is>
      </c>
      <c r="B114" t="inlineStr"/>
      <c r="C114" t="inlineStr"/>
      <c r="D114">
        <f>HYPERLINK("http://nlpdeep.cs.uic.edu:8080/proofing/t5/522935-current-medications-0-0.pdf","t5/522935-current-medications-0-0.pdf")</f>
        <v/>
      </c>
      <c r="E114" t="n">
        <v>120842</v>
      </c>
      <c r="F114" t="n">
        <v>522935</v>
      </c>
      <c r="G114" t="inlineStr">
        <is>
          <t>Physician</t>
        </is>
      </c>
      <c r="H114" t="inlineStr">
        <is>
          <t>current-medications</t>
        </is>
      </c>
      <c r="I114" t="inlineStr">
        <is>
          <t>Heparin Sodium (Prophylaxis) - [**2153-4-8**] 10:56 P</t>
        </is>
      </c>
    </row>
    <row r="115">
      <c r="A115" t="inlineStr">
        <is>
          <t>522935-current-medications-0-0</t>
        </is>
      </c>
      <c r="B115" t="inlineStr"/>
      <c r="C115" t="inlineStr"/>
      <c r="D115">
        <f>HYPERLINK("http://nlpdeep.cs.uic.edu:8080/proofing/gsii/522935-current-medications-0-0.pdf","gsii/522935-current-medications-0-0.pdf")</f>
        <v/>
      </c>
      <c r="E115" t="n">
        <v>120842</v>
      </c>
      <c r="F115" t="n">
        <v>522935</v>
      </c>
      <c r="G115" t="inlineStr">
        <is>
          <t>Physician</t>
        </is>
      </c>
      <c r="H115" t="inlineStr">
        <is>
          <t>current-medications</t>
        </is>
      </c>
      <c r="I115" t="inlineStr">
        <is>
          <t>Heparin Sodium (Prophylaxis) - [**2153-4-8**] 10:56 P</t>
        </is>
      </c>
    </row>
    <row r="116">
      <c r="A116" t="inlineStr">
        <is>
          <t>522935-medication-history-0-0</t>
        </is>
      </c>
      <c r="B116" t="inlineStr"/>
      <c r="C116" t="inlineStr"/>
      <c r="D116">
        <f>HYPERLINK("http://nlpdeep.cs.uic.edu:8080/proofing/t5/522935-medication-history-0-0.pdf","t5/522935-medication-history-0-0.pdf")</f>
        <v/>
      </c>
      <c r="E116" t="n">
        <v>120842</v>
      </c>
      <c r="F116" t="n">
        <v>522935</v>
      </c>
      <c r="G116" t="inlineStr">
        <is>
          <t>Physician</t>
        </is>
      </c>
      <c r="H116" t="inlineStr">
        <is>
          <t>medication-history</t>
        </is>
      </c>
      <c r="I116" t="inlineStr">
        <is>
          <t>- Home O2 - 2LPM at rest, 4 LPM with exertion
   - Advair 500-50 twice a day
   - Albuterol neb or MDI Q6H as needed for wheezing, SOB
   - Captopril 50 mg TID
   - Fluoxetine 20 mg TID
   - Glipizide 5 mg Daily
   - Lorazepam 0.5 mg [**Hospital1 7**] as needed for Anxiety.</t>
        </is>
      </c>
    </row>
    <row r="117">
      <c r="A117" t="inlineStr">
        <is>
          <t>522935-medication-history-0-0</t>
        </is>
      </c>
      <c r="B117" t="inlineStr"/>
      <c r="C117" t="inlineStr"/>
      <c r="D117">
        <f>HYPERLINK("http://nlpdeep.cs.uic.edu:8080/proofing/gsii/522935-medication-history-0-0.pdf","gsii/522935-medication-history-0-0.pdf")</f>
        <v/>
      </c>
      <c r="E117" t="n">
        <v>120842</v>
      </c>
      <c r="F117" t="n">
        <v>522935</v>
      </c>
      <c r="G117" t="inlineStr">
        <is>
          <t>Physician</t>
        </is>
      </c>
      <c r="H117" t="inlineStr">
        <is>
          <t>medication-history</t>
        </is>
      </c>
      <c r="I117" t="inlineStr">
        <is>
          <t>- Home O2 - 2LPM at rest, 4 LPM with exertion
   - Advair 500-50 twice a day
   - Albuterol neb or MDI Q6H as needed for wheezing, SOB
   - Captopril 50 mg TID
   - Fluoxetine 20 mg TID
   - Glipizide 5 mg Daily
   - Lorazepam 0.5 mg [**Hospital1 7**] as needed for Anxiety.</t>
        </is>
      </c>
    </row>
    <row r="118">
      <c r="A118" t="inlineStr">
        <is>
          <t>522935-medication-history-0-1</t>
        </is>
      </c>
      <c r="B118" t="inlineStr"/>
      <c r="C118" t="inlineStr"/>
      <c r="D118">
        <f>HYPERLINK("http://nlpdeep.cs.uic.edu:8080/proofing/t5/522935-medication-history-0-1.pdf","t5/522935-medication-history-0-1.pdf")</f>
        <v/>
      </c>
      <c r="E118" t="n">
        <v>120842</v>
      </c>
      <c r="F118" t="n">
        <v>522935</v>
      </c>
      <c r="G118" t="inlineStr">
        <is>
          <t>Physician</t>
        </is>
      </c>
      <c r="H118" t="inlineStr">
        <is>
          <t>medication-history</t>
        </is>
      </c>
      <c r="I118" t="inlineStr">
        <is>
          <t xml:space="preserve">
   - Metformin 500 mg SR [**Hospital1 7**]
   - Montelukast 10 mg DAILY
   - Simvastatin 40 mg DAILY
   - Spiriva 18 mcg once a day.</t>
        </is>
      </c>
    </row>
    <row r="119">
      <c r="A119" t="inlineStr">
        <is>
          <t>522935-medication-history-0-1</t>
        </is>
      </c>
      <c r="B119" t="inlineStr"/>
      <c r="C119" t="inlineStr"/>
      <c r="D119">
        <f>HYPERLINK("http://nlpdeep.cs.uic.edu:8080/proofing/gsii/522935-medication-history-0-1.pdf","gsii/522935-medication-history-0-1.pdf")</f>
        <v/>
      </c>
      <c r="E119" t="n">
        <v>120842</v>
      </c>
      <c r="F119" t="n">
        <v>522935</v>
      </c>
      <c r="G119" t="inlineStr">
        <is>
          <t>Physician</t>
        </is>
      </c>
      <c r="H119" t="inlineStr">
        <is>
          <t>medication-history</t>
        </is>
      </c>
      <c r="I119" t="inlineStr">
        <is>
          <t xml:space="preserve">
   - Metformin 500 mg SR [**Hospital1 7**]
   - Montelukast 10 mg DAILY
   - Simvastatin 40 mg DAILY
   - Spiriva 18 mcg once a day.</t>
        </is>
      </c>
    </row>
    <row r="120">
      <c r="A120" t="inlineStr">
        <is>
          <t>522935-medication-history-0-2</t>
        </is>
      </c>
      <c r="B120" t="inlineStr"/>
      <c r="C120" t="inlineStr"/>
      <c r="D120">
        <f>HYPERLINK("http://nlpdeep.cs.uic.edu:8080/proofing/t5/522935-medication-history-0-2.pdf","t5/522935-medication-history-0-2.pdf")</f>
        <v/>
      </c>
      <c r="E120" t="n">
        <v>120842</v>
      </c>
      <c r="F120" t="n">
        <v>522935</v>
      </c>
      <c r="G120" t="inlineStr">
        <is>
          <t>Physician</t>
        </is>
      </c>
      <c r="H120" t="inlineStr">
        <is>
          <t>medication-history</t>
        </is>
      </c>
      <c r="I120" t="inlineStr">
        <is>
          <t xml:space="preserve">
   - Calcium 500 + D 500 mg(1,250mg)-400 unit twice a day.</t>
        </is>
      </c>
    </row>
    <row r="121">
      <c r="A121" t="inlineStr">
        <is>
          <t>522935-medication-history-0-2</t>
        </is>
      </c>
      <c r="B121" t="inlineStr"/>
      <c r="C121" t="inlineStr"/>
      <c r="D121">
        <f>HYPERLINK("http://nlpdeep.cs.uic.edu:8080/proofing/gsii/522935-medication-history-0-2.pdf","gsii/522935-medication-history-0-2.pdf")</f>
        <v/>
      </c>
      <c r="E121" t="n">
        <v>120842</v>
      </c>
      <c r="F121" t="n">
        <v>522935</v>
      </c>
      <c r="G121" t="inlineStr">
        <is>
          <t>Physician</t>
        </is>
      </c>
      <c r="H121" t="inlineStr">
        <is>
          <t>medication-history</t>
        </is>
      </c>
      <c r="I121" t="inlineStr">
        <is>
          <t xml:space="preserve">
   - Calcium 500 + D 500 mg(1,250mg)-400 unit twice a day.</t>
        </is>
      </c>
    </row>
    <row r="122">
      <c r="A122" t="inlineStr">
        <is>
          <t>522935-medication-history-0-3</t>
        </is>
      </c>
      <c r="B122" t="inlineStr"/>
      <c r="C122" t="inlineStr"/>
      <c r="D122">
        <f>HYPERLINK("http://nlpdeep.cs.uic.edu:8080/proofing/t5/522935-medication-history-0-3.pdf","t5/522935-medication-history-0-3.pdf")</f>
        <v/>
      </c>
      <c r="E122" t="n">
        <v>120842</v>
      </c>
      <c r="F122" t="n">
        <v>522935</v>
      </c>
      <c r="G122" t="inlineStr">
        <is>
          <t>Physician</t>
        </is>
      </c>
      <c r="H122" t="inlineStr">
        <is>
          <t>medication-history</t>
        </is>
      </c>
      <c r="I122" t="inlineStr">
        <is>
          <t xml:space="preserve">
   - Enoxaparin 30 mg/0.3 mL SC Q12H for 4 weeks.</t>
        </is>
      </c>
    </row>
    <row r="123">
      <c r="A123" t="inlineStr">
        <is>
          <t>522935-medication-history-0-3</t>
        </is>
      </c>
      <c r="B123" t="inlineStr"/>
      <c r="C123" t="inlineStr"/>
      <c r="D123">
        <f>HYPERLINK("http://nlpdeep.cs.uic.edu:8080/proofing/gsii/522935-medication-history-0-3.pdf","gsii/522935-medication-history-0-3.pdf")</f>
        <v/>
      </c>
      <c r="E123" t="n">
        <v>120842</v>
      </c>
      <c r="F123" t="n">
        <v>522935</v>
      </c>
      <c r="G123" t="inlineStr">
        <is>
          <t>Physician</t>
        </is>
      </c>
      <c r="H123" t="inlineStr">
        <is>
          <t>medication-history</t>
        </is>
      </c>
      <c r="I123" t="inlineStr">
        <is>
          <t xml:space="preserve">
   - Enoxaparin 30 mg/0.3 mL SC Q12H for 4 weeks.</t>
        </is>
      </c>
    </row>
    <row r="124">
      <c r="A124" t="inlineStr">
        <is>
          <t>522935-medication-history-0-4</t>
        </is>
      </c>
      <c r="B124" t="inlineStr"/>
      <c r="C124" t="inlineStr"/>
      <c r="D124">
        <f>HYPERLINK("http://nlpdeep.cs.uic.edu:8080/proofing/t5/522935-medication-history-0-4.pdf","t5/522935-medication-history-0-4.pdf")</f>
        <v/>
      </c>
      <c r="E124" t="n">
        <v>120842</v>
      </c>
      <c r="F124" t="n">
        <v>522935</v>
      </c>
      <c r="G124" t="inlineStr">
        <is>
          <t>Physician</t>
        </is>
      </c>
      <c r="H124" t="inlineStr">
        <is>
          <t>medication-history</t>
        </is>
      </c>
      <c r="I124" t="inlineStr">
        <is>
          <t xml:space="preserve"> Stopped [**4-1**]
   - Omeprazole 20 mg once a day.</t>
        </is>
      </c>
    </row>
    <row r="125">
      <c r="A125" t="inlineStr">
        <is>
          <t>522935-medication-history-0-4</t>
        </is>
      </c>
      <c r="B125" t="inlineStr"/>
      <c r="C125" t="inlineStr"/>
      <c r="D125">
        <f>HYPERLINK("http://nlpdeep.cs.uic.edu:8080/proofing/gsii/522935-medication-history-0-4.pdf","gsii/522935-medication-history-0-4.pdf")</f>
        <v/>
      </c>
      <c r="E125" t="n">
        <v>120842</v>
      </c>
      <c r="F125" t="n">
        <v>522935</v>
      </c>
      <c r="G125" t="inlineStr">
        <is>
          <t>Physician</t>
        </is>
      </c>
      <c r="H125" t="inlineStr">
        <is>
          <t>medication-history</t>
        </is>
      </c>
      <c r="I125" t="inlineStr">
        <is>
          <t xml:space="preserve"> Stopped [**4-1**]
   - Omeprazole 20 mg once a day.</t>
        </is>
      </c>
    </row>
    <row r="126">
      <c r="A126" t="inlineStr">
        <is>
          <t>522935-medication-history-0-5</t>
        </is>
      </c>
      <c r="B126" t="inlineStr"/>
      <c r="C126" t="inlineStr"/>
      <c r="D126">
        <f>HYPERLINK("http://nlpdeep.cs.uic.edu:8080/proofing/t5/522935-medication-history-0-5.pdf","t5/522935-medication-history-0-5.pdf")</f>
        <v/>
      </c>
      <c r="E126" t="n">
        <v>120842</v>
      </c>
      <c r="F126" t="n">
        <v>522935</v>
      </c>
      <c r="G126" t="inlineStr">
        <is>
          <t>Physician</t>
        </is>
      </c>
      <c r="H126" t="inlineStr">
        <is>
          <t>medication-history</t>
        </is>
      </c>
      <c r="I126" t="inlineStr">
        <is>
          <t>- Docusate Sodium 100 mg [**Hospital1 7**]
   - Multivitamin DAILY
   - Ferrous Sulfate 300 mg DAILY
   - Vitamin D 1000 IU daily
   - Robitussin DM PRN Cough s</t>
        </is>
      </c>
    </row>
    <row r="127">
      <c r="A127" t="inlineStr">
        <is>
          <t>522935-medication-history-0-5</t>
        </is>
      </c>
      <c r="B127" t="inlineStr"/>
      <c r="C127" t="inlineStr"/>
      <c r="D127">
        <f>HYPERLINK("http://nlpdeep.cs.uic.edu:8080/proofing/gsii/522935-medication-history-0-5.pdf","gsii/522935-medication-history-0-5.pdf")</f>
        <v/>
      </c>
      <c r="E127" t="n">
        <v>120842</v>
      </c>
      <c r="F127" t="n">
        <v>522935</v>
      </c>
      <c r="G127" t="inlineStr">
        <is>
          <t>Physician</t>
        </is>
      </c>
      <c r="H127" t="inlineStr">
        <is>
          <t>medication-history</t>
        </is>
      </c>
      <c r="I127" t="inlineStr">
        <is>
          <t>- Docusate Sodium 100 mg [**Hospital1 7**]
   - Multivitamin DAILY
   - Ferrous Sulfate 300 mg DAILY
   - Vitamin D 1000 IU daily
   - Robitussin DM PRN Cough s</t>
        </is>
      </c>
    </row>
    <row r="128">
      <c r="A128" t="inlineStr">
        <is>
          <t>522935-past-medical-history-0-0</t>
        </is>
      </c>
      <c r="B128" t="inlineStr"/>
      <c r="C128" t="inlineStr"/>
      <c r="D128">
        <f>HYPERLINK("http://nlpdeep.cs.uic.edu:8080/proofing/t5/522935-past-medical-history-0-0.pdf","t5/522935-past-medical-history-0-0.pdf")</f>
        <v/>
      </c>
      <c r="E128" t="n">
        <v>120842</v>
      </c>
      <c r="F128" t="n">
        <v>522935</v>
      </c>
      <c r="G128" t="inlineStr">
        <is>
          <t>Physician</t>
        </is>
      </c>
      <c r="H128" t="inlineStr">
        <is>
          <t>past-medical-history</t>
        </is>
      </c>
      <c r="I128" t="inlineStr">
        <is>
          <t>- COPD/?asthma on home O2 at 2-4LPM.</t>
        </is>
      </c>
    </row>
    <row r="129">
      <c r="A129" t="inlineStr">
        <is>
          <t>522935-past-medical-history-0-0</t>
        </is>
      </c>
      <c r="B129" t="inlineStr"/>
      <c r="C129" t="inlineStr"/>
      <c r="D129">
        <f>HYPERLINK("http://nlpdeep.cs.uic.edu:8080/proofing/gsii/522935-past-medical-history-0-0.pdf","gsii/522935-past-medical-history-0-0.pdf")</f>
        <v/>
      </c>
      <c r="E129" t="n">
        <v>120842</v>
      </c>
      <c r="F129" t="n">
        <v>522935</v>
      </c>
      <c r="G129" t="inlineStr">
        <is>
          <t>Physician</t>
        </is>
      </c>
      <c r="H129" t="inlineStr">
        <is>
          <t>past-medical-history</t>
        </is>
      </c>
      <c r="I129" t="inlineStr">
        <is>
          <t>- COPD/?asthma on home O2 at 2-4LPM.</t>
        </is>
      </c>
    </row>
    <row r="130">
      <c r="A130" t="inlineStr">
        <is>
          <t>522935-past-medical-history-0-1</t>
        </is>
      </c>
      <c r="B130" t="inlineStr"/>
      <c r="C130" t="inlineStr"/>
      <c r="D130">
        <f>HYPERLINK("http://nlpdeep.cs.uic.edu:8080/proofing/t5/522935-past-medical-history-0-1.pdf","t5/522935-past-medical-history-0-1.pdf")</f>
        <v/>
      </c>
      <c r="E130" t="n">
        <v>120842</v>
      </c>
      <c r="F130" t="n">
        <v>522935</v>
      </c>
      <c r="G130" t="inlineStr">
        <is>
          <t>Physician</t>
        </is>
      </c>
      <c r="H130" t="inlineStr">
        <is>
          <t>past-medical-history</t>
        </is>
      </c>
      <c r="I130" t="inlineStr">
        <is>
          <t>Spirometry with only mild to
   moderate obstructive defect, FEV1 1.17 (68% predicted) but low DLCO at
   38% predicted.</t>
        </is>
      </c>
    </row>
    <row r="131">
      <c r="A131" t="inlineStr">
        <is>
          <t>522935-past-medical-history-0-1</t>
        </is>
      </c>
      <c r="B131" t="inlineStr"/>
      <c r="C131" t="inlineStr"/>
      <c r="D131">
        <f>HYPERLINK("http://nlpdeep.cs.uic.edu:8080/proofing/gsii/522935-past-medical-history-0-1.pdf","gsii/522935-past-medical-history-0-1.pdf")</f>
        <v/>
      </c>
      <c r="E131" t="n">
        <v>120842</v>
      </c>
      <c r="F131" t="n">
        <v>522935</v>
      </c>
      <c r="G131" t="inlineStr">
        <is>
          <t>Physician</t>
        </is>
      </c>
      <c r="H131" t="inlineStr">
        <is>
          <t>past-medical-history</t>
        </is>
      </c>
      <c r="I131" t="inlineStr">
        <is>
          <t>Spirometry with only mild to
   moderate obstructive defect, FEV1 1.17 (68% predicted) but low DLCO at
   38% predicted.</t>
        </is>
      </c>
    </row>
    <row r="132">
      <c r="A132" t="inlineStr">
        <is>
          <t>522935-past-medical-history-0-2</t>
        </is>
      </c>
      <c r="B132" t="inlineStr"/>
      <c r="C132" t="inlineStr"/>
      <c r="D132">
        <f>HYPERLINK("http://nlpdeep.cs.uic.edu:8080/proofing/t5/522935-past-medical-history-0-2.pdf","t5/522935-past-medical-history-0-2.pdf")</f>
        <v/>
      </c>
      <c r="E132" t="n">
        <v>120842</v>
      </c>
      <c r="F132" t="n">
        <v>522935</v>
      </c>
      <c r="G132" t="inlineStr">
        <is>
          <t>Physician</t>
        </is>
      </c>
      <c r="H132" t="inlineStr">
        <is>
          <t>past-medical-history</t>
        </is>
      </c>
      <c r="I132" t="inlineStr">
        <is>
          <t xml:space="preserve">
   - Diastolic CHF and pulmonary hypertension.</t>
        </is>
      </c>
    </row>
    <row r="133">
      <c r="A133" t="inlineStr">
        <is>
          <t>522935-past-medical-history-0-2</t>
        </is>
      </c>
      <c r="B133" t="inlineStr"/>
      <c r="C133" t="inlineStr"/>
      <c r="D133">
        <f>HYPERLINK("http://nlpdeep.cs.uic.edu:8080/proofing/gsii/522935-past-medical-history-0-2.pdf","gsii/522935-past-medical-history-0-2.pdf")</f>
        <v/>
      </c>
      <c r="E133" t="n">
        <v>120842</v>
      </c>
      <c r="F133" t="n">
        <v>522935</v>
      </c>
      <c r="G133" t="inlineStr">
        <is>
          <t>Physician</t>
        </is>
      </c>
      <c r="H133" t="inlineStr">
        <is>
          <t>past-medical-history</t>
        </is>
      </c>
      <c r="I133" t="inlineStr">
        <is>
          <t xml:space="preserve">
   - Diastolic CHF and pulmonary hypertension.</t>
        </is>
      </c>
    </row>
    <row r="134">
      <c r="A134" t="inlineStr">
        <is>
          <t>522935-past-medical-history-0-3</t>
        </is>
      </c>
      <c r="B134" t="inlineStr"/>
      <c r="C134" t="inlineStr"/>
      <c r="D134">
        <f>HYPERLINK("http://nlpdeep.cs.uic.edu:8080/proofing/t5/522935-past-medical-history-0-3.pdf","t5/522935-past-medical-history-0-3.pdf")</f>
        <v/>
      </c>
      <c r="E134" t="n">
        <v>120842</v>
      </c>
      <c r="F134" t="n">
        <v>522935</v>
      </c>
      <c r="G134" t="inlineStr">
        <is>
          <t>Physician</t>
        </is>
      </c>
      <c r="H134" t="inlineStr">
        <is>
          <t>past-medical-history</t>
        </is>
      </c>
      <c r="I134" t="inlineStr">
        <is>
          <t>Last TTE [**12/2151**] with EF
   &gt;55%, mild RV dilation with preserved function, estimated TR gradient
   43-63.</t>
        </is>
      </c>
    </row>
    <row r="135">
      <c r="A135" t="inlineStr">
        <is>
          <t>522935-past-medical-history-0-3</t>
        </is>
      </c>
      <c r="B135" t="inlineStr"/>
      <c r="C135" t="inlineStr"/>
      <c r="D135">
        <f>HYPERLINK("http://nlpdeep.cs.uic.edu:8080/proofing/gsii/522935-past-medical-history-0-3.pdf","gsii/522935-past-medical-history-0-3.pdf")</f>
        <v/>
      </c>
      <c r="E135" t="n">
        <v>120842</v>
      </c>
      <c r="F135" t="n">
        <v>522935</v>
      </c>
      <c r="G135" t="inlineStr">
        <is>
          <t>Physician</t>
        </is>
      </c>
      <c r="H135" t="inlineStr">
        <is>
          <t>past-medical-history</t>
        </is>
      </c>
      <c r="I135" t="inlineStr">
        <is>
          <t>Last TTE [**12/2151**] with EF
   &gt;55%, mild RV dilation with preserved function, estimated TR gradient
   43-63.</t>
        </is>
      </c>
    </row>
    <row r="136">
      <c r="A136" t="inlineStr">
        <is>
          <t>522935-past-medical-history-0-4</t>
        </is>
      </c>
      <c r="B136" t="inlineStr"/>
      <c r="C136" t="inlineStr"/>
      <c r="D136">
        <f>HYPERLINK("http://nlpdeep.cs.uic.edu:8080/proofing/t5/522935-past-medical-history-0-4.pdf","t5/522935-past-medical-history-0-4.pdf")</f>
        <v/>
      </c>
      <c r="E136" t="n">
        <v>120842</v>
      </c>
      <c r="F136" t="n">
        <v>522935</v>
      </c>
      <c r="G136" t="inlineStr">
        <is>
          <t>Physician</t>
        </is>
      </c>
      <c r="H136" t="inlineStr">
        <is>
          <t>past-medical-history</t>
        </is>
      </c>
      <c r="I136" t="inlineStr">
        <is>
          <t xml:space="preserve">
   - OSA on home CPAP
   - DM type II
   - HTN
   - s/p R TKR [**2153-3-5**], complicated by desaturation due to COPD
   exacerbation, dCHF, and ?narcotics.</t>
        </is>
      </c>
    </row>
    <row r="137">
      <c r="A137" t="inlineStr">
        <is>
          <t>522935-past-medical-history-0-4</t>
        </is>
      </c>
      <c r="B137" t="inlineStr"/>
      <c r="C137" t="inlineStr"/>
      <c r="D137">
        <f>HYPERLINK("http://nlpdeep.cs.uic.edu:8080/proofing/gsii/522935-past-medical-history-0-4.pdf","gsii/522935-past-medical-history-0-4.pdf")</f>
        <v/>
      </c>
      <c r="E137" t="n">
        <v>120842</v>
      </c>
      <c r="F137" t="n">
        <v>522935</v>
      </c>
      <c r="G137" t="inlineStr">
        <is>
          <t>Physician</t>
        </is>
      </c>
      <c r="H137" t="inlineStr">
        <is>
          <t>past-medical-history</t>
        </is>
      </c>
      <c r="I137" t="inlineStr">
        <is>
          <t xml:space="preserve">
   - OSA on home CPAP
   - DM type II
   - HTN
   - s/p R TKR [**2153-3-5**], complicated by desaturation due to COPD
   exacerbation, dCHF, and ?narcotics.</t>
        </is>
      </c>
    </row>
    <row r="138">
      <c r="A138" t="inlineStr">
        <is>
          <t>522935-past-medical-history-0-5</t>
        </is>
      </c>
      <c r="B138" t="inlineStr"/>
      <c r="C138" t="inlineStr"/>
      <c r="D138">
        <f>HYPERLINK("http://nlpdeep.cs.uic.edu:8080/proofing/t5/522935-past-medical-history-0-5.pdf","t5/522935-past-medical-history-0-5.pdf")</f>
        <v/>
      </c>
      <c r="E138" t="n">
        <v>120842</v>
      </c>
      <c r="F138" t="n">
        <v>522935</v>
      </c>
      <c r="G138" t="inlineStr">
        <is>
          <t>Physician</t>
        </is>
      </c>
      <c r="H138" t="inlineStr">
        <is>
          <t>past-medical-history</t>
        </is>
      </c>
      <c r="I138" t="inlineStr">
        <is>
          <t>- s/p L TKR
   - History of rectal cancer s/p chemo, XRT, and s/p transanal rectal ca
   excision
   - s/p hysterectomy
   - Anxiety / D</t>
        </is>
      </c>
    </row>
    <row r="139">
      <c r="A139" t="inlineStr">
        <is>
          <t>522935-past-medical-history-0-5</t>
        </is>
      </c>
      <c r="B139" t="inlineStr"/>
      <c r="C139" t="inlineStr"/>
      <c r="D139">
        <f>HYPERLINK("http://nlpdeep.cs.uic.edu:8080/proofing/gsii/522935-past-medical-history-0-5.pdf","gsii/522935-past-medical-history-0-5.pdf")</f>
        <v/>
      </c>
      <c r="E139" t="n">
        <v>120842</v>
      </c>
      <c r="F139" t="n">
        <v>522935</v>
      </c>
      <c r="G139" t="inlineStr">
        <is>
          <t>Physician</t>
        </is>
      </c>
      <c r="H139" t="inlineStr">
        <is>
          <t>past-medical-history</t>
        </is>
      </c>
      <c r="I139" t="inlineStr">
        <is>
          <t>- s/p L TKR
   - History of rectal cancer s/p chemo, XRT, and s/p transanal rectal ca
   excision
   - s/p hysterectomy
   - Anxiety / D</t>
        </is>
      </c>
    </row>
    <row r="140">
      <c r="A140" t="inlineStr">
        <is>
          <t>522935-social-history-0-0</t>
        </is>
      </c>
      <c r="B140" t="inlineStr"/>
      <c r="C140" t="inlineStr"/>
      <c r="D140">
        <f>HYPERLINK("http://nlpdeep.cs.uic.edu:8080/proofing/t5/522935-social-history-0-0.pdf","t5/522935-social-history-0-0.pdf")</f>
        <v/>
      </c>
      <c r="E140" t="n">
        <v>120842</v>
      </c>
      <c r="F140" t="n">
        <v>522935</v>
      </c>
      <c r="G140" t="inlineStr">
        <is>
          <t>Physician</t>
        </is>
      </c>
      <c r="H140" t="inlineStr">
        <is>
          <t>social-history</t>
        </is>
      </c>
      <c r="I140" t="inlineStr">
        <is>
          <t>Has 11 children and 27 grandchildren.</t>
        </is>
      </c>
    </row>
    <row r="141">
      <c r="A141" t="inlineStr">
        <is>
          <t>522935-social-history-0-0</t>
        </is>
      </c>
      <c r="B141" t="inlineStr"/>
      <c r="C141" t="inlineStr"/>
      <c r="D141">
        <f>HYPERLINK("http://nlpdeep.cs.uic.edu:8080/proofing/gsii/522935-social-history-0-0.pdf","gsii/522935-social-history-0-0.pdf")</f>
        <v/>
      </c>
      <c r="E141" t="n">
        <v>120842</v>
      </c>
      <c r="F141" t="n">
        <v>522935</v>
      </c>
      <c r="G141" t="inlineStr">
        <is>
          <t>Physician</t>
        </is>
      </c>
      <c r="H141" t="inlineStr">
        <is>
          <t>social-history</t>
        </is>
      </c>
      <c r="I141" t="inlineStr">
        <is>
          <t>Has 11 children and 27 grandchildren.</t>
        </is>
      </c>
    </row>
    <row r="142">
      <c r="A142" t="inlineStr">
        <is>
          <t>522935-social-history-0-1</t>
        </is>
      </c>
      <c r="B142" t="inlineStr"/>
      <c r="C142" t="inlineStr"/>
      <c r="D142">
        <f>HYPERLINK("http://nlpdeep.cs.uic.edu:8080/proofing/t5/522935-social-history-0-1.pdf","t5/522935-social-history-0-1.pdf")</f>
        <v/>
      </c>
      <c r="E142" t="n">
        <v>120842</v>
      </c>
      <c r="F142" t="n">
        <v>522935</v>
      </c>
      <c r="G142" t="inlineStr">
        <is>
          <t>Physician</t>
        </is>
      </c>
      <c r="H142" t="inlineStr">
        <is>
          <t>social-history</t>
        </is>
      </c>
      <c r="I142" t="inlineStr">
        <is>
          <t>She lives alone
   but has help from her many children.</t>
        </is>
      </c>
    </row>
    <row r="143">
      <c r="A143" t="inlineStr">
        <is>
          <t>522935-social-history-0-1</t>
        </is>
      </c>
      <c r="B143" t="inlineStr"/>
      <c r="C143" t="inlineStr"/>
      <c r="D143">
        <f>HYPERLINK("http://nlpdeep.cs.uic.edu:8080/proofing/gsii/522935-social-history-0-1.pdf","gsii/522935-social-history-0-1.pdf")</f>
        <v/>
      </c>
      <c r="E143" t="n">
        <v>120842</v>
      </c>
      <c r="F143" t="n">
        <v>522935</v>
      </c>
      <c r="G143" t="inlineStr">
        <is>
          <t>Physician</t>
        </is>
      </c>
      <c r="H143" t="inlineStr">
        <is>
          <t>social-history</t>
        </is>
      </c>
      <c r="I143" t="inlineStr">
        <is>
          <t>She lives alone
   but has help from her many children.</t>
        </is>
      </c>
    </row>
    <row r="144">
      <c r="A144" t="inlineStr">
        <is>
          <t>522935-social-history-0-2</t>
        </is>
      </c>
      <c r="B144" t="inlineStr"/>
      <c r="C144" t="inlineStr"/>
      <c r="D144">
        <f>HYPERLINK("http://nlpdeep.cs.uic.edu:8080/proofing/t5/522935-social-history-0-2.pdf","t5/522935-social-history-0-2.pdf")</f>
        <v/>
      </c>
      <c r="E144" t="n">
        <v>120842</v>
      </c>
      <c r="F144" t="n">
        <v>522935</v>
      </c>
      <c r="G144" t="inlineStr">
        <is>
          <t>Physician</t>
        </is>
      </c>
      <c r="H144" t="inlineStr">
        <is>
          <t>social-history</t>
        </is>
      </c>
      <c r="I144" t="inlineStr">
        <is>
          <t>Patient is a former smoker with
   40-60 pack year smoking history but quit over 10 years prior.</t>
        </is>
      </c>
    </row>
    <row r="145">
      <c r="A145" t="inlineStr">
        <is>
          <t>522935-social-history-0-2</t>
        </is>
      </c>
      <c r="B145" t="inlineStr"/>
      <c r="C145" t="inlineStr"/>
      <c r="D145">
        <f>HYPERLINK("http://nlpdeep.cs.uic.edu:8080/proofing/gsii/522935-social-history-0-2.pdf","gsii/522935-social-history-0-2.pdf")</f>
        <v/>
      </c>
      <c r="E145" t="n">
        <v>120842</v>
      </c>
      <c r="F145" t="n">
        <v>522935</v>
      </c>
      <c r="G145" t="inlineStr">
        <is>
          <t>Physician</t>
        </is>
      </c>
      <c r="H145" t="inlineStr">
        <is>
          <t>social-history</t>
        </is>
      </c>
      <c r="I145" t="inlineStr">
        <is>
          <t>Patient is a former smoker with
   40-60 pack year smoking history but quit over 10 years prior.</t>
        </is>
      </c>
    </row>
    <row r="146">
      <c r="A146" t="inlineStr">
        <is>
          <t>522935-social-history-0-3</t>
        </is>
      </c>
      <c r="B146" t="inlineStr"/>
      <c r="C146" t="inlineStr"/>
      <c r="D146">
        <f>HYPERLINK("http://nlpdeep.cs.uic.edu:8080/proofing/t5/522935-social-history-0-3.pdf","t5/522935-social-history-0-3.pdf")</f>
        <v/>
      </c>
      <c r="E146" t="n">
        <v>120842</v>
      </c>
      <c r="F146" t="n">
        <v>522935</v>
      </c>
      <c r="G146" t="inlineStr">
        <is>
          <t>Physician</t>
        </is>
      </c>
      <c r="H146" t="inlineStr">
        <is>
          <t>social-history</t>
        </is>
      </c>
      <c r="I146" t="inlineStr">
        <is>
          <t xml:space="preserve"> No
   alcohol u se.</t>
        </is>
      </c>
    </row>
    <row r="147">
      <c r="A147" t="inlineStr">
        <is>
          <t>522935-social-history-0-3</t>
        </is>
      </c>
      <c r="B147" t="inlineStr"/>
      <c r="C147" t="inlineStr"/>
      <c r="D147">
        <f>HYPERLINK("http://nlpdeep.cs.uic.edu:8080/proofing/gsii/522935-social-history-0-3.pdf","gsii/522935-social-history-0-3.pdf")</f>
        <v/>
      </c>
      <c r="E147" t="n">
        <v>120842</v>
      </c>
      <c r="F147" t="n">
        <v>522935</v>
      </c>
      <c r="G147" t="inlineStr">
        <is>
          <t>Physician</t>
        </is>
      </c>
      <c r="H147" t="inlineStr">
        <is>
          <t>social-history</t>
        </is>
      </c>
      <c r="I147" t="inlineStr">
        <is>
          <t xml:space="preserve"> No
   alcohol u se.</t>
        </is>
      </c>
    </row>
    <row r="148">
      <c r="A148" t="inlineStr">
        <is>
          <t>522935-social-history-0-4</t>
        </is>
      </c>
      <c r="B148" t="inlineStr"/>
      <c r="C148" t="inlineStr"/>
      <c r="D148">
        <f>HYPERLINK("http://nlpdeep.cs.uic.edu:8080/proofing/t5/522935-social-history-0-4.pdf","t5/522935-social-history-0-4.pdf")</f>
        <v/>
      </c>
      <c r="E148" t="n">
        <v>120842</v>
      </c>
      <c r="F148" t="n">
        <v>522935</v>
      </c>
      <c r="G148" t="inlineStr">
        <is>
          <t>Physician</t>
        </is>
      </c>
      <c r="H148" t="inlineStr">
        <is>
          <t>social-history</t>
        </is>
      </c>
      <c r="I148" t="inlineStr">
        <is>
          <t xml:space="preserve">
   .</t>
        </is>
      </c>
    </row>
    <row r="149">
      <c r="A149" t="inlineStr">
        <is>
          <t>522935-social-history-0-4</t>
        </is>
      </c>
      <c r="B149" t="inlineStr"/>
      <c r="C149" t="inlineStr"/>
      <c r="D149">
        <f>HYPERLINK("http://nlpdeep.cs.uic.edu:8080/proofing/gsii/522935-social-history-0-4.pdf","gsii/522935-social-history-0-4.pdf")</f>
        <v/>
      </c>
      <c r="E149" t="n">
        <v>120842</v>
      </c>
      <c r="F149" t="n">
        <v>522935</v>
      </c>
      <c r="G149" t="inlineStr">
        <is>
          <t>Physician</t>
        </is>
      </c>
      <c r="H149" t="inlineStr">
        <is>
          <t>social-history</t>
        </is>
      </c>
      <c r="I149" t="inlineStr">
        <is>
          <t xml:space="preserve">
   .</t>
        </is>
      </c>
    </row>
    <row r="150">
      <c r="A150" t="inlineStr">
        <is>
          <t>522935-physical-examination-0-0</t>
        </is>
      </c>
      <c r="B150" t="inlineStr"/>
      <c r="C150" t="inlineStr"/>
      <c r="D150">
        <f>HYPERLINK("http://nlpdeep.cs.uic.edu:8080/proofing/t5/522935-physical-examination-0-0.pdf","t5/522935-physical-examination-0-0.pdf")</f>
        <v/>
      </c>
      <c r="E150" t="n">
        <v>120842</v>
      </c>
      <c r="F150" t="n">
        <v>522935</v>
      </c>
      <c r="G150" t="inlineStr">
        <is>
          <t>Physician</t>
        </is>
      </c>
      <c r="H150" t="inlineStr">
        <is>
          <t>physical-examination</t>
        </is>
      </c>
      <c r="I150" t="inlineStr">
        <is>
          <t>Vitals: T:   BP: 128/69 P: 85, but transiently also in 130s R: 20 O2:
   96% on face mask
   General: Alert, oriented, no acute distress
   HEENT: Sclera anicteric, MMM, oropharynx clear
   Lungs: Expiratory wheezes
   CV: Regular rate and rhythm, normal S1 + S2, no murmurs, rubs, gallops
   Abdomen: soft, non-tender, non-distended, bowel sounds present, no
   rebound tenderness or guarding
   Ext: warm, well perfused, 2+ pulses, no clubbing, cyanosis or edema.</t>
        </is>
      </c>
    </row>
    <row r="151">
      <c r="A151" t="inlineStr">
        <is>
          <t>522935-physical-examination-0-0</t>
        </is>
      </c>
      <c r="B151" t="inlineStr"/>
      <c r="C151" t="inlineStr"/>
      <c r="D151">
        <f>HYPERLINK("http://nlpdeep.cs.uic.edu:8080/proofing/gsii/522935-physical-examination-0-0.pdf","gsii/522935-physical-examination-0-0.pdf")</f>
        <v/>
      </c>
      <c r="E151" t="n">
        <v>120842</v>
      </c>
      <c r="F151" t="n">
        <v>522935</v>
      </c>
      <c r="G151" t="inlineStr">
        <is>
          <t>Physician</t>
        </is>
      </c>
      <c r="H151" t="inlineStr">
        <is>
          <t>physical-examination</t>
        </is>
      </c>
      <c r="I151" t="inlineStr">
        <is>
          <t>Vitals: T:   BP: 128/69 P: 85, but transiently also in 130s R: 20 O2:
   96% on face mask
   General: Alert, oriented, no acute distress
   HEENT: Sclera anicteric, MMM, oropharynx clear
   Lungs: Expiratory wheezes
   CV: Regular rate and rhythm, normal S1 + S2, no murmurs, rubs, gallops
   Abdomen: soft, non-tender, non-distended, bowel sounds present, no
   rebound tenderness or guarding
   Ext: warm, well perfused, 2+ pulses, no clubbing, cyanosis or edema.</t>
        </is>
      </c>
    </row>
    <row r="152">
      <c r="A152" t="inlineStr">
        <is>
          <t>522935-physical-examination-0-1</t>
        </is>
      </c>
      <c r="B152" t="inlineStr"/>
      <c r="C152" t="inlineStr"/>
      <c r="D152">
        <f>HYPERLINK("http://nlpdeep.cs.uic.edu:8080/proofing/t5/522935-physical-examination-0-1.pdf","t5/522935-physical-examination-0-1.pdf")</f>
        <v/>
      </c>
      <c r="E152" t="n">
        <v>120842</v>
      </c>
      <c r="F152" t="n">
        <v>522935</v>
      </c>
      <c r="G152" t="inlineStr">
        <is>
          <t>Physician</t>
        </is>
      </c>
      <c r="H152" t="inlineStr">
        <is>
          <t>physical-examination</t>
        </is>
      </c>
      <c r="I152" t="inlineStr">
        <is>
          <t>No
   signs of infection at knee incision, well healed
   .</t>
        </is>
      </c>
    </row>
    <row r="153">
      <c r="A153" t="inlineStr">
        <is>
          <t>522935-physical-examination-0-1</t>
        </is>
      </c>
      <c r="B153" t="inlineStr"/>
      <c r="C153" t="inlineStr"/>
      <c r="D153">
        <f>HYPERLINK("http://nlpdeep.cs.uic.edu:8080/proofing/gsii/522935-physical-examination-0-1.pdf","gsii/522935-physical-examination-0-1.pdf")</f>
        <v/>
      </c>
      <c r="E153" t="n">
        <v>120842</v>
      </c>
      <c r="F153" t="n">
        <v>522935</v>
      </c>
      <c r="G153" t="inlineStr">
        <is>
          <t>Physician</t>
        </is>
      </c>
      <c r="H153" t="inlineStr">
        <is>
          <t>physical-examination</t>
        </is>
      </c>
      <c r="I153" t="inlineStr">
        <is>
          <t>No
   signs of infection at knee incision, well healed
   .</t>
        </is>
      </c>
    </row>
    <row r="154">
      <c r="A154" t="inlineStr">
        <is>
          <t>522935-labs-imaging-0-0</t>
        </is>
      </c>
      <c r="B154" t="inlineStr"/>
      <c r="C154" t="inlineStr"/>
      <c r="D154">
        <f>HYPERLINK("http://nlpdeep.cs.uic.edu:8080/proofing/t5/522935-labs-imaging-0-0.pdf","t5/522935-labs-imaging-0-0.pdf")</f>
        <v/>
      </c>
      <c r="E154" t="n">
        <v>120842</v>
      </c>
      <c r="F154" t="n">
        <v>522935</v>
      </c>
      <c r="G154" t="inlineStr">
        <is>
          <t>Physician</t>
        </is>
      </c>
      <c r="H154" t="inlineStr">
        <is>
          <t>labs-imaging</t>
        </is>
      </c>
      <c r="I154" t="inlineStr">
        <is>
          <t>249 K/uL
   10.1 g/dL
   239
   0.6 mg/dL
   12 mg/dL
   32 mEq/L
   101 mEq/L
   4.1 mEq/L
   139 mEq/L
   31.4 %
   8.0 K/uL
        [image002.jpg]
                                  [**2149-2-10**]
                          2:33 A2/26/[**2153**]  09:13 PM
                                  [**2149-2-14**]
                         10:20 P2/27/[**2153**]  03:32 AM
                                  [**2149-2-15**]
                          1:20 P2/28/[**2153**]  10:00 PM
                                  [**2149-2-16**]
                                   11:50 P
                                  [**2149-2-17**]
                                   1:20 A
                                  [**2149-2-18**]
                                   7:20 P
                                  1//11/006
                                   1:23 P
                                  [**2149-3-13**]
                                   1:20 P
                                  [**2149-3-13**]
                                   11:20 P
                                  [**2149-3-13**]
                                   4:20 P
   WBC
                                     8.0
   Hct
                                    31.4
   Plt
                                     249
   Cr
                                     0.6
   TropT
                                    &lt;0.01
   Glucose
                                     212
                                     239
   Other labs: CK / CKMB / Troponin-T:87//&lt;0.01, Lactic Acid:1.6 mmol/L,
   Ca++:9.3 mg/dL, Mg++:2.0 mg/dL, PO4:3.5 mg/dL
   CXR: Even clearer than from [**4-6**], no signs of fluid o/l, hyperinflated
   lungs.</t>
        </is>
      </c>
    </row>
    <row r="155">
      <c r="A155" t="inlineStr">
        <is>
          <t>522935-labs-imaging-0-0</t>
        </is>
      </c>
      <c r="B155" t="inlineStr"/>
      <c r="C155" t="inlineStr"/>
      <c r="D155">
        <f>HYPERLINK("http://nlpdeep.cs.uic.edu:8080/proofing/gsii/522935-labs-imaging-0-0.pdf","gsii/522935-labs-imaging-0-0.pdf")</f>
        <v/>
      </c>
      <c r="E155" t="n">
        <v>120842</v>
      </c>
      <c r="F155" t="n">
        <v>522935</v>
      </c>
      <c r="G155" t="inlineStr">
        <is>
          <t>Physician</t>
        </is>
      </c>
      <c r="H155" t="inlineStr">
        <is>
          <t>labs-imaging</t>
        </is>
      </c>
      <c r="I155" t="inlineStr">
        <is>
          <t>249 K/uL
   10.1 g/dL
   239
   0.6 mg/dL
   12 mg/dL
   32 mEq/L
   101 mEq/L
   4.1 mEq/L
   139 mEq/L
   31.4 %
   8.0 K/uL
        [image002.jpg]
                                  [**2149-2-10**]
                          2:33 A2/26/[**2153**]  09:13 PM
                                  [**2149-2-14**]
                         10:20 P2/27/[**2153**]  03:32 AM
                                  [**2149-2-15**]
                          1:20 P2/28/[**2153**]  10:00 PM
                                  [**2149-2-16**]
                                   11:50 P
                                  [**2149-2-17**]
                                   1:20 A
                                  [**2149-2-18**]
                                   7:20 P
                                  1//11/006
                                   1:23 P
                                  [**2149-3-13**]
                                   1:20 P
                                  [**2149-3-13**]
                                   11:20 P
                                  [**2149-3-13**]
                                   4:20 P
   WBC
                                     8.0
   Hct
                                    31.4
   Plt
                                     249
   Cr
                                     0.6
   TropT
                                    &lt;0.01
   Glucose
                                     212
                                     239
   Other labs: CK / CKMB / Troponin-T:87//&lt;0.01, Lactic Acid:1.6 mmol/L,
   Ca++:9.3 mg/dL, Mg++:2.0 mg/dL, PO4:3.5 mg/dL
   CXR: Even clearer than from [**4-6**], no signs of fluid o/l, hyperinflated
   lungs.</t>
        </is>
      </c>
    </row>
    <row r="156">
      <c r="A156" t="inlineStr">
        <is>
          <t>522935-labs-imaging-0-1</t>
        </is>
      </c>
      <c r="B156" t="inlineStr"/>
      <c r="C156" t="inlineStr"/>
      <c r="D156">
        <f>HYPERLINK("http://nlpdeep.cs.uic.edu:8080/proofing/t5/522935-labs-imaging-0-1.pdf","t5/522935-labs-imaging-0-1.pdf")</f>
        <v/>
      </c>
      <c r="E156" t="n">
        <v>120842</v>
      </c>
      <c r="F156" t="n">
        <v>522935</v>
      </c>
      <c r="G156" t="inlineStr">
        <is>
          <t>Physician</t>
        </is>
      </c>
      <c r="H156" t="inlineStr">
        <is>
          <t>labs-imaging</t>
        </is>
      </c>
      <c r="I156" t="inlineStr">
        <is>
          <t xml:space="preserve">
   Echo in [**2151**]: Moderate to severe pulmonary hypertension.</t>
        </is>
      </c>
    </row>
    <row r="157">
      <c r="A157" t="inlineStr">
        <is>
          <t>522935-labs-imaging-0-1</t>
        </is>
      </c>
      <c r="B157" t="inlineStr"/>
      <c r="C157" t="inlineStr"/>
      <c r="D157">
        <f>HYPERLINK("http://nlpdeep.cs.uic.edu:8080/proofing/gsii/522935-labs-imaging-0-1.pdf","gsii/522935-labs-imaging-0-1.pdf")</f>
        <v/>
      </c>
      <c r="E157" t="n">
        <v>120842</v>
      </c>
      <c r="F157" t="n">
        <v>522935</v>
      </c>
      <c r="G157" t="inlineStr">
        <is>
          <t>Physician</t>
        </is>
      </c>
      <c r="H157" t="inlineStr">
        <is>
          <t>labs-imaging</t>
        </is>
      </c>
      <c r="I157" t="inlineStr">
        <is>
          <t xml:space="preserve">
   Echo in [**2151**]: Moderate to severe pulmonary hypertension.</t>
        </is>
      </c>
    </row>
    <row r="158">
      <c r="A158" t="inlineStr">
        <is>
          <t>522935-labs-imaging-0-2</t>
        </is>
      </c>
      <c r="B158" t="inlineStr"/>
      <c r="C158" t="inlineStr"/>
      <c r="D158">
        <f>HYPERLINK("http://nlpdeep.cs.uic.edu:8080/proofing/t5/522935-labs-imaging-0-2.pdf","t5/522935-labs-imaging-0-2.pdf")</f>
        <v/>
      </c>
      <c r="E158" t="n">
        <v>120842</v>
      </c>
      <c r="F158" t="n">
        <v>522935</v>
      </c>
      <c r="G158" t="inlineStr">
        <is>
          <t>Physician</t>
        </is>
      </c>
      <c r="H158" t="inlineStr">
        <is>
          <t>labs-imaging</t>
        </is>
      </c>
      <c r="I158" t="inlineStr">
        <is>
          <t>Moderate
   symmetric LV hypertrophy with preserved systolic function.</t>
        </is>
      </c>
    </row>
    <row r="159">
      <c r="A159" t="inlineStr">
        <is>
          <t>522935-labs-imaging-0-2</t>
        </is>
      </c>
      <c r="B159" t="inlineStr"/>
      <c r="C159" t="inlineStr"/>
      <c r="D159">
        <f>HYPERLINK("http://nlpdeep.cs.uic.edu:8080/proofing/gsii/522935-labs-imaging-0-2.pdf","gsii/522935-labs-imaging-0-2.pdf")</f>
        <v/>
      </c>
      <c r="E159" t="n">
        <v>120842</v>
      </c>
      <c r="F159" t="n">
        <v>522935</v>
      </c>
      <c r="G159" t="inlineStr">
        <is>
          <t>Physician</t>
        </is>
      </c>
      <c r="H159" t="inlineStr">
        <is>
          <t>labs-imaging</t>
        </is>
      </c>
      <c r="I159" t="inlineStr">
        <is>
          <t>Moderate
   symmetric LV hypertrophy with preserved systolic function.</t>
        </is>
      </c>
    </row>
    <row r="160">
      <c r="A160" t="inlineStr">
        <is>
          <t>522935-labs-imaging-0-3</t>
        </is>
      </c>
      <c r="B160" t="inlineStr"/>
      <c r="C160" t="inlineStr"/>
      <c r="D160">
        <f>HYPERLINK("http://nlpdeep.cs.uic.edu:8080/proofing/t5/522935-labs-imaging-0-3.pdf","t5/522935-labs-imaging-0-3.pdf")</f>
        <v/>
      </c>
      <c r="E160" t="n">
        <v>120842</v>
      </c>
      <c r="F160" t="n">
        <v>522935</v>
      </c>
      <c r="G160" t="inlineStr">
        <is>
          <t>Physician</t>
        </is>
      </c>
      <c r="H160" t="inlineStr">
        <is>
          <t>labs-imaging</t>
        </is>
      </c>
      <c r="I160" t="inlineStr">
        <is>
          <t>Mildly
   dilated RV with preserved systolic function.</t>
        </is>
      </c>
    </row>
    <row r="161">
      <c r="A161" t="inlineStr">
        <is>
          <t>522935-labs-imaging-0-3</t>
        </is>
      </c>
      <c r="B161" t="inlineStr"/>
      <c r="C161" t="inlineStr"/>
      <c r="D161">
        <f>HYPERLINK("http://nlpdeep.cs.uic.edu:8080/proofing/gsii/522935-labs-imaging-0-3.pdf","gsii/522935-labs-imaging-0-3.pdf")</f>
        <v/>
      </c>
      <c r="E161" t="n">
        <v>120842</v>
      </c>
      <c r="F161" t="n">
        <v>522935</v>
      </c>
      <c r="G161" t="inlineStr">
        <is>
          <t>Physician</t>
        </is>
      </c>
      <c r="H161" t="inlineStr">
        <is>
          <t>labs-imaging</t>
        </is>
      </c>
      <c r="I161" t="inlineStr">
        <is>
          <t>Mildly
   dilated RV with preserved systolic function.</t>
        </is>
      </c>
    </row>
    <row r="162">
      <c r="A162" t="inlineStr">
        <is>
          <t>522935-labs-imaging-0-4</t>
        </is>
      </c>
      <c r="B162" t="inlineStr"/>
      <c r="C162" t="inlineStr"/>
      <c r="D162">
        <f>HYPERLINK("http://nlpdeep.cs.uic.edu:8080/proofing/t5/522935-labs-imaging-0-4.pdf","t5/522935-labs-imaging-0-4.pdf")</f>
        <v/>
      </c>
      <c r="E162" t="n">
        <v>120842</v>
      </c>
      <c r="F162" t="n">
        <v>522935</v>
      </c>
      <c r="G162" t="inlineStr">
        <is>
          <t>Physician</t>
        </is>
      </c>
      <c r="H162" t="inlineStr">
        <is>
          <t>labs-imaging</t>
        </is>
      </c>
      <c r="I162" t="inlineStr">
        <is>
          <t xml:space="preserve">
   CTA [**3-25**]:
   1.</t>
        </is>
      </c>
    </row>
    <row r="163">
      <c r="A163" t="inlineStr">
        <is>
          <t>522935-labs-imaging-0-4</t>
        </is>
      </c>
      <c r="B163" t="inlineStr"/>
      <c r="C163" t="inlineStr"/>
      <c r="D163">
        <f>HYPERLINK("http://nlpdeep.cs.uic.edu:8080/proofing/gsii/522935-labs-imaging-0-4.pdf","gsii/522935-labs-imaging-0-4.pdf")</f>
        <v/>
      </c>
      <c r="E163" t="n">
        <v>120842</v>
      </c>
      <c r="F163" t="n">
        <v>522935</v>
      </c>
      <c r="G163" t="inlineStr">
        <is>
          <t>Physician</t>
        </is>
      </c>
      <c r="H163" t="inlineStr">
        <is>
          <t>labs-imaging</t>
        </is>
      </c>
      <c r="I163" t="inlineStr">
        <is>
          <t xml:space="preserve">
   CTA [**3-25**]:
   1.</t>
        </is>
      </c>
    </row>
    <row r="164">
      <c r="A164" t="inlineStr">
        <is>
          <t>522935-labs-imaging-0-5</t>
        </is>
      </c>
      <c r="B164" t="inlineStr"/>
      <c r="C164" t="inlineStr"/>
      <c r="D164">
        <f>HYPERLINK("http://nlpdeep.cs.uic.edu:8080/proofing/t5/522935-labs-imaging-0-5.pdf","t5/522935-labs-imaging-0-5.pdf")</f>
        <v/>
      </c>
      <c r="E164" t="n">
        <v>120842</v>
      </c>
      <c r="F164" t="n">
        <v>522935</v>
      </c>
      <c r="G164" t="inlineStr">
        <is>
          <t>Physician</t>
        </is>
      </c>
      <c r="H164" t="inlineStr">
        <is>
          <t>labs-imaging</t>
        </is>
      </c>
      <c r="I164" t="inlineStr">
        <is>
          <t>No evidence of pulmonary embolism.</t>
        </is>
      </c>
    </row>
    <row r="165">
      <c r="A165" t="inlineStr">
        <is>
          <t>522935-labs-imaging-0-5</t>
        </is>
      </c>
      <c r="B165" t="inlineStr"/>
      <c r="C165" t="inlineStr"/>
      <c r="D165">
        <f>HYPERLINK("http://nlpdeep.cs.uic.edu:8080/proofing/gsii/522935-labs-imaging-0-5.pdf","gsii/522935-labs-imaging-0-5.pdf")</f>
        <v/>
      </c>
      <c r="E165" t="n">
        <v>120842</v>
      </c>
      <c r="F165" t="n">
        <v>522935</v>
      </c>
      <c r="G165" t="inlineStr">
        <is>
          <t>Physician</t>
        </is>
      </c>
      <c r="H165" t="inlineStr">
        <is>
          <t>labs-imaging</t>
        </is>
      </c>
      <c r="I165" t="inlineStr">
        <is>
          <t>No evidence of pulmonary embolism.</t>
        </is>
      </c>
    </row>
    <row r="166">
      <c r="A166" t="inlineStr">
        <is>
          <t>522935-labs-imaging-0-6</t>
        </is>
      </c>
      <c r="B166" t="inlineStr"/>
      <c r="C166" t="inlineStr"/>
      <c r="D166">
        <f>HYPERLINK("http://nlpdeep.cs.uic.edu:8080/proofing/t5/522935-labs-imaging-0-6.pdf","t5/522935-labs-imaging-0-6.pdf")</f>
        <v/>
      </c>
      <c r="E166" t="n">
        <v>120842</v>
      </c>
      <c r="F166" t="n">
        <v>522935</v>
      </c>
      <c r="G166" t="inlineStr">
        <is>
          <t>Physician</t>
        </is>
      </c>
      <c r="H166" t="inlineStr">
        <is>
          <t>labs-imaging</t>
        </is>
      </c>
      <c r="I166" t="inlineStr">
        <is>
          <t>Emphysema, with stable pulmonary nodules within the left lower and
   right upper lobes.</t>
        </is>
      </c>
    </row>
    <row r="167">
      <c r="A167" t="inlineStr">
        <is>
          <t>522935-labs-imaging-0-6</t>
        </is>
      </c>
      <c r="B167" t="inlineStr"/>
      <c r="C167" t="inlineStr"/>
      <c r="D167">
        <f>HYPERLINK("http://nlpdeep.cs.uic.edu:8080/proofing/gsii/522935-labs-imaging-0-6.pdf","gsii/522935-labs-imaging-0-6.pdf")</f>
        <v/>
      </c>
      <c r="E167" t="n">
        <v>120842</v>
      </c>
      <c r="F167" t="n">
        <v>522935</v>
      </c>
      <c r="G167" t="inlineStr">
        <is>
          <t>Physician</t>
        </is>
      </c>
      <c r="H167" t="inlineStr">
        <is>
          <t>labs-imaging</t>
        </is>
      </c>
      <c r="I167" t="inlineStr">
        <is>
          <t>Emphysema, with stable pulmonary nodules within the left lower and
   right upper lobes.</t>
        </is>
      </c>
    </row>
    <row r="168">
      <c r="A168" t="inlineStr">
        <is>
          <t>522935-assessment-and-plan-0-0</t>
        </is>
      </c>
      <c r="B168" t="inlineStr"/>
      <c r="C168" t="inlineStr"/>
      <c r="D168">
        <f>HYPERLINK("http://nlpdeep.cs.uic.edu:8080/proofing/t5/522935-assessment-and-plan-0-0.pdf","t5/522935-assessment-and-plan-0-0.pdf")</f>
        <v/>
      </c>
      <c r="E168" t="n">
        <v>120842</v>
      </c>
      <c r="F168" t="n">
        <v>522935</v>
      </c>
      <c r="G168" t="inlineStr">
        <is>
          <t>Physician</t>
        </is>
      </c>
      <c r="H168" t="inlineStr">
        <is>
          <t>assessment-and-plan</t>
        </is>
      </c>
      <c r="I168" t="inlineStr">
        <is>
          <t>73-year-old female with COPD/RAD on home O2,
   diastolic CHF, recent TKR, presenting with respiratory distress and
   tachycardia.</t>
        </is>
      </c>
    </row>
    <row r="169">
      <c r="A169" t="inlineStr">
        <is>
          <t>522935-assessment-and-plan-0-0</t>
        </is>
      </c>
      <c r="B169" t="inlineStr"/>
      <c r="C169" t="inlineStr"/>
      <c r="D169">
        <f>HYPERLINK("http://nlpdeep.cs.uic.edu:8080/proofing/gsii/522935-assessment-and-plan-0-0.pdf","gsii/522935-assessment-and-plan-0-0.pdf")</f>
        <v/>
      </c>
      <c r="E169" t="n">
        <v>120842</v>
      </c>
      <c r="F169" t="n">
        <v>522935</v>
      </c>
      <c r="G169" t="inlineStr">
        <is>
          <t>Physician</t>
        </is>
      </c>
      <c r="H169" t="inlineStr">
        <is>
          <t>assessment-and-plan</t>
        </is>
      </c>
      <c r="I169" t="inlineStr">
        <is>
          <t>73-year-old female with COPD/RAD on home O2,
   diastolic CHF, recent TKR, presenting with respiratory distress and
   tachycardia.</t>
        </is>
      </c>
    </row>
    <row r="170">
      <c r="A170" t="inlineStr">
        <is>
          <t>522935-assessment-and-plan-0-1</t>
        </is>
      </c>
      <c r="B170" t="inlineStr"/>
      <c r="C170" t="inlineStr"/>
      <c r="D170">
        <f>HYPERLINK("http://nlpdeep.cs.uic.edu:8080/proofing/t5/522935-assessment-and-plan-0-1.pdf","t5/522935-assessment-and-plan-0-1.pdf")</f>
        <v/>
      </c>
      <c r="E170" t="n">
        <v>120842</v>
      </c>
      <c r="F170" t="n">
        <v>522935</v>
      </c>
      <c r="G170" t="inlineStr">
        <is>
          <t>Physician</t>
        </is>
      </c>
      <c r="H170" t="inlineStr">
        <is>
          <t>assessment-and-plan</t>
        </is>
      </c>
      <c r="I170" t="inlineStr">
        <is>
          <t xml:space="preserve">
   # Respiratory distress &amp; Leukocytosis: White count doubled from 8 to
   15.</t>
        </is>
      </c>
    </row>
    <row r="171">
      <c r="A171" t="inlineStr">
        <is>
          <t>522935-assessment-and-plan-0-1</t>
        </is>
      </c>
      <c r="B171" t="inlineStr"/>
      <c r="C171" t="inlineStr"/>
      <c r="D171">
        <f>HYPERLINK("http://nlpdeep.cs.uic.edu:8080/proofing/gsii/522935-assessment-and-plan-0-1.pdf","gsii/522935-assessment-and-plan-0-1.pdf")</f>
        <v/>
      </c>
      <c r="E171" t="n">
        <v>120842</v>
      </c>
      <c r="F171" t="n">
        <v>522935</v>
      </c>
      <c r="G171" t="inlineStr">
        <is>
          <t>Physician</t>
        </is>
      </c>
      <c r="H171" t="inlineStr">
        <is>
          <t>assessment-and-plan</t>
        </is>
      </c>
      <c r="I171" t="inlineStr">
        <is>
          <t xml:space="preserve">
   # Respiratory distress &amp; Leukocytosis: White count doubled from 8 to
   15.</t>
        </is>
      </c>
    </row>
    <row r="172">
      <c r="A172" t="inlineStr">
        <is>
          <t>522935-assessment-and-plan-0-2</t>
        </is>
      </c>
      <c r="B172" t="inlineStr"/>
      <c r="C172" t="inlineStr"/>
      <c r="D172">
        <f>HYPERLINK("http://nlpdeep.cs.uic.edu:8080/proofing/t5/522935-assessment-and-plan-0-2.pdf","t5/522935-assessment-and-plan-0-2.pdf")</f>
        <v/>
      </c>
      <c r="E172" t="n">
        <v>120842</v>
      </c>
      <c r="F172" t="n">
        <v>522935</v>
      </c>
      <c r="G172" t="inlineStr">
        <is>
          <t>Physician</t>
        </is>
      </c>
      <c r="H172" t="inlineStr">
        <is>
          <t>assessment-and-plan</t>
        </is>
      </c>
      <c r="I172" t="inlineStr">
        <is>
          <t>She did receive steroids in ED 2 days ago, or she could be mounting
   an infection again.</t>
        </is>
      </c>
    </row>
    <row r="173">
      <c r="A173" t="inlineStr">
        <is>
          <t>522935-assessment-and-plan-0-2</t>
        </is>
      </c>
      <c r="B173" t="inlineStr"/>
      <c r="C173" t="inlineStr"/>
      <c r="D173">
        <f>HYPERLINK("http://nlpdeep.cs.uic.edu:8080/proofing/gsii/522935-assessment-and-plan-0-2.pdf","gsii/522935-assessment-and-plan-0-2.pdf")</f>
        <v/>
      </c>
      <c r="E173" t="n">
        <v>120842</v>
      </c>
      <c r="F173" t="n">
        <v>522935</v>
      </c>
      <c r="G173" t="inlineStr">
        <is>
          <t>Physician</t>
        </is>
      </c>
      <c r="H173" t="inlineStr">
        <is>
          <t>assessment-and-plan</t>
        </is>
      </c>
      <c r="I173" t="inlineStr">
        <is>
          <t>She did receive steroids in ED 2 days ago, or she could be mounting
   an infection again.</t>
        </is>
      </c>
    </row>
    <row r="174">
      <c r="A174" t="inlineStr">
        <is>
          <t>522935-assessment-and-plan-0-3</t>
        </is>
      </c>
      <c r="B174" t="inlineStr"/>
      <c r="C174" t="inlineStr"/>
      <c r="D174">
        <f>HYPERLINK("http://nlpdeep.cs.uic.edu:8080/proofing/t5/522935-assessment-and-plan-0-3.pdf","t5/522935-assessment-and-plan-0-3.pdf")</f>
        <v/>
      </c>
      <c r="E174" t="n">
        <v>120842</v>
      </c>
      <c r="F174" t="n">
        <v>522935</v>
      </c>
      <c r="G174" t="inlineStr">
        <is>
          <t>Physician</t>
        </is>
      </c>
      <c r="H174" t="inlineStr">
        <is>
          <t>assessment-and-plan</t>
        </is>
      </c>
      <c r="I174" t="inlineStr">
        <is>
          <t>CXR looks clear.</t>
        </is>
      </c>
    </row>
    <row r="175">
      <c r="A175" t="inlineStr">
        <is>
          <t>522935-assessment-and-plan-0-3</t>
        </is>
      </c>
      <c r="B175" t="inlineStr"/>
      <c r="C175" t="inlineStr"/>
      <c r="D175">
        <f>HYPERLINK("http://nlpdeep.cs.uic.edu:8080/proofing/gsii/522935-assessment-and-plan-0-3.pdf","gsii/522935-assessment-and-plan-0-3.pdf")</f>
        <v/>
      </c>
      <c r="E175" t="n">
        <v>120842</v>
      </c>
      <c r="F175" t="n">
        <v>522935</v>
      </c>
      <c r="G175" t="inlineStr">
        <is>
          <t>Physician</t>
        </is>
      </c>
      <c r="H175" t="inlineStr">
        <is>
          <t>assessment-and-plan</t>
        </is>
      </c>
      <c r="I175" t="inlineStr">
        <is>
          <t>CXR looks clear.</t>
        </is>
      </c>
    </row>
    <row r="176">
      <c r="A176" t="inlineStr">
        <is>
          <t>522935-assessment-and-plan-0-4</t>
        </is>
      </c>
      <c r="B176" t="inlineStr"/>
      <c r="C176" t="inlineStr"/>
      <c r="D176">
        <f>HYPERLINK("http://nlpdeep.cs.uic.edu:8080/proofing/t5/522935-assessment-and-plan-0-4.pdf","t5/522935-assessment-and-plan-0-4.pdf")</f>
        <v/>
      </c>
      <c r="E176" t="n">
        <v>120842</v>
      </c>
      <c r="F176" t="n">
        <v>522935</v>
      </c>
      <c r="G176" t="inlineStr">
        <is>
          <t>Physician</t>
        </is>
      </c>
      <c r="H176" t="inlineStr">
        <is>
          <t>assessment-and-plan</t>
        </is>
      </c>
      <c r="I176" t="inlineStr">
        <is>
          <t>COPD mild per most recent PFTs
   [**2153**].</t>
        </is>
      </c>
    </row>
    <row r="177">
      <c r="A177" t="inlineStr">
        <is>
          <t>522935-assessment-and-plan-0-4</t>
        </is>
      </c>
      <c r="B177" t="inlineStr"/>
      <c r="C177" t="inlineStr"/>
      <c r="D177">
        <f>HYPERLINK("http://nlpdeep.cs.uic.edu:8080/proofing/gsii/522935-assessment-and-plan-0-4.pdf","gsii/522935-assessment-and-plan-0-4.pdf")</f>
        <v/>
      </c>
      <c r="E177" t="n">
        <v>120842</v>
      </c>
      <c r="F177" t="n">
        <v>522935</v>
      </c>
      <c r="G177" t="inlineStr">
        <is>
          <t>Physician</t>
        </is>
      </c>
      <c r="H177" t="inlineStr">
        <is>
          <t>assessment-and-plan</t>
        </is>
      </c>
      <c r="I177" t="inlineStr">
        <is>
          <t>COPD mild per most recent PFTs
   [**2153**].</t>
        </is>
      </c>
    </row>
    <row r="178">
      <c r="A178" t="inlineStr">
        <is>
          <t>522935-assessment-and-plan-0-5</t>
        </is>
      </c>
      <c r="B178" t="inlineStr"/>
      <c r="C178" t="inlineStr"/>
      <c r="D178">
        <f>HYPERLINK("http://nlpdeep.cs.uic.edu:8080/proofing/t5/522935-assessment-and-plan-0-5.pdf","t5/522935-assessment-and-plan-0-5.pdf")</f>
        <v/>
      </c>
      <c r="E178" t="n">
        <v>120842</v>
      </c>
      <c r="F178" t="n">
        <v>522935</v>
      </c>
      <c r="G178" t="inlineStr">
        <is>
          <t>Physician</t>
        </is>
      </c>
      <c r="H178" t="inlineStr">
        <is>
          <t>assessment-and-plan</t>
        </is>
      </c>
      <c r="I178" t="inlineStr">
        <is>
          <t>Possibly etiologies include PNA, COPD exacerbation, heart
   failure, coronary ischemia or possibly PE.</t>
        </is>
      </c>
    </row>
    <row r="179">
      <c r="A179" t="inlineStr">
        <is>
          <t>522935-assessment-and-plan-0-5</t>
        </is>
      </c>
      <c r="B179" t="inlineStr"/>
      <c r="C179" t="inlineStr"/>
      <c r="D179">
        <f>HYPERLINK("http://nlpdeep.cs.uic.edu:8080/proofing/gsii/522935-assessment-and-plan-0-5.pdf","gsii/522935-assessment-and-plan-0-5.pdf")</f>
        <v/>
      </c>
      <c r="E179" t="n">
        <v>120842</v>
      </c>
      <c r="F179" t="n">
        <v>522935</v>
      </c>
      <c r="G179" t="inlineStr">
        <is>
          <t>Physician</t>
        </is>
      </c>
      <c r="H179" t="inlineStr">
        <is>
          <t>assessment-and-plan</t>
        </is>
      </c>
      <c r="I179" t="inlineStr">
        <is>
          <t>Possibly etiologies include PNA, COPD exacerbation, heart
   failure, coronary ischemia or possibly PE.</t>
        </is>
      </c>
    </row>
    <row r="180">
      <c r="A180" t="inlineStr">
        <is>
          <t>522935-assessment-and-plan-0-6</t>
        </is>
      </c>
      <c r="B180" t="inlineStr"/>
      <c r="C180" t="inlineStr"/>
      <c r="D180">
        <f>HYPERLINK("http://nlpdeep.cs.uic.edu:8080/proofing/t5/522935-assessment-and-plan-0-6.pdf","t5/522935-assessment-and-plan-0-6.pdf")</f>
        <v/>
      </c>
      <c r="E180" t="n">
        <v>120842</v>
      </c>
      <c r="F180" t="n">
        <v>522935</v>
      </c>
      <c r="G180" t="inlineStr">
        <is>
          <t>Physician</t>
        </is>
      </c>
      <c r="H180" t="inlineStr">
        <is>
          <t>assessment-and-plan</t>
        </is>
      </c>
      <c r="I180" t="inlineStr">
        <is>
          <t>CTA negative in ED on [**3-25**].</t>
        </is>
      </c>
    </row>
    <row r="181">
      <c r="A181" t="inlineStr">
        <is>
          <t>522935-assessment-and-plan-0-6</t>
        </is>
      </c>
      <c r="B181" t="inlineStr"/>
      <c r="C181" t="inlineStr"/>
      <c r="D181">
        <f>HYPERLINK("http://nlpdeep.cs.uic.edu:8080/proofing/gsii/522935-assessment-and-plan-0-6.pdf","gsii/522935-assessment-and-plan-0-6.pdf")</f>
        <v/>
      </c>
      <c r="E181" t="n">
        <v>120842</v>
      </c>
      <c r="F181" t="n">
        <v>522935</v>
      </c>
      <c r="G181" t="inlineStr">
        <is>
          <t>Physician</t>
        </is>
      </c>
      <c r="H181" t="inlineStr">
        <is>
          <t>assessment-and-plan</t>
        </is>
      </c>
      <c r="I181" t="inlineStr">
        <is>
          <t>CTA negative in ED on [**3-25**].</t>
        </is>
      </c>
    </row>
    <row r="182">
      <c r="A182" t="inlineStr">
        <is>
          <t>522935-assessment-and-plan-0-7</t>
        </is>
      </c>
      <c r="B182" t="inlineStr"/>
      <c r="C182" t="inlineStr"/>
      <c r="D182">
        <f>HYPERLINK("http://nlpdeep.cs.uic.edu:8080/proofing/t5/522935-assessment-and-plan-0-7.pdf","t5/522935-assessment-and-plan-0-7.pdf")</f>
        <v/>
      </c>
      <c r="E182" t="n">
        <v>120842</v>
      </c>
      <c r="F182" t="n">
        <v>522935</v>
      </c>
      <c r="G182" t="inlineStr">
        <is>
          <t>Physician</t>
        </is>
      </c>
      <c r="H182" t="inlineStr">
        <is>
          <t>assessment-and-plan</t>
        </is>
      </c>
      <c r="I182" t="inlineStr">
        <is>
          <t xml:space="preserve">
   She is s/p total knee replacement 1 month ago but was on 1 month of
   Lovenox post-operatively (she confirms), on heparin SQ here.</t>
        </is>
      </c>
    </row>
    <row r="183">
      <c r="A183" t="inlineStr">
        <is>
          <t>522935-assessment-and-plan-0-7</t>
        </is>
      </c>
      <c r="B183" t="inlineStr"/>
      <c r="C183" t="inlineStr"/>
      <c r="D183">
        <f>HYPERLINK("http://nlpdeep.cs.uic.edu:8080/proofing/gsii/522935-assessment-and-plan-0-7.pdf","gsii/522935-assessment-and-plan-0-7.pdf")</f>
        <v/>
      </c>
      <c r="E183" t="n">
        <v>120842</v>
      </c>
      <c r="F183" t="n">
        <v>522935</v>
      </c>
      <c r="G183" t="inlineStr">
        <is>
          <t>Physician</t>
        </is>
      </c>
      <c r="H183" t="inlineStr">
        <is>
          <t>assessment-and-plan</t>
        </is>
      </c>
      <c r="I183" t="inlineStr">
        <is>
          <t xml:space="preserve">
   She is s/p total knee replacement 1 month ago but was on 1 month of
   Lovenox post-operatively (she confirms), on heparin SQ here.</t>
        </is>
      </c>
    </row>
    <row r="184">
      <c r="A184" t="inlineStr">
        <is>
          <t>522935-assessment-and-plan-0-8</t>
        </is>
      </c>
      <c r="B184" t="inlineStr"/>
      <c r="C184" t="inlineStr"/>
      <c r="D184">
        <f>HYPERLINK("http://nlpdeep.cs.uic.edu:8080/proofing/t5/522935-assessment-and-plan-0-8.pdf","t5/522935-assessment-and-plan-0-8.pdf")</f>
        <v/>
      </c>
      <c r="E184" t="n">
        <v>120842</v>
      </c>
      <c r="F184" t="n">
        <v>522935</v>
      </c>
      <c r="G184" t="inlineStr">
        <is>
          <t>Physician</t>
        </is>
      </c>
      <c r="H184" t="inlineStr">
        <is>
          <t>assessment-and-plan</t>
        </is>
      </c>
      <c r="I184" t="inlineStr">
        <is>
          <t>Had CEs
   trended before, no chest pain.</t>
        </is>
      </c>
    </row>
    <row r="185">
      <c r="A185" t="inlineStr">
        <is>
          <t>522935-assessment-and-plan-0-8</t>
        </is>
      </c>
      <c r="B185" t="inlineStr"/>
      <c r="C185" t="inlineStr"/>
      <c r="D185">
        <f>HYPERLINK("http://nlpdeep.cs.uic.edu:8080/proofing/gsii/522935-assessment-and-plan-0-8.pdf","gsii/522935-assessment-and-plan-0-8.pdf")</f>
        <v/>
      </c>
      <c r="E185" t="n">
        <v>120842</v>
      </c>
      <c r="F185" t="n">
        <v>522935</v>
      </c>
      <c r="G185" t="inlineStr">
        <is>
          <t>Physician</t>
        </is>
      </c>
      <c r="H185" t="inlineStr">
        <is>
          <t>assessment-and-plan</t>
        </is>
      </c>
      <c r="I185" t="inlineStr">
        <is>
          <t>Had CEs
   trended before, no chest pain.</t>
        </is>
      </c>
    </row>
    <row r="186">
      <c r="A186" t="inlineStr">
        <is>
          <t>522935-assessment-and-plan-0-9</t>
        </is>
      </c>
      <c r="B186" t="inlineStr"/>
      <c r="C186" t="inlineStr"/>
      <c r="D186">
        <f>HYPERLINK("http://nlpdeep.cs.uic.edu:8080/proofing/t5/522935-assessment-and-plan-0-9.pdf","t5/522935-assessment-and-plan-0-9.pdf")</f>
        <v/>
      </c>
      <c r="E186" t="n">
        <v>120842</v>
      </c>
      <c r="F186" t="n">
        <v>522935</v>
      </c>
      <c r="G186" t="inlineStr">
        <is>
          <t>Physician</t>
        </is>
      </c>
      <c r="H186" t="inlineStr">
        <is>
          <t>assessment-and-plan</t>
        </is>
      </c>
      <c r="I186" t="inlineStr">
        <is>
          <t>Diffuse wheezing most c/w COPD.</t>
        </is>
      </c>
    </row>
    <row r="187">
      <c r="A187" t="inlineStr">
        <is>
          <t>522935-assessment-and-plan-0-9</t>
        </is>
      </c>
      <c r="B187" t="inlineStr"/>
      <c r="C187" t="inlineStr"/>
      <c r="D187">
        <f>HYPERLINK("http://nlpdeep.cs.uic.edu:8080/proofing/gsii/522935-assessment-and-plan-0-9.pdf","gsii/522935-assessment-and-plan-0-9.pdf")</f>
        <v/>
      </c>
      <c r="E187" t="n">
        <v>120842</v>
      </c>
      <c r="F187" t="n">
        <v>522935</v>
      </c>
      <c r="G187" t="inlineStr">
        <is>
          <t>Physician</t>
        </is>
      </c>
      <c r="H187" t="inlineStr">
        <is>
          <t>assessment-and-plan</t>
        </is>
      </c>
      <c r="I187" t="inlineStr">
        <is>
          <t>Diffuse wheezing most c/w COPD.</t>
        </is>
      </c>
    </row>
    <row r="188">
      <c r="A188" t="inlineStr">
        <is>
          <t>522935-assessment-and-plan-0-10</t>
        </is>
      </c>
      <c r="B188" t="inlineStr"/>
      <c r="C188" t="inlineStr"/>
      <c r="D188">
        <f>HYPERLINK("http://nlpdeep.cs.uic.edu:8080/proofing/t5/522935-assessment-and-plan-0-10.pdf","t5/522935-assessment-and-plan-0-10.pdf")</f>
        <v/>
      </c>
      <c r="E188" t="n">
        <v>120842</v>
      </c>
      <c r="F188" t="n">
        <v>522935</v>
      </c>
      <c r="G188" t="inlineStr">
        <is>
          <t>Physician</t>
        </is>
      </c>
      <c r="H188" t="inlineStr">
        <is>
          <t>assessment-and-plan</t>
        </is>
      </c>
      <c r="I188" t="inlineStr"/>
    </row>
    <row r="189">
      <c r="A189" t="inlineStr">
        <is>
          <t>522935-assessment-and-plan-0-10</t>
        </is>
      </c>
      <c r="B189" t="inlineStr"/>
      <c r="C189" t="inlineStr"/>
      <c r="D189">
        <f>HYPERLINK("http://nlpdeep.cs.uic.edu:8080/proofing/gsii/522935-assessment-and-plan-0-10.pdf","gsii/522935-assessment-and-plan-0-10.pdf")</f>
        <v/>
      </c>
      <c r="E189" t="n">
        <v>120842</v>
      </c>
      <c r="F189" t="n">
        <v>522935</v>
      </c>
      <c r="G189" t="inlineStr">
        <is>
          <t>Physician</t>
        </is>
      </c>
      <c r="H189" t="inlineStr">
        <is>
          <t>assessment-and-plan</t>
        </is>
      </c>
      <c r="I189" t="inlineStr"/>
    </row>
    <row r="190">
      <c r="A190" t="inlineStr">
        <is>
          <t>522935-assessment-and-plan-1-0</t>
        </is>
      </c>
      <c r="B190" t="inlineStr"/>
      <c r="C190" t="inlineStr"/>
      <c r="D190">
        <f>HYPERLINK("http://nlpdeep.cs.uic.edu:8080/proofing/t5/522935-assessment-and-plan-1-0.pdf","t5/522935-assessment-and-plan-1-0.pdf")</f>
        <v/>
      </c>
      <c r="E190" t="n">
        <v>120842</v>
      </c>
      <c r="F190" t="n">
        <v>522935</v>
      </c>
      <c r="G190" t="inlineStr">
        <is>
          <t>Physician</t>
        </is>
      </c>
      <c r="H190" t="inlineStr">
        <is>
          <t>assessment-and-plan</t>
        </is>
      </c>
      <c r="I190" t="inlineStr">
        <is>
          <t xml:space="preserve">
   # Tachycardia: AVNRT vs.</t>
        </is>
      </c>
    </row>
    <row r="191">
      <c r="A191" t="inlineStr">
        <is>
          <t>522935-assessment-and-plan-1-0</t>
        </is>
      </c>
      <c r="B191" t="inlineStr"/>
      <c r="C191" t="inlineStr"/>
      <c r="D191">
        <f>HYPERLINK("http://nlpdeep.cs.uic.edu:8080/proofing/gsii/522935-assessment-and-plan-1-0.pdf","gsii/522935-assessment-and-plan-1-0.pdf")</f>
        <v/>
      </c>
      <c r="E191" t="n">
        <v>120842</v>
      </c>
      <c r="F191" t="n">
        <v>522935</v>
      </c>
      <c r="G191" t="inlineStr">
        <is>
          <t>Physician</t>
        </is>
      </c>
      <c r="H191" t="inlineStr">
        <is>
          <t>assessment-and-plan</t>
        </is>
      </c>
      <c r="I191" t="inlineStr">
        <is>
          <t xml:space="preserve">
   # Tachycardia: AVNRT vs.</t>
        </is>
      </c>
    </row>
    <row r="192">
      <c r="A192" t="inlineStr">
        <is>
          <t>522935-assessment-and-plan-1-1</t>
        </is>
      </c>
      <c r="B192" t="inlineStr"/>
      <c r="C192" t="inlineStr"/>
      <c r="D192">
        <f>HYPERLINK("http://nlpdeep.cs.uic.edu:8080/proofing/t5/522935-assessment-and-plan-1-1.pdf","t5/522935-assessment-and-plan-1-1.pdf")</f>
        <v/>
      </c>
      <c r="E192" t="n">
        <v>120842</v>
      </c>
      <c r="F192" t="n">
        <v>522935</v>
      </c>
      <c r="G192" t="inlineStr">
        <is>
          <t>Physician</t>
        </is>
      </c>
      <c r="H192" t="inlineStr">
        <is>
          <t>assessment-and-plan</t>
        </is>
      </c>
      <c r="I192" t="inlineStr">
        <is>
          <t>ART.</t>
        </is>
      </c>
    </row>
    <row r="193">
      <c r="A193" t="inlineStr">
        <is>
          <t>522935-assessment-and-plan-1-1</t>
        </is>
      </c>
      <c r="B193" t="inlineStr"/>
      <c r="C193" t="inlineStr"/>
      <c r="D193">
        <f>HYPERLINK("http://nlpdeep.cs.uic.edu:8080/proofing/gsii/522935-assessment-and-plan-1-1.pdf","gsii/522935-assessment-and-plan-1-1.pdf")</f>
        <v/>
      </c>
      <c r="E193" t="n">
        <v>120842</v>
      </c>
      <c r="F193" t="n">
        <v>522935</v>
      </c>
      <c r="G193" t="inlineStr">
        <is>
          <t>Physician</t>
        </is>
      </c>
      <c r="H193" t="inlineStr">
        <is>
          <t>assessment-and-plan</t>
        </is>
      </c>
      <c r="I193" t="inlineStr">
        <is>
          <t>ART.</t>
        </is>
      </c>
    </row>
    <row r="194">
      <c r="A194" t="inlineStr">
        <is>
          <t>522935-assessment-and-plan-1-2</t>
        </is>
      </c>
      <c r="B194" t="inlineStr"/>
      <c r="C194" t="inlineStr"/>
      <c r="D194">
        <f>HYPERLINK("http://nlpdeep.cs.uic.edu:8080/proofing/t5/522935-assessment-and-plan-1-2.pdf","t5/522935-assessment-and-plan-1-2.pdf")</f>
        <v/>
      </c>
      <c r="E194" t="n">
        <v>120842</v>
      </c>
      <c r="F194" t="n">
        <v>522935</v>
      </c>
      <c r="G194" t="inlineStr">
        <is>
          <t>Physician</t>
        </is>
      </c>
      <c r="H194" t="inlineStr">
        <is>
          <t>assessment-and-plan</t>
        </is>
      </c>
      <c r="I194" t="inlineStr">
        <is>
          <t>As a COPD patient she's at risk for
   atrial arrhythmias.</t>
        </is>
      </c>
    </row>
    <row r="195">
      <c r="A195" t="inlineStr">
        <is>
          <t>522935-assessment-and-plan-1-2</t>
        </is>
      </c>
      <c r="B195" t="inlineStr"/>
      <c r="C195" t="inlineStr"/>
      <c r="D195">
        <f>HYPERLINK("http://nlpdeep.cs.uic.edu:8080/proofing/gsii/522935-assessment-and-plan-1-2.pdf","gsii/522935-assessment-and-plan-1-2.pdf")</f>
        <v/>
      </c>
      <c r="E195" t="n">
        <v>120842</v>
      </c>
      <c r="F195" t="n">
        <v>522935</v>
      </c>
      <c r="G195" t="inlineStr">
        <is>
          <t>Physician</t>
        </is>
      </c>
      <c r="H195" t="inlineStr">
        <is>
          <t>assessment-and-plan</t>
        </is>
      </c>
      <c r="I195" t="inlineStr">
        <is>
          <t>As a COPD patient she's at risk for
   atrial arrhythmias.</t>
        </is>
      </c>
    </row>
    <row r="196">
      <c r="A196" t="inlineStr">
        <is>
          <t>522935-assessment-and-plan-1-3</t>
        </is>
      </c>
      <c r="B196" t="inlineStr"/>
      <c r="C196" t="inlineStr"/>
      <c r="D196">
        <f>HYPERLINK("http://nlpdeep.cs.uic.edu:8080/proofing/t5/522935-assessment-and-plan-1-3.pdf","t5/522935-assessment-and-plan-1-3.pdf")</f>
        <v/>
      </c>
      <c r="E196" t="n">
        <v>120842</v>
      </c>
      <c r="F196" t="n">
        <v>522935</v>
      </c>
      <c r="G196" t="inlineStr">
        <is>
          <t>Physician</t>
        </is>
      </c>
      <c r="H196" t="inlineStr">
        <is>
          <t>assessment-and-plan</t>
        </is>
      </c>
      <c r="I196" t="inlineStr">
        <is>
          <t>Seems to go into arrhythmias after her barking
   coughs.</t>
        </is>
      </c>
    </row>
    <row r="197">
      <c r="A197" t="inlineStr">
        <is>
          <t>522935-assessment-and-plan-1-3</t>
        </is>
      </c>
      <c r="B197" t="inlineStr"/>
      <c r="C197" t="inlineStr"/>
      <c r="D197">
        <f>HYPERLINK("http://nlpdeep.cs.uic.edu:8080/proofing/gsii/522935-assessment-and-plan-1-3.pdf","gsii/522935-assessment-and-plan-1-3.pdf")</f>
        <v/>
      </c>
      <c r="E197" t="n">
        <v>120842</v>
      </c>
      <c r="F197" t="n">
        <v>522935</v>
      </c>
      <c r="G197" t="inlineStr">
        <is>
          <t>Physician</t>
        </is>
      </c>
      <c r="H197" t="inlineStr">
        <is>
          <t>assessment-and-plan</t>
        </is>
      </c>
      <c r="I197" t="inlineStr">
        <is>
          <t>Seems to go into arrhythmias after her barking
   coughs.</t>
        </is>
      </c>
    </row>
    <row r="198">
      <c r="A198" t="inlineStr">
        <is>
          <t>522935-assessment-and-plan-1-4</t>
        </is>
      </c>
      <c r="B198" t="inlineStr"/>
      <c r="C198" t="inlineStr"/>
      <c r="D198">
        <f>HYPERLINK("http://nlpdeep.cs.uic.edu:8080/proofing/t5/522935-assessment-and-plan-1-4.pdf","t5/522935-assessment-and-plan-1-4.pdf")</f>
        <v/>
      </c>
      <c r="E198" t="n">
        <v>120842</v>
      </c>
      <c r="F198" t="n">
        <v>522935</v>
      </c>
      <c r="G198" t="inlineStr">
        <is>
          <t>Physician</t>
        </is>
      </c>
      <c r="H198" t="inlineStr">
        <is>
          <t>assessment-and-plan</t>
        </is>
      </c>
      <c r="I198" t="inlineStr">
        <is>
          <t xml:space="preserve">
   - continue Tessalon [**Doctor Last Name **], Mucinex to knock back her cough
   - cards c/s in AM
   - continue PO Diltiazem
   - Echo in AM
   # Diastolic CHF.</t>
        </is>
      </c>
    </row>
    <row r="199">
      <c r="A199" t="inlineStr">
        <is>
          <t>522935-assessment-and-plan-1-4</t>
        </is>
      </c>
      <c r="B199" t="inlineStr"/>
      <c r="C199" t="inlineStr"/>
      <c r="D199">
        <f>HYPERLINK("http://nlpdeep.cs.uic.edu:8080/proofing/gsii/522935-assessment-and-plan-1-4.pdf","gsii/522935-assessment-and-plan-1-4.pdf")</f>
        <v/>
      </c>
      <c r="E199" t="n">
        <v>120842</v>
      </c>
      <c r="F199" t="n">
        <v>522935</v>
      </c>
      <c r="G199" t="inlineStr">
        <is>
          <t>Physician</t>
        </is>
      </c>
      <c r="H199" t="inlineStr">
        <is>
          <t>assessment-and-plan</t>
        </is>
      </c>
      <c r="I199" t="inlineStr">
        <is>
          <t xml:space="preserve">
   - continue Tessalon [**Doctor Last Name **], Mucinex to knock back her cough
   - cards c/s in AM
   - continue PO Diltiazem
   - Echo in AM
   # Diastolic CHF.</t>
        </is>
      </c>
    </row>
    <row r="200">
      <c r="A200" t="inlineStr">
        <is>
          <t>522935-assessment-and-plan-1-5</t>
        </is>
      </c>
      <c r="B200" t="inlineStr"/>
      <c r="C200" t="inlineStr"/>
      <c r="D200">
        <f>HYPERLINK("http://nlpdeep.cs.uic.edu:8080/proofing/t5/522935-assessment-and-plan-1-5.pdf","t5/522935-assessment-and-plan-1-5.pdf")</f>
        <v/>
      </c>
      <c r="E200" t="n">
        <v>120842</v>
      </c>
      <c r="F200" t="n">
        <v>522935</v>
      </c>
      <c r="G200" t="inlineStr">
        <is>
          <t>Physician</t>
        </is>
      </c>
      <c r="H200" t="inlineStr">
        <is>
          <t>assessment-and-plan</t>
        </is>
      </c>
      <c r="I200" t="inlineStr">
        <is>
          <t>Rate control key for her will be key.</t>
        </is>
      </c>
    </row>
    <row r="201">
      <c r="A201" t="inlineStr">
        <is>
          <t>522935-assessment-and-plan-1-5</t>
        </is>
      </c>
      <c r="B201" t="inlineStr"/>
      <c r="C201" t="inlineStr"/>
      <c r="D201">
        <f>HYPERLINK("http://nlpdeep.cs.uic.edu:8080/proofing/gsii/522935-assessment-and-plan-1-5.pdf","gsii/522935-assessment-and-plan-1-5.pdf")</f>
        <v/>
      </c>
      <c r="E201" t="n">
        <v>120842</v>
      </c>
      <c r="F201" t="n">
        <v>522935</v>
      </c>
      <c r="G201" t="inlineStr">
        <is>
          <t>Physician</t>
        </is>
      </c>
      <c r="H201" t="inlineStr">
        <is>
          <t>assessment-and-plan</t>
        </is>
      </c>
      <c r="I201" t="inlineStr">
        <is>
          <t>Rate control key for her will be key.</t>
        </is>
      </c>
    </row>
    <row r="202">
      <c r="A202" t="inlineStr">
        <is>
          <t>522935-assessment-and-plan-1-6</t>
        </is>
      </c>
      <c r="B202" t="inlineStr"/>
      <c r="C202" t="inlineStr"/>
      <c r="D202">
        <f>HYPERLINK("http://nlpdeep.cs.uic.edu:8080/proofing/t5/522935-assessment-and-plan-1-6.pdf","t5/522935-assessment-and-plan-1-6.pdf")</f>
        <v/>
      </c>
      <c r="E202" t="n">
        <v>120842</v>
      </c>
      <c r="F202" t="n">
        <v>522935</v>
      </c>
      <c r="G202" t="inlineStr">
        <is>
          <t>Physician</t>
        </is>
      </c>
      <c r="H202" t="inlineStr">
        <is>
          <t>assessment-and-plan</t>
        </is>
      </c>
      <c r="I202" t="inlineStr">
        <is>
          <t>Her chest Xray
   shows no fluid overload, not a diuresis candidate now.</t>
        </is>
      </c>
    </row>
    <row r="203">
      <c r="A203" t="inlineStr">
        <is>
          <t>522935-assessment-and-plan-1-6</t>
        </is>
      </c>
      <c r="B203" t="inlineStr"/>
      <c r="C203" t="inlineStr"/>
      <c r="D203">
        <f>HYPERLINK("http://nlpdeep.cs.uic.edu:8080/proofing/gsii/522935-assessment-and-plan-1-6.pdf","gsii/522935-assessment-and-plan-1-6.pdf")</f>
        <v/>
      </c>
      <c r="E203" t="n">
        <v>120842</v>
      </c>
      <c r="F203" t="n">
        <v>522935</v>
      </c>
      <c r="G203" t="inlineStr">
        <is>
          <t>Physician</t>
        </is>
      </c>
      <c r="H203" t="inlineStr">
        <is>
          <t>assessment-and-plan</t>
        </is>
      </c>
      <c r="I203" t="inlineStr">
        <is>
          <t>Her chest Xray
   shows no fluid overload, not a diuresis candidate now.</t>
        </is>
      </c>
    </row>
    <row r="204">
      <c r="A204" t="inlineStr">
        <is>
          <t>522935-assessment-and-plan-1-7</t>
        </is>
      </c>
      <c r="B204" t="inlineStr"/>
      <c r="C204" t="inlineStr"/>
      <c r="D204">
        <f>HYPERLINK("http://nlpdeep.cs.uic.edu:8080/proofing/t5/522935-assessment-and-plan-1-7.pdf","t5/522935-assessment-and-plan-1-7.pdf")</f>
        <v/>
      </c>
      <c r="E204" t="n">
        <v>120842</v>
      </c>
      <c r="F204" t="n">
        <v>522935</v>
      </c>
      <c r="G204" t="inlineStr">
        <is>
          <t>Physician</t>
        </is>
      </c>
      <c r="H204" t="inlineStr">
        <is>
          <t>assessment-and-plan</t>
        </is>
      </c>
      <c r="I204" t="inlineStr">
        <is>
          <t xml:space="preserve">
   - Continue ACEI.</t>
        </is>
      </c>
    </row>
    <row r="205">
      <c r="A205" t="inlineStr">
        <is>
          <t>522935-assessment-and-plan-1-7</t>
        </is>
      </c>
      <c r="B205" t="inlineStr"/>
      <c r="C205" t="inlineStr"/>
      <c r="D205">
        <f>HYPERLINK("http://nlpdeep.cs.uic.edu:8080/proofing/gsii/522935-assessment-and-plan-1-7.pdf","gsii/522935-assessment-and-plan-1-7.pdf")</f>
        <v/>
      </c>
      <c r="E205" t="n">
        <v>120842</v>
      </c>
      <c r="F205" t="n">
        <v>522935</v>
      </c>
      <c r="G205" t="inlineStr">
        <is>
          <t>Physician</t>
        </is>
      </c>
      <c r="H205" t="inlineStr">
        <is>
          <t>assessment-and-plan</t>
        </is>
      </c>
      <c r="I205" t="inlineStr">
        <is>
          <t xml:space="preserve">
   - Continue ACEI.</t>
        </is>
      </c>
    </row>
    <row r="206">
      <c r="A206" t="inlineStr">
        <is>
          <t>522935-assessment-and-plan-1-8</t>
        </is>
      </c>
      <c r="B206" t="inlineStr"/>
      <c r="C206" t="inlineStr"/>
      <c r="D206">
        <f>HYPERLINK("http://nlpdeep.cs.uic.edu:8080/proofing/t5/522935-assessment-and-plan-1-8.pdf","t5/522935-assessment-and-plan-1-8.pdf")</f>
        <v/>
      </c>
      <c r="E206" t="n">
        <v>120842</v>
      </c>
      <c r="F206" t="n">
        <v>522935</v>
      </c>
      <c r="G206" t="inlineStr">
        <is>
          <t>Physician</t>
        </is>
      </c>
      <c r="H206" t="inlineStr">
        <is>
          <t>assessment-and-plan</t>
        </is>
      </c>
      <c r="I206" t="inlineStr"/>
    </row>
    <row r="207">
      <c r="A207" t="inlineStr">
        <is>
          <t>522935-assessment-and-plan-1-8</t>
        </is>
      </c>
      <c r="B207" t="inlineStr"/>
      <c r="C207" t="inlineStr"/>
      <c r="D207">
        <f>HYPERLINK("http://nlpdeep.cs.uic.edu:8080/proofing/gsii/522935-assessment-and-plan-1-8.pdf","gsii/522935-assessment-and-plan-1-8.pdf")</f>
        <v/>
      </c>
      <c r="E207" t="n">
        <v>120842</v>
      </c>
      <c r="F207" t="n">
        <v>522935</v>
      </c>
      <c r="G207" t="inlineStr">
        <is>
          <t>Physician</t>
        </is>
      </c>
      <c r="H207" t="inlineStr">
        <is>
          <t>assessment-and-plan</t>
        </is>
      </c>
      <c r="I207" t="inlineStr"/>
    </row>
    <row r="208">
      <c r="A208" t="inlineStr">
        <is>
          <t>522935-assessment-and-plan-2-0</t>
        </is>
      </c>
      <c r="B208" t="inlineStr"/>
      <c r="C208" t="inlineStr"/>
      <c r="D208">
        <f>HYPERLINK("http://nlpdeep.cs.uic.edu:8080/proofing/t5/522935-assessment-and-plan-2-0.pdf","t5/522935-assessment-and-plan-2-0.pdf")</f>
        <v/>
      </c>
      <c r="E208" t="n">
        <v>120842</v>
      </c>
      <c r="F208" t="n">
        <v>522935</v>
      </c>
      <c r="G208" t="inlineStr">
        <is>
          <t>Physician</t>
        </is>
      </c>
      <c r="H208" t="inlineStr">
        <is>
          <t>assessment-and-plan</t>
        </is>
      </c>
      <c r="I208" t="inlineStr">
        <is>
          <t xml:space="preserve">
   # DM type II.</t>
        </is>
      </c>
    </row>
    <row r="209">
      <c r="A209" t="inlineStr">
        <is>
          <t>522935-assessment-and-plan-2-0</t>
        </is>
      </c>
      <c r="B209" t="inlineStr"/>
      <c r="C209" t="inlineStr"/>
      <c r="D209">
        <f>HYPERLINK("http://nlpdeep.cs.uic.edu:8080/proofing/gsii/522935-assessment-and-plan-2-0.pdf","gsii/522935-assessment-and-plan-2-0.pdf")</f>
        <v/>
      </c>
      <c r="E209" t="n">
        <v>120842</v>
      </c>
      <c r="F209" t="n">
        <v>522935</v>
      </c>
      <c r="G209" t="inlineStr">
        <is>
          <t>Physician</t>
        </is>
      </c>
      <c r="H209" t="inlineStr">
        <is>
          <t>assessment-and-plan</t>
        </is>
      </c>
      <c r="I209" t="inlineStr">
        <is>
          <t xml:space="preserve">
   # DM type II.</t>
        </is>
      </c>
    </row>
    <row r="210">
      <c r="A210" t="inlineStr">
        <is>
          <t>522935-assessment-and-plan-2-1</t>
        </is>
      </c>
      <c r="B210" t="inlineStr"/>
      <c r="C210" t="inlineStr"/>
      <c r="D210">
        <f>HYPERLINK("http://nlpdeep.cs.uic.edu:8080/proofing/t5/522935-assessment-and-plan-2-1.pdf","t5/522935-assessment-and-plan-2-1.pdf")</f>
        <v/>
      </c>
      <c r="E210" t="n">
        <v>120842</v>
      </c>
      <c r="F210" t="n">
        <v>522935</v>
      </c>
      <c r="G210" t="inlineStr">
        <is>
          <t>Physician</t>
        </is>
      </c>
      <c r="H210" t="inlineStr">
        <is>
          <t>assessment-and-plan</t>
        </is>
      </c>
      <c r="I210" t="inlineStr">
        <is>
          <t xml:space="preserve">
   - ISS.</t>
        </is>
      </c>
    </row>
    <row r="211">
      <c r="A211" t="inlineStr">
        <is>
          <t>522935-assessment-and-plan-2-1</t>
        </is>
      </c>
      <c r="B211" t="inlineStr"/>
      <c r="C211" t="inlineStr"/>
      <c r="D211">
        <f>HYPERLINK("http://nlpdeep.cs.uic.edu:8080/proofing/gsii/522935-assessment-and-plan-2-1.pdf","gsii/522935-assessment-and-plan-2-1.pdf")</f>
        <v/>
      </c>
      <c r="E211" t="n">
        <v>120842</v>
      </c>
      <c r="F211" t="n">
        <v>522935</v>
      </c>
      <c r="G211" t="inlineStr">
        <is>
          <t>Physician</t>
        </is>
      </c>
      <c r="H211" t="inlineStr">
        <is>
          <t>assessment-and-plan</t>
        </is>
      </c>
      <c r="I211" t="inlineStr">
        <is>
          <t xml:space="preserve">
   - ISS.</t>
        </is>
      </c>
    </row>
    <row r="212">
      <c r="A212" t="inlineStr">
        <is>
          <t>522935-assessment-and-plan-2-2</t>
        </is>
      </c>
      <c r="B212" t="inlineStr"/>
      <c r="C212" t="inlineStr"/>
      <c r="D212">
        <f>HYPERLINK("http://nlpdeep.cs.uic.edu:8080/proofing/t5/522935-assessment-and-plan-2-2.pdf","t5/522935-assessment-and-plan-2-2.pdf")</f>
        <v/>
      </c>
      <c r="E212" t="n">
        <v>120842</v>
      </c>
      <c r="F212" t="n">
        <v>522935</v>
      </c>
      <c r="G212" t="inlineStr">
        <is>
          <t>Physician</t>
        </is>
      </c>
      <c r="H212" t="inlineStr">
        <is>
          <t>assessment-and-plan</t>
        </is>
      </c>
      <c r="I212" t="inlineStr">
        <is>
          <t xml:space="preserve">
   - Hold metformin for now.</t>
        </is>
      </c>
    </row>
    <row r="213">
      <c r="A213" t="inlineStr">
        <is>
          <t>522935-assessment-and-plan-2-2</t>
        </is>
      </c>
      <c r="B213" t="inlineStr"/>
      <c r="C213" t="inlineStr"/>
      <c r="D213">
        <f>HYPERLINK("http://nlpdeep.cs.uic.edu:8080/proofing/gsii/522935-assessment-and-plan-2-2.pdf","gsii/522935-assessment-and-plan-2-2.pdf")</f>
        <v/>
      </c>
      <c r="E213" t="n">
        <v>120842</v>
      </c>
      <c r="F213" t="n">
        <v>522935</v>
      </c>
      <c r="G213" t="inlineStr">
        <is>
          <t>Physician</t>
        </is>
      </c>
      <c r="H213" t="inlineStr">
        <is>
          <t>assessment-and-plan</t>
        </is>
      </c>
      <c r="I213" t="inlineStr">
        <is>
          <t xml:space="preserve">
   - Hold metformin for now.</t>
        </is>
      </c>
    </row>
    <row r="214">
      <c r="A214" t="inlineStr">
        <is>
          <t>522935-assessment-and-plan-2-3</t>
        </is>
      </c>
      <c r="B214" t="inlineStr"/>
      <c r="C214" t="inlineStr"/>
      <c r="D214">
        <f>HYPERLINK("http://nlpdeep.cs.uic.edu:8080/proofing/t5/522935-assessment-and-plan-2-3.pdf","t5/522935-assessment-and-plan-2-3.pdf")</f>
        <v/>
      </c>
      <c r="E214" t="n">
        <v>120842</v>
      </c>
      <c r="F214" t="n">
        <v>522935</v>
      </c>
      <c r="G214" t="inlineStr">
        <is>
          <t>Physician</t>
        </is>
      </c>
      <c r="H214" t="inlineStr">
        <is>
          <t>assessment-and-plan</t>
        </is>
      </c>
      <c r="I214" t="inlineStr">
        <is>
          <t xml:space="preserve">
   - +/- glipizide.</t>
        </is>
      </c>
    </row>
    <row r="215">
      <c r="A215" t="inlineStr">
        <is>
          <t>522935-assessment-and-plan-2-3</t>
        </is>
      </c>
      <c r="B215" t="inlineStr"/>
      <c r="C215" t="inlineStr"/>
      <c r="D215">
        <f>HYPERLINK("http://nlpdeep.cs.uic.edu:8080/proofing/gsii/522935-assessment-and-plan-2-3.pdf","gsii/522935-assessment-and-plan-2-3.pdf")</f>
        <v/>
      </c>
      <c r="E215" t="n">
        <v>120842</v>
      </c>
      <c r="F215" t="n">
        <v>522935</v>
      </c>
      <c r="G215" t="inlineStr">
        <is>
          <t>Physician</t>
        </is>
      </c>
      <c r="H215" t="inlineStr">
        <is>
          <t>assessment-and-plan</t>
        </is>
      </c>
      <c r="I215" t="inlineStr">
        <is>
          <t xml:space="preserve">
   - +/- glipizide.</t>
        </is>
      </c>
    </row>
    <row r="216">
      <c r="A216" t="inlineStr">
        <is>
          <t>522935-assessment-and-plan-3-0</t>
        </is>
      </c>
      <c r="B216" t="inlineStr"/>
      <c r="C216" t="inlineStr"/>
      <c r="D216">
        <f>HYPERLINK("http://nlpdeep.cs.uic.edu:8080/proofing/t5/522935-assessment-and-plan-3-0.pdf","t5/522935-assessment-and-plan-3-0.pdf")</f>
        <v/>
      </c>
      <c r="E216" t="n">
        <v>120842</v>
      </c>
      <c r="F216" t="n">
        <v>522935</v>
      </c>
      <c r="G216" t="inlineStr">
        <is>
          <t>Physician</t>
        </is>
      </c>
      <c r="H216" t="inlineStr">
        <is>
          <t>assessment-and-plan</t>
        </is>
      </c>
      <c r="I216" t="inlineStr">
        <is>
          <t xml:space="preserve">
   # Hypertension.</t>
        </is>
      </c>
    </row>
    <row r="217">
      <c r="A217" t="inlineStr">
        <is>
          <t>522935-assessment-and-plan-3-0</t>
        </is>
      </c>
      <c r="B217" t="inlineStr"/>
      <c r="C217" t="inlineStr"/>
      <c r="D217">
        <f>HYPERLINK("http://nlpdeep.cs.uic.edu:8080/proofing/gsii/522935-assessment-and-plan-3-0.pdf","gsii/522935-assessment-and-plan-3-0.pdf")</f>
        <v/>
      </c>
      <c r="E217" t="n">
        <v>120842</v>
      </c>
      <c r="F217" t="n">
        <v>522935</v>
      </c>
      <c r="G217" t="inlineStr">
        <is>
          <t>Physician</t>
        </is>
      </c>
      <c r="H217" t="inlineStr">
        <is>
          <t>assessment-and-plan</t>
        </is>
      </c>
      <c r="I217" t="inlineStr">
        <is>
          <t xml:space="preserve">
   # Hypertension.</t>
        </is>
      </c>
    </row>
    <row r="218">
      <c r="A218" t="inlineStr">
        <is>
          <t>522935-assessment-and-plan-3-1</t>
        </is>
      </c>
      <c r="B218" t="inlineStr"/>
      <c r="C218" t="inlineStr"/>
      <c r="D218">
        <f>HYPERLINK("http://nlpdeep.cs.uic.edu:8080/proofing/t5/522935-assessment-and-plan-3-1.pdf","t5/522935-assessment-and-plan-3-1.pdf")</f>
        <v/>
      </c>
      <c r="E218" t="n">
        <v>120842</v>
      </c>
      <c r="F218" t="n">
        <v>522935</v>
      </c>
      <c r="G218" t="inlineStr">
        <is>
          <t>Physician</t>
        </is>
      </c>
      <c r="H218" t="inlineStr">
        <is>
          <t>assessment-and-plan</t>
        </is>
      </c>
      <c r="I218" t="inlineStr">
        <is>
          <t xml:space="preserve">
   - Captopril and HCTZ.</t>
        </is>
      </c>
    </row>
    <row r="219">
      <c r="A219" t="inlineStr">
        <is>
          <t>522935-assessment-and-plan-3-1</t>
        </is>
      </c>
      <c r="B219" t="inlineStr"/>
      <c r="C219" t="inlineStr"/>
      <c r="D219">
        <f>HYPERLINK("http://nlpdeep.cs.uic.edu:8080/proofing/gsii/522935-assessment-and-plan-3-1.pdf","gsii/522935-assessment-and-plan-3-1.pdf")</f>
        <v/>
      </c>
      <c r="E219" t="n">
        <v>120842</v>
      </c>
      <c r="F219" t="n">
        <v>522935</v>
      </c>
      <c r="G219" t="inlineStr">
        <is>
          <t>Physician</t>
        </is>
      </c>
      <c r="H219" t="inlineStr">
        <is>
          <t>assessment-and-plan</t>
        </is>
      </c>
      <c r="I219" t="inlineStr">
        <is>
          <t xml:space="preserve">
   - Captopril and HCTZ.</t>
        </is>
      </c>
    </row>
    <row r="220">
      <c r="A220" t="inlineStr">
        <is>
          <t>522935-assessment-and-plan-4-0</t>
        </is>
      </c>
      <c r="B220" t="inlineStr"/>
      <c r="C220" t="inlineStr"/>
      <c r="D220">
        <f>HYPERLINK("http://nlpdeep.cs.uic.edu:8080/proofing/t5/522935-assessment-and-plan-4-0.pdf","t5/522935-assessment-and-plan-4-0.pdf")</f>
        <v/>
      </c>
      <c r="E220" t="n">
        <v>120842</v>
      </c>
      <c r="F220" t="n">
        <v>522935</v>
      </c>
      <c r="G220" t="inlineStr">
        <is>
          <t>Physician</t>
        </is>
      </c>
      <c r="H220" t="inlineStr">
        <is>
          <t>assessment-and-plan</t>
        </is>
      </c>
      <c r="I220" t="inlineStr">
        <is>
          <t xml:space="preserve">
   # Anemia.</t>
        </is>
      </c>
    </row>
    <row r="221">
      <c r="A221" t="inlineStr">
        <is>
          <t>522935-assessment-and-plan-4-0</t>
        </is>
      </c>
      <c r="B221" t="inlineStr"/>
      <c r="C221" t="inlineStr"/>
      <c r="D221">
        <f>HYPERLINK("http://nlpdeep.cs.uic.edu:8080/proofing/gsii/522935-assessment-and-plan-4-0.pdf","gsii/522935-assessment-and-plan-4-0.pdf")</f>
        <v/>
      </c>
      <c r="E221" t="n">
        <v>120842</v>
      </c>
      <c r="F221" t="n">
        <v>522935</v>
      </c>
      <c r="G221" t="inlineStr">
        <is>
          <t>Physician</t>
        </is>
      </c>
      <c r="H221" t="inlineStr">
        <is>
          <t>assessment-and-plan</t>
        </is>
      </c>
      <c r="I221" t="inlineStr">
        <is>
          <t xml:space="preserve">
   # Anemia.</t>
        </is>
      </c>
    </row>
    <row r="222">
      <c r="A222" t="inlineStr">
        <is>
          <t>522935-assessment-and-plan-4-1</t>
        </is>
      </c>
      <c r="B222" t="inlineStr"/>
      <c r="C222" t="inlineStr"/>
      <c r="D222">
        <f>HYPERLINK("http://nlpdeep.cs.uic.edu:8080/proofing/t5/522935-assessment-and-plan-4-1.pdf","t5/522935-assessment-and-plan-4-1.pdf")</f>
        <v/>
      </c>
      <c r="E222" t="n">
        <v>120842</v>
      </c>
      <c r="F222" t="n">
        <v>522935</v>
      </c>
      <c r="G222" t="inlineStr">
        <is>
          <t>Physician</t>
        </is>
      </c>
      <c r="H222" t="inlineStr">
        <is>
          <t>assessment-and-plan</t>
        </is>
      </c>
      <c r="I222" t="inlineStr">
        <is>
          <t>More or less at baseline.</t>
        </is>
      </c>
    </row>
    <row r="223">
      <c r="A223" t="inlineStr">
        <is>
          <t>522935-assessment-and-plan-4-1</t>
        </is>
      </c>
      <c r="B223" t="inlineStr"/>
      <c r="C223" t="inlineStr"/>
      <c r="D223">
        <f>HYPERLINK("http://nlpdeep.cs.uic.edu:8080/proofing/gsii/522935-assessment-and-plan-4-1.pdf","gsii/522935-assessment-and-plan-4-1.pdf")</f>
        <v/>
      </c>
      <c r="E223" t="n">
        <v>120842</v>
      </c>
      <c r="F223" t="n">
        <v>522935</v>
      </c>
      <c r="G223" t="inlineStr">
        <is>
          <t>Physician</t>
        </is>
      </c>
      <c r="H223" t="inlineStr">
        <is>
          <t>assessment-and-plan</t>
        </is>
      </c>
      <c r="I223" t="inlineStr">
        <is>
          <t>More or less at baseline.</t>
        </is>
      </c>
    </row>
    <row r="224">
      <c r="A224" t="inlineStr">
        <is>
          <t>522935-assessment-and-plan-4-2</t>
        </is>
      </c>
      <c r="B224" t="inlineStr"/>
      <c r="C224" t="inlineStr"/>
      <c r="D224">
        <f>HYPERLINK("http://nlpdeep.cs.uic.edu:8080/proofing/t5/522935-assessment-and-plan-4-2.pdf","t5/522935-assessment-and-plan-4-2.pdf")</f>
        <v/>
      </c>
      <c r="E224" t="n">
        <v>120842</v>
      </c>
      <c r="F224" t="n">
        <v>522935</v>
      </c>
      <c r="G224" t="inlineStr">
        <is>
          <t>Physician</t>
        </is>
      </c>
      <c r="H224" t="inlineStr">
        <is>
          <t>assessment-and-plan</t>
        </is>
      </c>
      <c r="I224" t="inlineStr">
        <is>
          <t xml:space="preserve">
   - Monitor.</t>
        </is>
      </c>
    </row>
    <row r="225">
      <c r="A225" t="inlineStr">
        <is>
          <t>522935-assessment-and-plan-4-2</t>
        </is>
      </c>
      <c r="B225" t="inlineStr"/>
      <c r="C225" t="inlineStr"/>
      <c r="D225">
        <f>HYPERLINK("http://nlpdeep.cs.uic.edu:8080/proofing/gsii/522935-assessment-and-plan-4-2.pdf","gsii/522935-assessment-and-plan-4-2.pdf")</f>
        <v/>
      </c>
      <c r="E225" t="n">
        <v>120842</v>
      </c>
      <c r="F225" t="n">
        <v>522935</v>
      </c>
      <c r="G225" t="inlineStr">
        <is>
          <t>Physician</t>
        </is>
      </c>
      <c r="H225" t="inlineStr">
        <is>
          <t>assessment-and-plan</t>
        </is>
      </c>
      <c r="I225" t="inlineStr">
        <is>
          <t xml:space="preserve">
   - Monitor.</t>
        </is>
      </c>
    </row>
    <row r="226">
      <c r="A226" t="inlineStr">
        <is>
          <t>522935-assessment-and-plan-5-0</t>
        </is>
      </c>
      <c r="B226" t="inlineStr"/>
      <c r="C226" t="inlineStr"/>
      <c r="D226">
        <f>HYPERLINK("http://nlpdeep.cs.uic.edu:8080/proofing/t5/522935-assessment-and-plan-5-0.pdf","t5/522935-assessment-and-plan-5-0.pdf")</f>
        <v/>
      </c>
      <c r="E226" t="n">
        <v>120842</v>
      </c>
      <c r="F226" t="n">
        <v>522935</v>
      </c>
      <c r="G226" t="inlineStr">
        <is>
          <t>Physician</t>
        </is>
      </c>
      <c r="H226" t="inlineStr">
        <is>
          <t>assessment-and-plan</t>
        </is>
      </c>
      <c r="I226" t="inlineStr">
        <is>
          <t xml:space="preserve">
   FEN: No IVF, replete electrolytes, regular diet
   Prophylaxis: Subutaneous heparin
   Access: peripherals
   Code: Full (confirmed on admission)
   Communication: Patient
   Disposition: ICU)
   ICU Care
   Nutrition:
   Glycemic Control:
   Lines:
   20 Gauge - [**2153-4-8**] 09:30 PM
   Prophylaxis:
   DVT:
   Stress ulcer:
   VAP:
   Comments:
   Communication:  Comments:
   Code status: Full code
   Disposition:
</t>
        </is>
      </c>
    </row>
    <row r="227">
      <c r="A227" t="inlineStr">
        <is>
          <t>522935-assessment-and-plan-5-0</t>
        </is>
      </c>
      <c r="B227" t="inlineStr"/>
      <c r="C227" t="inlineStr"/>
      <c r="D227">
        <f>HYPERLINK("http://nlpdeep.cs.uic.edu:8080/proofing/gsii/522935-assessment-and-plan-5-0.pdf","gsii/522935-assessment-and-plan-5-0.pdf")</f>
        <v/>
      </c>
      <c r="E227" t="n">
        <v>120842</v>
      </c>
      <c r="F227" t="n">
        <v>522935</v>
      </c>
      <c r="G227" t="inlineStr">
        <is>
          <t>Physician</t>
        </is>
      </c>
      <c r="H227" t="inlineStr">
        <is>
          <t>assessment-and-plan</t>
        </is>
      </c>
      <c r="I227" t="inlineStr">
        <is>
          <t xml:space="preserve">
   FEN: No IVF, replete electrolytes, regular diet
   Prophylaxis: Subutaneous heparin
   Access: peripherals
   Code: Full (confirmed on admission)
   Communication: Patient
   Disposition: ICU)
   ICU Care
   Nutrition:
   Glycemic Control:
   Lines:
   20 Gauge - [**2153-4-8**] 09:30 PM
   Prophylaxis:
   DVT:
   Stress ulcer:
   VAP:
   Comments:
   Communication:  Comments:
   Code status: Full code
   Disposition:
</t>
        </is>
      </c>
    </row>
    <row r="228">
      <c r="A228" t="inlineStr">
        <is>
          <t>522935-review-of-systems-0-0</t>
        </is>
      </c>
      <c r="B228" t="inlineStr"/>
      <c r="C228" t="inlineStr"/>
      <c r="D228">
        <f>HYPERLINK("http://nlpdeep.cs.uic.edu:8080/proofing/t5/522935-review-of-systems-0-0.pdf","t5/522935-review-of-systems-0-0.pdf")</f>
        <v/>
      </c>
      <c r="E228" t="n">
        <v>120842</v>
      </c>
      <c r="F228" t="n">
        <v>522935</v>
      </c>
      <c r="G228" t="inlineStr">
        <is>
          <t>Physician</t>
        </is>
      </c>
      <c r="H228" t="inlineStr">
        <is>
          <t>review-of-systems</t>
        </is>
      </c>
      <c r="I228" t="inlineStr">
        <is>
          <t>(+) Per HPI
   (-) Denies fever, chills, night sweats, recent weight loss or gain.</t>
        </is>
      </c>
    </row>
    <row r="229">
      <c r="A229" t="inlineStr">
        <is>
          <t>522935-review-of-systems-0-0</t>
        </is>
      </c>
      <c r="B229" t="inlineStr"/>
      <c r="C229" t="inlineStr"/>
      <c r="D229">
        <f>HYPERLINK("http://nlpdeep.cs.uic.edu:8080/proofing/gsii/522935-review-of-systems-0-0.pdf","gsii/522935-review-of-systems-0-0.pdf")</f>
        <v/>
      </c>
      <c r="E229" t="n">
        <v>120842</v>
      </c>
      <c r="F229" t="n">
        <v>522935</v>
      </c>
      <c r="G229" t="inlineStr">
        <is>
          <t>Physician</t>
        </is>
      </c>
      <c r="H229" t="inlineStr">
        <is>
          <t>review-of-systems</t>
        </is>
      </c>
      <c r="I229" t="inlineStr">
        <is>
          <t>(+) Per HPI
   (-) Denies fever, chills, night sweats, recent weight loss or gain.</t>
        </is>
      </c>
    </row>
    <row r="230">
      <c r="A230" t="inlineStr">
        <is>
          <t>522935-review-of-systems-0-1</t>
        </is>
      </c>
      <c r="B230" t="inlineStr"/>
      <c r="C230" t="inlineStr"/>
      <c r="D230">
        <f>HYPERLINK("http://nlpdeep.cs.uic.edu:8080/proofing/t5/522935-review-of-systems-0-1.pdf","t5/522935-review-of-systems-0-1.pdf")</f>
        <v/>
      </c>
      <c r="E230" t="n">
        <v>120842</v>
      </c>
      <c r="F230" t="n">
        <v>522935</v>
      </c>
      <c r="G230" t="inlineStr">
        <is>
          <t>Physician</t>
        </is>
      </c>
      <c r="H230" t="inlineStr">
        <is>
          <t>review-of-systems</t>
        </is>
      </c>
      <c r="I230" t="inlineStr">
        <is>
          <t xml:space="preserve">
   Denies sinus tenderness, rhinorrhea or congestion.</t>
        </is>
      </c>
    </row>
    <row r="231">
      <c r="A231" t="inlineStr">
        <is>
          <t>522935-review-of-systems-0-1</t>
        </is>
      </c>
      <c r="B231" t="inlineStr"/>
      <c r="C231" t="inlineStr"/>
      <c r="D231">
        <f>HYPERLINK("http://nlpdeep.cs.uic.edu:8080/proofing/gsii/522935-review-of-systems-0-1.pdf","gsii/522935-review-of-systems-0-1.pdf")</f>
        <v/>
      </c>
      <c r="E231" t="n">
        <v>120842</v>
      </c>
      <c r="F231" t="n">
        <v>522935</v>
      </c>
      <c r="G231" t="inlineStr">
        <is>
          <t>Physician</t>
        </is>
      </c>
      <c r="H231" t="inlineStr">
        <is>
          <t>review-of-systems</t>
        </is>
      </c>
      <c r="I231" t="inlineStr">
        <is>
          <t xml:space="preserve">
   Denies sinus tenderness, rhinorrhea or congestion.</t>
        </is>
      </c>
    </row>
    <row r="232">
      <c r="A232" t="inlineStr">
        <is>
          <t>522935-review-of-systems-0-2</t>
        </is>
      </c>
      <c r="B232" t="inlineStr"/>
      <c r="C232" t="inlineStr"/>
      <c r="D232">
        <f>HYPERLINK("http://nlpdeep.cs.uic.edu:8080/proofing/t5/522935-review-of-systems-0-2.pdf","t5/522935-review-of-systems-0-2.pdf")</f>
        <v/>
      </c>
      <c r="E232" t="n">
        <v>120842</v>
      </c>
      <c r="F232" t="n">
        <v>522935</v>
      </c>
      <c r="G232" t="inlineStr">
        <is>
          <t>Physician</t>
        </is>
      </c>
      <c r="H232" t="inlineStr">
        <is>
          <t>review-of-systems</t>
        </is>
      </c>
      <c r="I232" t="inlineStr">
        <is>
          <t>Denied chest pain or
   tightness, palpitations.</t>
        </is>
      </c>
    </row>
    <row r="233">
      <c r="A233" t="inlineStr">
        <is>
          <t>522935-review-of-systems-0-2</t>
        </is>
      </c>
      <c r="B233" t="inlineStr"/>
      <c r="C233" t="inlineStr"/>
      <c r="D233">
        <f>HYPERLINK("http://nlpdeep.cs.uic.edu:8080/proofing/gsii/522935-review-of-systems-0-2.pdf","gsii/522935-review-of-systems-0-2.pdf")</f>
        <v/>
      </c>
      <c r="E233" t="n">
        <v>120842</v>
      </c>
      <c r="F233" t="n">
        <v>522935</v>
      </c>
      <c r="G233" t="inlineStr">
        <is>
          <t>Physician</t>
        </is>
      </c>
      <c r="H233" t="inlineStr">
        <is>
          <t>review-of-systems</t>
        </is>
      </c>
      <c r="I233" t="inlineStr">
        <is>
          <t>Denied chest pain or
   tightness, palpitations.</t>
        </is>
      </c>
    </row>
    <row r="234">
      <c r="A234" t="inlineStr">
        <is>
          <t>522935-review-of-systems-0-3</t>
        </is>
      </c>
      <c r="B234" t="inlineStr"/>
      <c r="C234" t="inlineStr"/>
      <c r="D234">
        <f>HYPERLINK("http://nlpdeep.cs.uic.edu:8080/proofing/t5/522935-review-of-systems-0-3.pdf","t5/522935-review-of-systems-0-3.pdf")</f>
        <v/>
      </c>
      <c r="E234" t="n">
        <v>120842</v>
      </c>
      <c r="F234" t="n">
        <v>522935</v>
      </c>
      <c r="G234" t="inlineStr">
        <is>
          <t>Physician</t>
        </is>
      </c>
      <c r="H234" t="inlineStr">
        <is>
          <t>review-of-systems</t>
        </is>
      </c>
      <c r="I234" t="inlineStr">
        <is>
          <t>Denied nausea, vomiting, diarrhea,
   constipation or abdominal pain.</t>
        </is>
      </c>
    </row>
    <row r="235">
      <c r="A235" t="inlineStr">
        <is>
          <t>522935-review-of-systems-0-3</t>
        </is>
      </c>
      <c r="B235" t="inlineStr"/>
      <c r="C235" t="inlineStr"/>
      <c r="D235">
        <f>HYPERLINK("http://nlpdeep.cs.uic.edu:8080/proofing/gsii/522935-review-of-systems-0-3.pdf","gsii/522935-review-of-systems-0-3.pdf")</f>
        <v/>
      </c>
      <c r="E235" t="n">
        <v>120842</v>
      </c>
      <c r="F235" t="n">
        <v>522935</v>
      </c>
      <c r="G235" t="inlineStr">
        <is>
          <t>Physician</t>
        </is>
      </c>
      <c r="H235" t="inlineStr">
        <is>
          <t>review-of-systems</t>
        </is>
      </c>
      <c r="I235" t="inlineStr">
        <is>
          <t>Denied nausea, vomiting, diarrhea,
   constipation or abdominal pain.</t>
        </is>
      </c>
    </row>
    <row r="236">
      <c r="A236" t="inlineStr">
        <is>
          <t>522935-review-of-systems-0-4</t>
        </is>
      </c>
      <c r="B236" t="inlineStr"/>
      <c r="C236" t="inlineStr"/>
      <c r="D236">
        <f>HYPERLINK("http://nlpdeep.cs.uic.edu:8080/proofing/t5/522935-review-of-systems-0-4.pdf","t5/522935-review-of-systems-0-4.pdf")</f>
        <v/>
      </c>
      <c r="E236" t="n">
        <v>120842</v>
      </c>
      <c r="F236" t="n">
        <v>522935</v>
      </c>
      <c r="G236" t="inlineStr">
        <is>
          <t>Physician</t>
        </is>
      </c>
      <c r="H236" t="inlineStr">
        <is>
          <t>review-of-systems</t>
        </is>
      </c>
      <c r="I236" t="inlineStr">
        <is>
          <t>No recent change in bowel or bladder
   habits.</t>
        </is>
      </c>
    </row>
    <row r="237">
      <c r="A237" t="inlineStr">
        <is>
          <t>522935-review-of-systems-0-4</t>
        </is>
      </c>
      <c r="B237" t="inlineStr"/>
      <c r="C237" t="inlineStr"/>
      <c r="D237">
        <f>HYPERLINK("http://nlpdeep.cs.uic.edu:8080/proofing/gsii/522935-review-of-systems-0-4.pdf","gsii/522935-review-of-systems-0-4.pdf")</f>
        <v/>
      </c>
      <c r="E237" t="n">
        <v>120842</v>
      </c>
      <c r="F237" t="n">
        <v>522935</v>
      </c>
      <c r="G237" t="inlineStr">
        <is>
          <t>Physician</t>
        </is>
      </c>
      <c r="H237" t="inlineStr">
        <is>
          <t>review-of-systems</t>
        </is>
      </c>
      <c r="I237" t="inlineStr">
        <is>
          <t>No recent change in bowel or bladder
   habits.</t>
        </is>
      </c>
    </row>
    <row r="238">
      <c r="A238" t="inlineStr">
        <is>
          <t>522935-review-of-systems-0-5</t>
        </is>
      </c>
      <c r="B238" t="inlineStr"/>
      <c r="C238" t="inlineStr"/>
      <c r="D238">
        <f>HYPERLINK("http://nlpdeep.cs.uic.edu:8080/proofing/t5/522935-review-of-systems-0-5.pdf","t5/522935-review-of-systems-0-5.pdf")</f>
        <v/>
      </c>
      <c r="E238" t="n">
        <v>120842</v>
      </c>
      <c r="F238" t="n">
        <v>522935</v>
      </c>
      <c r="G238" t="inlineStr">
        <is>
          <t>Physician</t>
        </is>
      </c>
      <c r="H238" t="inlineStr">
        <is>
          <t>review-of-systems</t>
        </is>
      </c>
      <c r="I238" t="inlineStr">
        <is>
          <t>No dysuria.</t>
        </is>
      </c>
    </row>
    <row r="239">
      <c r="A239" t="inlineStr">
        <is>
          <t>522935-review-of-systems-0-5</t>
        </is>
      </c>
      <c r="B239" t="inlineStr"/>
      <c r="C239" t="inlineStr"/>
      <c r="D239">
        <f>HYPERLINK("http://nlpdeep.cs.uic.edu:8080/proofing/gsii/522935-review-of-systems-0-5.pdf","gsii/522935-review-of-systems-0-5.pdf")</f>
        <v/>
      </c>
      <c r="E239" t="n">
        <v>120842</v>
      </c>
      <c r="F239" t="n">
        <v>522935</v>
      </c>
      <c r="G239" t="inlineStr">
        <is>
          <t>Physician</t>
        </is>
      </c>
      <c r="H239" t="inlineStr">
        <is>
          <t>review-of-systems</t>
        </is>
      </c>
      <c r="I239" t="inlineStr">
        <is>
          <t>No dysuria.</t>
        </is>
      </c>
    </row>
    <row r="240">
      <c r="A240" t="inlineStr">
        <is>
          <t>522935-review-of-systems-0-6</t>
        </is>
      </c>
      <c r="B240" t="inlineStr"/>
      <c r="C240" t="inlineStr"/>
      <c r="D240">
        <f>HYPERLINK("http://nlpdeep.cs.uic.edu:8080/proofing/t5/522935-review-of-systems-0-6.pdf","t5/522935-review-of-systems-0-6.pdf")</f>
        <v/>
      </c>
      <c r="E240" t="n">
        <v>120842</v>
      </c>
      <c r="F240" t="n">
        <v>522935</v>
      </c>
      <c r="G240" t="inlineStr">
        <is>
          <t>Physician</t>
        </is>
      </c>
      <c r="H240" t="inlineStr">
        <is>
          <t>review-of-systems</t>
        </is>
      </c>
      <c r="I240" t="inlineStr">
        <is>
          <t>Denied arthralgias or myalgias.</t>
        </is>
      </c>
    </row>
    <row r="241">
      <c r="A241" t="inlineStr">
        <is>
          <t>522935-review-of-systems-0-6</t>
        </is>
      </c>
      <c r="B241" t="inlineStr"/>
      <c r="C241" t="inlineStr"/>
      <c r="D241">
        <f>HYPERLINK("http://nlpdeep.cs.uic.edu:8080/proofing/gsii/522935-review-of-systems-0-6.pdf","gsii/522935-review-of-systems-0-6.pdf")</f>
        <v/>
      </c>
      <c r="E241" t="n">
        <v>120842</v>
      </c>
      <c r="F241" t="n">
        <v>522935</v>
      </c>
      <c r="G241" t="inlineStr">
        <is>
          <t>Physician</t>
        </is>
      </c>
      <c r="H241" t="inlineStr">
        <is>
          <t>review-of-systems</t>
        </is>
      </c>
      <c r="I241" t="inlineStr">
        <is>
          <t>Denied arthralgias or myalgias.</t>
        </is>
      </c>
    </row>
    <row r="242">
      <c r="A242" t="inlineStr">
        <is>
          <t>522935-review-of-systems-0-7</t>
        </is>
      </c>
      <c r="B242" t="inlineStr"/>
      <c r="C242" t="inlineStr"/>
      <c r="D242">
        <f>HYPERLINK("http://nlpdeep.cs.uic.edu:8080/proofing/t5/522935-review-of-systems-0-7.pdf","t5/522935-review-of-systems-0-7.pdf")</f>
        <v/>
      </c>
      <c r="E242" t="n">
        <v>120842</v>
      </c>
      <c r="F242" t="n">
        <v>522935</v>
      </c>
      <c r="G242" t="inlineStr">
        <is>
          <t>Physician</t>
        </is>
      </c>
      <c r="H242" t="inlineStr">
        <is>
          <t>review-of-systems</t>
        </is>
      </c>
      <c r="I242" t="inlineStr">
        <is>
          <t xml:space="preserve">
   .</t>
        </is>
      </c>
    </row>
    <row r="243">
      <c r="A243" t="inlineStr">
        <is>
          <t>522935-review-of-systems-0-7</t>
        </is>
      </c>
      <c r="B243" t="inlineStr"/>
      <c r="C243" t="inlineStr"/>
      <c r="D243">
        <f>HYPERLINK("http://nlpdeep.cs.uic.edu:8080/proofing/gsii/522935-review-of-systems-0-7.pdf","gsii/522935-review-of-systems-0-7.pdf")</f>
        <v/>
      </c>
      <c r="E243" t="n">
        <v>120842</v>
      </c>
      <c r="F243" t="n">
        <v>522935</v>
      </c>
      <c r="G243" t="inlineStr">
        <is>
          <t>Physician</t>
        </is>
      </c>
      <c r="H243" t="inlineStr">
        <is>
          <t>review-of-systems</t>
        </is>
      </c>
      <c r="I243" t="inlineStr">
        <is>
          <t xml:space="preserve">
   .</t>
        </is>
      </c>
    </row>
    <row r="244">
      <c r="A244" t="inlineStr">
        <is>
          <t>522935-allergies-0-0</t>
        </is>
      </c>
      <c r="B244" t="inlineStr"/>
      <c r="C244" t="inlineStr"/>
      <c r="D244">
        <f>HYPERLINK("http://nlpdeep.cs.uic.edu:8080/proofing/t5/522935-allergies-0-0.pdf","t5/522935-allergies-0-0.pdf")</f>
        <v/>
      </c>
      <c r="E244" t="n">
        <v>120842</v>
      </c>
      <c r="F244" t="n">
        <v>522935</v>
      </c>
      <c r="G244" t="inlineStr">
        <is>
          <t>Physician</t>
        </is>
      </c>
      <c r="H244" t="inlineStr">
        <is>
          <t>allergies</t>
        </is>
      </c>
      <c r="I244" t="inlineStr">
        <is>
          <t>hayfever
   .</t>
        </is>
      </c>
    </row>
    <row r="245">
      <c r="A245" t="inlineStr">
        <is>
          <t>522935-allergies-0-0</t>
        </is>
      </c>
      <c r="B245" t="inlineStr"/>
      <c r="C245" t="inlineStr"/>
      <c r="D245">
        <f>HYPERLINK("http://nlpdeep.cs.uic.edu:8080/proofing/gsii/522935-allergies-0-0.pdf","gsii/522935-allergies-0-0.pdf")</f>
        <v/>
      </c>
      <c r="E245" t="n">
        <v>120842</v>
      </c>
      <c r="F245" t="n">
        <v>522935</v>
      </c>
      <c r="G245" t="inlineStr">
        <is>
          <t>Physician</t>
        </is>
      </c>
      <c r="H245" t="inlineStr">
        <is>
          <t>allergies</t>
        </is>
      </c>
      <c r="I245" t="inlineStr">
        <is>
          <t>hayfever
   .</t>
        </is>
      </c>
    </row>
    <row r="246">
      <c r="A246" t="inlineStr">
        <is>
          <t>522935-family-history-0-0</t>
        </is>
      </c>
      <c r="B246" t="inlineStr"/>
      <c r="C246" t="inlineStr"/>
      <c r="D246">
        <f>HYPERLINK("http://nlpdeep.cs.uic.edu:8080/proofing/t5/522935-family-history-0-0.pdf","t5/522935-family-history-0-0.pdf")</f>
        <v/>
      </c>
      <c r="E246" t="n">
        <v>120842</v>
      </c>
      <c r="F246" t="n">
        <v>522935</v>
      </c>
      <c r="G246" t="inlineStr">
        <is>
          <t>Physician</t>
        </is>
      </c>
      <c r="H246" t="inlineStr">
        <is>
          <t>family-history</t>
        </is>
      </c>
      <c r="I246" t="inlineStr">
        <is>
          <t>Noncontributory
   .</t>
        </is>
      </c>
    </row>
    <row r="247">
      <c r="A247" t="inlineStr">
        <is>
          <t>522935-family-history-0-0</t>
        </is>
      </c>
      <c r="B247" t="inlineStr"/>
      <c r="C247" t="inlineStr"/>
      <c r="D247">
        <f>HYPERLINK("http://nlpdeep.cs.uic.edu:8080/proofing/gsii/522935-family-history-0-0.pdf","gsii/522935-family-history-0-0.pdf")</f>
        <v/>
      </c>
      <c r="E247" t="n">
        <v>120842</v>
      </c>
      <c r="F247" t="n">
        <v>522935</v>
      </c>
      <c r="G247" t="inlineStr">
        <is>
          <t>Physician</t>
        </is>
      </c>
      <c r="H247" t="inlineStr">
        <is>
          <t>family-history</t>
        </is>
      </c>
      <c r="I247" t="inlineStr">
        <is>
          <t>Noncontributory
   .</t>
        </is>
      </c>
    </row>
    <row r="248">
      <c r="A248" t="inlineStr">
        <is>
          <t>522935-labs-0-0</t>
        </is>
      </c>
      <c r="B248" t="inlineStr"/>
      <c r="C248" t="inlineStr"/>
      <c r="D248">
        <f>HYPERLINK("http://nlpdeep.cs.uic.edu:8080/proofing/t5/522935-labs-0-0.pdf","t5/522935-labs-0-0.pdf")</f>
        <v/>
      </c>
      <c r="E248" t="n">
        <v>120842</v>
      </c>
      <c r="F248" t="n">
        <v>522935</v>
      </c>
      <c r="G248" t="inlineStr">
        <is>
          <t>Physician</t>
        </is>
      </c>
      <c r="H248" t="inlineStr">
        <is>
          <t>labs</t>
        </is>
      </c>
      <c r="I248" t="inlineStr">
        <is>
          <t>[**4-6**]:
   - Cardiac enzymes: CK85/MB-/Tn&lt;0.01 -&gt; CK87/MB-/Tn&lt;0.01
   .</t>
        </is>
      </c>
    </row>
    <row r="249">
      <c r="A249" t="inlineStr">
        <is>
          <t>522935-labs-0-0</t>
        </is>
      </c>
      <c r="B249" t="inlineStr"/>
      <c r="C249" t="inlineStr"/>
      <c r="D249">
        <f>HYPERLINK("http://nlpdeep.cs.uic.edu:8080/proofing/gsii/522935-labs-0-0.pdf","gsii/522935-labs-0-0.pdf")</f>
        <v/>
      </c>
      <c r="E249" t="n">
        <v>120842</v>
      </c>
      <c r="F249" t="n">
        <v>522935</v>
      </c>
      <c r="G249" t="inlineStr">
        <is>
          <t>Physician</t>
        </is>
      </c>
      <c r="H249" t="inlineStr">
        <is>
          <t>labs</t>
        </is>
      </c>
      <c r="I249" t="inlineStr">
        <is>
          <t>[**4-6**]:
   - Cardiac enzymes: CK85/MB-/Tn&lt;0.01 -&gt; CK87/MB-/Tn&lt;0.01
   .</t>
        </is>
      </c>
    </row>
    <row r="250">
      <c r="A250" t="inlineStr">
        <is>
          <t>522567-24-hour-events-0-0</t>
        </is>
      </c>
      <c r="B250" t="inlineStr"/>
      <c r="C250" t="inlineStr"/>
      <c r="D250">
        <f>HYPERLINK("http://nlpdeep.cs.uic.edu:8080/proofing/t5/522567-24-hour-events-0-0.pdf","t5/522567-24-hour-events-0-0.pdf")</f>
        <v/>
      </c>
      <c r="E250" t="n">
        <v>120842</v>
      </c>
      <c r="F250" t="n">
        <v>522567</v>
      </c>
      <c r="G250" t="inlineStr">
        <is>
          <t>Physician</t>
        </is>
      </c>
      <c r="H250" t="inlineStr">
        <is>
          <t>24-hour-events</t>
        </is>
      </c>
      <c r="I250" t="inlineStr">
        <is>
          <t>- Cardiac enzymes negative x 2
   - Complains of some continued dyspnea and dry cough, but improved from
   yesterday.</t>
        </is>
      </c>
    </row>
    <row r="251">
      <c r="A251" t="inlineStr">
        <is>
          <t>522567-24-hour-events-0-0</t>
        </is>
      </c>
      <c r="B251" t="inlineStr"/>
      <c r="C251" t="inlineStr"/>
      <c r="D251">
        <f>HYPERLINK("http://nlpdeep.cs.uic.edu:8080/proofing/gsii/522567-24-hour-events-0-0.pdf","gsii/522567-24-hour-events-0-0.pdf")</f>
        <v/>
      </c>
      <c r="E251" t="n">
        <v>120842</v>
      </c>
      <c r="F251" t="n">
        <v>522567</v>
      </c>
      <c r="G251" t="inlineStr">
        <is>
          <t>Physician</t>
        </is>
      </c>
      <c r="H251" t="inlineStr">
        <is>
          <t>24-hour-events</t>
        </is>
      </c>
      <c r="I251" t="inlineStr">
        <is>
          <t>- Cardiac enzymes negative x 2
   - Complains of some continued dyspnea and dry cough, but improved from
   yesterday.</t>
        </is>
      </c>
    </row>
    <row r="252">
      <c r="A252" t="inlineStr">
        <is>
          <t>522567-24-hour-events-0-1</t>
        </is>
      </c>
      <c r="B252" t="inlineStr"/>
      <c r="C252" t="inlineStr"/>
      <c r="D252">
        <f>HYPERLINK("http://nlpdeep.cs.uic.edu:8080/proofing/t5/522567-24-hour-events-0-1.pdf","t5/522567-24-hour-events-0-1.pdf")</f>
        <v/>
      </c>
      <c r="E252" t="n">
        <v>120842</v>
      </c>
      <c r="F252" t="n">
        <v>522567</v>
      </c>
      <c r="G252" t="inlineStr">
        <is>
          <t>Physician</t>
        </is>
      </c>
      <c r="H252" t="inlineStr">
        <is>
          <t>24-hour-events</t>
        </is>
      </c>
      <c r="I252" t="inlineStr">
        <is>
          <t>Also has mild abdominal pain
   History obtained from P</t>
        </is>
      </c>
    </row>
    <row r="253">
      <c r="A253" t="inlineStr">
        <is>
          <t>522567-24-hour-events-0-1</t>
        </is>
      </c>
      <c r="B253" t="inlineStr"/>
      <c r="C253" t="inlineStr"/>
      <c r="D253">
        <f>HYPERLINK("http://nlpdeep.cs.uic.edu:8080/proofing/gsii/522567-24-hour-events-0-1.pdf","gsii/522567-24-hour-events-0-1.pdf")</f>
        <v/>
      </c>
      <c r="E253" t="n">
        <v>120842</v>
      </c>
      <c r="F253" t="n">
        <v>522567</v>
      </c>
      <c r="G253" t="inlineStr">
        <is>
          <t>Physician</t>
        </is>
      </c>
      <c r="H253" t="inlineStr">
        <is>
          <t>24-hour-events</t>
        </is>
      </c>
      <c r="I253" t="inlineStr">
        <is>
          <t>Also has mild abdominal pain
   History obtained from P</t>
        </is>
      </c>
    </row>
    <row r="254">
      <c r="A254" t="inlineStr">
        <is>
          <t>522567-allergies-0-0</t>
        </is>
      </c>
      <c r="B254" t="inlineStr"/>
      <c r="C254" t="inlineStr"/>
      <c r="D254">
        <f>HYPERLINK("http://nlpdeep.cs.uic.edu:8080/proofing/t5/522567-allergies-0-0.pdf","t5/522567-allergies-0-0.pdf")</f>
        <v/>
      </c>
      <c r="E254" t="n">
        <v>120842</v>
      </c>
      <c r="F254" t="n">
        <v>522567</v>
      </c>
      <c r="G254" t="inlineStr">
        <is>
          <t>Physician</t>
        </is>
      </c>
      <c r="H254" t="inlineStr">
        <is>
          <t>allergies</t>
        </is>
      </c>
      <c r="I254" t="inlineStr">
        <is>
          <t>History obtained from PatientHayfever (Nasal) (Homeopathic Drugs)
   Cough; s</t>
        </is>
      </c>
    </row>
    <row r="255">
      <c r="A255" t="inlineStr">
        <is>
          <t>522567-allergies-0-0</t>
        </is>
      </c>
      <c r="B255" t="inlineStr"/>
      <c r="C255" t="inlineStr"/>
      <c r="D255">
        <f>HYPERLINK("http://nlpdeep.cs.uic.edu:8080/proofing/gsii/522567-allergies-0-0.pdf","gsii/522567-allergies-0-0.pdf")</f>
        <v/>
      </c>
      <c r="E255" t="n">
        <v>120842</v>
      </c>
      <c r="F255" t="n">
        <v>522567</v>
      </c>
      <c r="G255" t="inlineStr">
        <is>
          <t>Physician</t>
        </is>
      </c>
      <c r="H255" t="inlineStr">
        <is>
          <t>allergies</t>
        </is>
      </c>
      <c r="I255" t="inlineStr">
        <is>
          <t>History obtained from PatientHayfever (Nasal) (Homeopathic Drugs)
   Cough; s</t>
        </is>
      </c>
    </row>
    <row r="256">
      <c r="A256" t="inlineStr">
        <is>
          <t>522567-other-medications-0-0</t>
        </is>
      </c>
      <c r="B256" t="inlineStr"/>
      <c r="C256" t="inlineStr"/>
      <c r="D256">
        <f>HYPERLINK("http://nlpdeep.cs.uic.edu:8080/proofing/t5/522567-other-medications-0-0.pdf","t5/522567-other-medications-0-0.pdf")</f>
        <v/>
      </c>
      <c r="E256" t="n">
        <v>120842</v>
      </c>
      <c r="F256" t="n">
        <v>522567</v>
      </c>
      <c r="G256" t="inlineStr">
        <is>
          <t>Physician</t>
        </is>
      </c>
      <c r="H256" t="inlineStr">
        <is>
          <t>other-medications</t>
        </is>
      </c>
      <c r="I256" t="inlineStr">
        <is>
          <t>Other medications:</t>
        </is>
      </c>
    </row>
    <row r="257">
      <c r="A257" t="inlineStr">
        <is>
          <t>522567-other-medications-0-0</t>
        </is>
      </c>
      <c r="B257" t="inlineStr"/>
      <c r="C257" t="inlineStr"/>
      <c r="D257">
        <f>HYPERLINK("http://nlpdeep.cs.uic.edu:8080/proofing/gsii/522567-other-medications-0-0.pdf","gsii/522567-other-medications-0-0.pdf")</f>
        <v/>
      </c>
      <c r="E257" t="n">
        <v>120842</v>
      </c>
      <c r="F257" t="n">
        <v>522567</v>
      </c>
      <c r="G257" t="inlineStr">
        <is>
          <t>Physician</t>
        </is>
      </c>
      <c r="H257" t="inlineStr">
        <is>
          <t>other-medications</t>
        </is>
      </c>
      <c r="I257" t="inlineStr">
        <is>
          <t>Other medications:</t>
        </is>
      </c>
    </row>
    <row r="258">
      <c r="A258" t="inlineStr">
        <is>
          <t>522567-review-of-systems-0-0</t>
        </is>
      </c>
      <c r="B258" t="inlineStr"/>
      <c r="C258" t="inlineStr"/>
      <c r="D258">
        <f>HYPERLINK("http://nlpdeep.cs.uic.edu:8080/proofing/t5/522567-review-of-systems-0-0.pdf","t5/522567-review-of-systems-0-0.pdf")</f>
        <v/>
      </c>
      <c r="E258" t="n">
        <v>120842</v>
      </c>
      <c r="F258" t="n">
        <v>522567</v>
      </c>
      <c r="G258" t="inlineStr">
        <is>
          <t>Physician</t>
        </is>
      </c>
      <c r="H258" t="inlineStr">
        <is>
          <t>review-of-systems</t>
        </is>
      </c>
      <c r="I258" t="inlineStr">
        <is>
          <t>Respiratory: Cough, Dyspnea, Wheeze
   Gastrointestinal: A</t>
        </is>
      </c>
    </row>
    <row r="259">
      <c r="A259" t="inlineStr">
        <is>
          <t>522567-review-of-systems-0-0</t>
        </is>
      </c>
      <c r="B259" t="inlineStr"/>
      <c r="C259" t="inlineStr"/>
      <c r="D259">
        <f>HYPERLINK("http://nlpdeep.cs.uic.edu:8080/proofing/gsii/522567-review-of-systems-0-0.pdf","gsii/522567-review-of-systems-0-0.pdf")</f>
        <v/>
      </c>
      <c r="E259" t="n">
        <v>120842</v>
      </c>
      <c r="F259" t="n">
        <v>522567</v>
      </c>
      <c r="G259" t="inlineStr">
        <is>
          <t>Physician</t>
        </is>
      </c>
      <c r="H259" t="inlineStr">
        <is>
          <t>review-of-systems</t>
        </is>
      </c>
      <c r="I259" t="inlineStr">
        <is>
          <t>Respiratory: Cough, Dyspnea, Wheeze
   Gastrointestinal: A</t>
        </is>
      </c>
    </row>
    <row r="260">
      <c r="A260" t="inlineStr">
        <is>
          <t>522567-flowsheet-data-vitals-0-0</t>
        </is>
      </c>
      <c r="B260" t="inlineStr"/>
      <c r="C260" t="inlineStr"/>
      <c r="D260">
        <f>HYPERLINK("http://nlpdeep.cs.uic.edu:8080/proofing/t5/522567-flowsheet-data-vitals-0-0.pdf","t5/522567-flowsheet-data-vitals-0-0.pdf")</f>
        <v/>
      </c>
      <c r="E260" t="n">
        <v>120842</v>
      </c>
      <c r="F260" t="n">
        <v>522567</v>
      </c>
      <c r="G260" t="inlineStr">
        <is>
          <t>Physician</t>
        </is>
      </c>
      <c r="H260" t="inlineStr">
        <is>
          <t>flowsheet-data-vitals</t>
        </is>
      </c>
      <c r="I260" t="inlineStr">
        <is>
          <t>Vital signs
   Hemodynamic monitoring
   Fluid balance
                                                                  24 hours
                                                               Since [**55**] AM
   Tmax: 36.9
C (98.4
   Tcurrent: 36
C (96.8
   HR: 72 (57 - 90) bpm
   BP: 160/69(93) {130/58(76) - 165/80(100)} mmHg
   RR: 17 (15 - 24) insp/min
   SpO2: 95%
   Heart rhythm: SR (Sinus Rhythm)
   Height: 24 Inch
             Total In:
                                                                  2,290 mL
                                                                     65 mL
   PO:
                                                                    150 mL
             TF:
   IVF:
                                                                     90 mL
                                                                     65 mL
   Blood products:
   Total out:
                                                                  2,050 mL
                                                                  1,060 mL
   Urine:
                                                                  1,200 mL
                                                                  1,060 mL
   NG:
   Stool:
   Drains:
   Balance:
                                                                    240 mL
                                                                   -995 mL
   Respiratory support
   O2 Delivery Device: Aerosol-cool
   SpO2: 95%
   ABG: ///32/</t>
        </is>
      </c>
    </row>
    <row r="261">
      <c r="A261" t="inlineStr">
        <is>
          <t>522567-flowsheet-data-vitals-0-0</t>
        </is>
      </c>
      <c r="B261" t="inlineStr"/>
      <c r="C261" t="inlineStr"/>
      <c r="D261">
        <f>HYPERLINK("http://nlpdeep.cs.uic.edu:8080/proofing/gsii/522567-flowsheet-data-vitals-0-0.pdf","gsii/522567-flowsheet-data-vitals-0-0.pdf")</f>
        <v/>
      </c>
      <c r="E261" t="n">
        <v>120842</v>
      </c>
      <c r="F261" t="n">
        <v>522567</v>
      </c>
      <c r="G261" t="inlineStr">
        <is>
          <t>Physician</t>
        </is>
      </c>
      <c r="H261" t="inlineStr">
        <is>
          <t>flowsheet-data-vitals</t>
        </is>
      </c>
      <c r="I261" t="inlineStr">
        <is>
          <t>Vital signs
   Hemodynamic monitoring
   Fluid balance
                                                                  24 hours
                                                               Since [**55**] AM
   Tmax: 36.9
C (98.4
   Tcurrent: 36
C (96.8
   HR: 72 (57 - 90) bpm
   BP: 160/69(93) {130/58(76) - 165/80(100)} mmHg
   RR: 17 (15 - 24) insp/min
   SpO2: 95%
   Heart rhythm: SR (Sinus Rhythm)
   Height: 24 Inch
             Total In:
                                                                  2,290 mL
                                                                     65 mL
   PO:
                                                                    150 mL
             TF:
   IVF:
                                                                     90 mL
                                                                     65 mL
   Blood products:
   Total out:
                                                                  2,050 mL
                                                                  1,060 mL
   Urine:
                                                                  1,200 mL
                                                                  1,060 mL
   NG:
   Stool:
   Drains:
   Balance:
                                                                    240 mL
                                                                   -995 mL
   Respiratory support
   O2 Delivery Device: Aerosol-cool
   SpO2: 95%
   ABG: ///32/</t>
        </is>
      </c>
    </row>
    <row r="262">
      <c r="A262" t="inlineStr">
        <is>
          <t>522567-physical-examination-0-0</t>
        </is>
      </c>
      <c r="B262" t="inlineStr"/>
      <c r="C262" t="inlineStr"/>
      <c r="D262">
        <f>HYPERLINK("http://nlpdeep.cs.uic.edu:8080/proofing/t5/522567-physical-examination-0-0.pdf","t5/522567-physical-examination-0-0.pdf")</f>
        <v/>
      </c>
      <c r="E262" t="n">
        <v>120842</v>
      </c>
      <c r="F262" t="n">
        <v>522567</v>
      </c>
      <c r="G262" t="inlineStr">
        <is>
          <t>Physician</t>
        </is>
      </c>
      <c r="H262" t="inlineStr">
        <is>
          <t>physical-examination</t>
        </is>
      </c>
      <c r="I262" t="inlineStr">
        <is>
          <t>General Appearance: Well nourished, No acute distress
   Cardiovascular: (S1: Normal), (S2: Normal)
   Peripheral Vascular: (Right radial pulse: Present), (Left radial pulse:
   Present), (Right DP pulse: Present), (Left DP pulse: Present)
   Respiratory / Chest: (Expansion: Symmetric), (Percussion: Resonant : ),
   (Breath Sounds: Wheezes : expiratory)
   Abdominal: Soft, Non-tender, Bowel sounds present
   Extremities: Right lower extremity edema: Absent, Left lower extremity
   edema: Absent
   Skin:  Warm
   Neurologic: Attentive, Follows simple commands, Responds to: Verbal
   stimuli, Oriented (to): x3, Movement: Purposeful, Tone: N</t>
        </is>
      </c>
    </row>
    <row r="263">
      <c r="A263" t="inlineStr">
        <is>
          <t>522567-physical-examination-0-0</t>
        </is>
      </c>
      <c r="B263" t="inlineStr"/>
      <c r="C263" t="inlineStr"/>
      <c r="D263">
        <f>HYPERLINK("http://nlpdeep.cs.uic.edu:8080/proofing/gsii/522567-physical-examination-0-0.pdf","gsii/522567-physical-examination-0-0.pdf")</f>
        <v/>
      </c>
      <c r="E263" t="n">
        <v>120842</v>
      </c>
      <c r="F263" t="n">
        <v>522567</v>
      </c>
      <c r="G263" t="inlineStr">
        <is>
          <t>Physician</t>
        </is>
      </c>
      <c r="H263" t="inlineStr">
        <is>
          <t>physical-examination</t>
        </is>
      </c>
      <c r="I263" t="inlineStr">
        <is>
          <t>General Appearance: Well nourished, No acute distress
   Cardiovascular: (S1: Normal), (S2: Normal)
   Peripheral Vascular: (Right radial pulse: Present), (Left radial pulse:
   Present), (Right DP pulse: Present), (Left DP pulse: Present)
   Respiratory / Chest: (Expansion: Symmetric), (Percussion: Resonant : ),
   (Breath Sounds: Wheezes : expiratory)
   Abdominal: Soft, Non-tender, Bowel sounds present
   Extremities: Right lower extremity edema: Absent, Left lower extremity
   edema: Absent
   Skin:  Warm
   Neurologic: Attentive, Follows simple commands, Responds to: Verbal
   stimuli, Oriented (to): x3, Movement: Purposeful, Tone: N</t>
        </is>
      </c>
    </row>
    <row r="264">
      <c r="A264" t="inlineStr">
        <is>
          <t>522567-labs-imaging-0-0</t>
        </is>
      </c>
      <c r="B264" t="inlineStr"/>
      <c r="C264" t="inlineStr"/>
      <c r="D264">
        <f>HYPERLINK("http://nlpdeep.cs.uic.edu:8080/proofing/t5/522567-labs-imaging-0-0.pdf","t5/522567-labs-imaging-0-0.pdf")</f>
        <v/>
      </c>
      <c r="E264" t="n">
        <v>120842</v>
      </c>
      <c r="F264" t="n">
        <v>522567</v>
      </c>
      <c r="G264" t="inlineStr">
        <is>
          <t>Physician</t>
        </is>
      </c>
      <c r="H264" t="inlineStr">
        <is>
          <t>labs-imaging</t>
        </is>
      </c>
      <c r="I264" t="inlineStr">
        <is>
          <t>249 K/uL
   10.1 g/dL
   212 mg/dL
   0.6 mg/dL
   32 mEq/L
   4.1 mEq/L
   12 mg/dL
   101 mEq/L
   139 mEq/L
   31.4 %
   8.0 K/uL
        [image002.jpg]
                             [**2153-4-6**]  09:13 PM
                             [**2153-4-7**]  03:32 AM
   WBC
   8.0
   Hct
   31.4
   Plt
   249
   Cr
   0.6
   TropT
   &lt;0.01
   Glucose
   212
   Other labs: CK / CKMB / Troponin-T:87//&lt;0.01, Lactic Acid:1.6 mmol/L,
   Ca++:9.3 mg/dL, Mg++:2.0 mg/dL, PO4:3.5 mg/dL
   Imaging: [**4-6**] CXR: Single AP radiograph of the chest again demonstrates
   hyperexpanded lungs, consistent with emphysema.</t>
        </is>
      </c>
    </row>
    <row r="265">
      <c r="A265" t="inlineStr">
        <is>
          <t>522567-labs-imaging-0-0</t>
        </is>
      </c>
      <c r="B265" t="inlineStr"/>
      <c r="C265" t="inlineStr"/>
      <c r="D265">
        <f>HYPERLINK("http://nlpdeep.cs.uic.edu:8080/proofing/gsii/522567-labs-imaging-0-0.pdf","gsii/522567-labs-imaging-0-0.pdf")</f>
        <v/>
      </c>
      <c r="E265" t="n">
        <v>120842</v>
      </c>
      <c r="F265" t="n">
        <v>522567</v>
      </c>
      <c r="G265" t="inlineStr">
        <is>
          <t>Physician</t>
        </is>
      </c>
      <c r="H265" t="inlineStr">
        <is>
          <t>labs-imaging</t>
        </is>
      </c>
      <c r="I265" t="inlineStr">
        <is>
          <t>249 K/uL
   10.1 g/dL
   212 mg/dL
   0.6 mg/dL
   32 mEq/L
   4.1 mEq/L
   12 mg/dL
   101 mEq/L
   139 mEq/L
   31.4 %
   8.0 K/uL
        [image002.jpg]
                             [**2153-4-6**]  09:13 PM
                             [**2153-4-7**]  03:32 AM
   WBC
   8.0
   Hct
   31.4
   Plt
   249
   Cr
   0.6
   TropT
   &lt;0.01
   Glucose
   212
   Other labs: CK / CKMB / Troponin-T:87//&lt;0.01, Lactic Acid:1.6 mmol/L,
   Ca++:9.3 mg/dL, Mg++:2.0 mg/dL, PO4:3.5 mg/dL
   Imaging: [**4-6**] CXR: Single AP radiograph of the chest again demonstrates
   hyperexpanded lungs, consistent with emphysema.</t>
        </is>
      </c>
    </row>
    <row r="266">
      <c r="A266" t="inlineStr">
        <is>
          <t>522567-labs-imaging-0-1</t>
        </is>
      </c>
      <c r="B266" t="inlineStr"/>
      <c r="C266" t="inlineStr"/>
      <c r="D266">
        <f>HYPERLINK("http://nlpdeep.cs.uic.edu:8080/proofing/t5/522567-labs-imaging-0-1.pdf","t5/522567-labs-imaging-0-1.pdf")</f>
        <v/>
      </c>
      <c r="E266" t="n">
        <v>120842</v>
      </c>
      <c r="F266" t="n">
        <v>522567</v>
      </c>
      <c r="G266" t="inlineStr">
        <is>
          <t>Physician</t>
        </is>
      </c>
      <c r="H266" t="inlineStr">
        <is>
          <t>labs-imaging</t>
        </is>
      </c>
      <c r="I266" t="inlineStr">
        <is>
          <t>There is left lower
   lobe atelectasis, with no evidence of focal consolidation or edema.</t>
        </is>
      </c>
    </row>
    <row r="267">
      <c r="A267" t="inlineStr">
        <is>
          <t>522567-labs-imaging-0-1</t>
        </is>
      </c>
      <c r="B267" t="inlineStr"/>
      <c r="C267" t="inlineStr"/>
      <c r="D267">
        <f>HYPERLINK("http://nlpdeep.cs.uic.edu:8080/proofing/gsii/522567-labs-imaging-0-1.pdf","gsii/522567-labs-imaging-0-1.pdf")</f>
        <v/>
      </c>
      <c r="E267" t="n">
        <v>120842</v>
      </c>
      <c r="F267" t="n">
        <v>522567</v>
      </c>
      <c r="G267" t="inlineStr">
        <is>
          <t>Physician</t>
        </is>
      </c>
      <c r="H267" t="inlineStr">
        <is>
          <t>labs-imaging</t>
        </is>
      </c>
      <c r="I267" t="inlineStr">
        <is>
          <t>There is left lower
   lobe atelectasis, with no evidence of focal consolidation or edema.</t>
        </is>
      </c>
    </row>
    <row r="268">
      <c r="A268" t="inlineStr">
        <is>
          <t>522567-labs-imaging-0-2</t>
        </is>
      </c>
      <c r="B268" t="inlineStr"/>
      <c r="C268" t="inlineStr"/>
      <c r="D268">
        <f>HYPERLINK("http://nlpdeep.cs.uic.edu:8080/proofing/t5/522567-labs-imaging-0-2.pdf","t5/522567-labs-imaging-0-2.pdf")</f>
        <v/>
      </c>
      <c r="E268" t="n">
        <v>120842</v>
      </c>
      <c r="F268" t="n">
        <v>522567</v>
      </c>
      <c r="G268" t="inlineStr">
        <is>
          <t>Physician</t>
        </is>
      </c>
      <c r="H268" t="inlineStr">
        <is>
          <t>labs-imaging</t>
        </is>
      </c>
      <c r="I268" t="inlineStr">
        <is>
          <t>The
   cardiomediastinal silhouette is again enlarged, with a tortuous and
   calcified aorta.</t>
        </is>
      </c>
    </row>
    <row r="269">
      <c r="A269" t="inlineStr">
        <is>
          <t>522567-labs-imaging-0-2</t>
        </is>
      </c>
      <c r="B269" t="inlineStr"/>
      <c r="C269" t="inlineStr"/>
      <c r="D269">
        <f>HYPERLINK("http://nlpdeep.cs.uic.edu:8080/proofing/gsii/522567-labs-imaging-0-2.pdf","gsii/522567-labs-imaging-0-2.pdf")</f>
        <v/>
      </c>
      <c r="E269" t="n">
        <v>120842</v>
      </c>
      <c r="F269" t="n">
        <v>522567</v>
      </c>
      <c r="G269" t="inlineStr">
        <is>
          <t>Physician</t>
        </is>
      </c>
      <c r="H269" t="inlineStr">
        <is>
          <t>labs-imaging</t>
        </is>
      </c>
      <c r="I269" t="inlineStr">
        <is>
          <t>The
   cardiomediastinal silhouette is again enlarged, with a tortuous and
   calcified aorta.</t>
        </is>
      </c>
    </row>
    <row r="270">
      <c r="A270" t="inlineStr">
        <is>
          <t>522567-labs-imaging-0-3</t>
        </is>
      </c>
      <c r="B270" t="inlineStr"/>
      <c r="C270" t="inlineStr"/>
      <c r="D270">
        <f>HYPERLINK("http://nlpdeep.cs.uic.edu:8080/proofing/t5/522567-labs-imaging-0-3.pdf","t5/522567-labs-imaging-0-3.pdf")</f>
        <v/>
      </c>
      <c r="E270" t="n">
        <v>120842</v>
      </c>
      <c r="F270" t="n">
        <v>522567</v>
      </c>
      <c r="G270" t="inlineStr">
        <is>
          <t>Physician</t>
        </is>
      </c>
      <c r="H270" t="inlineStr">
        <is>
          <t>labs-imaging</t>
        </is>
      </c>
      <c r="I270" t="inlineStr">
        <is>
          <t>The osseous structures and soft tissues are
   unremarkable.</t>
        </is>
      </c>
    </row>
    <row r="271">
      <c r="A271" t="inlineStr">
        <is>
          <t>522567-labs-imaging-0-3</t>
        </is>
      </c>
      <c r="B271" t="inlineStr"/>
      <c r="C271" t="inlineStr"/>
      <c r="D271">
        <f>HYPERLINK("http://nlpdeep.cs.uic.edu:8080/proofing/gsii/522567-labs-imaging-0-3.pdf","gsii/522567-labs-imaging-0-3.pdf")</f>
        <v/>
      </c>
      <c r="E271" t="n">
        <v>120842</v>
      </c>
      <c r="F271" t="n">
        <v>522567</v>
      </c>
      <c r="G271" t="inlineStr">
        <is>
          <t>Physician</t>
        </is>
      </c>
      <c r="H271" t="inlineStr">
        <is>
          <t>labs-imaging</t>
        </is>
      </c>
      <c r="I271" t="inlineStr">
        <is>
          <t>The osseous structures and soft tissues are
   unremarkable.</t>
        </is>
      </c>
    </row>
    <row r="272">
      <c r="A272" t="inlineStr">
        <is>
          <t>522567-labs-imaging-0-4</t>
        </is>
      </c>
      <c r="B272" t="inlineStr"/>
      <c r="C272" t="inlineStr"/>
      <c r="D272">
        <f>HYPERLINK("http://nlpdeep.cs.uic.edu:8080/proofing/t5/522567-labs-imaging-0-4.pdf","t5/522567-labs-imaging-0-4.pdf")</f>
        <v/>
      </c>
      <c r="E272" t="n">
        <v>120842</v>
      </c>
      <c r="F272" t="n">
        <v>522567</v>
      </c>
      <c r="G272" t="inlineStr">
        <is>
          <t>Physician</t>
        </is>
      </c>
      <c r="H272" t="inlineStr">
        <is>
          <t>labs-imaging</t>
        </is>
      </c>
      <c r="I272" t="inlineStr">
        <is>
          <t>Microbiology: [**4-6**] BCx: pending
   [**4-6**] Resp viral culture: p</t>
        </is>
      </c>
    </row>
    <row r="273">
      <c r="A273" t="inlineStr">
        <is>
          <t>522567-labs-imaging-0-4</t>
        </is>
      </c>
      <c r="B273" t="inlineStr"/>
      <c r="C273" t="inlineStr"/>
      <c r="D273">
        <f>HYPERLINK("http://nlpdeep.cs.uic.edu:8080/proofing/gsii/522567-labs-imaging-0-4.pdf","gsii/522567-labs-imaging-0-4.pdf")</f>
        <v/>
      </c>
      <c r="E273" t="n">
        <v>120842</v>
      </c>
      <c r="F273" t="n">
        <v>522567</v>
      </c>
      <c r="G273" t="inlineStr">
        <is>
          <t>Physician</t>
        </is>
      </c>
      <c r="H273" t="inlineStr">
        <is>
          <t>labs-imaging</t>
        </is>
      </c>
      <c r="I273" t="inlineStr">
        <is>
          <t>Microbiology: [**4-6**] BCx: pending
   [**4-6**] Resp viral culture: p</t>
        </is>
      </c>
    </row>
    <row r="274">
      <c r="A274" t="inlineStr">
        <is>
          <t>522567-assessment-and-plan-0-0</t>
        </is>
      </c>
      <c r="B274" t="inlineStr"/>
      <c r="C274" t="inlineStr"/>
      <c r="D274">
        <f>HYPERLINK("http://nlpdeep.cs.uic.edu:8080/proofing/t5/522567-assessment-and-plan-0-0.pdf","t5/522567-assessment-and-plan-0-0.pdf")</f>
        <v/>
      </c>
      <c r="E274" t="n">
        <v>120842</v>
      </c>
      <c r="F274" t="n">
        <v>522567</v>
      </c>
      <c r="G274" t="inlineStr">
        <is>
          <t>Physician</t>
        </is>
      </c>
      <c r="H274" t="inlineStr">
        <is>
          <t>assessment-and-plan</t>
        </is>
      </c>
      <c r="I274" t="inlineStr">
        <is>
          <t>73 YO F with COPD/RAD on home O2, diastolic CHF, recent total knee
   replacement , presenting with two weeks of shortness of breath with
   acute worsening x 1 day.</t>
        </is>
      </c>
    </row>
    <row r="275">
      <c r="A275" t="inlineStr">
        <is>
          <t>522567-assessment-and-plan-0-0</t>
        </is>
      </c>
      <c r="B275" t="inlineStr"/>
      <c r="C275" t="inlineStr"/>
      <c r="D275">
        <f>HYPERLINK("http://nlpdeep.cs.uic.edu:8080/proofing/gsii/522567-assessment-and-plan-0-0.pdf","gsii/522567-assessment-and-plan-0-0.pdf")</f>
        <v/>
      </c>
      <c r="E275" t="n">
        <v>120842</v>
      </c>
      <c r="F275" t="n">
        <v>522567</v>
      </c>
      <c r="G275" t="inlineStr">
        <is>
          <t>Physician</t>
        </is>
      </c>
      <c r="H275" t="inlineStr">
        <is>
          <t>assessment-and-plan</t>
        </is>
      </c>
      <c r="I275" t="inlineStr">
        <is>
          <t>73 YO F with COPD/RAD on home O2, diastolic CHF, recent total knee
   replacement , presenting with two weeks of shortness of breath with
   acute worsening x 1 day.</t>
        </is>
      </c>
    </row>
    <row r="276">
      <c r="A276" t="inlineStr">
        <is>
          <t>522567-assessment-and-plan-1-0</t>
        </is>
      </c>
      <c r="B276" t="inlineStr"/>
      <c r="C276" t="inlineStr"/>
      <c r="D276">
        <f>HYPERLINK("http://nlpdeep.cs.uic.edu:8080/proofing/t5/522567-assessment-and-plan-1-0.pdf","t5/522567-assessment-and-plan-1-0.pdf")</f>
        <v/>
      </c>
      <c r="E276" t="n">
        <v>120842</v>
      </c>
      <c r="F276" t="n">
        <v>522567</v>
      </c>
      <c r="G276" t="inlineStr">
        <is>
          <t>Physician</t>
        </is>
      </c>
      <c r="H276" t="inlineStr">
        <is>
          <t>assessment-and-plan</t>
        </is>
      </c>
      <c r="I276" t="inlineStr">
        <is>
          <t xml:space="preserve">
   # Hypoxia/respiratory distress:  O2 stable over night with aerosolized
   mask.</t>
        </is>
      </c>
    </row>
    <row r="277">
      <c r="A277" t="inlineStr">
        <is>
          <t>522567-assessment-and-plan-1-0</t>
        </is>
      </c>
      <c r="B277" t="inlineStr"/>
      <c r="C277" t="inlineStr"/>
      <c r="D277">
        <f>HYPERLINK("http://nlpdeep.cs.uic.edu:8080/proofing/gsii/522567-assessment-and-plan-1-0.pdf","gsii/522567-assessment-and-plan-1-0.pdf")</f>
        <v/>
      </c>
      <c r="E277" t="n">
        <v>120842</v>
      </c>
      <c r="F277" t="n">
        <v>522567</v>
      </c>
      <c r="G277" t="inlineStr">
        <is>
          <t>Physician</t>
        </is>
      </c>
      <c r="H277" t="inlineStr">
        <is>
          <t>assessment-and-plan</t>
        </is>
      </c>
      <c r="I277" t="inlineStr">
        <is>
          <t xml:space="preserve">
   # Hypoxia/respiratory distress:  O2 stable over night with aerosolized
   mask.</t>
        </is>
      </c>
    </row>
    <row r="278">
      <c r="A278" t="inlineStr">
        <is>
          <t>522567-assessment-and-plan-1-1</t>
        </is>
      </c>
      <c r="B278" t="inlineStr"/>
      <c r="C278" t="inlineStr"/>
      <c r="D278">
        <f>HYPERLINK("http://nlpdeep.cs.uic.edu:8080/proofing/t5/522567-assessment-and-plan-1-1.pdf","t5/522567-assessment-and-plan-1-1.pdf")</f>
        <v/>
      </c>
      <c r="E278" t="n">
        <v>120842</v>
      </c>
      <c r="F278" t="n">
        <v>522567</v>
      </c>
      <c r="G278" t="inlineStr">
        <is>
          <t>Physician</t>
        </is>
      </c>
      <c r="H278" t="inlineStr">
        <is>
          <t>assessment-and-plan</t>
        </is>
      </c>
      <c r="I278" t="inlineStr">
        <is>
          <t>Subjectively improved but continues to cough and wheeze.</t>
        </is>
      </c>
    </row>
    <row r="279">
      <c r="A279" t="inlineStr">
        <is>
          <t>522567-assessment-and-plan-1-1</t>
        </is>
      </c>
      <c r="B279" t="inlineStr"/>
      <c r="C279" t="inlineStr"/>
      <c r="D279">
        <f>HYPERLINK("http://nlpdeep.cs.uic.edu:8080/proofing/gsii/522567-assessment-and-plan-1-1.pdf","gsii/522567-assessment-and-plan-1-1.pdf")</f>
        <v/>
      </c>
      <c r="E279" t="n">
        <v>120842</v>
      </c>
      <c r="F279" t="n">
        <v>522567</v>
      </c>
      <c r="G279" t="inlineStr">
        <is>
          <t>Physician</t>
        </is>
      </c>
      <c r="H279" t="inlineStr">
        <is>
          <t>assessment-and-plan</t>
        </is>
      </c>
      <c r="I279" t="inlineStr">
        <is>
          <t>Subjectively improved but continues to cough and wheeze.</t>
        </is>
      </c>
    </row>
    <row r="280">
      <c r="A280" t="inlineStr">
        <is>
          <t>522567-assessment-and-plan-1-2</t>
        </is>
      </c>
      <c r="B280" t="inlineStr"/>
      <c r="C280" t="inlineStr"/>
      <c r="D280">
        <f>HYPERLINK("http://nlpdeep.cs.uic.edu:8080/proofing/t5/522567-assessment-and-plan-1-2.pdf","t5/522567-assessment-and-plan-1-2.pdf")</f>
        <v/>
      </c>
      <c r="E280" t="n">
        <v>120842</v>
      </c>
      <c r="F280" t="n">
        <v>522567</v>
      </c>
      <c r="G280" t="inlineStr">
        <is>
          <t>Physician</t>
        </is>
      </c>
      <c r="H280" t="inlineStr">
        <is>
          <t>assessment-and-plan</t>
        </is>
      </c>
      <c r="I280" t="inlineStr">
        <is>
          <t>CXR
   without focal consolidation, and patient is afebrile without
   leukocytosis.</t>
        </is>
      </c>
    </row>
    <row r="281">
      <c r="A281" t="inlineStr">
        <is>
          <t>522567-assessment-and-plan-1-2</t>
        </is>
      </c>
      <c r="B281" t="inlineStr"/>
      <c r="C281" t="inlineStr"/>
      <c r="D281">
        <f>HYPERLINK("http://nlpdeep.cs.uic.edu:8080/proofing/gsii/522567-assessment-and-plan-1-2.pdf","gsii/522567-assessment-and-plan-1-2.pdf")</f>
        <v/>
      </c>
      <c r="E281" t="n">
        <v>120842</v>
      </c>
      <c r="F281" t="n">
        <v>522567</v>
      </c>
      <c r="G281" t="inlineStr">
        <is>
          <t>Physician</t>
        </is>
      </c>
      <c r="H281" t="inlineStr">
        <is>
          <t>assessment-and-plan</t>
        </is>
      </c>
      <c r="I281" t="inlineStr">
        <is>
          <t>CXR
   without focal consolidation, and patient is afebrile without
   leukocytosis.</t>
        </is>
      </c>
    </row>
    <row r="282">
      <c r="A282" t="inlineStr">
        <is>
          <t>522567-assessment-and-plan-1-3</t>
        </is>
      </c>
      <c r="B282" t="inlineStr"/>
      <c r="C282" t="inlineStr"/>
      <c r="D282">
        <f>HYPERLINK("http://nlpdeep.cs.uic.edu:8080/proofing/t5/522567-assessment-and-plan-1-3.pdf","t5/522567-assessment-and-plan-1-3.pdf")</f>
        <v/>
      </c>
      <c r="E282" t="n">
        <v>120842</v>
      </c>
      <c r="F282" t="n">
        <v>522567</v>
      </c>
      <c r="G282" t="inlineStr">
        <is>
          <t>Physician</t>
        </is>
      </c>
      <c r="H282" t="inlineStr">
        <is>
          <t>assessment-and-plan</t>
        </is>
      </c>
      <c r="I282" t="inlineStr">
        <is>
          <t>Cardiac enzymes negative x2.</t>
        </is>
      </c>
    </row>
    <row r="283">
      <c r="A283" t="inlineStr">
        <is>
          <t>522567-assessment-and-plan-1-3</t>
        </is>
      </c>
      <c r="B283" t="inlineStr"/>
      <c r="C283" t="inlineStr"/>
      <c r="D283">
        <f>HYPERLINK("http://nlpdeep.cs.uic.edu:8080/proofing/gsii/522567-assessment-and-plan-1-3.pdf","gsii/522567-assessment-and-plan-1-3.pdf")</f>
        <v/>
      </c>
      <c r="E283" t="n">
        <v>120842</v>
      </c>
      <c r="F283" t="n">
        <v>522567</v>
      </c>
      <c r="G283" t="inlineStr">
        <is>
          <t>Physician</t>
        </is>
      </c>
      <c r="H283" t="inlineStr">
        <is>
          <t>assessment-and-plan</t>
        </is>
      </c>
      <c r="I283" t="inlineStr">
        <is>
          <t>Cardiac enzymes negative x2.</t>
        </is>
      </c>
    </row>
    <row r="284">
      <c r="A284" t="inlineStr">
        <is>
          <t>522567-assessment-and-plan-1-4</t>
        </is>
      </c>
      <c r="B284" t="inlineStr"/>
      <c r="C284" t="inlineStr"/>
      <c r="D284">
        <f>HYPERLINK("http://nlpdeep.cs.uic.edu:8080/proofing/t5/522567-assessment-and-plan-1-4.pdf","t5/522567-assessment-and-plan-1-4.pdf")</f>
        <v/>
      </c>
      <c r="E284" t="n">
        <v>120842</v>
      </c>
      <c r="F284" t="n">
        <v>522567</v>
      </c>
      <c r="G284" t="inlineStr">
        <is>
          <t>Physician</t>
        </is>
      </c>
      <c r="H284" t="inlineStr">
        <is>
          <t>assessment-and-plan</t>
        </is>
      </c>
      <c r="I284" t="inlineStr">
        <is>
          <t>Respiratory viral culture
   pending.</t>
        </is>
      </c>
    </row>
    <row r="285">
      <c r="A285" t="inlineStr">
        <is>
          <t>522567-assessment-and-plan-1-4</t>
        </is>
      </c>
      <c r="B285" t="inlineStr"/>
      <c r="C285" t="inlineStr"/>
      <c r="D285">
        <f>HYPERLINK("http://nlpdeep.cs.uic.edu:8080/proofing/gsii/522567-assessment-and-plan-1-4.pdf","gsii/522567-assessment-and-plan-1-4.pdf")</f>
        <v/>
      </c>
      <c r="E285" t="n">
        <v>120842</v>
      </c>
      <c r="F285" t="n">
        <v>522567</v>
      </c>
      <c r="G285" t="inlineStr">
        <is>
          <t>Physician</t>
        </is>
      </c>
      <c r="H285" t="inlineStr">
        <is>
          <t>assessment-and-plan</t>
        </is>
      </c>
      <c r="I285" t="inlineStr">
        <is>
          <t>Respiratory viral culture
   pending.</t>
        </is>
      </c>
    </row>
    <row r="286">
      <c r="A286" t="inlineStr">
        <is>
          <t>522567-assessment-and-plan-1-5</t>
        </is>
      </c>
      <c r="B286" t="inlineStr"/>
      <c r="C286" t="inlineStr"/>
      <c r="D286">
        <f>HYPERLINK("http://nlpdeep.cs.uic.edu:8080/proofing/t5/522567-assessment-and-plan-1-5.pdf","t5/522567-assessment-and-plan-1-5.pdf")</f>
        <v/>
      </c>
      <c r="E286" t="n">
        <v>120842</v>
      </c>
      <c r="F286" t="n">
        <v>522567</v>
      </c>
      <c r="G286" t="inlineStr">
        <is>
          <t>Physician</t>
        </is>
      </c>
      <c r="H286" t="inlineStr">
        <is>
          <t>assessment-and-plan</t>
        </is>
      </c>
      <c r="I286" t="inlineStr">
        <is>
          <t xml:space="preserve"> CTA negative for PE in ED.</t>
        </is>
      </c>
    </row>
    <row r="287">
      <c r="A287" t="inlineStr">
        <is>
          <t>522567-assessment-and-plan-1-5</t>
        </is>
      </c>
      <c r="B287" t="inlineStr"/>
      <c r="C287" t="inlineStr"/>
      <c r="D287">
        <f>HYPERLINK("http://nlpdeep.cs.uic.edu:8080/proofing/gsii/522567-assessment-and-plan-1-5.pdf","gsii/522567-assessment-and-plan-1-5.pdf")</f>
        <v/>
      </c>
      <c r="E287" t="n">
        <v>120842</v>
      </c>
      <c r="F287" t="n">
        <v>522567</v>
      </c>
      <c r="G287" t="inlineStr">
        <is>
          <t>Physician</t>
        </is>
      </c>
      <c r="H287" t="inlineStr">
        <is>
          <t>assessment-and-plan</t>
        </is>
      </c>
      <c r="I287" t="inlineStr">
        <is>
          <t xml:space="preserve"> CTA negative for PE in ED.</t>
        </is>
      </c>
    </row>
    <row r="288">
      <c r="A288" t="inlineStr">
        <is>
          <t>522567-assessment-and-plan-1-6</t>
        </is>
      </c>
      <c r="B288" t="inlineStr"/>
      <c r="C288" t="inlineStr"/>
      <c r="D288">
        <f>HYPERLINK("http://nlpdeep.cs.uic.edu:8080/proofing/t5/522567-assessment-and-plan-1-6.pdf","t5/522567-assessment-and-plan-1-6.pdf")</f>
        <v/>
      </c>
      <c r="E288" t="n">
        <v>120842</v>
      </c>
      <c r="F288" t="n">
        <v>522567</v>
      </c>
      <c r="G288" t="inlineStr">
        <is>
          <t>Physician</t>
        </is>
      </c>
      <c r="H288" t="inlineStr">
        <is>
          <t>assessment-and-plan</t>
        </is>
      </c>
      <c r="I288" t="inlineStr">
        <is>
          <t xml:space="preserve"> Likely some component of RAD,
   COPD flair.</t>
        </is>
      </c>
    </row>
    <row r="289">
      <c r="A289" t="inlineStr">
        <is>
          <t>522567-assessment-and-plan-1-6</t>
        </is>
      </c>
      <c r="B289" t="inlineStr"/>
      <c r="C289" t="inlineStr"/>
      <c r="D289">
        <f>HYPERLINK("http://nlpdeep.cs.uic.edu:8080/proofing/gsii/522567-assessment-and-plan-1-6.pdf","gsii/522567-assessment-and-plan-1-6.pdf")</f>
        <v/>
      </c>
      <c r="E289" t="n">
        <v>120842</v>
      </c>
      <c r="F289" t="n">
        <v>522567</v>
      </c>
      <c r="G289" t="inlineStr">
        <is>
          <t>Physician</t>
        </is>
      </c>
      <c r="H289" t="inlineStr">
        <is>
          <t>assessment-and-plan</t>
        </is>
      </c>
      <c r="I289" t="inlineStr">
        <is>
          <t xml:space="preserve"> Likely some component of RAD,
   COPD flair.</t>
        </is>
      </c>
    </row>
    <row r="290">
      <c r="A290" t="inlineStr">
        <is>
          <t>522567-assessment-and-plan-1-7</t>
        </is>
      </c>
      <c r="B290" t="inlineStr"/>
      <c r="C290" t="inlineStr"/>
      <c r="D290">
        <f>HYPERLINK("http://nlpdeep.cs.uic.edu:8080/proofing/t5/522567-assessment-and-plan-1-7.pdf","t5/522567-assessment-and-plan-1-7.pdf")</f>
        <v/>
      </c>
      <c r="E290" t="n">
        <v>120842</v>
      </c>
      <c r="F290" t="n">
        <v>522567</v>
      </c>
      <c r="G290" t="inlineStr">
        <is>
          <t>Physician</t>
        </is>
      </c>
      <c r="H290" t="inlineStr">
        <is>
          <t>assessment-and-plan</t>
        </is>
      </c>
      <c r="I290" t="inlineStr">
        <is>
          <t xml:space="preserve"> Also may have some element of volume overload given
   diastolic dysfunction and 2.75L in ED, although euvolemic on exam.</t>
        </is>
      </c>
    </row>
    <row r="291">
      <c r="A291" t="inlineStr">
        <is>
          <t>522567-assessment-and-plan-1-7</t>
        </is>
      </c>
      <c r="B291" t="inlineStr"/>
      <c r="C291" t="inlineStr"/>
      <c r="D291">
        <f>HYPERLINK("http://nlpdeep.cs.uic.edu:8080/proofing/gsii/522567-assessment-and-plan-1-7.pdf","gsii/522567-assessment-and-plan-1-7.pdf")</f>
        <v/>
      </c>
      <c r="E291" t="n">
        <v>120842</v>
      </c>
      <c r="F291" t="n">
        <v>522567</v>
      </c>
      <c r="G291" t="inlineStr">
        <is>
          <t>Physician</t>
        </is>
      </c>
      <c r="H291" t="inlineStr">
        <is>
          <t>assessment-and-plan</t>
        </is>
      </c>
      <c r="I291" t="inlineStr">
        <is>
          <t xml:space="preserve"> Also may have some element of volume overload given
   diastolic dysfunction and 2.75L in ED, although euvolemic on exam.</t>
        </is>
      </c>
    </row>
    <row r="292">
      <c r="A292" t="inlineStr">
        <is>
          <t>522567-assessment-and-plan-1-8</t>
        </is>
      </c>
      <c r="B292" t="inlineStr"/>
      <c r="C292" t="inlineStr"/>
      <c r="D292">
        <f>HYPERLINK("http://nlpdeep.cs.uic.edu:8080/proofing/t5/522567-assessment-and-plan-1-8.pdf","t5/522567-assessment-and-plan-1-8.pdf")</f>
        <v/>
      </c>
      <c r="E292" t="n">
        <v>120842</v>
      </c>
      <c r="F292" t="n">
        <v>522567</v>
      </c>
      <c r="G292" t="inlineStr">
        <is>
          <t>Physician</t>
        </is>
      </c>
      <c r="H292" t="inlineStr">
        <is>
          <t>assessment-and-plan</t>
        </is>
      </c>
      <c r="I292" t="inlineStr">
        <is>
          <t xml:space="preserve">
   Another consideration for brief hypoxemic episode with quick resolution
   would be an intermittent shunt.</t>
        </is>
      </c>
    </row>
    <row r="293">
      <c r="A293" t="inlineStr">
        <is>
          <t>522567-assessment-and-plan-1-8</t>
        </is>
      </c>
      <c r="B293" t="inlineStr"/>
      <c r="C293" t="inlineStr"/>
      <c r="D293">
        <f>HYPERLINK("http://nlpdeep.cs.uic.edu:8080/proofing/gsii/522567-assessment-and-plan-1-8.pdf","gsii/522567-assessment-and-plan-1-8.pdf")</f>
        <v/>
      </c>
      <c r="E293" t="n">
        <v>120842</v>
      </c>
      <c r="F293" t="n">
        <v>522567</v>
      </c>
      <c r="G293" t="inlineStr">
        <is>
          <t>Physician</t>
        </is>
      </c>
      <c r="H293" t="inlineStr">
        <is>
          <t>assessment-and-plan</t>
        </is>
      </c>
      <c r="I293" t="inlineStr">
        <is>
          <t xml:space="preserve">
   Another consideration for brief hypoxemic episode with quick resolution
   would be an intermittent shunt.</t>
        </is>
      </c>
    </row>
    <row r="294">
      <c r="A294" t="inlineStr">
        <is>
          <t>522567-assessment-and-plan-1-9</t>
        </is>
      </c>
      <c r="B294" t="inlineStr"/>
      <c r="C294" t="inlineStr"/>
      <c r="D294">
        <f>HYPERLINK("http://nlpdeep.cs.uic.edu:8080/proofing/t5/522567-assessment-and-plan-1-9.pdf","t5/522567-assessment-and-plan-1-9.pdf")</f>
        <v/>
      </c>
      <c r="E294" t="n">
        <v>120842</v>
      </c>
      <c r="F294" t="n">
        <v>522567</v>
      </c>
      <c r="G294" t="inlineStr">
        <is>
          <t>Physician</t>
        </is>
      </c>
      <c r="H294" t="inlineStr">
        <is>
          <t>assessment-and-plan</t>
        </is>
      </c>
      <c r="I294" t="inlineStr">
        <is>
          <t xml:space="preserve"> PFO with brief opening is one
   possibility which could be explained in Valsalva maneuver.</t>
        </is>
      </c>
    </row>
    <row r="295">
      <c r="A295" t="inlineStr">
        <is>
          <t>522567-assessment-and-plan-1-9</t>
        </is>
      </c>
      <c r="B295" t="inlineStr"/>
      <c r="C295" t="inlineStr"/>
      <c r="D295">
        <f>HYPERLINK("http://nlpdeep.cs.uic.edu:8080/proofing/gsii/522567-assessment-and-plan-1-9.pdf","gsii/522567-assessment-and-plan-1-9.pdf")</f>
        <v/>
      </c>
      <c r="E295" t="n">
        <v>120842</v>
      </c>
      <c r="F295" t="n">
        <v>522567</v>
      </c>
      <c r="G295" t="inlineStr">
        <is>
          <t>Physician</t>
        </is>
      </c>
      <c r="H295" t="inlineStr">
        <is>
          <t>assessment-and-plan</t>
        </is>
      </c>
      <c r="I295" t="inlineStr">
        <is>
          <t xml:space="preserve"> PFO with brief opening is one
   possibility which could be explained in Valsalva maneuver.</t>
        </is>
      </c>
    </row>
    <row r="296">
      <c r="A296" t="inlineStr">
        <is>
          <t>522567-assessment-and-plan-1-10</t>
        </is>
      </c>
      <c r="B296" t="inlineStr"/>
      <c r="C296" t="inlineStr"/>
      <c r="D296">
        <f>HYPERLINK("http://nlpdeep.cs.uic.edu:8080/proofing/t5/522567-assessment-and-plan-1-10.pdf","t5/522567-assessment-and-plan-1-10.pdf")</f>
        <v/>
      </c>
      <c r="E296" t="n">
        <v>120842</v>
      </c>
      <c r="F296" t="n">
        <v>522567</v>
      </c>
      <c r="G296" t="inlineStr">
        <is>
          <t>Physician</t>
        </is>
      </c>
      <c r="H296" t="inlineStr">
        <is>
          <t>assessment-and-plan</t>
        </is>
      </c>
      <c r="I296" t="inlineStr"/>
    </row>
    <row r="297">
      <c r="A297" t="inlineStr">
        <is>
          <t>522567-assessment-and-plan-1-10</t>
        </is>
      </c>
      <c r="B297" t="inlineStr"/>
      <c r="C297" t="inlineStr"/>
      <c r="D297">
        <f>HYPERLINK("http://nlpdeep.cs.uic.edu:8080/proofing/gsii/522567-assessment-and-plan-1-10.pdf","gsii/522567-assessment-and-plan-1-10.pdf")</f>
        <v/>
      </c>
      <c r="E297" t="n">
        <v>120842</v>
      </c>
      <c r="F297" t="n">
        <v>522567</v>
      </c>
      <c r="G297" t="inlineStr">
        <is>
          <t>Physician</t>
        </is>
      </c>
      <c r="H297" t="inlineStr">
        <is>
          <t>assessment-and-plan</t>
        </is>
      </c>
      <c r="I297" t="inlineStr"/>
    </row>
    <row r="298">
      <c r="A298" t="inlineStr">
        <is>
          <t>522567-assessment-and-plan-2-0</t>
        </is>
      </c>
      <c r="B298" t="inlineStr"/>
      <c r="C298" t="inlineStr"/>
      <c r="D298">
        <f>HYPERLINK("http://nlpdeep.cs.uic.edu:8080/proofing/t5/522567-assessment-and-plan-2-0.pdf","t5/522567-assessment-and-plan-2-0.pdf")</f>
        <v/>
      </c>
      <c r="E298" t="n">
        <v>120842</v>
      </c>
      <c r="F298" t="n">
        <v>522567</v>
      </c>
      <c r="G298" t="inlineStr">
        <is>
          <t>Physician</t>
        </is>
      </c>
      <c r="H298" t="inlineStr">
        <is>
          <t>assessment-and-plan</t>
        </is>
      </c>
      <c r="I298" t="inlineStr">
        <is>
          <t xml:space="preserve">
   # COPD.</t>
        </is>
      </c>
    </row>
    <row r="299">
      <c r="A299" t="inlineStr">
        <is>
          <t>522567-assessment-and-plan-2-0</t>
        </is>
      </c>
      <c r="B299" t="inlineStr"/>
      <c r="C299" t="inlineStr"/>
      <c r="D299">
        <f>HYPERLINK("http://nlpdeep.cs.uic.edu:8080/proofing/gsii/522567-assessment-and-plan-2-0.pdf","gsii/522567-assessment-and-plan-2-0.pdf")</f>
        <v/>
      </c>
      <c r="E299" t="n">
        <v>120842</v>
      </c>
      <c r="F299" t="n">
        <v>522567</v>
      </c>
      <c r="G299" t="inlineStr">
        <is>
          <t>Physician</t>
        </is>
      </c>
      <c r="H299" t="inlineStr">
        <is>
          <t>assessment-and-plan</t>
        </is>
      </c>
      <c r="I299" t="inlineStr">
        <is>
          <t xml:space="preserve">
   # COPD.</t>
        </is>
      </c>
    </row>
    <row r="300">
      <c r="A300" t="inlineStr">
        <is>
          <t>522567-assessment-and-plan-2-1</t>
        </is>
      </c>
      <c r="B300" t="inlineStr"/>
      <c r="C300" t="inlineStr"/>
      <c r="D300">
        <f>HYPERLINK("http://nlpdeep.cs.uic.edu:8080/proofing/t5/522567-assessment-and-plan-2-1.pdf","t5/522567-assessment-and-plan-2-1.pdf")</f>
        <v/>
      </c>
      <c r="E300" t="n">
        <v>120842</v>
      </c>
      <c r="F300" t="n">
        <v>522567</v>
      </c>
      <c r="G300" t="inlineStr">
        <is>
          <t>Physician</t>
        </is>
      </c>
      <c r="H300" t="inlineStr">
        <is>
          <t>assessment-and-plan</t>
        </is>
      </c>
      <c r="I300" t="inlineStr">
        <is>
          <t xml:space="preserve"> Mild per most recent PFTs ([**2153**]) but with significantly
   diminished DLCO.</t>
        </is>
      </c>
    </row>
    <row r="301">
      <c r="A301" t="inlineStr">
        <is>
          <t>522567-assessment-and-plan-2-1</t>
        </is>
      </c>
      <c r="B301" t="inlineStr"/>
      <c r="C301" t="inlineStr"/>
      <c r="D301">
        <f>HYPERLINK("http://nlpdeep.cs.uic.edu:8080/proofing/gsii/522567-assessment-and-plan-2-1.pdf","gsii/522567-assessment-and-plan-2-1.pdf")</f>
        <v/>
      </c>
      <c r="E301" t="n">
        <v>120842</v>
      </c>
      <c r="F301" t="n">
        <v>522567</v>
      </c>
      <c r="G301" t="inlineStr">
        <is>
          <t>Physician</t>
        </is>
      </c>
      <c r="H301" t="inlineStr">
        <is>
          <t>assessment-and-plan</t>
        </is>
      </c>
      <c r="I301" t="inlineStr">
        <is>
          <t xml:space="preserve"> Mild per most recent PFTs ([**2153**]) but with significantly
   diminished DLCO.</t>
        </is>
      </c>
    </row>
    <row r="302">
      <c r="A302" t="inlineStr">
        <is>
          <t>522567-assessment-and-plan-2-2</t>
        </is>
      </c>
      <c r="B302" t="inlineStr"/>
      <c r="C302" t="inlineStr"/>
      <c r="D302">
        <f>HYPERLINK("http://nlpdeep.cs.uic.edu:8080/proofing/t5/522567-assessment-and-plan-2-2.pdf","t5/522567-assessment-and-plan-2-2.pdf")</f>
        <v/>
      </c>
      <c r="E302" t="n">
        <v>120842</v>
      </c>
      <c r="F302" t="n">
        <v>522567</v>
      </c>
      <c r="G302" t="inlineStr">
        <is>
          <t>Physician</t>
        </is>
      </c>
      <c r="H302" t="inlineStr">
        <is>
          <t>assessment-and-plan</t>
        </is>
      </c>
      <c r="I302" t="inlineStr">
        <is>
          <t xml:space="preserve"> Is on home O2, Spiriva, Advair, Albuterol.</t>
        </is>
      </c>
    </row>
    <row r="303">
      <c r="A303" t="inlineStr">
        <is>
          <t>522567-assessment-and-plan-2-2</t>
        </is>
      </c>
      <c r="B303" t="inlineStr"/>
      <c r="C303" t="inlineStr"/>
      <c r="D303">
        <f>HYPERLINK("http://nlpdeep.cs.uic.edu:8080/proofing/gsii/522567-assessment-and-plan-2-2.pdf","gsii/522567-assessment-and-plan-2-2.pdf")</f>
        <v/>
      </c>
      <c r="E303" t="n">
        <v>120842</v>
      </c>
      <c r="F303" t="n">
        <v>522567</v>
      </c>
      <c r="G303" t="inlineStr">
        <is>
          <t>Physician</t>
        </is>
      </c>
      <c r="H303" t="inlineStr">
        <is>
          <t>assessment-and-plan</t>
        </is>
      </c>
      <c r="I303" t="inlineStr">
        <is>
          <t xml:space="preserve"> Is on home O2, Spiriva, Advair, Albuterol.</t>
        </is>
      </c>
    </row>
    <row r="304">
      <c r="A304" t="inlineStr">
        <is>
          <t>522567-assessment-and-plan-2-3</t>
        </is>
      </c>
      <c r="B304" t="inlineStr"/>
      <c r="C304" t="inlineStr"/>
      <c r="D304">
        <f>HYPERLINK("http://nlpdeep.cs.uic.edu:8080/proofing/t5/522567-assessment-and-plan-2-3.pdf","t5/522567-assessment-and-plan-2-3.pdf")</f>
        <v/>
      </c>
      <c r="E304" t="n">
        <v>120842</v>
      </c>
      <c r="F304" t="n">
        <v>522567</v>
      </c>
      <c r="G304" t="inlineStr">
        <is>
          <t>Physician</t>
        </is>
      </c>
      <c r="H304" t="inlineStr">
        <is>
          <t>assessment-and-plan</t>
        </is>
      </c>
      <c r="I304" t="inlineStr">
        <is>
          <t xml:space="preserve">
   - Management for acute exacerbation as above.</t>
        </is>
      </c>
    </row>
    <row r="305">
      <c r="A305" t="inlineStr">
        <is>
          <t>522567-assessment-and-plan-2-3</t>
        </is>
      </c>
      <c r="B305" t="inlineStr"/>
      <c r="C305" t="inlineStr"/>
      <c r="D305">
        <f>HYPERLINK("http://nlpdeep.cs.uic.edu:8080/proofing/gsii/522567-assessment-and-plan-2-3.pdf","gsii/522567-assessment-and-plan-2-3.pdf")</f>
        <v/>
      </c>
      <c r="E305" t="n">
        <v>120842</v>
      </c>
      <c r="F305" t="n">
        <v>522567</v>
      </c>
      <c r="G305" t="inlineStr">
        <is>
          <t>Physician</t>
        </is>
      </c>
      <c r="H305" t="inlineStr">
        <is>
          <t>assessment-and-plan</t>
        </is>
      </c>
      <c r="I305" t="inlineStr">
        <is>
          <t xml:space="preserve">
   - Management for acute exacerbation as above.</t>
        </is>
      </c>
    </row>
    <row r="306">
      <c r="A306" t="inlineStr">
        <is>
          <t>522567-assessment-and-plan-2-4</t>
        </is>
      </c>
      <c r="B306" t="inlineStr"/>
      <c r="C306" t="inlineStr"/>
      <c r="D306">
        <f>HYPERLINK("http://nlpdeep.cs.uic.edu:8080/proofing/t5/522567-assessment-and-plan-2-4.pdf","t5/522567-assessment-and-plan-2-4.pdf")</f>
        <v/>
      </c>
      <c r="E306" t="n">
        <v>120842</v>
      </c>
      <c r="F306" t="n">
        <v>522567</v>
      </c>
      <c r="G306" t="inlineStr">
        <is>
          <t>Physician</t>
        </is>
      </c>
      <c r="H306" t="inlineStr">
        <is>
          <t>assessment-and-plan</t>
        </is>
      </c>
      <c r="I306" t="inlineStr">
        <is>
          <t xml:space="preserve">
   - Restart spiriva once off ipratroprium nebs.</t>
        </is>
      </c>
    </row>
    <row r="307">
      <c r="A307" t="inlineStr">
        <is>
          <t>522567-assessment-and-plan-2-4</t>
        </is>
      </c>
      <c r="B307" t="inlineStr"/>
      <c r="C307" t="inlineStr"/>
      <c r="D307">
        <f>HYPERLINK("http://nlpdeep.cs.uic.edu:8080/proofing/gsii/522567-assessment-and-plan-2-4.pdf","gsii/522567-assessment-and-plan-2-4.pdf")</f>
        <v/>
      </c>
      <c r="E307" t="n">
        <v>120842</v>
      </c>
      <c r="F307" t="n">
        <v>522567</v>
      </c>
      <c r="G307" t="inlineStr">
        <is>
          <t>Physician</t>
        </is>
      </c>
      <c r="H307" t="inlineStr">
        <is>
          <t>assessment-and-plan</t>
        </is>
      </c>
      <c r="I307" t="inlineStr">
        <is>
          <t xml:space="preserve">
   - Restart spiriva once off ipratroprium nebs.</t>
        </is>
      </c>
    </row>
    <row r="308">
      <c r="A308" t="inlineStr">
        <is>
          <t>522567-assessment-and-plan-2-5</t>
        </is>
      </c>
      <c r="B308" t="inlineStr"/>
      <c r="C308" t="inlineStr"/>
      <c r="D308">
        <f>HYPERLINK("http://nlpdeep.cs.uic.edu:8080/proofing/t5/522567-assessment-and-plan-2-5.pdf","t5/522567-assessment-and-plan-2-5.pdf")</f>
        <v/>
      </c>
      <c r="E308" t="n">
        <v>120842</v>
      </c>
      <c r="F308" t="n">
        <v>522567</v>
      </c>
      <c r="G308" t="inlineStr">
        <is>
          <t>Physician</t>
        </is>
      </c>
      <c r="H308" t="inlineStr">
        <is>
          <t>assessment-and-plan</t>
        </is>
      </c>
      <c r="I308" t="inlineStr"/>
    </row>
    <row r="309">
      <c r="A309" t="inlineStr">
        <is>
          <t>522567-assessment-and-plan-2-5</t>
        </is>
      </c>
      <c r="B309" t="inlineStr"/>
      <c r="C309" t="inlineStr"/>
      <c r="D309">
        <f>HYPERLINK("http://nlpdeep.cs.uic.edu:8080/proofing/gsii/522567-assessment-and-plan-2-5.pdf","gsii/522567-assessment-and-plan-2-5.pdf")</f>
        <v/>
      </c>
      <c r="E309" t="n">
        <v>120842</v>
      </c>
      <c r="F309" t="n">
        <v>522567</v>
      </c>
      <c r="G309" t="inlineStr">
        <is>
          <t>Physician</t>
        </is>
      </c>
      <c r="H309" t="inlineStr">
        <is>
          <t>assessment-and-plan</t>
        </is>
      </c>
      <c r="I309" t="inlineStr"/>
    </row>
    <row r="310">
      <c r="A310" t="inlineStr">
        <is>
          <t>522567-assessment-and-plan-3-0</t>
        </is>
      </c>
      <c r="B310" t="inlineStr"/>
      <c r="C310" t="inlineStr"/>
      <c r="D310">
        <f>HYPERLINK("http://nlpdeep.cs.uic.edu:8080/proofing/t5/522567-assessment-and-plan-3-0.pdf","t5/522567-assessment-and-plan-3-0.pdf")</f>
        <v/>
      </c>
      <c r="E310" t="n">
        <v>120842</v>
      </c>
      <c r="F310" t="n">
        <v>522567</v>
      </c>
      <c r="G310" t="inlineStr">
        <is>
          <t>Physician</t>
        </is>
      </c>
      <c r="H310" t="inlineStr">
        <is>
          <t>assessment-and-plan</t>
        </is>
      </c>
      <c r="I310" t="inlineStr">
        <is>
          <t xml:space="preserve">
   # Diastolic CHF.</t>
        </is>
      </c>
    </row>
    <row r="311">
      <c r="A311" t="inlineStr">
        <is>
          <t>522567-assessment-and-plan-3-0</t>
        </is>
      </c>
      <c r="B311" t="inlineStr"/>
      <c r="C311" t="inlineStr"/>
      <c r="D311">
        <f>HYPERLINK("http://nlpdeep.cs.uic.edu:8080/proofing/gsii/522567-assessment-and-plan-3-0.pdf","gsii/522567-assessment-and-plan-3-0.pdf")</f>
        <v/>
      </c>
      <c r="E311" t="n">
        <v>120842</v>
      </c>
      <c r="F311" t="n">
        <v>522567</v>
      </c>
      <c r="G311" t="inlineStr">
        <is>
          <t>Physician</t>
        </is>
      </c>
      <c r="H311" t="inlineStr">
        <is>
          <t>assessment-and-plan</t>
        </is>
      </c>
      <c r="I311" t="inlineStr">
        <is>
          <t xml:space="preserve">
   # Diastolic CHF.</t>
        </is>
      </c>
    </row>
    <row r="312">
      <c r="A312" t="inlineStr">
        <is>
          <t>522567-assessment-and-plan-3-1</t>
        </is>
      </c>
      <c r="B312" t="inlineStr"/>
      <c r="C312" t="inlineStr"/>
      <c r="D312">
        <f>HYPERLINK("http://nlpdeep.cs.uic.edu:8080/proofing/t5/522567-assessment-and-plan-3-1.pdf","t5/522567-assessment-and-plan-3-1.pdf")</f>
        <v/>
      </c>
      <c r="E312" t="n">
        <v>120842</v>
      </c>
      <c r="F312" t="n">
        <v>522567</v>
      </c>
      <c r="G312" t="inlineStr">
        <is>
          <t>Physician</t>
        </is>
      </c>
      <c r="H312" t="inlineStr">
        <is>
          <t>assessment-and-plan</t>
        </is>
      </c>
      <c r="I312" t="inlineStr">
        <is>
          <t>Euvolemic, as above.</t>
        </is>
      </c>
    </row>
    <row r="313">
      <c r="A313" t="inlineStr">
        <is>
          <t>522567-assessment-and-plan-3-1</t>
        </is>
      </c>
      <c r="B313" t="inlineStr"/>
      <c r="C313" t="inlineStr"/>
      <c r="D313">
        <f>HYPERLINK("http://nlpdeep.cs.uic.edu:8080/proofing/gsii/522567-assessment-and-plan-3-1.pdf","gsii/522567-assessment-and-plan-3-1.pdf")</f>
        <v/>
      </c>
      <c r="E313" t="n">
        <v>120842</v>
      </c>
      <c r="F313" t="n">
        <v>522567</v>
      </c>
      <c r="G313" t="inlineStr">
        <is>
          <t>Physician</t>
        </is>
      </c>
      <c r="H313" t="inlineStr">
        <is>
          <t>assessment-and-plan</t>
        </is>
      </c>
      <c r="I313" t="inlineStr">
        <is>
          <t>Euvolemic, as above.</t>
        </is>
      </c>
    </row>
    <row r="314">
      <c r="A314" t="inlineStr">
        <is>
          <t>522567-assessment-and-plan-3-2</t>
        </is>
      </c>
      <c r="B314" t="inlineStr"/>
      <c r="C314" t="inlineStr"/>
      <c r="D314">
        <f>HYPERLINK("http://nlpdeep.cs.uic.edu:8080/proofing/t5/522567-assessment-and-plan-3-2.pdf","t5/522567-assessment-and-plan-3-2.pdf")</f>
        <v/>
      </c>
      <c r="E314" t="n">
        <v>120842</v>
      </c>
      <c r="F314" t="n">
        <v>522567</v>
      </c>
      <c r="G314" t="inlineStr">
        <is>
          <t>Physician</t>
        </is>
      </c>
      <c r="H314" t="inlineStr">
        <is>
          <t>assessment-and-plan</t>
        </is>
      </c>
      <c r="I314" t="inlineStr">
        <is>
          <t>CXR taken prior to IV fluids not
   overly edematous
   - Continue ACEI.</t>
        </is>
      </c>
    </row>
    <row r="315">
      <c r="A315" t="inlineStr">
        <is>
          <t>522567-assessment-and-plan-3-2</t>
        </is>
      </c>
      <c r="B315" t="inlineStr"/>
      <c r="C315" t="inlineStr"/>
      <c r="D315">
        <f>HYPERLINK("http://nlpdeep.cs.uic.edu:8080/proofing/gsii/522567-assessment-and-plan-3-2.pdf","gsii/522567-assessment-and-plan-3-2.pdf")</f>
        <v/>
      </c>
      <c r="E315" t="n">
        <v>120842</v>
      </c>
      <c r="F315" t="n">
        <v>522567</v>
      </c>
      <c r="G315" t="inlineStr">
        <is>
          <t>Physician</t>
        </is>
      </c>
      <c r="H315" t="inlineStr">
        <is>
          <t>assessment-and-plan</t>
        </is>
      </c>
      <c r="I315" t="inlineStr">
        <is>
          <t>CXR taken prior to IV fluids not
   overly edematous
   - Continue ACEI.</t>
        </is>
      </c>
    </row>
    <row r="316">
      <c r="A316" t="inlineStr">
        <is>
          <t>522567-assessment-and-plan-3-3</t>
        </is>
      </c>
      <c r="B316" t="inlineStr"/>
      <c r="C316" t="inlineStr"/>
      <c r="D316">
        <f>HYPERLINK("http://nlpdeep.cs.uic.edu:8080/proofing/t5/522567-assessment-and-plan-3-3.pdf","t5/522567-assessment-and-plan-3-3.pdf")</f>
        <v/>
      </c>
      <c r="E316" t="n">
        <v>120842</v>
      </c>
      <c r="F316" t="n">
        <v>522567</v>
      </c>
      <c r="G316" t="inlineStr">
        <is>
          <t>Physician</t>
        </is>
      </c>
      <c r="H316" t="inlineStr">
        <is>
          <t>assessment-and-plan</t>
        </is>
      </c>
      <c r="I316" t="inlineStr"/>
    </row>
    <row r="317">
      <c r="A317" t="inlineStr">
        <is>
          <t>522567-assessment-and-plan-3-3</t>
        </is>
      </c>
      <c r="B317" t="inlineStr"/>
      <c r="C317" t="inlineStr"/>
      <c r="D317">
        <f>HYPERLINK("http://nlpdeep.cs.uic.edu:8080/proofing/gsii/522567-assessment-and-plan-3-3.pdf","gsii/522567-assessment-and-plan-3-3.pdf")</f>
        <v/>
      </c>
      <c r="E317" t="n">
        <v>120842</v>
      </c>
      <c r="F317" t="n">
        <v>522567</v>
      </c>
      <c r="G317" t="inlineStr">
        <is>
          <t>Physician</t>
        </is>
      </c>
      <c r="H317" t="inlineStr">
        <is>
          <t>assessment-and-plan</t>
        </is>
      </c>
      <c r="I317" t="inlineStr"/>
    </row>
    <row r="318">
      <c r="A318" t="inlineStr">
        <is>
          <t>522567-assessment-and-plan-4-0</t>
        </is>
      </c>
      <c r="B318" t="inlineStr"/>
      <c r="C318" t="inlineStr"/>
      <c r="D318">
        <f>HYPERLINK("http://nlpdeep.cs.uic.edu:8080/proofing/t5/522567-assessment-and-plan-4-0.pdf","t5/522567-assessment-and-plan-4-0.pdf")</f>
        <v/>
      </c>
      <c r="E318" t="n">
        <v>120842</v>
      </c>
      <c r="F318" t="n">
        <v>522567</v>
      </c>
      <c r="G318" t="inlineStr">
        <is>
          <t>Physician</t>
        </is>
      </c>
      <c r="H318" t="inlineStr">
        <is>
          <t>assessment-and-plan</t>
        </is>
      </c>
      <c r="I318" t="inlineStr">
        <is>
          <t xml:space="preserve">
   # Elevated lactate: Resolved.</t>
        </is>
      </c>
    </row>
    <row r="319">
      <c r="A319" t="inlineStr">
        <is>
          <t>522567-assessment-and-plan-4-0</t>
        </is>
      </c>
      <c r="B319" t="inlineStr"/>
      <c r="C319" t="inlineStr"/>
      <c r="D319">
        <f>HYPERLINK("http://nlpdeep.cs.uic.edu:8080/proofing/gsii/522567-assessment-and-plan-4-0.pdf","gsii/522567-assessment-and-plan-4-0.pdf")</f>
        <v/>
      </c>
      <c r="E319" t="n">
        <v>120842</v>
      </c>
      <c r="F319" t="n">
        <v>522567</v>
      </c>
      <c r="G319" t="inlineStr">
        <is>
          <t>Physician</t>
        </is>
      </c>
      <c r="H319" t="inlineStr">
        <is>
          <t>assessment-and-plan</t>
        </is>
      </c>
      <c r="I319" t="inlineStr">
        <is>
          <t xml:space="preserve">
   # Elevated lactate: Resolved.</t>
        </is>
      </c>
    </row>
    <row r="320">
      <c r="A320" t="inlineStr">
        <is>
          <t>522567-assessment-and-plan-4-1</t>
        </is>
      </c>
      <c r="B320" t="inlineStr"/>
      <c r="C320" t="inlineStr"/>
      <c r="D320">
        <f>HYPERLINK("http://nlpdeep.cs.uic.edu:8080/proofing/t5/522567-assessment-and-plan-4-1.pdf","t5/522567-assessment-and-plan-4-1.pdf")</f>
        <v/>
      </c>
      <c r="E320" t="n">
        <v>120842</v>
      </c>
      <c r="F320" t="n">
        <v>522567</v>
      </c>
      <c r="G320" t="inlineStr">
        <is>
          <t>Physician</t>
        </is>
      </c>
      <c r="H320" t="inlineStr">
        <is>
          <t>assessment-and-plan</t>
        </is>
      </c>
      <c r="I320" t="inlineStr">
        <is>
          <t xml:space="preserve">
   - Hold metformin.</t>
        </is>
      </c>
    </row>
    <row r="321">
      <c r="A321" t="inlineStr">
        <is>
          <t>522567-assessment-and-plan-4-1</t>
        </is>
      </c>
      <c r="B321" t="inlineStr"/>
      <c r="C321" t="inlineStr"/>
      <c r="D321">
        <f>HYPERLINK("http://nlpdeep.cs.uic.edu:8080/proofing/gsii/522567-assessment-and-plan-4-1.pdf","gsii/522567-assessment-and-plan-4-1.pdf")</f>
        <v/>
      </c>
      <c r="E321" t="n">
        <v>120842</v>
      </c>
      <c r="F321" t="n">
        <v>522567</v>
      </c>
      <c r="G321" t="inlineStr">
        <is>
          <t>Physician</t>
        </is>
      </c>
      <c r="H321" t="inlineStr">
        <is>
          <t>assessment-and-plan</t>
        </is>
      </c>
      <c r="I321" t="inlineStr">
        <is>
          <t xml:space="preserve">
   - Hold metformin.</t>
        </is>
      </c>
    </row>
    <row r="322">
      <c r="A322" t="inlineStr">
        <is>
          <t>522567-assessment-and-plan-5-0</t>
        </is>
      </c>
      <c r="B322" t="inlineStr"/>
      <c r="C322" t="inlineStr"/>
      <c r="D322">
        <f>HYPERLINK("http://nlpdeep.cs.uic.edu:8080/proofing/t5/522567-assessment-and-plan-5-0.pdf","t5/522567-assessment-and-plan-5-0.pdf")</f>
        <v/>
      </c>
      <c r="E322" t="n">
        <v>120842</v>
      </c>
      <c r="F322" t="n">
        <v>522567</v>
      </c>
      <c r="G322" t="inlineStr">
        <is>
          <t>Physician</t>
        </is>
      </c>
      <c r="H322" t="inlineStr">
        <is>
          <t>assessment-and-plan</t>
        </is>
      </c>
      <c r="I322" t="inlineStr">
        <is>
          <t xml:space="preserve">
   # DM type II.</t>
        </is>
      </c>
    </row>
    <row r="323">
      <c r="A323" t="inlineStr">
        <is>
          <t>522567-assessment-and-plan-5-0</t>
        </is>
      </c>
      <c r="B323" t="inlineStr"/>
      <c r="C323" t="inlineStr"/>
      <c r="D323">
        <f>HYPERLINK("http://nlpdeep.cs.uic.edu:8080/proofing/gsii/522567-assessment-and-plan-5-0.pdf","gsii/522567-assessment-and-plan-5-0.pdf")</f>
        <v/>
      </c>
      <c r="E323" t="n">
        <v>120842</v>
      </c>
      <c r="F323" t="n">
        <v>522567</v>
      </c>
      <c r="G323" t="inlineStr">
        <is>
          <t>Physician</t>
        </is>
      </c>
      <c r="H323" t="inlineStr">
        <is>
          <t>assessment-and-plan</t>
        </is>
      </c>
      <c r="I323" t="inlineStr">
        <is>
          <t xml:space="preserve">
   # DM type II.</t>
        </is>
      </c>
    </row>
    <row r="324">
      <c r="A324" t="inlineStr">
        <is>
          <t>522567-assessment-and-plan-5-1</t>
        </is>
      </c>
      <c r="B324" t="inlineStr"/>
      <c r="C324" t="inlineStr"/>
      <c r="D324">
        <f>HYPERLINK("http://nlpdeep.cs.uic.edu:8080/proofing/t5/522567-assessment-and-plan-5-1.pdf","t5/522567-assessment-and-plan-5-1.pdf")</f>
        <v/>
      </c>
      <c r="E324" t="n">
        <v>120842</v>
      </c>
      <c r="F324" t="n">
        <v>522567</v>
      </c>
      <c r="G324" t="inlineStr">
        <is>
          <t>Physician</t>
        </is>
      </c>
      <c r="H324" t="inlineStr">
        <is>
          <t>assessment-and-plan</t>
        </is>
      </c>
      <c r="I324" t="inlineStr">
        <is>
          <t xml:space="preserve"> FS elevated on admission &gt; 200.</t>
        </is>
      </c>
    </row>
    <row r="325">
      <c r="A325" t="inlineStr">
        <is>
          <t>522567-assessment-and-plan-5-1</t>
        </is>
      </c>
      <c r="B325" t="inlineStr"/>
      <c r="C325" t="inlineStr"/>
      <c r="D325">
        <f>HYPERLINK("http://nlpdeep.cs.uic.edu:8080/proofing/gsii/522567-assessment-and-plan-5-1.pdf","gsii/522567-assessment-and-plan-5-1.pdf")</f>
        <v/>
      </c>
      <c r="E325" t="n">
        <v>120842</v>
      </c>
      <c r="F325" t="n">
        <v>522567</v>
      </c>
      <c r="G325" t="inlineStr">
        <is>
          <t>Physician</t>
        </is>
      </c>
      <c r="H325" t="inlineStr">
        <is>
          <t>assessment-and-plan</t>
        </is>
      </c>
      <c r="I325" t="inlineStr">
        <is>
          <t xml:space="preserve"> FS elevated on admission &gt; 200.</t>
        </is>
      </c>
    </row>
    <row r="326">
      <c r="A326" t="inlineStr">
        <is>
          <t>522567-assessment-and-plan-5-2</t>
        </is>
      </c>
      <c r="B326" t="inlineStr"/>
      <c r="C326" t="inlineStr"/>
      <c r="D326">
        <f>HYPERLINK("http://nlpdeep.cs.uic.edu:8080/proofing/t5/522567-assessment-and-plan-5-2.pdf","t5/522567-assessment-and-plan-5-2.pdf")</f>
        <v/>
      </c>
      <c r="E326" t="n">
        <v>120842</v>
      </c>
      <c r="F326" t="n">
        <v>522567</v>
      </c>
      <c r="G326" t="inlineStr">
        <is>
          <t>Physician</t>
        </is>
      </c>
      <c r="H326" t="inlineStr">
        <is>
          <t>assessment-and-plan</t>
        </is>
      </c>
      <c r="I326" t="inlineStr">
        <is>
          <t xml:space="preserve"> [**2153-3-28**] HbA1c 6.9.</t>
        </is>
      </c>
    </row>
    <row r="327">
      <c r="A327" t="inlineStr">
        <is>
          <t>522567-assessment-and-plan-5-2</t>
        </is>
      </c>
      <c r="B327" t="inlineStr"/>
      <c r="C327" t="inlineStr"/>
      <c r="D327">
        <f>HYPERLINK("http://nlpdeep.cs.uic.edu:8080/proofing/gsii/522567-assessment-and-plan-5-2.pdf","gsii/522567-assessment-and-plan-5-2.pdf")</f>
        <v/>
      </c>
      <c r="E327" t="n">
        <v>120842</v>
      </c>
      <c r="F327" t="n">
        <v>522567</v>
      </c>
      <c r="G327" t="inlineStr">
        <is>
          <t>Physician</t>
        </is>
      </c>
      <c r="H327" t="inlineStr">
        <is>
          <t>assessment-and-plan</t>
        </is>
      </c>
      <c r="I327" t="inlineStr">
        <is>
          <t xml:space="preserve"> [**2153-3-28**] HbA1c 6.9.</t>
        </is>
      </c>
    </row>
    <row r="328">
      <c r="A328" t="inlineStr">
        <is>
          <t>522567-assessment-and-plan-5-3</t>
        </is>
      </c>
      <c r="B328" t="inlineStr"/>
      <c r="C328" t="inlineStr"/>
      <c r="D328">
        <f>HYPERLINK("http://nlpdeep.cs.uic.edu:8080/proofing/t5/522567-assessment-and-plan-5-3.pdf","t5/522567-assessment-and-plan-5-3.pdf")</f>
        <v/>
      </c>
      <c r="E328" t="n">
        <v>120842</v>
      </c>
      <c r="F328" t="n">
        <v>522567</v>
      </c>
      <c r="G328" t="inlineStr">
        <is>
          <t>Physician</t>
        </is>
      </c>
      <c r="H328" t="inlineStr">
        <is>
          <t>assessment-and-plan</t>
        </is>
      </c>
      <c r="I328" t="inlineStr"/>
    </row>
    <row r="329">
      <c r="A329" t="inlineStr">
        <is>
          <t>522567-assessment-and-plan-5-3</t>
        </is>
      </c>
      <c r="B329" t="inlineStr"/>
      <c r="C329" t="inlineStr"/>
      <c r="D329">
        <f>HYPERLINK("http://nlpdeep.cs.uic.edu:8080/proofing/gsii/522567-assessment-and-plan-5-3.pdf","gsii/522567-assessment-and-plan-5-3.pdf")</f>
        <v/>
      </c>
      <c r="E329" t="n">
        <v>120842</v>
      </c>
      <c r="F329" t="n">
        <v>522567</v>
      </c>
      <c r="G329" t="inlineStr">
        <is>
          <t>Physician</t>
        </is>
      </c>
      <c r="H329" t="inlineStr">
        <is>
          <t>assessment-and-plan</t>
        </is>
      </c>
      <c r="I329" t="inlineStr"/>
    </row>
    <row r="330">
      <c r="A330" t="inlineStr">
        <is>
          <t>522567-assessment-and-plan-6-0</t>
        </is>
      </c>
      <c r="B330" t="inlineStr"/>
      <c r="C330" t="inlineStr"/>
      <c r="D330">
        <f>HYPERLINK("http://nlpdeep.cs.uic.edu:8080/proofing/t5/522567-assessment-and-plan-6-0.pdf","t5/522567-assessment-and-plan-6-0.pdf")</f>
        <v/>
      </c>
      <c r="E330" t="n">
        <v>120842</v>
      </c>
      <c r="F330" t="n">
        <v>522567</v>
      </c>
      <c r="G330" t="inlineStr">
        <is>
          <t>Physician</t>
        </is>
      </c>
      <c r="H330" t="inlineStr">
        <is>
          <t>assessment-and-plan</t>
        </is>
      </c>
      <c r="I330" t="inlineStr">
        <is>
          <t xml:space="preserve">
   # Hypertension
 BP remains elevated.</t>
        </is>
      </c>
    </row>
    <row r="331">
      <c r="A331" t="inlineStr">
        <is>
          <t>522567-assessment-and-plan-6-0</t>
        </is>
      </c>
      <c r="B331" t="inlineStr"/>
      <c r="C331" t="inlineStr"/>
      <c r="D331">
        <f>HYPERLINK("http://nlpdeep.cs.uic.edu:8080/proofing/gsii/522567-assessment-and-plan-6-0.pdf","gsii/522567-assessment-and-plan-6-0.pdf")</f>
        <v/>
      </c>
      <c r="E331" t="n">
        <v>120842</v>
      </c>
      <c r="F331" t="n">
        <v>522567</v>
      </c>
      <c r="G331" t="inlineStr">
        <is>
          <t>Physician</t>
        </is>
      </c>
      <c r="H331" t="inlineStr">
        <is>
          <t>assessment-and-plan</t>
        </is>
      </c>
      <c r="I331" t="inlineStr">
        <is>
          <t xml:space="preserve">
   # Hypertension
 BP remains elevated.</t>
        </is>
      </c>
    </row>
    <row r="332">
      <c r="A332" t="inlineStr">
        <is>
          <t>522567-assessment-and-plan-6-1</t>
        </is>
      </c>
      <c r="B332" t="inlineStr"/>
      <c r="C332" t="inlineStr"/>
      <c r="D332">
        <f>HYPERLINK("http://nlpdeep.cs.uic.edu:8080/proofing/t5/522567-assessment-and-plan-6-1.pdf","t5/522567-assessment-and-plan-6-1.pdf")</f>
        <v/>
      </c>
      <c r="E332" t="n">
        <v>120842</v>
      </c>
      <c r="F332" t="n">
        <v>522567</v>
      </c>
      <c r="G332" t="inlineStr">
        <is>
          <t>Physician</t>
        </is>
      </c>
      <c r="H332" t="inlineStr">
        <is>
          <t>assessment-and-plan</t>
        </is>
      </c>
      <c r="I332" t="inlineStr"/>
    </row>
    <row r="333">
      <c r="A333" t="inlineStr">
        <is>
          <t>522567-assessment-and-plan-6-1</t>
        </is>
      </c>
      <c r="B333" t="inlineStr"/>
      <c r="C333" t="inlineStr"/>
      <c r="D333">
        <f>HYPERLINK("http://nlpdeep.cs.uic.edu:8080/proofing/gsii/522567-assessment-and-plan-6-1.pdf","gsii/522567-assessment-and-plan-6-1.pdf")</f>
        <v/>
      </c>
      <c r="E333" t="n">
        <v>120842</v>
      </c>
      <c r="F333" t="n">
        <v>522567</v>
      </c>
      <c r="G333" t="inlineStr">
        <is>
          <t>Physician</t>
        </is>
      </c>
      <c r="H333" t="inlineStr">
        <is>
          <t>assessment-and-plan</t>
        </is>
      </c>
      <c r="I333" t="inlineStr"/>
    </row>
    <row r="334">
      <c r="A334" t="inlineStr">
        <is>
          <t>522567-assessment-and-plan-7-0</t>
        </is>
      </c>
      <c r="B334" t="inlineStr"/>
      <c r="C334" t="inlineStr"/>
      <c r="D334">
        <f>HYPERLINK("http://nlpdeep.cs.uic.edu:8080/proofing/t5/522567-assessment-and-plan-7-0.pdf","t5/522567-assessment-and-plan-7-0.pdf")</f>
        <v/>
      </c>
      <c r="E334" t="n">
        <v>120842</v>
      </c>
      <c r="F334" t="n">
        <v>522567</v>
      </c>
      <c r="G334" t="inlineStr">
        <is>
          <t>Physician</t>
        </is>
      </c>
      <c r="H334" t="inlineStr">
        <is>
          <t>assessment-and-plan</t>
        </is>
      </c>
      <c r="I334" t="inlineStr">
        <is>
          <t xml:space="preserve">
   # Anemia: Hct stable, near baseline since [**2153-2-9**].</t>
        </is>
      </c>
    </row>
    <row r="335">
      <c r="A335" t="inlineStr">
        <is>
          <t>522567-assessment-and-plan-7-0</t>
        </is>
      </c>
      <c r="B335" t="inlineStr"/>
      <c r="C335" t="inlineStr"/>
      <c r="D335">
        <f>HYPERLINK("http://nlpdeep.cs.uic.edu:8080/proofing/gsii/522567-assessment-and-plan-7-0.pdf","gsii/522567-assessment-and-plan-7-0.pdf")</f>
        <v/>
      </c>
      <c r="E335" t="n">
        <v>120842</v>
      </c>
      <c r="F335" t="n">
        <v>522567</v>
      </c>
      <c r="G335" t="inlineStr">
        <is>
          <t>Physician</t>
        </is>
      </c>
      <c r="H335" t="inlineStr">
        <is>
          <t>assessment-and-plan</t>
        </is>
      </c>
      <c r="I335" t="inlineStr">
        <is>
          <t xml:space="preserve">
   # Anemia: Hct stable, near baseline since [**2153-2-9**].</t>
        </is>
      </c>
    </row>
    <row r="336">
      <c r="A336" t="inlineStr">
        <is>
          <t>522567-assessment-and-plan-7-1</t>
        </is>
      </c>
      <c r="B336" t="inlineStr"/>
      <c r="C336" t="inlineStr"/>
      <c r="D336">
        <f>HYPERLINK("http://nlpdeep.cs.uic.edu:8080/proofing/t5/522567-assessment-and-plan-7-1.pdf","t5/522567-assessment-and-plan-7-1.pdf")</f>
        <v/>
      </c>
      <c r="E336" t="n">
        <v>120842</v>
      </c>
      <c r="F336" t="n">
        <v>522567</v>
      </c>
      <c r="G336" t="inlineStr">
        <is>
          <t>Physician</t>
        </is>
      </c>
      <c r="H336" t="inlineStr">
        <is>
          <t>assessment-and-plan</t>
        </is>
      </c>
      <c r="I336" t="inlineStr"/>
    </row>
    <row r="337">
      <c r="A337" t="inlineStr">
        <is>
          <t>522567-assessment-and-plan-7-1</t>
        </is>
      </c>
      <c r="B337" t="inlineStr"/>
      <c r="C337" t="inlineStr"/>
      <c r="D337">
        <f>HYPERLINK("http://nlpdeep.cs.uic.edu:8080/proofing/gsii/522567-assessment-and-plan-7-1.pdf","gsii/522567-assessment-and-plan-7-1.pdf")</f>
        <v/>
      </c>
      <c r="E337" t="n">
        <v>120842</v>
      </c>
      <c r="F337" t="n">
        <v>522567</v>
      </c>
      <c r="G337" t="inlineStr">
        <is>
          <t>Physician</t>
        </is>
      </c>
      <c r="H337" t="inlineStr">
        <is>
          <t>assessment-and-plan</t>
        </is>
      </c>
      <c r="I337" t="inlineStr"/>
    </row>
    <row r="338">
      <c r="A338" t="inlineStr">
        <is>
          <t>522567-assessment-and-plan-8-0</t>
        </is>
      </c>
      <c r="B338" t="inlineStr"/>
      <c r="C338" t="inlineStr"/>
      <c r="D338">
        <f>HYPERLINK("http://nlpdeep.cs.uic.edu:8080/proofing/t5/522567-assessment-and-plan-8-0.pdf","t5/522567-assessment-and-plan-8-0.pdf")</f>
        <v/>
      </c>
      <c r="E338" t="n">
        <v>120842</v>
      </c>
      <c r="F338" t="n">
        <v>522567</v>
      </c>
      <c r="G338" t="inlineStr">
        <is>
          <t>Physician</t>
        </is>
      </c>
      <c r="H338" t="inlineStr">
        <is>
          <t>assessment-and-plan</t>
        </is>
      </c>
      <c r="I338" t="inlineStr">
        <is>
          <t>FEN: No IVF, replete electrolytes, Heart Healthy/Diabetic diet
   Prophylaxis: Subutaneous heparin
   Access: peripherals x2
   Code: Full (confirmed on admission)
   Communication: Patient  &amp; daughter [**Name (NI) **] (HCP)
   Disposition: pending clinical improvement; consider transfer to floor
   later today
   ICU Care
   Nutrition:
   Glycemic Control:
   Lines:
   18 Gauge - [**2153-4-6**] 03:00 PM
   20 Gauge - [**2153-4-6**] 03:00 PM
   Prophylaxis:
   DVT:
   Stress ulcer:
   VAP:
   Comments:
   Communication:  Comments:</t>
        </is>
      </c>
    </row>
    <row r="339">
      <c r="A339" t="inlineStr">
        <is>
          <t>522567-assessment-and-plan-8-0</t>
        </is>
      </c>
      <c r="B339" t="inlineStr"/>
      <c r="C339" t="inlineStr"/>
      <c r="D339">
        <f>HYPERLINK("http://nlpdeep.cs.uic.edu:8080/proofing/gsii/522567-assessment-and-plan-8-0.pdf","gsii/522567-assessment-and-plan-8-0.pdf")</f>
        <v/>
      </c>
      <c r="E339" t="n">
        <v>120842</v>
      </c>
      <c r="F339" t="n">
        <v>522567</v>
      </c>
      <c r="G339" t="inlineStr">
        <is>
          <t>Physician</t>
        </is>
      </c>
      <c r="H339" t="inlineStr">
        <is>
          <t>assessment-and-plan</t>
        </is>
      </c>
      <c r="I339" t="inlineStr">
        <is>
          <t>FEN: No IVF, replete electrolytes, Heart Healthy/Diabetic diet
   Prophylaxis: Subutaneous heparin
   Access: peripherals x2
   Code: Full (confirmed on admission)
   Communication: Patient  &amp; daughter [**Name (NI) **] (HCP)
   Disposition: pending clinical improvement; consider transfer to floor
   later today
   ICU Care
   Nutrition:
   Glycemic Control:
   Lines:
   18 Gauge - [**2153-4-6**] 03:00 PM
   20 Gauge - [**2153-4-6**] 03:00 PM
   Prophylaxis:
   DVT:
   Stress ulcer:
   VAP:
   Comments:
   Communication:  Comments:</t>
        </is>
      </c>
    </row>
    <row r="340">
      <c r="A340" t="inlineStr">
        <is>
          <t>522567-code-status-0-0</t>
        </is>
      </c>
      <c r="B340" t="inlineStr"/>
      <c r="C340" t="inlineStr"/>
      <c r="D340">
        <f>HYPERLINK("http://nlpdeep.cs.uic.edu:8080/proofing/t5/522567-code-status-0-0.pdf","t5/522567-code-status-0-0.pdf")</f>
        <v/>
      </c>
      <c r="E340" t="n">
        <v>120842</v>
      </c>
      <c r="F340" t="n">
        <v>522567</v>
      </c>
      <c r="G340" t="inlineStr">
        <is>
          <t>Physician</t>
        </is>
      </c>
      <c r="H340" t="inlineStr">
        <is>
          <t>code-status</t>
        </is>
      </c>
      <c r="I340" t="inlineStr">
        <is>
          <t>Full c</t>
        </is>
      </c>
    </row>
    <row r="341">
      <c r="A341" t="inlineStr">
        <is>
          <t>522567-code-status-0-0</t>
        </is>
      </c>
      <c r="B341" t="inlineStr"/>
      <c r="C341" t="inlineStr"/>
      <c r="D341">
        <f>HYPERLINK("http://nlpdeep.cs.uic.edu:8080/proofing/gsii/522567-code-status-0-0.pdf","gsii/522567-code-status-0-0.pdf")</f>
        <v/>
      </c>
      <c r="E341" t="n">
        <v>120842</v>
      </c>
      <c r="F341" t="n">
        <v>522567</v>
      </c>
      <c r="G341" t="inlineStr">
        <is>
          <t>Physician</t>
        </is>
      </c>
      <c r="H341" t="inlineStr">
        <is>
          <t>code-status</t>
        </is>
      </c>
      <c r="I341" t="inlineStr">
        <is>
          <t>Full c</t>
        </is>
      </c>
    </row>
    <row r="342">
      <c r="A342" t="inlineStr">
        <is>
          <t>65939-patient-test-information-0-0</t>
        </is>
      </c>
      <c r="B342" t="inlineStr"/>
      <c r="C342" t="inlineStr"/>
      <c r="D342">
        <f>HYPERLINK("http://nlpdeep.cs.uic.edu:8080/proofing/t5/65939-patient-test-information-0-0.pdf","t5/65939-patient-test-information-0-0.pdf")</f>
        <v/>
      </c>
      <c r="E342" t="n">
        <v>108346</v>
      </c>
      <c r="F342" t="n">
        <v>65939</v>
      </c>
      <c r="G342" t="inlineStr">
        <is>
          <t>Echo</t>
        </is>
      </c>
      <c r="H342" t="inlineStr">
        <is>
          <t>patient-test-information</t>
        </is>
      </c>
      <c r="I342" t="inlineStr">
        <is>
          <t>Indication: Evaluate for Left ventricular function.</t>
        </is>
      </c>
    </row>
    <row r="343">
      <c r="A343" t="inlineStr">
        <is>
          <t>65939-patient-test-information-0-0</t>
        </is>
      </c>
      <c r="B343" t="inlineStr"/>
      <c r="C343" t="inlineStr"/>
      <c r="D343">
        <f>HYPERLINK("http://nlpdeep.cs.uic.edu:8080/proofing/gsii/65939-patient-test-information-0-0.pdf","gsii/65939-patient-test-information-0-0.pdf")</f>
        <v/>
      </c>
      <c r="E343" t="n">
        <v>108346</v>
      </c>
      <c r="F343" t="n">
        <v>65939</v>
      </c>
      <c r="G343" t="inlineStr">
        <is>
          <t>Echo</t>
        </is>
      </c>
      <c r="H343" t="inlineStr">
        <is>
          <t>patient-test-information</t>
        </is>
      </c>
      <c r="I343" t="inlineStr">
        <is>
          <t>Indication: Evaluate for Left ventricular function.</t>
        </is>
      </c>
    </row>
    <row r="344">
      <c r="A344" t="inlineStr">
        <is>
          <t>65939-patient-test-information-0-1</t>
        </is>
      </c>
      <c r="B344" t="inlineStr"/>
      <c r="C344" t="inlineStr"/>
      <c r="D344">
        <f>HYPERLINK("http://nlpdeep.cs.uic.edu:8080/proofing/t5/65939-patient-test-information-0-1.pdf","t5/65939-patient-test-information-0-1.pdf")</f>
        <v/>
      </c>
      <c r="E344" t="n">
        <v>108346</v>
      </c>
      <c r="F344" t="n">
        <v>65939</v>
      </c>
      <c r="G344" t="inlineStr">
        <is>
          <t>Echo</t>
        </is>
      </c>
      <c r="H344" t="inlineStr">
        <is>
          <t>patient-test-information</t>
        </is>
      </c>
      <c r="I344" t="inlineStr">
        <is>
          <t>Right ventricular function.</t>
        </is>
      </c>
    </row>
    <row r="345">
      <c r="A345" t="inlineStr">
        <is>
          <t>65939-patient-test-information-0-1</t>
        </is>
      </c>
      <c r="B345" t="inlineStr"/>
      <c r="C345" t="inlineStr"/>
      <c r="D345">
        <f>HYPERLINK("http://nlpdeep.cs.uic.edu:8080/proofing/gsii/65939-patient-test-information-0-1.pdf","gsii/65939-patient-test-information-0-1.pdf")</f>
        <v/>
      </c>
      <c r="E345" t="n">
        <v>108346</v>
      </c>
      <c r="F345" t="n">
        <v>65939</v>
      </c>
      <c r="G345" t="inlineStr">
        <is>
          <t>Echo</t>
        </is>
      </c>
      <c r="H345" t="inlineStr">
        <is>
          <t>patient-test-information</t>
        </is>
      </c>
      <c r="I345" t="inlineStr">
        <is>
          <t>Right ventricular function.</t>
        </is>
      </c>
    </row>
    <row r="346">
      <c r="A346" t="inlineStr">
        <is>
          <t>65939-patient-test-information-0-2</t>
        </is>
      </c>
      <c r="B346" t="inlineStr"/>
      <c r="C346" t="inlineStr"/>
      <c r="D346">
        <f>HYPERLINK("http://nlpdeep.cs.uic.edu:8080/proofing/t5/65939-patient-test-information-0-2.pdf","t5/65939-patient-test-information-0-2.pdf")</f>
        <v/>
      </c>
      <c r="E346" t="n">
        <v>108346</v>
      </c>
      <c r="F346" t="n">
        <v>65939</v>
      </c>
      <c r="G346" t="inlineStr">
        <is>
          <t>Echo</t>
        </is>
      </c>
      <c r="H346" t="inlineStr">
        <is>
          <t>patient-test-information</t>
        </is>
      </c>
      <c r="I346" t="inlineStr">
        <is>
          <t>Wall motion abnormalities.</t>
        </is>
      </c>
    </row>
    <row r="347">
      <c r="A347" t="inlineStr">
        <is>
          <t>65939-patient-test-information-0-2</t>
        </is>
      </c>
      <c r="B347" t="inlineStr"/>
      <c r="C347" t="inlineStr"/>
      <c r="D347">
        <f>HYPERLINK("http://nlpdeep.cs.uic.edu:8080/proofing/gsii/65939-patient-test-information-0-2.pdf","gsii/65939-patient-test-information-0-2.pdf")</f>
        <v/>
      </c>
      <c r="E347" t="n">
        <v>108346</v>
      </c>
      <c r="F347" t="n">
        <v>65939</v>
      </c>
      <c r="G347" t="inlineStr">
        <is>
          <t>Echo</t>
        </is>
      </c>
      <c r="H347" t="inlineStr">
        <is>
          <t>patient-test-information</t>
        </is>
      </c>
      <c r="I347" t="inlineStr">
        <is>
          <t>Wall motion abnormalities.</t>
        </is>
      </c>
    </row>
    <row r="348">
      <c r="A348" t="inlineStr">
        <is>
          <t>65939-patient-test-information-0-3</t>
        </is>
      </c>
      <c r="B348" t="inlineStr"/>
      <c r="C348" t="inlineStr"/>
      <c r="D348">
        <f>HYPERLINK("http://nlpdeep.cs.uic.edu:8080/proofing/t5/65939-patient-test-information-0-3.pdf","t5/65939-patient-test-information-0-3.pdf")</f>
        <v/>
      </c>
      <c r="E348" t="n">
        <v>108346</v>
      </c>
      <c r="F348" t="n">
        <v>65939</v>
      </c>
      <c r="G348" t="inlineStr">
        <is>
          <t>Echo</t>
        </is>
      </c>
      <c r="H348" t="inlineStr">
        <is>
          <t>patient-test-information</t>
        </is>
      </c>
      <c r="I348" t="inlineStr">
        <is>
          <t>Syncope.</t>
        </is>
      </c>
    </row>
    <row r="349">
      <c r="A349" t="inlineStr">
        <is>
          <t>65939-patient-test-information-0-3</t>
        </is>
      </c>
      <c r="B349" t="inlineStr"/>
      <c r="C349" t="inlineStr"/>
      <c r="D349">
        <f>HYPERLINK("http://nlpdeep.cs.uic.edu:8080/proofing/gsii/65939-patient-test-information-0-3.pdf","gsii/65939-patient-test-information-0-3.pdf")</f>
        <v/>
      </c>
      <c r="E349" t="n">
        <v>108346</v>
      </c>
      <c r="F349" t="n">
        <v>65939</v>
      </c>
      <c r="G349" t="inlineStr">
        <is>
          <t>Echo</t>
        </is>
      </c>
      <c r="H349" t="inlineStr">
        <is>
          <t>patient-test-information</t>
        </is>
      </c>
      <c r="I349" t="inlineStr">
        <is>
          <t>Syncope.</t>
        </is>
      </c>
    </row>
    <row r="350">
      <c r="A350" t="inlineStr">
        <is>
          <t>65939-patient-test-information-0-4</t>
        </is>
      </c>
      <c r="B350" t="inlineStr"/>
      <c r="C350" t="inlineStr"/>
      <c r="D350">
        <f>HYPERLINK("http://nlpdeep.cs.uic.edu:8080/proofing/t5/65939-patient-test-information-0-4.pdf","t5/65939-patient-test-information-0-4.pdf")</f>
        <v/>
      </c>
      <c r="E350" t="n">
        <v>108346</v>
      </c>
      <c r="F350" t="n">
        <v>65939</v>
      </c>
      <c r="G350" t="inlineStr">
        <is>
          <t>Echo</t>
        </is>
      </c>
      <c r="H350" t="inlineStr">
        <is>
          <t>patient-test-information</t>
        </is>
      </c>
      <c r="I350" t="inlineStr">
        <is>
          <t>Height: (in) 64
Weight (lb): 168
BSA (m2): 1.82 m2
BP (mm Hg): 128/56
HR (bpm): 78
Status: Inpatient
Date/Time: [**2172-1-29**] at 14:57
Test: TTE (Complete)
Doppler: Full Doppler and color Doppler
Contrast: None
Technical Quality: A</t>
        </is>
      </c>
    </row>
    <row r="351">
      <c r="A351" t="inlineStr">
        <is>
          <t>65939-patient-test-information-0-4</t>
        </is>
      </c>
      <c r="B351" t="inlineStr"/>
      <c r="C351" t="inlineStr"/>
      <c r="D351">
        <f>HYPERLINK("http://nlpdeep.cs.uic.edu:8080/proofing/gsii/65939-patient-test-information-0-4.pdf","gsii/65939-patient-test-information-0-4.pdf")</f>
        <v/>
      </c>
      <c r="E351" t="n">
        <v>108346</v>
      </c>
      <c r="F351" t="n">
        <v>65939</v>
      </c>
      <c r="G351" t="inlineStr">
        <is>
          <t>Echo</t>
        </is>
      </c>
      <c r="H351" t="inlineStr">
        <is>
          <t>patient-test-information</t>
        </is>
      </c>
      <c r="I351" t="inlineStr">
        <is>
          <t>Height: (in) 64
Weight (lb): 168
BSA (m2): 1.82 m2
BP (mm Hg): 128/56
HR (bpm): 78
Status: Inpatient
Date/Time: [**2172-1-29**] at 14:57
Test: TTE (Complete)
Doppler: Full Doppler and color Doppler
Contrast: None
Technical Quality: A</t>
        </is>
      </c>
    </row>
    <row r="352">
      <c r="A352" t="inlineStr">
        <is>
          <t>65939-findings-0-0</t>
        </is>
      </c>
      <c r="B352" t="inlineStr"/>
      <c r="C352" t="inlineStr"/>
      <c r="D352">
        <f>HYPERLINK("http://nlpdeep.cs.uic.edu:8080/proofing/t5/65939-findings-0-0.pdf","t5/65939-findings-0-0.pdf")</f>
        <v/>
      </c>
      <c r="E352" t="n">
        <v>108346</v>
      </c>
      <c r="F352" t="n">
        <v>65939</v>
      </c>
      <c r="G352" t="inlineStr">
        <is>
          <t>Echo</t>
        </is>
      </c>
      <c r="H352" t="inlineStr">
        <is>
          <t>findings</t>
        </is>
      </c>
      <c r="I352" t="inlineStr">
        <is>
          <t>LEFT ATRIUM: Mild LA enlargement.</t>
        </is>
      </c>
    </row>
    <row r="353">
      <c r="A353" t="inlineStr">
        <is>
          <t>65939-findings-0-0</t>
        </is>
      </c>
      <c r="B353" t="inlineStr"/>
      <c r="C353" t="inlineStr"/>
      <c r="D353">
        <f>HYPERLINK("http://nlpdeep.cs.uic.edu:8080/proofing/gsii/65939-findings-0-0.pdf","gsii/65939-findings-0-0.pdf")</f>
        <v/>
      </c>
      <c r="E353" t="n">
        <v>108346</v>
      </c>
      <c r="F353" t="n">
        <v>65939</v>
      </c>
      <c r="G353" t="inlineStr">
        <is>
          <t>Echo</t>
        </is>
      </c>
      <c r="H353" t="inlineStr">
        <is>
          <t>findings</t>
        </is>
      </c>
      <c r="I353" t="inlineStr">
        <is>
          <t>LEFT ATRIUM: Mild LA enlargement.</t>
        </is>
      </c>
    </row>
    <row r="354">
      <c r="A354" t="inlineStr">
        <is>
          <t>65939-findings-1-0</t>
        </is>
      </c>
      <c r="B354" t="inlineStr"/>
      <c r="C354" t="inlineStr"/>
      <c r="D354">
        <f>HYPERLINK("http://nlpdeep.cs.uic.edu:8080/proofing/t5/65939-findings-1-0.pdf","t5/65939-findings-1-0.pdf")</f>
        <v/>
      </c>
      <c r="E354" t="n">
        <v>108346</v>
      </c>
      <c r="F354" t="n">
        <v>65939</v>
      </c>
      <c r="G354" t="inlineStr">
        <is>
          <t>Echo</t>
        </is>
      </c>
      <c r="H354" t="inlineStr">
        <is>
          <t>findings</t>
        </is>
      </c>
      <c r="I354" t="inlineStr">
        <is>
          <t xml:space="preserve">
RIGHT ATRIUM/INTERATRIAL SEPTUM: Mildly dilated RA.</t>
        </is>
      </c>
    </row>
    <row r="355">
      <c r="A355" t="inlineStr">
        <is>
          <t>65939-findings-1-0</t>
        </is>
      </c>
      <c r="B355" t="inlineStr"/>
      <c r="C355" t="inlineStr"/>
      <c r="D355">
        <f>HYPERLINK("http://nlpdeep.cs.uic.edu:8080/proofing/gsii/65939-findings-1-0.pdf","gsii/65939-findings-1-0.pdf")</f>
        <v/>
      </c>
      <c r="E355" t="n">
        <v>108346</v>
      </c>
      <c r="F355" t="n">
        <v>65939</v>
      </c>
      <c r="G355" t="inlineStr">
        <is>
          <t>Echo</t>
        </is>
      </c>
      <c r="H355" t="inlineStr">
        <is>
          <t>findings</t>
        </is>
      </c>
      <c r="I355" t="inlineStr">
        <is>
          <t xml:space="preserve">
RIGHT ATRIUM/INTERATRIAL SEPTUM: Mildly dilated RA.</t>
        </is>
      </c>
    </row>
    <row r="356">
      <c r="A356" t="inlineStr">
        <is>
          <t>65939-findings-2-0</t>
        </is>
      </c>
      <c r="B356" t="inlineStr"/>
      <c r="C356" t="inlineStr"/>
      <c r="D356">
        <f>HYPERLINK("http://nlpdeep.cs.uic.edu:8080/proofing/t5/65939-findings-2-0.pdf","t5/65939-findings-2-0.pdf")</f>
        <v/>
      </c>
      <c r="E356" t="n">
        <v>108346</v>
      </c>
      <c r="F356" t="n">
        <v>65939</v>
      </c>
      <c r="G356" t="inlineStr">
        <is>
          <t>Echo</t>
        </is>
      </c>
      <c r="H356" t="inlineStr">
        <is>
          <t>findings</t>
        </is>
      </c>
      <c r="I356" t="inlineStr">
        <is>
          <t xml:space="preserve">
LEFT VENTRICLE: Normal LV wall thickness, cavity size and regional/global
systolic function (LVEF &gt;55%).</t>
        </is>
      </c>
    </row>
    <row r="357">
      <c r="A357" t="inlineStr">
        <is>
          <t>65939-findings-2-0</t>
        </is>
      </c>
      <c r="B357" t="inlineStr"/>
      <c r="C357" t="inlineStr"/>
      <c r="D357">
        <f>HYPERLINK("http://nlpdeep.cs.uic.edu:8080/proofing/gsii/65939-findings-2-0.pdf","gsii/65939-findings-2-0.pdf")</f>
        <v/>
      </c>
      <c r="E357" t="n">
        <v>108346</v>
      </c>
      <c r="F357" t="n">
        <v>65939</v>
      </c>
      <c r="G357" t="inlineStr">
        <is>
          <t>Echo</t>
        </is>
      </c>
      <c r="H357" t="inlineStr">
        <is>
          <t>findings</t>
        </is>
      </c>
      <c r="I357" t="inlineStr">
        <is>
          <t xml:space="preserve">
LEFT VENTRICLE: Normal LV wall thickness, cavity size and regional/global
systolic function (LVEF &gt;55%).</t>
        </is>
      </c>
    </row>
    <row r="358">
      <c r="A358" t="inlineStr">
        <is>
          <t>65939-findings-2-1</t>
        </is>
      </c>
      <c r="B358" t="inlineStr"/>
      <c r="C358" t="inlineStr"/>
      <c r="D358">
        <f>HYPERLINK("http://nlpdeep.cs.uic.edu:8080/proofing/t5/65939-findings-2-1.pdf","t5/65939-findings-2-1.pdf")</f>
        <v/>
      </c>
      <c r="E358" t="n">
        <v>108346</v>
      </c>
      <c r="F358" t="n">
        <v>65939</v>
      </c>
      <c r="G358" t="inlineStr">
        <is>
          <t>Echo</t>
        </is>
      </c>
      <c r="H358" t="inlineStr">
        <is>
          <t>findings</t>
        </is>
      </c>
      <c r="I358" t="inlineStr">
        <is>
          <t>No resting or Valsalva inducible LVOT gradient.</t>
        </is>
      </c>
    </row>
    <row r="359">
      <c r="A359" t="inlineStr">
        <is>
          <t>65939-findings-2-1</t>
        </is>
      </c>
      <c r="B359" t="inlineStr"/>
      <c r="C359" t="inlineStr"/>
      <c r="D359">
        <f>HYPERLINK("http://nlpdeep.cs.uic.edu:8080/proofing/gsii/65939-findings-2-1.pdf","gsii/65939-findings-2-1.pdf")</f>
        <v/>
      </c>
      <c r="E359" t="n">
        <v>108346</v>
      </c>
      <c r="F359" t="n">
        <v>65939</v>
      </c>
      <c r="G359" t="inlineStr">
        <is>
          <t>Echo</t>
        </is>
      </c>
      <c r="H359" t="inlineStr">
        <is>
          <t>findings</t>
        </is>
      </c>
      <c r="I359" t="inlineStr">
        <is>
          <t>No resting or Valsalva inducible LVOT gradient.</t>
        </is>
      </c>
    </row>
    <row r="360">
      <c r="A360" t="inlineStr">
        <is>
          <t>65939-findings-2-2</t>
        </is>
      </c>
      <c r="B360" t="inlineStr"/>
      <c r="C360" t="inlineStr"/>
      <c r="D360">
        <f>HYPERLINK("http://nlpdeep.cs.uic.edu:8080/proofing/t5/65939-findings-2-2.pdf","t5/65939-findings-2-2.pdf")</f>
        <v/>
      </c>
      <c r="E360" t="n">
        <v>108346</v>
      </c>
      <c r="F360" t="n">
        <v>65939</v>
      </c>
      <c r="G360" t="inlineStr">
        <is>
          <t>Echo</t>
        </is>
      </c>
      <c r="H360" t="inlineStr">
        <is>
          <t>findings</t>
        </is>
      </c>
      <c r="I360" t="inlineStr">
        <is>
          <t xml:space="preserve">
No VSD.</t>
        </is>
      </c>
    </row>
    <row r="361">
      <c r="A361" t="inlineStr">
        <is>
          <t>65939-findings-2-2</t>
        </is>
      </c>
      <c r="B361" t="inlineStr"/>
      <c r="C361" t="inlineStr"/>
      <c r="D361">
        <f>HYPERLINK("http://nlpdeep.cs.uic.edu:8080/proofing/gsii/65939-findings-2-2.pdf","gsii/65939-findings-2-2.pdf")</f>
        <v/>
      </c>
      <c r="E361" t="n">
        <v>108346</v>
      </c>
      <c r="F361" t="n">
        <v>65939</v>
      </c>
      <c r="G361" t="inlineStr">
        <is>
          <t>Echo</t>
        </is>
      </c>
      <c r="H361" t="inlineStr">
        <is>
          <t>findings</t>
        </is>
      </c>
      <c r="I361" t="inlineStr">
        <is>
          <t xml:space="preserve">
No VSD.</t>
        </is>
      </c>
    </row>
    <row r="362">
      <c r="A362" t="inlineStr">
        <is>
          <t>65939-findings-3-0</t>
        </is>
      </c>
      <c r="B362" t="inlineStr"/>
      <c r="C362" t="inlineStr"/>
      <c r="D362">
        <f>HYPERLINK("http://nlpdeep.cs.uic.edu:8080/proofing/t5/65939-findings-3-0.pdf","t5/65939-findings-3-0.pdf")</f>
        <v/>
      </c>
      <c r="E362" t="n">
        <v>108346</v>
      </c>
      <c r="F362" t="n">
        <v>65939</v>
      </c>
      <c r="G362" t="inlineStr">
        <is>
          <t>Echo</t>
        </is>
      </c>
      <c r="H362" t="inlineStr">
        <is>
          <t>findings</t>
        </is>
      </c>
      <c r="I362" t="inlineStr">
        <is>
          <t xml:space="preserve">
RIGHT VENTRICLE: Abnormal septal motion/position.</t>
        </is>
      </c>
    </row>
    <row r="363">
      <c r="A363" t="inlineStr">
        <is>
          <t>65939-findings-3-0</t>
        </is>
      </c>
      <c r="B363" t="inlineStr"/>
      <c r="C363" t="inlineStr"/>
      <c r="D363">
        <f>HYPERLINK("http://nlpdeep.cs.uic.edu:8080/proofing/gsii/65939-findings-3-0.pdf","gsii/65939-findings-3-0.pdf")</f>
        <v/>
      </c>
      <c r="E363" t="n">
        <v>108346</v>
      </c>
      <c r="F363" t="n">
        <v>65939</v>
      </c>
      <c r="G363" t="inlineStr">
        <is>
          <t>Echo</t>
        </is>
      </c>
      <c r="H363" t="inlineStr">
        <is>
          <t>findings</t>
        </is>
      </c>
      <c r="I363" t="inlineStr">
        <is>
          <t xml:space="preserve">
RIGHT VENTRICLE: Abnormal septal motion/position.</t>
        </is>
      </c>
    </row>
    <row r="364">
      <c r="A364" t="inlineStr">
        <is>
          <t>65939-findings-4-0</t>
        </is>
      </c>
      <c r="B364" t="inlineStr"/>
      <c r="C364" t="inlineStr"/>
      <c r="D364">
        <f>HYPERLINK("http://nlpdeep.cs.uic.edu:8080/proofing/t5/65939-findings-4-0.pdf","t5/65939-findings-4-0.pdf")</f>
        <v/>
      </c>
      <c r="E364" t="n">
        <v>108346</v>
      </c>
      <c r="F364" t="n">
        <v>65939</v>
      </c>
      <c r="G364" t="inlineStr">
        <is>
          <t>Echo</t>
        </is>
      </c>
      <c r="H364" t="inlineStr">
        <is>
          <t>findings</t>
        </is>
      </c>
      <c r="I364" t="inlineStr">
        <is>
          <t xml:space="preserve">
AORTA: No 2D or Doppler evidence of distal arch coarctation.</t>
        </is>
      </c>
    </row>
    <row r="365">
      <c r="A365" t="inlineStr">
        <is>
          <t>65939-findings-4-0</t>
        </is>
      </c>
      <c r="B365" t="inlineStr"/>
      <c r="C365" t="inlineStr"/>
      <c r="D365">
        <f>HYPERLINK("http://nlpdeep.cs.uic.edu:8080/proofing/gsii/65939-findings-4-0.pdf","gsii/65939-findings-4-0.pdf")</f>
        <v/>
      </c>
      <c r="E365" t="n">
        <v>108346</v>
      </c>
      <c r="F365" t="n">
        <v>65939</v>
      </c>
      <c r="G365" t="inlineStr">
        <is>
          <t>Echo</t>
        </is>
      </c>
      <c r="H365" t="inlineStr">
        <is>
          <t>findings</t>
        </is>
      </c>
      <c r="I365" t="inlineStr">
        <is>
          <t xml:space="preserve">
AORTA: No 2D or Doppler evidence of distal arch coarctation.</t>
        </is>
      </c>
    </row>
    <row r="366">
      <c r="A366" t="inlineStr">
        <is>
          <t>65939-findings-5-0</t>
        </is>
      </c>
      <c r="B366" t="inlineStr"/>
      <c r="C366" t="inlineStr"/>
      <c r="D366">
        <f>HYPERLINK("http://nlpdeep.cs.uic.edu:8080/proofing/t5/65939-findings-5-0.pdf","t5/65939-findings-5-0.pdf")</f>
        <v/>
      </c>
      <c r="E366" t="n">
        <v>108346</v>
      </c>
      <c r="F366" t="n">
        <v>65939</v>
      </c>
      <c r="G366" t="inlineStr">
        <is>
          <t>Echo</t>
        </is>
      </c>
      <c r="H366" t="inlineStr">
        <is>
          <t>findings</t>
        </is>
      </c>
      <c r="I366" t="inlineStr">
        <is>
          <t xml:space="preserve">
AORTIC VALVE: Mildly thickened aortic valve leaflets (3).</t>
        </is>
      </c>
    </row>
    <row r="367">
      <c r="A367" t="inlineStr">
        <is>
          <t>65939-findings-5-0</t>
        </is>
      </c>
      <c r="B367" t="inlineStr"/>
      <c r="C367" t="inlineStr"/>
      <c r="D367">
        <f>HYPERLINK("http://nlpdeep.cs.uic.edu:8080/proofing/gsii/65939-findings-5-0.pdf","gsii/65939-findings-5-0.pdf")</f>
        <v/>
      </c>
      <c r="E367" t="n">
        <v>108346</v>
      </c>
      <c r="F367" t="n">
        <v>65939</v>
      </c>
      <c r="G367" t="inlineStr">
        <is>
          <t>Echo</t>
        </is>
      </c>
      <c r="H367" t="inlineStr">
        <is>
          <t>findings</t>
        </is>
      </c>
      <c r="I367" t="inlineStr">
        <is>
          <t xml:space="preserve">
AORTIC VALVE: Mildly thickened aortic valve leaflets (3).</t>
        </is>
      </c>
    </row>
    <row r="368">
      <c r="A368" t="inlineStr">
        <is>
          <t>65939-findings-5-1</t>
        </is>
      </c>
      <c r="B368" t="inlineStr"/>
      <c r="C368" t="inlineStr"/>
      <c r="D368">
        <f>HYPERLINK("http://nlpdeep.cs.uic.edu:8080/proofing/t5/65939-findings-5-1.pdf","t5/65939-findings-5-1.pdf")</f>
        <v/>
      </c>
      <c r="E368" t="n">
        <v>108346</v>
      </c>
      <c r="F368" t="n">
        <v>65939</v>
      </c>
      <c r="G368" t="inlineStr">
        <is>
          <t>Echo</t>
        </is>
      </c>
      <c r="H368" t="inlineStr">
        <is>
          <t>findings</t>
        </is>
      </c>
      <c r="I368" t="inlineStr">
        <is>
          <t>No AS.</t>
        </is>
      </c>
    </row>
    <row r="369">
      <c r="A369" t="inlineStr">
        <is>
          <t>65939-findings-5-1</t>
        </is>
      </c>
      <c r="B369" t="inlineStr"/>
      <c r="C369" t="inlineStr"/>
      <c r="D369">
        <f>HYPERLINK("http://nlpdeep.cs.uic.edu:8080/proofing/gsii/65939-findings-5-1.pdf","gsii/65939-findings-5-1.pdf")</f>
        <v/>
      </c>
      <c r="E369" t="n">
        <v>108346</v>
      </c>
      <c r="F369" t="n">
        <v>65939</v>
      </c>
      <c r="G369" t="inlineStr">
        <is>
          <t>Echo</t>
        </is>
      </c>
      <c r="H369" t="inlineStr">
        <is>
          <t>findings</t>
        </is>
      </c>
      <c r="I369" t="inlineStr">
        <is>
          <t>No AS.</t>
        </is>
      </c>
    </row>
    <row r="370">
      <c r="A370" t="inlineStr">
        <is>
          <t>65939-findings-5-2</t>
        </is>
      </c>
      <c r="B370" t="inlineStr"/>
      <c r="C370" t="inlineStr"/>
      <c r="D370">
        <f>HYPERLINK("http://nlpdeep.cs.uic.edu:8080/proofing/t5/65939-findings-5-2.pdf","t5/65939-findings-5-2.pdf")</f>
        <v/>
      </c>
      <c r="E370" t="n">
        <v>108346</v>
      </c>
      <c r="F370" t="n">
        <v>65939</v>
      </c>
      <c r="G370" t="inlineStr">
        <is>
          <t>Echo</t>
        </is>
      </c>
      <c r="H370" t="inlineStr">
        <is>
          <t>findings</t>
        </is>
      </c>
      <c r="I370" t="inlineStr">
        <is>
          <t>No AR.</t>
        </is>
      </c>
    </row>
    <row r="371">
      <c r="A371" t="inlineStr">
        <is>
          <t>65939-findings-5-2</t>
        </is>
      </c>
      <c r="B371" t="inlineStr"/>
      <c r="C371" t="inlineStr"/>
      <c r="D371">
        <f>HYPERLINK("http://nlpdeep.cs.uic.edu:8080/proofing/gsii/65939-findings-5-2.pdf","gsii/65939-findings-5-2.pdf")</f>
        <v/>
      </c>
      <c r="E371" t="n">
        <v>108346</v>
      </c>
      <c r="F371" t="n">
        <v>65939</v>
      </c>
      <c r="G371" t="inlineStr">
        <is>
          <t>Echo</t>
        </is>
      </c>
      <c r="H371" t="inlineStr">
        <is>
          <t>findings</t>
        </is>
      </c>
      <c r="I371" t="inlineStr">
        <is>
          <t>No AR.</t>
        </is>
      </c>
    </row>
    <row r="372">
      <c r="A372" t="inlineStr">
        <is>
          <t>65939-findings-6-0</t>
        </is>
      </c>
      <c r="B372" t="inlineStr"/>
      <c r="C372" t="inlineStr"/>
      <c r="D372">
        <f>HYPERLINK("http://nlpdeep.cs.uic.edu:8080/proofing/t5/65939-findings-6-0.pdf","t5/65939-findings-6-0.pdf")</f>
        <v/>
      </c>
      <c r="E372" t="n">
        <v>108346</v>
      </c>
      <c r="F372" t="n">
        <v>65939</v>
      </c>
      <c r="G372" t="inlineStr">
        <is>
          <t>Echo</t>
        </is>
      </c>
      <c r="H372" t="inlineStr">
        <is>
          <t>findings</t>
        </is>
      </c>
      <c r="I372" t="inlineStr">
        <is>
          <t xml:space="preserve">
MITRAL VALVE: Mildly thickened mitral valve leaflets.</t>
        </is>
      </c>
    </row>
    <row r="373">
      <c r="A373" t="inlineStr">
        <is>
          <t>65939-findings-6-0</t>
        </is>
      </c>
      <c r="B373" t="inlineStr"/>
      <c r="C373" t="inlineStr"/>
      <c r="D373">
        <f>HYPERLINK("http://nlpdeep.cs.uic.edu:8080/proofing/gsii/65939-findings-6-0.pdf","gsii/65939-findings-6-0.pdf")</f>
        <v/>
      </c>
      <c r="E373" t="n">
        <v>108346</v>
      </c>
      <c r="F373" t="n">
        <v>65939</v>
      </c>
      <c r="G373" t="inlineStr">
        <is>
          <t>Echo</t>
        </is>
      </c>
      <c r="H373" t="inlineStr">
        <is>
          <t>findings</t>
        </is>
      </c>
      <c r="I373" t="inlineStr">
        <is>
          <t xml:space="preserve">
MITRAL VALVE: Mildly thickened mitral valve leaflets.</t>
        </is>
      </c>
    </row>
    <row r="374">
      <c r="A374" t="inlineStr">
        <is>
          <t>65939-findings-6-1</t>
        </is>
      </c>
      <c r="B374" t="inlineStr"/>
      <c r="C374" t="inlineStr"/>
      <c r="D374">
        <f>HYPERLINK("http://nlpdeep.cs.uic.edu:8080/proofing/t5/65939-findings-6-1.pdf","t5/65939-findings-6-1.pdf")</f>
        <v/>
      </c>
      <c r="E374" t="n">
        <v>108346</v>
      </c>
      <c r="F374" t="n">
        <v>65939</v>
      </c>
      <c r="G374" t="inlineStr">
        <is>
          <t>Echo</t>
        </is>
      </c>
      <c r="H374" t="inlineStr">
        <is>
          <t>findings</t>
        </is>
      </c>
      <c r="I374" t="inlineStr">
        <is>
          <t>No MVP.</t>
        </is>
      </c>
    </row>
    <row r="375">
      <c r="A375" t="inlineStr">
        <is>
          <t>65939-findings-6-1</t>
        </is>
      </c>
      <c r="B375" t="inlineStr"/>
      <c r="C375" t="inlineStr"/>
      <c r="D375">
        <f>HYPERLINK("http://nlpdeep.cs.uic.edu:8080/proofing/gsii/65939-findings-6-1.pdf","gsii/65939-findings-6-1.pdf")</f>
        <v/>
      </c>
      <c r="E375" t="n">
        <v>108346</v>
      </c>
      <c r="F375" t="n">
        <v>65939</v>
      </c>
      <c r="G375" t="inlineStr">
        <is>
          <t>Echo</t>
        </is>
      </c>
      <c r="H375" t="inlineStr">
        <is>
          <t>findings</t>
        </is>
      </c>
      <c r="I375" t="inlineStr">
        <is>
          <t>No MVP.</t>
        </is>
      </c>
    </row>
    <row r="376">
      <c r="A376" t="inlineStr">
        <is>
          <t>65939-findings-6-2</t>
        </is>
      </c>
      <c r="B376" t="inlineStr"/>
      <c r="C376" t="inlineStr"/>
      <c r="D376">
        <f>HYPERLINK("http://nlpdeep.cs.uic.edu:8080/proofing/t5/65939-findings-6-2.pdf","t5/65939-findings-6-2.pdf")</f>
        <v/>
      </c>
      <c r="E376" t="n">
        <v>108346</v>
      </c>
      <c r="F376" t="n">
        <v>65939</v>
      </c>
      <c r="G376" t="inlineStr">
        <is>
          <t>Echo</t>
        </is>
      </c>
      <c r="H376" t="inlineStr">
        <is>
          <t>findings</t>
        </is>
      </c>
      <c r="I376" t="inlineStr">
        <is>
          <t>Trivial MR.</t>
        </is>
      </c>
    </row>
    <row r="377">
      <c r="A377" t="inlineStr">
        <is>
          <t>65939-findings-6-2</t>
        </is>
      </c>
      <c r="B377" t="inlineStr"/>
      <c r="C377" t="inlineStr"/>
      <c r="D377">
        <f>HYPERLINK("http://nlpdeep.cs.uic.edu:8080/proofing/gsii/65939-findings-6-2.pdf","gsii/65939-findings-6-2.pdf")</f>
        <v/>
      </c>
      <c r="E377" t="n">
        <v>108346</v>
      </c>
      <c r="F377" t="n">
        <v>65939</v>
      </c>
      <c r="G377" t="inlineStr">
        <is>
          <t>Echo</t>
        </is>
      </c>
      <c r="H377" t="inlineStr">
        <is>
          <t>findings</t>
        </is>
      </c>
      <c r="I377" t="inlineStr">
        <is>
          <t>Trivial MR.</t>
        </is>
      </c>
    </row>
    <row r="378">
      <c r="A378" t="inlineStr">
        <is>
          <t>65939-findings-7-0</t>
        </is>
      </c>
      <c r="B378" t="inlineStr"/>
      <c r="C378" t="inlineStr"/>
      <c r="D378">
        <f>HYPERLINK("http://nlpdeep.cs.uic.edu:8080/proofing/t5/65939-findings-7-0.pdf","t5/65939-findings-7-0.pdf")</f>
        <v/>
      </c>
      <c r="E378" t="n">
        <v>108346</v>
      </c>
      <c r="F378" t="n">
        <v>65939</v>
      </c>
      <c r="G378" t="inlineStr">
        <is>
          <t>Echo</t>
        </is>
      </c>
      <c r="H378" t="inlineStr">
        <is>
          <t>findings</t>
        </is>
      </c>
      <c r="I378" t="inlineStr">
        <is>
          <t xml:space="preserve">
TRICUSPID VALVE: Mildly thickened tricuspid valve leaflets.</t>
        </is>
      </c>
    </row>
    <row r="379">
      <c r="A379" t="inlineStr">
        <is>
          <t>65939-findings-7-0</t>
        </is>
      </c>
      <c r="B379" t="inlineStr"/>
      <c r="C379" t="inlineStr"/>
      <c r="D379">
        <f>HYPERLINK("http://nlpdeep.cs.uic.edu:8080/proofing/gsii/65939-findings-7-0.pdf","gsii/65939-findings-7-0.pdf")</f>
        <v/>
      </c>
      <c r="E379" t="n">
        <v>108346</v>
      </c>
      <c r="F379" t="n">
        <v>65939</v>
      </c>
      <c r="G379" t="inlineStr">
        <is>
          <t>Echo</t>
        </is>
      </c>
      <c r="H379" t="inlineStr">
        <is>
          <t>findings</t>
        </is>
      </c>
      <c r="I379" t="inlineStr">
        <is>
          <t xml:space="preserve">
TRICUSPID VALVE: Mildly thickened tricuspid valve leaflets.</t>
        </is>
      </c>
    </row>
    <row r="380">
      <c r="A380" t="inlineStr">
        <is>
          <t>65939-findings-7-1</t>
        </is>
      </c>
      <c r="B380" t="inlineStr"/>
      <c r="C380" t="inlineStr"/>
      <c r="D380">
        <f>HYPERLINK("http://nlpdeep.cs.uic.edu:8080/proofing/t5/65939-findings-7-1.pdf","t5/65939-findings-7-1.pdf")</f>
        <v/>
      </c>
      <c r="E380" t="n">
        <v>108346</v>
      </c>
      <c r="F380" t="n">
        <v>65939</v>
      </c>
      <c r="G380" t="inlineStr">
        <is>
          <t>Echo</t>
        </is>
      </c>
      <c r="H380" t="inlineStr">
        <is>
          <t>findings</t>
        </is>
      </c>
      <c r="I380" t="inlineStr">
        <is>
          <t>Mild [1+] TR.</t>
        </is>
      </c>
    </row>
    <row r="381">
      <c r="A381" t="inlineStr">
        <is>
          <t>65939-findings-7-1</t>
        </is>
      </c>
      <c r="B381" t="inlineStr"/>
      <c r="C381" t="inlineStr"/>
      <c r="D381">
        <f>HYPERLINK("http://nlpdeep.cs.uic.edu:8080/proofing/gsii/65939-findings-7-1.pdf","gsii/65939-findings-7-1.pdf")</f>
        <v/>
      </c>
      <c r="E381" t="n">
        <v>108346</v>
      </c>
      <c r="F381" t="n">
        <v>65939</v>
      </c>
      <c r="G381" t="inlineStr">
        <is>
          <t>Echo</t>
        </is>
      </c>
      <c r="H381" t="inlineStr">
        <is>
          <t>findings</t>
        </is>
      </c>
      <c r="I381" t="inlineStr">
        <is>
          <t>Mild [1+] TR.</t>
        </is>
      </c>
    </row>
    <row r="382">
      <c r="A382" t="inlineStr">
        <is>
          <t>65939-findings-7-2</t>
        </is>
      </c>
      <c r="B382" t="inlineStr"/>
      <c r="C382" t="inlineStr"/>
      <c r="D382">
        <f>HYPERLINK("http://nlpdeep.cs.uic.edu:8080/proofing/t5/65939-findings-7-2.pdf","t5/65939-findings-7-2.pdf")</f>
        <v/>
      </c>
      <c r="E382" t="n">
        <v>108346</v>
      </c>
      <c r="F382" t="n">
        <v>65939</v>
      </c>
      <c r="G382" t="inlineStr">
        <is>
          <t>Echo</t>
        </is>
      </c>
      <c r="H382" t="inlineStr">
        <is>
          <t>findings</t>
        </is>
      </c>
      <c r="I382" t="inlineStr">
        <is>
          <t>Mild
PA systolic hypertension.</t>
        </is>
      </c>
    </row>
    <row r="383">
      <c r="A383" t="inlineStr">
        <is>
          <t>65939-findings-7-2</t>
        </is>
      </c>
      <c r="B383" t="inlineStr"/>
      <c r="C383" t="inlineStr"/>
      <c r="D383">
        <f>HYPERLINK("http://nlpdeep.cs.uic.edu:8080/proofing/gsii/65939-findings-7-2.pdf","gsii/65939-findings-7-2.pdf")</f>
        <v/>
      </c>
      <c r="E383" t="n">
        <v>108346</v>
      </c>
      <c r="F383" t="n">
        <v>65939</v>
      </c>
      <c r="G383" t="inlineStr">
        <is>
          <t>Echo</t>
        </is>
      </c>
      <c r="H383" t="inlineStr">
        <is>
          <t>findings</t>
        </is>
      </c>
      <c r="I383" t="inlineStr">
        <is>
          <t>Mild
PA systolic hypertension.</t>
        </is>
      </c>
    </row>
    <row r="384">
      <c r="A384" t="inlineStr">
        <is>
          <t>65939-findings-8-0</t>
        </is>
      </c>
      <c r="B384" t="inlineStr"/>
      <c r="C384" t="inlineStr"/>
      <c r="D384">
        <f>HYPERLINK("http://nlpdeep.cs.uic.edu:8080/proofing/t5/65939-findings-8-0.pdf","t5/65939-findings-8-0.pdf")</f>
        <v/>
      </c>
      <c r="E384" t="n">
        <v>108346</v>
      </c>
      <c r="F384" t="n">
        <v>65939</v>
      </c>
      <c r="G384" t="inlineStr">
        <is>
          <t>Echo</t>
        </is>
      </c>
      <c r="H384" t="inlineStr">
        <is>
          <t>findings</t>
        </is>
      </c>
      <c r="I384" t="inlineStr">
        <is>
          <t xml:space="preserve">
PULMONIC VALVE/PULMONARY ARTERY: Pulmonic valve not visualized.</t>
        </is>
      </c>
    </row>
    <row r="385">
      <c r="A385" t="inlineStr">
        <is>
          <t>65939-findings-8-0</t>
        </is>
      </c>
      <c r="B385" t="inlineStr"/>
      <c r="C385" t="inlineStr"/>
      <c r="D385">
        <f>HYPERLINK("http://nlpdeep.cs.uic.edu:8080/proofing/gsii/65939-findings-8-0.pdf","gsii/65939-findings-8-0.pdf")</f>
        <v/>
      </c>
      <c r="E385" t="n">
        <v>108346</v>
      </c>
      <c r="F385" t="n">
        <v>65939</v>
      </c>
      <c r="G385" t="inlineStr">
        <is>
          <t>Echo</t>
        </is>
      </c>
      <c r="H385" t="inlineStr">
        <is>
          <t>findings</t>
        </is>
      </c>
      <c r="I385" t="inlineStr">
        <is>
          <t xml:space="preserve">
PULMONIC VALVE/PULMONARY ARTERY: Pulmonic valve not visualized.</t>
        </is>
      </c>
    </row>
    <row r="386">
      <c r="A386" t="inlineStr">
        <is>
          <t>65939-findings-8-1</t>
        </is>
      </c>
      <c r="B386" t="inlineStr"/>
      <c r="C386" t="inlineStr"/>
      <c r="D386">
        <f>HYPERLINK("http://nlpdeep.cs.uic.edu:8080/proofing/t5/65939-findings-8-1.pdf","t5/65939-findings-8-1.pdf")</f>
        <v/>
      </c>
      <c r="E386" t="n">
        <v>108346</v>
      </c>
      <c r="F386" t="n">
        <v>65939</v>
      </c>
      <c r="G386" t="inlineStr">
        <is>
          <t>Echo</t>
        </is>
      </c>
      <c r="H386" t="inlineStr">
        <is>
          <t>findings</t>
        </is>
      </c>
      <c r="I386" t="inlineStr">
        <is>
          <t>No PS.</t>
        </is>
      </c>
    </row>
    <row r="387">
      <c r="A387" t="inlineStr">
        <is>
          <t>65939-findings-8-1</t>
        </is>
      </c>
      <c r="B387" t="inlineStr"/>
      <c r="C387" t="inlineStr"/>
      <c r="D387">
        <f>HYPERLINK("http://nlpdeep.cs.uic.edu:8080/proofing/gsii/65939-findings-8-1.pdf","gsii/65939-findings-8-1.pdf")</f>
        <v/>
      </c>
      <c r="E387" t="n">
        <v>108346</v>
      </c>
      <c r="F387" t="n">
        <v>65939</v>
      </c>
      <c r="G387" t="inlineStr">
        <is>
          <t>Echo</t>
        </is>
      </c>
      <c r="H387" t="inlineStr">
        <is>
          <t>findings</t>
        </is>
      </c>
      <c r="I387" t="inlineStr">
        <is>
          <t>No PS.</t>
        </is>
      </c>
    </row>
    <row r="388">
      <c r="A388" t="inlineStr">
        <is>
          <t>65939-findings-8-2</t>
        </is>
      </c>
      <c r="B388" t="inlineStr"/>
      <c r="C388" t="inlineStr"/>
      <c r="D388">
        <f>HYPERLINK("http://nlpdeep.cs.uic.edu:8080/proofing/t5/65939-findings-8-2.pdf","t5/65939-findings-8-2.pdf")</f>
        <v/>
      </c>
      <c r="E388" t="n">
        <v>108346</v>
      </c>
      <c r="F388" t="n">
        <v>65939</v>
      </c>
      <c r="G388" t="inlineStr">
        <is>
          <t>Echo</t>
        </is>
      </c>
      <c r="H388" t="inlineStr">
        <is>
          <t>findings</t>
        </is>
      </c>
      <c r="I388" t="inlineStr">
        <is>
          <t xml:space="preserve">
Physiologic PR.</t>
        </is>
      </c>
    </row>
    <row r="389">
      <c r="A389" t="inlineStr">
        <is>
          <t>65939-findings-8-2</t>
        </is>
      </c>
      <c r="B389" t="inlineStr"/>
      <c r="C389" t="inlineStr"/>
      <c r="D389">
        <f>HYPERLINK("http://nlpdeep.cs.uic.edu:8080/proofing/gsii/65939-findings-8-2.pdf","gsii/65939-findings-8-2.pdf")</f>
        <v/>
      </c>
      <c r="E389" t="n">
        <v>108346</v>
      </c>
      <c r="F389" t="n">
        <v>65939</v>
      </c>
      <c r="G389" t="inlineStr">
        <is>
          <t>Echo</t>
        </is>
      </c>
      <c r="H389" t="inlineStr">
        <is>
          <t>findings</t>
        </is>
      </c>
      <c r="I389" t="inlineStr">
        <is>
          <t xml:space="preserve">
Physiologic PR.</t>
        </is>
      </c>
    </row>
    <row r="390">
      <c r="A390" t="inlineStr">
        <is>
          <t>65939-findings-9-0</t>
        </is>
      </c>
      <c r="B390" t="inlineStr"/>
      <c r="C390" t="inlineStr"/>
      <c r="D390">
        <f>HYPERLINK("http://nlpdeep.cs.uic.edu:8080/proofing/t5/65939-findings-9-0.pdf","t5/65939-findings-9-0.pdf")</f>
        <v/>
      </c>
      <c r="E390" t="n">
        <v>108346</v>
      </c>
      <c r="F390" t="n">
        <v>65939</v>
      </c>
      <c r="G390" t="inlineStr">
        <is>
          <t>Echo</t>
        </is>
      </c>
      <c r="H390" t="inlineStr">
        <is>
          <t>findings</t>
        </is>
      </c>
      <c r="I390" t="inlineStr">
        <is>
          <t xml:space="preserve">
PERICARDIUM: No pericardial effusion.</t>
        </is>
      </c>
    </row>
    <row r="391">
      <c r="A391" t="inlineStr">
        <is>
          <t>65939-findings-9-0</t>
        </is>
      </c>
      <c r="B391" t="inlineStr"/>
      <c r="C391" t="inlineStr"/>
      <c r="D391">
        <f>HYPERLINK("http://nlpdeep.cs.uic.edu:8080/proofing/gsii/65939-findings-9-0.pdf","gsii/65939-findings-9-0.pdf")</f>
        <v/>
      </c>
      <c r="E391" t="n">
        <v>108346</v>
      </c>
      <c r="F391" t="n">
        <v>65939</v>
      </c>
      <c r="G391" t="inlineStr">
        <is>
          <t>Echo</t>
        </is>
      </c>
      <c r="H391" t="inlineStr">
        <is>
          <t>findings</t>
        </is>
      </c>
      <c r="I391" t="inlineStr">
        <is>
          <t xml:space="preserve">
PERICARDIUM: No pericardial effusion.</t>
        </is>
      </c>
    </row>
    <row r="392">
      <c r="A392" t="inlineStr">
        <is>
          <t>65939-findings-9-1</t>
        </is>
      </c>
      <c r="B392" t="inlineStr"/>
      <c r="C392" t="inlineStr"/>
      <c r="D392">
        <f>HYPERLINK("http://nlpdeep.cs.uic.edu:8080/proofing/t5/65939-findings-9-1.pdf","t5/65939-findings-9-1.pdf")</f>
        <v/>
      </c>
      <c r="E392" t="n">
        <v>108346</v>
      </c>
      <c r="F392" t="n">
        <v>65939</v>
      </c>
      <c r="G392" t="inlineStr">
        <is>
          <t>Echo</t>
        </is>
      </c>
      <c r="H392" t="inlineStr">
        <is>
          <t>findings</t>
        </is>
      </c>
      <c r="I392" t="inlineStr">
        <is>
          <t>There is an anterior space which most
likely represents a fat pad, though a loculated anterior pericardial effusion
cannot be excluded.</t>
        </is>
      </c>
    </row>
    <row r="393">
      <c r="A393" t="inlineStr">
        <is>
          <t>65939-findings-9-1</t>
        </is>
      </c>
      <c r="B393" t="inlineStr"/>
      <c r="C393" t="inlineStr"/>
      <c r="D393">
        <f>HYPERLINK("http://nlpdeep.cs.uic.edu:8080/proofing/gsii/65939-findings-9-1.pdf","gsii/65939-findings-9-1.pdf")</f>
        <v/>
      </c>
      <c r="E393" t="n">
        <v>108346</v>
      </c>
      <c r="F393" t="n">
        <v>65939</v>
      </c>
      <c r="G393" t="inlineStr">
        <is>
          <t>Echo</t>
        </is>
      </c>
      <c r="H393" t="inlineStr">
        <is>
          <t>findings</t>
        </is>
      </c>
      <c r="I393" t="inlineStr">
        <is>
          <t>There is an anterior space which most
likely represents a fat pad, though a loculated anterior pericardial effusion
cannot be excluded.</t>
        </is>
      </c>
    </row>
    <row r="394">
      <c r="A394" t="inlineStr">
        <is>
          <t>65939-conclusions-0-0</t>
        </is>
      </c>
      <c r="B394" t="inlineStr"/>
      <c r="C394" t="inlineStr"/>
      <c r="D394">
        <f>HYPERLINK("http://nlpdeep.cs.uic.edu:8080/proofing/t5/65939-conclusions-0-0.pdf","t5/65939-conclusions-0-0.pdf")</f>
        <v/>
      </c>
      <c r="E394" t="n">
        <v>108346</v>
      </c>
      <c r="F394" t="n">
        <v>65939</v>
      </c>
      <c r="G394" t="inlineStr">
        <is>
          <t>Echo</t>
        </is>
      </c>
      <c r="H394" t="inlineStr">
        <is>
          <t>conclusions</t>
        </is>
      </c>
      <c r="I394" t="inlineStr">
        <is>
          <t>The left atrium is mildly dilated.</t>
        </is>
      </c>
    </row>
    <row r="395">
      <c r="A395" t="inlineStr">
        <is>
          <t>65939-conclusions-0-0</t>
        </is>
      </c>
      <c r="B395" t="inlineStr"/>
      <c r="C395" t="inlineStr"/>
      <c r="D395">
        <f>HYPERLINK("http://nlpdeep.cs.uic.edu:8080/proofing/gsii/65939-conclusions-0-0.pdf","gsii/65939-conclusions-0-0.pdf")</f>
        <v/>
      </c>
      <c r="E395" t="n">
        <v>108346</v>
      </c>
      <c r="F395" t="n">
        <v>65939</v>
      </c>
      <c r="G395" t="inlineStr">
        <is>
          <t>Echo</t>
        </is>
      </c>
      <c r="H395" t="inlineStr">
        <is>
          <t>conclusions</t>
        </is>
      </c>
      <c r="I395" t="inlineStr">
        <is>
          <t>The left atrium is mildly dilated.</t>
        </is>
      </c>
    </row>
    <row r="396">
      <c r="A396" t="inlineStr">
        <is>
          <t>65939-conclusions-0-1</t>
        </is>
      </c>
      <c r="B396" t="inlineStr"/>
      <c r="C396" t="inlineStr"/>
      <c r="D396">
        <f>HYPERLINK("http://nlpdeep.cs.uic.edu:8080/proofing/t5/65939-conclusions-0-1.pdf","t5/65939-conclusions-0-1.pdf")</f>
        <v/>
      </c>
      <c r="E396" t="n">
        <v>108346</v>
      </c>
      <c r="F396" t="n">
        <v>65939</v>
      </c>
      <c r="G396" t="inlineStr">
        <is>
          <t>Echo</t>
        </is>
      </c>
      <c r="H396" t="inlineStr">
        <is>
          <t>conclusions</t>
        </is>
      </c>
      <c r="I396" t="inlineStr">
        <is>
          <t>Left ventricular wall thickness, cavity
size and regional/global systolic function are normal (LVEF &gt;55%).</t>
        </is>
      </c>
    </row>
    <row r="397">
      <c r="A397" t="inlineStr">
        <is>
          <t>65939-conclusions-0-1</t>
        </is>
      </c>
      <c r="B397" t="inlineStr"/>
      <c r="C397" t="inlineStr"/>
      <c r="D397">
        <f>HYPERLINK("http://nlpdeep.cs.uic.edu:8080/proofing/gsii/65939-conclusions-0-1.pdf","gsii/65939-conclusions-0-1.pdf")</f>
        <v/>
      </c>
      <c r="E397" t="n">
        <v>108346</v>
      </c>
      <c r="F397" t="n">
        <v>65939</v>
      </c>
      <c r="G397" t="inlineStr">
        <is>
          <t>Echo</t>
        </is>
      </c>
      <c r="H397" t="inlineStr">
        <is>
          <t>conclusions</t>
        </is>
      </c>
      <c r="I397" t="inlineStr">
        <is>
          <t>Left ventricular wall thickness, cavity
size and regional/global systolic function are normal (LVEF &gt;55%).</t>
        </is>
      </c>
    </row>
    <row r="398">
      <c r="A398" t="inlineStr">
        <is>
          <t>65939-conclusions-0-2</t>
        </is>
      </c>
      <c r="B398" t="inlineStr"/>
      <c r="C398" t="inlineStr"/>
      <c r="D398">
        <f>HYPERLINK("http://nlpdeep.cs.uic.edu:8080/proofing/t5/65939-conclusions-0-2.pdf","t5/65939-conclusions-0-2.pdf")</f>
        <v/>
      </c>
      <c r="E398" t="n">
        <v>108346</v>
      </c>
      <c r="F398" t="n">
        <v>65939</v>
      </c>
      <c r="G398" t="inlineStr">
        <is>
          <t>Echo</t>
        </is>
      </c>
      <c r="H398" t="inlineStr">
        <is>
          <t>conclusions</t>
        </is>
      </c>
      <c r="I398" t="inlineStr">
        <is>
          <t>There is no
left ventricular outflow obstruction at rest or with Valsalva.</t>
        </is>
      </c>
    </row>
    <row r="399">
      <c r="A399" t="inlineStr">
        <is>
          <t>65939-conclusions-0-2</t>
        </is>
      </c>
      <c r="B399" t="inlineStr"/>
      <c r="C399" t="inlineStr"/>
      <c r="D399">
        <f>HYPERLINK("http://nlpdeep.cs.uic.edu:8080/proofing/gsii/65939-conclusions-0-2.pdf","gsii/65939-conclusions-0-2.pdf")</f>
        <v/>
      </c>
      <c r="E399" t="n">
        <v>108346</v>
      </c>
      <c r="F399" t="n">
        <v>65939</v>
      </c>
      <c r="G399" t="inlineStr">
        <is>
          <t>Echo</t>
        </is>
      </c>
      <c r="H399" t="inlineStr">
        <is>
          <t>conclusions</t>
        </is>
      </c>
      <c r="I399" t="inlineStr">
        <is>
          <t>There is no
left ventricular outflow obstruction at rest or with Valsalva.</t>
        </is>
      </c>
    </row>
    <row r="400">
      <c r="A400" t="inlineStr">
        <is>
          <t>65939-conclusions-0-3</t>
        </is>
      </c>
      <c r="B400" t="inlineStr"/>
      <c r="C400" t="inlineStr"/>
      <c r="D400">
        <f>HYPERLINK("http://nlpdeep.cs.uic.edu:8080/proofing/t5/65939-conclusions-0-3.pdf","t5/65939-conclusions-0-3.pdf")</f>
        <v/>
      </c>
      <c r="E400" t="n">
        <v>108346</v>
      </c>
      <c r="F400" t="n">
        <v>65939</v>
      </c>
      <c r="G400" t="inlineStr">
        <is>
          <t>Echo</t>
        </is>
      </c>
      <c r="H400" t="inlineStr">
        <is>
          <t>conclusions</t>
        </is>
      </c>
      <c r="I400" t="inlineStr">
        <is>
          <t>There is no
ventricular septal defect.</t>
        </is>
      </c>
    </row>
    <row r="401">
      <c r="A401" t="inlineStr">
        <is>
          <t>65939-conclusions-0-3</t>
        </is>
      </c>
      <c r="B401" t="inlineStr"/>
      <c r="C401" t="inlineStr"/>
      <c r="D401">
        <f>HYPERLINK("http://nlpdeep.cs.uic.edu:8080/proofing/gsii/65939-conclusions-0-3.pdf","gsii/65939-conclusions-0-3.pdf")</f>
        <v/>
      </c>
      <c r="E401" t="n">
        <v>108346</v>
      </c>
      <c r="F401" t="n">
        <v>65939</v>
      </c>
      <c r="G401" t="inlineStr">
        <is>
          <t>Echo</t>
        </is>
      </c>
      <c r="H401" t="inlineStr">
        <is>
          <t>conclusions</t>
        </is>
      </c>
      <c r="I401" t="inlineStr">
        <is>
          <t>There is no
ventricular septal defect.</t>
        </is>
      </c>
    </row>
    <row r="402">
      <c r="A402" t="inlineStr">
        <is>
          <t>65939-conclusions-0-4</t>
        </is>
      </c>
      <c r="B402" t="inlineStr"/>
      <c r="C402" t="inlineStr"/>
      <c r="D402">
        <f>HYPERLINK("http://nlpdeep.cs.uic.edu:8080/proofing/t5/65939-conclusions-0-4.pdf","t5/65939-conclusions-0-4.pdf")</f>
        <v/>
      </c>
      <c r="E402" t="n">
        <v>108346</v>
      </c>
      <c r="F402" t="n">
        <v>65939</v>
      </c>
      <c r="G402" t="inlineStr">
        <is>
          <t>Echo</t>
        </is>
      </c>
      <c r="H402" t="inlineStr">
        <is>
          <t>conclusions</t>
        </is>
      </c>
      <c r="I402" t="inlineStr">
        <is>
          <t>There is abnormal septal motion/position.</t>
        </is>
      </c>
    </row>
    <row r="403">
      <c r="A403" t="inlineStr">
        <is>
          <t>65939-conclusions-0-4</t>
        </is>
      </c>
      <c r="B403" t="inlineStr"/>
      <c r="C403" t="inlineStr"/>
      <c r="D403">
        <f>HYPERLINK("http://nlpdeep.cs.uic.edu:8080/proofing/gsii/65939-conclusions-0-4.pdf","gsii/65939-conclusions-0-4.pdf")</f>
        <v/>
      </c>
      <c r="E403" t="n">
        <v>108346</v>
      </c>
      <c r="F403" t="n">
        <v>65939</v>
      </c>
      <c r="G403" t="inlineStr">
        <is>
          <t>Echo</t>
        </is>
      </c>
      <c r="H403" t="inlineStr">
        <is>
          <t>conclusions</t>
        </is>
      </c>
      <c r="I403" t="inlineStr">
        <is>
          <t>There is abnormal septal motion/position.</t>
        </is>
      </c>
    </row>
    <row r="404">
      <c r="A404" t="inlineStr">
        <is>
          <t>65939-conclusions-0-5</t>
        </is>
      </c>
      <c r="B404" t="inlineStr"/>
      <c r="C404" t="inlineStr"/>
      <c r="D404">
        <f>HYPERLINK("http://nlpdeep.cs.uic.edu:8080/proofing/t5/65939-conclusions-0-5.pdf","t5/65939-conclusions-0-5.pdf")</f>
        <v/>
      </c>
      <c r="E404" t="n">
        <v>108346</v>
      </c>
      <c r="F404" t="n">
        <v>65939</v>
      </c>
      <c r="G404" t="inlineStr">
        <is>
          <t>Echo</t>
        </is>
      </c>
      <c r="H404" t="inlineStr">
        <is>
          <t>conclusions</t>
        </is>
      </c>
      <c r="I404" t="inlineStr">
        <is>
          <t>The
aortic valve leaflets (3) are mildly thickened but aortic stenosis is not
present.</t>
        </is>
      </c>
    </row>
    <row r="405">
      <c r="A405" t="inlineStr">
        <is>
          <t>65939-conclusions-0-5</t>
        </is>
      </c>
      <c r="B405" t="inlineStr"/>
      <c r="C405" t="inlineStr"/>
      <c r="D405">
        <f>HYPERLINK("http://nlpdeep.cs.uic.edu:8080/proofing/gsii/65939-conclusions-0-5.pdf","gsii/65939-conclusions-0-5.pdf")</f>
        <v/>
      </c>
      <c r="E405" t="n">
        <v>108346</v>
      </c>
      <c r="F405" t="n">
        <v>65939</v>
      </c>
      <c r="G405" t="inlineStr">
        <is>
          <t>Echo</t>
        </is>
      </c>
      <c r="H405" t="inlineStr">
        <is>
          <t>conclusions</t>
        </is>
      </c>
      <c r="I405" t="inlineStr">
        <is>
          <t>The
aortic valve leaflets (3) are mildly thickened but aortic stenosis is not
present.</t>
        </is>
      </c>
    </row>
    <row r="406">
      <c r="A406" t="inlineStr">
        <is>
          <t>65939-conclusions-0-6</t>
        </is>
      </c>
      <c r="B406" t="inlineStr"/>
      <c r="C406" t="inlineStr"/>
      <c r="D406">
        <f>HYPERLINK("http://nlpdeep.cs.uic.edu:8080/proofing/t5/65939-conclusions-0-6.pdf","t5/65939-conclusions-0-6.pdf")</f>
        <v/>
      </c>
      <c r="E406" t="n">
        <v>108346</v>
      </c>
      <c r="F406" t="n">
        <v>65939</v>
      </c>
      <c r="G406" t="inlineStr">
        <is>
          <t>Echo</t>
        </is>
      </c>
      <c r="H406" t="inlineStr">
        <is>
          <t>conclusions</t>
        </is>
      </c>
      <c r="I406" t="inlineStr">
        <is>
          <t>No aortic regurgitation is seen.</t>
        </is>
      </c>
    </row>
    <row r="407">
      <c r="A407" t="inlineStr">
        <is>
          <t>65939-conclusions-0-6</t>
        </is>
      </c>
      <c r="B407" t="inlineStr"/>
      <c r="C407" t="inlineStr"/>
      <c r="D407">
        <f>HYPERLINK("http://nlpdeep.cs.uic.edu:8080/proofing/gsii/65939-conclusions-0-6.pdf","gsii/65939-conclusions-0-6.pdf")</f>
        <v/>
      </c>
      <c r="E407" t="n">
        <v>108346</v>
      </c>
      <c r="F407" t="n">
        <v>65939</v>
      </c>
      <c r="G407" t="inlineStr">
        <is>
          <t>Echo</t>
        </is>
      </c>
      <c r="H407" t="inlineStr">
        <is>
          <t>conclusions</t>
        </is>
      </c>
      <c r="I407" t="inlineStr">
        <is>
          <t>No aortic regurgitation is seen.</t>
        </is>
      </c>
    </row>
    <row r="408">
      <c r="A408" t="inlineStr">
        <is>
          <t>65939-conclusions-0-7</t>
        </is>
      </c>
      <c r="B408" t="inlineStr"/>
      <c r="C408" t="inlineStr"/>
      <c r="D408">
        <f>HYPERLINK("http://nlpdeep.cs.uic.edu:8080/proofing/t5/65939-conclusions-0-7.pdf","t5/65939-conclusions-0-7.pdf")</f>
        <v/>
      </c>
      <c r="E408" t="n">
        <v>108346</v>
      </c>
      <c r="F408" t="n">
        <v>65939</v>
      </c>
      <c r="G408" t="inlineStr">
        <is>
          <t>Echo</t>
        </is>
      </c>
      <c r="H408" t="inlineStr">
        <is>
          <t>conclusions</t>
        </is>
      </c>
      <c r="I408" t="inlineStr">
        <is>
          <t>The mitral valve leaflets are mildly
thickened.</t>
        </is>
      </c>
    </row>
    <row r="409">
      <c r="A409" t="inlineStr">
        <is>
          <t>65939-conclusions-0-7</t>
        </is>
      </c>
      <c r="B409" t="inlineStr"/>
      <c r="C409" t="inlineStr"/>
      <c r="D409">
        <f>HYPERLINK("http://nlpdeep.cs.uic.edu:8080/proofing/gsii/65939-conclusions-0-7.pdf","gsii/65939-conclusions-0-7.pdf")</f>
        <v/>
      </c>
      <c r="E409" t="n">
        <v>108346</v>
      </c>
      <c r="F409" t="n">
        <v>65939</v>
      </c>
      <c r="G409" t="inlineStr">
        <is>
          <t>Echo</t>
        </is>
      </c>
      <c r="H409" t="inlineStr">
        <is>
          <t>conclusions</t>
        </is>
      </c>
      <c r="I409" t="inlineStr">
        <is>
          <t>The mitral valve leaflets are mildly
thickened.</t>
        </is>
      </c>
    </row>
    <row r="410">
      <c r="A410" t="inlineStr">
        <is>
          <t>65939-conclusions-0-8</t>
        </is>
      </c>
      <c r="B410" t="inlineStr"/>
      <c r="C410" t="inlineStr"/>
      <c r="D410">
        <f>HYPERLINK("http://nlpdeep.cs.uic.edu:8080/proofing/t5/65939-conclusions-0-8.pdf","t5/65939-conclusions-0-8.pdf")</f>
        <v/>
      </c>
      <c r="E410" t="n">
        <v>108346</v>
      </c>
      <c r="F410" t="n">
        <v>65939</v>
      </c>
      <c r="G410" t="inlineStr">
        <is>
          <t>Echo</t>
        </is>
      </c>
      <c r="H410" t="inlineStr">
        <is>
          <t>conclusions</t>
        </is>
      </c>
      <c r="I410" t="inlineStr">
        <is>
          <t>There is no mitral valve prolapse.</t>
        </is>
      </c>
    </row>
    <row r="411">
      <c r="A411" t="inlineStr">
        <is>
          <t>65939-conclusions-0-8</t>
        </is>
      </c>
      <c r="B411" t="inlineStr"/>
      <c r="C411" t="inlineStr"/>
      <c r="D411">
        <f>HYPERLINK("http://nlpdeep.cs.uic.edu:8080/proofing/gsii/65939-conclusions-0-8.pdf","gsii/65939-conclusions-0-8.pdf")</f>
        <v/>
      </c>
      <c r="E411" t="n">
        <v>108346</v>
      </c>
      <c r="F411" t="n">
        <v>65939</v>
      </c>
      <c r="G411" t="inlineStr">
        <is>
          <t>Echo</t>
        </is>
      </c>
      <c r="H411" t="inlineStr">
        <is>
          <t>conclusions</t>
        </is>
      </c>
      <c r="I411" t="inlineStr">
        <is>
          <t>There is no mitral valve prolapse.</t>
        </is>
      </c>
    </row>
    <row r="412">
      <c r="A412" t="inlineStr">
        <is>
          <t>65939-conclusions-0-9</t>
        </is>
      </c>
      <c r="B412" t="inlineStr"/>
      <c r="C412" t="inlineStr"/>
      <c r="D412">
        <f>HYPERLINK("http://nlpdeep.cs.uic.edu:8080/proofing/t5/65939-conclusions-0-9.pdf","t5/65939-conclusions-0-9.pdf")</f>
        <v/>
      </c>
      <c r="E412" t="n">
        <v>108346</v>
      </c>
      <c r="F412" t="n">
        <v>65939</v>
      </c>
      <c r="G412" t="inlineStr">
        <is>
          <t>Echo</t>
        </is>
      </c>
      <c r="H412" t="inlineStr">
        <is>
          <t>conclusions</t>
        </is>
      </c>
      <c r="I412" t="inlineStr">
        <is>
          <t>Trivial mitral regurgitation is
seen.</t>
        </is>
      </c>
    </row>
    <row r="413">
      <c r="A413" t="inlineStr">
        <is>
          <t>65939-conclusions-0-9</t>
        </is>
      </c>
      <c r="B413" t="inlineStr"/>
      <c r="C413" t="inlineStr"/>
      <c r="D413">
        <f>HYPERLINK("http://nlpdeep.cs.uic.edu:8080/proofing/gsii/65939-conclusions-0-9.pdf","gsii/65939-conclusions-0-9.pdf")</f>
        <v/>
      </c>
      <c r="E413" t="n">
        <v>108346</v>
      </c>
      <c r="F413" t="n">
        <v>65939</v>
      </c>
      <c r="G413" t="inlineStr">
        <is>
          <t>Echo</t>
        </is>
      </c>
      <c r="H413" t="inlineStr">
        <is>
          <t>conclusions</t>
        </is>
      </c>
      <c r="I413" t="inlineStr">
        <is>
          <t>Trivial mitral regurgitation is
seen.</t>
        </is>
      </c>
    </row>
    <row r="414">
      <c r="A414" t="inlineStr">
        <is>
          <t>65939-conclusions-0-10</t>
        </is>
      </c>
      <c r="B414" t="inlineStr"/>
      <c r="C414" t="inlineStr"/>
      <c r="D414">
        <f>HYPERLINK("http://nlpdeep.cs.uic.edu:8080/proofing/t5/65939-conclusions-0-10.pdf","t5/65939-conclusions-0-10.pdf")</f>
        <v/>
      </c>
      <c r="E414" t="n">
        <v>108346</v>
      </c>
      <c r="F414" t="n">
        <v>65939</v>
      </c>
      <c r="G414" t="inlineStr">
        <is>
          <t>Echo</t>
        </is>
      </c>
      <c r="H414" t="inlineStr">
        <is>
          <t>conclusions</t>
        </is>
      </c>
      <c r="I414" t="inlineStr">
        <is>
          <t>The tricuspid valve leaflets are mildly thickened.</t>
        </is>
      </c>
    </row>
    <row r="415">
      <c r="A415" t="inlineStr">
        <is>
          <t>65939-conclusions-0-10</t>
        </is>
      </c>
      <c r="B415" t="inlineStr"/>
      <c r="C415" t="inlineStr"/>
      <c r="D415">
        <f>HYPERLINK("http://nlpdeep.cs.uic.edu:8080/proofing/gsii/65939-conclusions-0-10.pdf","gsii/65939-conclusions-0-10.pdf")</f>
        <v/>
      </c>
      <c r="E415" t="n">
        <v>108346</v>
      </c>
      <c r="F415" t="n">
        <v>65939</v>
      </c>
      <c r="G415" t="inlineStr">
        <is>
          <t>Echo</t>
        </is>
      </c>
      <c r="H415" t="inlineStr">
        <is>
          <t>conclusions</t>
        </is>
      </c>
      <c r="I415" t="inlineStr">
        <is>
          <t>The tricuspid valve leaflets are mildly thickened.</t>
        </is>
      </c>
    </row>
    <row r="416">
      <c r="A416" t="inlineStr">
        <is>
          <t>65939-conclusions-0-11</t>
        </is>
      </c>
      <c r="B416" t="inlineStr"/>
      <c r="C416" t="inlineStr"/>
      <c r="D416">
        <f>HYPERLINK("http://nlpdeep.cs.uic.edu:8080/proofing/t5/65939-conclusions-0-11.pdf","t5/65939-conclusions-0-11.pdf")</f>
        <v/>
      </c>
      <c r="E416" t="n">
        <v>108346</v>
      </c>
      <c r="F416" t="n">
        <v>65939</v>
      </c>
      <c r="G416" t="inlineStr">
        <is>
          <t>Echo</t>
        </is>
      </c>
      <c r="H416" t="inlineStr">
        <is>
          <t>conclusions</t>
        </is>
      </c>
      <c r="I416" t="inlineStr">
        <is>
          <t>There is mild
pulmonary artery systolic hypertension.</t>
        </is>
      </c>
    </row>
    <row r="417">
      <c r="A417" t="inlineStr">
        <is>
          <t>65939-conclusions-0-11</t>
        </is>
      </c>
      <c r="B417" t="inlineStr"/>
      <c r="C417" t="inlineStr"/>
      <c r="D417">
        <f>HYPERLINK("http://nlpdeep.cs.uic.edu:8080/proofing/gsii/65939-conclusions-0-11.pdf","gsii/65939-conclusions-0-11.pdf")</f>
        <v/>
      </c>
      <c r="E417" t="n">
        <v>108346</v>
      </c>
      <c r="F417" t="n">
        <v>65939</v>
      </c>
      <c r="G417" t="inlineStr">
        <is>
          <t>Echo</t>
        </is>
      </c>
      <c r="H417" t="inlineStr">
        <is>
          <t>conclusions</t>
        </is>
      </c>
      <c r="I417" t="inlineStr">
        <is>
          <t>There is mild
pulmonary artery systolic hypertension.</t>
        </is>
      </c>
    </row>
    <row r="418">
      <c r="A418" t="inlineStr">
        <is>
          <t>65939-conclusions-0-12</t>
        </is>
      </c>
      <c r="B418" t="inlineStr"/>
      <c r="C418" t="inlineStr"/>
      <c r="D418">
        <f>HYPERLINK("http://nlpdeep.cs.uic.edu:8080/proofing/t5/65939-conclusions-0-12.pdf","t5/65939-conclusions-0-12.pdf")</f>
        <v/>
      </c>
      <c r="E418" t="n">
        <v>108346</v>
      </c>
      <c r="F418" t="n">
        <v>65939</v>
      </c>
      <c r="G418" t="inlineStr">
        <is>
          <t>Echo</t>
        </is>
      </c>
      <c r="H418" t="inlineStr">
        <is>
          <t>conclusions</t>
        </is>
      </c>
      <c r="I418" t="inlineStr">
        <is>
          <t>There is no pericardial effusion.</t>
        </is>
      </c>
    </row>
    <row r="419">
      <c r="A419" t="inlineStr">
        <is>
          <t>65939-conclusions-0-12</t>
        </is>
      </c>
      <c r="B419" t="inlineStr"/>
      <c r="C419" t="inlineStr"/>
      <c r="D419">
        <f>HYPERLINK("http://nlpdeep.cs.uic.edu:8080/proofing/gsii/65939-conclusions-0-12.pdf","gsii/65939-conclusions-0-12.pdf")</f>
        <v/>
      </c>
      <c r="E419" t="n">
        <v>108346</v>
      </c>
      <c r="F419" t="n">
        <v>65939</v>
      </c>
      <c r="G419" t="inlineStr">
        <is>
          <t>Echo</t>
        </is>
      </c>
      <c r="H419" t="inlineStr">
        <is>
          <t>conclusions</t>
        </is>
      </c>
      <c r="I419" t="inlineStr">
        <is>
          <t>There is no pericardial effusion.</t>
        </is>
      </c>
    </row>
    <row r="420">
      <c r="A420" t="inlineStr">
        <is>
          <t>65939-conclusions-0-13</t>
        </is>
      </c>
      <c r="B420" t="inlineStr"/>
      <c r="C420" t="inlineStr"/>
      <c r="D420">
        <f>HYPERLINK("http://nlpdeep.cs.uic.edu:8080/proofing/t5/65939-conclusions-0-13.pdf","t5/65939-conclusions-0-13.pdf")</f>
        <v/>
      </c>
      <c r="E420" t="n">
        <v>108346</v>
      </c>
      <c r="F420" t="n">
        <v>65939</v>
      </c>
      <c r="G420" t="inlineStr">
        <is>
          <t>Echo</t>
        </is>
      </c>
      <c r="H420" t="inlineStr">
        <is>
          <t>conclusions</t>
        </is>
      </c>
      <c r="I420" t="inlineStr">
        <is>
          <t xml:space="preserve">
There is an anterior space which most likely represents a prominent fat pad.</t>
        </is>
      </c>
    </row>
    <row r="421">
      <c r="A421" t="inlineStr">
        <is>
          <t>65939-conclusions-0-13</t>
        </is>
      </c>
      <c r="B421" t="inlineStr"/>
      <c r="C421" t="inlineStr"/>
      <c r="D421">
        <f>HYPERLINK("http://nlpdeep.cs.uic.edu:8080/proofing/gsii/65939-conclusions-0-13.pdf","gsii/65939-conclusions-0-13.pdf")</f>
        <v/>
      </c>
      <c r="E421" t="n">
        <v>108346</v>
      </c>
      <c r="F421" t="n">
        <v>65939</v>
      </c>
      <c r="G421" t="inlineStr">
        <is>
          <t>Echo</t>
        </is>
      </c>
      <c r="H421" t="inlineStr">
        <is>
          <t>conclusions</t>
        </is>
      </c>
      <c r="I421" t="inlineStr">
        <is>
          <t xml:space="preserve">
There is an anterior space which most likely represents a prominent fat pad.</t>
        </is>
      </c>
    </row>
    <row r="422">
      <c r="A422" t="inlineStr">
        <is>
          <t>65939-impression-0-0</t>
        </is>
      </c>
      <c r="B422" t="inlineStr"/>
      <c r="C422" t="inlineStr"/>
      <c r="D422">
        <f>HYPERLINK("http://nlpdeep.cs.uic.edu:8080/proofing/t5/65939-impression-0-0.pdf","t5/65939-impression-0-0.pdf")</f>
        <v/>
      </c>
      <c r="E422" t="n">
        <v>108346</v>
      </c>
      <c r="F422" t="n">
        <v>65939</v>
      </c>
      <c r="G422" t="inlineStr">
        <is>
          <t>Echo</t>
        </is>
      </c>
      <c r="H422" t="inlineStr">
        <is>
          <t>impression</t>
        </is>
      </c>
      <c r="I422" t="inlineStr">
        <is>
          <t>No structural cardiac cause of syncope identified.</t>
        </is>
      </c>
    </row>
    <row r="423">
      <c r="A423" t="inlineStr">
        <is>
          <t>65939-impression-0-0</t>
        </is>
      </c>
      <c r="B423" t="inlineStr"/>
      <c r="C423" t="inlineStr"/>
      <c r="D423">
        <f>HYPERLINK("http://nlpdeep.cs.uic.edu:8080/proofing/gsii/65939-impression-0-0.pdf","gsii/65939-impression-0-0.pdf")</f>
        <v/>
      </c>
      <c r="E423" t="n">
        <v>108346</v>
      </c>
      <c r="F423" t="n">
        <v>65939</v>
      </c>
      <c r="G423" t="inlineStr">
        <is>
          <t>Echo</t>
        </is>
      </c>
      <c r="H423" t="inlineStr">
        <is>
          <t>impression</t>
        </is>
      </c>
      <c r="I423" t="inlineStr">
        <is>
          <t>No structural cardiac cause of syncope identified.</t>
        </is>
      </c>
    </row>
    <row r="424">
      <c r="A424" t="inlineStr">
        <is>
          <t>65939-impression-0-1</t>
        </is>
      </c>
      <c r="B424" t="inlineStr"/>
      <c r="C424" t="inlineStr"/>
      <c r="D424">
        <f>HYPERLINK("http://nlpdeep.cs.uic.edu:8080/proofing/t5/65939-impression-0-1.pdf","t5/65939-impression-0-1.pdf")</f>
        <v/>
      </c>
      <c r="E424" t="n">
        <v>108346</v>
      </c>
      <c r="F424" t="n">
        <v>65939</v>
      </c>
      <c r="G424" t="inlineStr">
        <is>
          <t>Echo</t>
        </is>
      </c>
      <c r="H424" t="inlineStr">
        <is>
          <t>impression</t>
        </is>
      </c>
      <c r="I424" t="inlineStr">
        <is>
          <t>Preserved
global and regional biventricular systolic function.</t>
        </is>
      </c>
    </row>
    <row r="425">
      <c r="A425" t="inlineStr">
        <is>
          <t>65939-impression-0-1</t>
        </is>
      </c>
      <c r="B425" t="inlineStr"/>
      <c r="C425" t="inlineStr"/>
      <c r="D425">
        <f>HYPERLINK("http://nlpdeep.cs.uic.edu:8080/proofing/gsii/65939-impression-0-1.pdf","gsii/65939-impression-0-1.pdf")</f>
        <v/>
      </c>
      <c r="E425" t="n">
        <v>108346</v>
      </c>
      <c r="F425" t="n">
        <v>65939</v>
      </c>
      <c r="G425" t="inlineStr">
        <is>
          <t>Echo</t>
        </is>
      </c>
      <c r="H425" t="inlineStr">
        <is>
          <t>impression</t>
        </is>
      </c>
      <c r="I425" t="inlineStr">
        <is>
          <t>Preserved
global and regional biventricular systolic function.</t>
        </is>
      </c>
    </row>
    <row r="426">
      <c r="A426" t="inlineStr">
        <is>
          <t>65939-impression-0-2</t>
        </is>
      </c>
      <c r="B426" t="inlineStr"/>
      <c r="C426" t="inlineStr"/>
      <c r="D426">
        <f>HYPERLINK("http://nlpdeep.cs.uic.edu:8080/proofing/t5/65939-impression-0-2.pdf","t5/65939-impression-0-2.pdf")</f>
        <v/>
      </c>
      <c r="E426" t="n">
        <v>108346</v>
      </c>
      <c r="F426" t="n">
        <v>65939</v>
      </c>
      <c r="G426" t="inlineStr">
        <is>
          <t>Echo</t>
        </is>
      </c>
      <c r="H426" t="inlineStr">
        <is>
          <t>impression</t>
        </is>
      </c>
      <c r="I426" t="inlineStr">
        <is>
          <t>No structural valvular
abnormality.</t>
        </is>
      </c>
    </row>
    <row r="427">
      <c r="A427" t="inlineStr">
        <is>
          <t>65939-impression-0-2</t>
        </is>
      </c>
      <c r="B427" t="inlineStr"/>
      <c r="C427" t="inlineStr"/>
      <c r="D427">
        <f>HYPERLINK("http://nlpdeep.cs.uic.edu:8080/proofing/gsii/65939-impression-0-2.pdf","gsii/65939-impression-0-2.pdf")</f>
        <v/>
      </c>
      <c r="E427" t="n">
        <v>108346</v>
      </c>
      <c r="F427" t="n">
        <v>65939</v>
      </c>
      <c r="G427" t="inlineStr">
        <is>
          <t>Echo</t>
        </is>
      </c>
      <c r="H427" t="inlineStr">
        <is>
          <t>impression</t>
        </is>
      </c>
      <c r="I427" t="inlineStr">
        <is>
          <t>No structural valvular
abnormality.</t>
        </is>
      </c>
    </row>
    <row r="428">
      <c r="A428" t="inlineStr">
        <is>
          <t>6558-allergies-0-0</t>
        </is>
      </c>
      <c r="B428" t="inlineStr"/>
      <c r="C428" t="inlineStr"/>
      <c r="D428">
        <f>HYPERLINK("http://nlpdeep.cs.uic.edu:8080/proofing/t5/6558-allergies-0-0.pdf","t5/6558-allergies-0-0.pdf")</f>
        <v/>
      </c>
      <c r="E428" t="n">
        <v>108346</v>
      </c>
      <c r="F428" t="n">
        <v>6558</v>
      </c>
      <c r="G428" t="inlineStr">
        <is>
          <t>Discharge summary</t>
        </is>
      </c>
      <c r="H428" t="inlineStr">
        <is>
          <t>allergies</t>
        </is>
      </c>
      <c r="I428" t="inlineStr">
        <is>
          <t>Sulfa (Sulfonamide Antibiotics) / Lisinopril / Atenolol / C</t>
        </is>
      </c>
    </row>
    <row r="429">
      <c r="A429" t="inlineStr">
        <is>
          <t>6558-allergies-0-0</t>
        </is>
      </c>
      <c r="B429" t="inlineStr"/>
      <c r="C429" t="inlineStr"/>
      <c r="D429">
        <f>HYPERLINK("http://nlpdeep.cs.uic.edu:8080/proofing/gsii/6558-allergies-0-0.pdf","gsii/6558-allergies-0-0.pdf")</f>
        <v/>
      </c>
      <c r="E429" t="n">
        <v>108346</v>
      </c>
      <c r="F429" t="n">
        <v>6558</v>
      </c>
      <c r="G429" t="inlineStr">
        <is>
          <t>Discharge summary</t>
        </is>
      </c>
      <c r="H429" t="inlineStr">
        <is>
          <t>allergies</t>
        </is>
      </c>
      <c r="I429" t="inlineStr">
        <is>
          <t>Sulfa (Sulfonamide Antibiotics) / Lisinopril / Atenolol / C</t>
        </is>
      </c>
    </row>
    <row r="430">
      <c r="A430" t="inlineStr">
        <is>
          <t>6558-chief-complaint-0-0</t>
        </is>
      </c>
      <c r="B430" t="inlineStr"/>
      <c r="C430" t="inlineStr"/>
      <c r="D430">
        <f>HYPERLINK("http://nlpdeep.cs.uic.edu:8080/proofing/t5/6558-chief-complaint-0-0.pdf","t5/6558-chief-complaint-0-0.pdf")</f>
        <v/>
      </c>
      <c r="E430" t="n">
        <v>108346</v>
      </c>
      <c r="F430" t="n">
        <v>6558</v>
      </c>
      <c r="G430" t="inlineStr">
        <is>
          <t>Discharge summary</t>
        </is>
      </c>
      <c r="H430" t="inlineStr">
        <is>
          <t>chief-complaint</t>
        </is>
      </c>
      <c r="I430" t="inlineStr">
        <is>
          <t>low back pain, bilateral leg p</t>
        </is>
      </c>
    </row>
    <row r="431">
      <c r="A431" t="inlineStr">
        <is>
          <t>6558-chief-complaint-0-0</t>
        </is>
      </c>
      <c r="B431" t="inlineStr"/>
      <c r="C431" t="inlineStr"/>
      <c r="D431">
        <f>HYPERLINK("http://nlpdeep.cs.uic.edu:8080/proofing/gsii/6558-chief-complaint-0-0.pdf","gsii/6558-chief-complaint-0-0.pdf")</f>
        <v/>
      </c>
      <c r="E431" t="n">
        <v>108346</v>
      </c>
      <c r="F431" t="n">
        <v>6558</v>
      </c>
      <c r="G431" t="inlineStr">
        <is>
          <t>Discharge summary</t>
        </is>
      </c>
      <c r="H431" t="inlineStr">
        <is>
          <t>chief-complaint</t>
        </is>
      </c>
      <c r="I431" t="inlineStr">
        <is>
          <t>low back pain, bilateral leg p</t>
        </is>
      </c>
    </row>
    <row r="432">
      <c r="A432" t="inlineStr">
        <is>
          <t>6558-major-surgical-or-invasive-procedure-0-0</t>
        </is>
      </c>
      <c r="B432" t="inlineStr"/>
      <c r="C432" t="inlineStr"/>
      <c r="D432">
        <f>HYPERLINK("http://nlpdeep.cs.uic.edu:8080/proofing/t5/6558-major-surgical-or-invasive-procedure-0-0.pdf","t5/6558-major-surgical-or-invasive-procedure-0-0.pdf")</f>
        <v/>
      </c>
      <c r="E432" t="n">
        <v>108346</v>
      </c>
      <c r="F432" t="n">
        <v>6558</v>
      </c>
      <c r="G432" t="inlineStr">
        <is>
          <t>Discharge summary</t>
        </is>
      </c>
      <c r="H432" t="inlineStr">
        <is>
          <t>major-surgical-or-invasive-procedure</t>
        </is>
      </c>
      <c r="I432" t="inlineStr">
        <is>
          <t>[**2172-1-24**] ALIF L3-4 and L4-5, revision posterior decompression
and fusion L2-5; repair of incidental d</t>
        </is>
      </c>
    </row>
    <row r="433">
      <c r="A433" t="inlineStr">
        <is>
          <t>6558-major-surgical-or-invasive-procedure-0-0</t>
        </is>
      </c>
      <c r="B433" t="inlineStr"/>
      <c r="C433" t="inlineStr"/>
      <c r="D433">
        <f>HYPERLINK("http://nlpdeep.cs.uic.edu:8080/proofing/gsii/6558-major-surgical-or-invasive-procedure-0-0.pdf","gsii/6558-major-surgical-or-invasive-procedure-0-0.pdf")</f>
        <v/>
      </c>
      <c r="E433" t="n">
        <v>108346</v>
      </c>
      <c r="F433" t="n">
        <v>6558</v>
      </c>
      <c r="G433" t="inlineStr">
        <is>
          <t>Discharge summary</t>
        </is>
      </c>
      <c r="H433" t="inlineStr">
        <is>
          <t>major-surgical-or-invasive-procedure</t>
        </is>
      </c>
      <c r="I433" t="inlineStr">
        <is>
          <t>[**2172-1-24**] ALIF L3-4 and L4-5, revision posterior decompression
and fusion L2-5; repair of incidental d</t>
        </is>
      </c>
    </row>
    <row r="434">
      <c r="A434" t="inlineStr">
        <is>
          <t>6558-history-of-present-illness-0-0</t>
        </is>
      </c>
      <c r="B434" t="inlineStr"/>
      <c r="C434" t="inlineStr"/>
      <c r="D434">
        <f>HYPERLINK("http://nlpdeep.cs.uic.edu:8080/proofing/t5/6558-history-of-present-illness-0-0.pdf","t5/6558-history-of-present-illness-0-0.pdf")</f>
        <v/>
      </c>
      <c r="E434" t="n">
        <v>108346</v>
      </c>
      <c r="F434" t="n">
        <v>6558</v>
      </c>
      <c r="G434" t="inlineStr">
        <is>
          <t>Discharge summary</t>
        </is>
      </c>
      <c r="H434" t="inlineStr">
        <is>
          <t>history-of-present-illness</t>
        </is>
      </c>
      <c r="I434" t="inlineStr">
        <is>
          <t>She has had a significant decrease in her function.</t>
        </is>
      </c>
    </row>
    <row r="435">
      <c r="A435" t="inlineStr">
        <is>
          <t>6558-history-of-present-illness-0-0</t>
        </is>
      </c>
      <c r="B435" t="inlineStr"/>
      <c r="C435" t="inlineStr"/>
      <c r="D435">
        <f>HYPERLINK("http://nlpdeep.cs.uic.edu:8080/proofing/gsii/6558-history-of-present-illness-0-0.pdf","gsii/6558-history-of-present-illness-0-0.pdf")</f>
        <v/>
      </c>
      <c r="E435" t="n">
        <v>108346</v>
      </c>
      <c r="F435" t="n">
        <v>6558</v>
      </c>
      <c r="G435" t="inlineStr">
        <is>
          <t>Discharge summary</t>
        </is>
      </c>
      <c r="H435" t="inlineStr">
        <is>
          <t>history-of-present-illness</t>
        </is>
      </c>
      <c r="I435" t="inlineStr">
        <is>
          <t>She has had a significant decrease in her function.</t>
        </is>
      </c>
    </row>
    <row r="436">
      <c r="A436" t="inlineStr">
        <is>
          <t>6558-history-of-present-illness-0-1</t>
        </is>
      </c>
      <c r="B436" t="inlineStr"/>
      <c r="C436" t="inlineStr"/>
      <c r="D436">
        <f>HYPERLINK("http://nlpdeep.cs.uic.edu:8080/proofing/t5/6558-history-of-present-illness-0-1.pdf","t5/6558-history-of-present-illness-0-1.pdf")</f>
        <v/>
      </c>
      <c r="E436" t="n">
        <v>108346</v>
      </c>
      <c r="F436" t="n">
        <v>6558</v>
      </c>
      <c r="G436" t="inlineStr">
        <is>
          <t>Discharge summary</t>
        </is>
      </c>
      <c r="H436" t="inlineStr">
        <is>
          <t>history-of-present-illness</t>
        </is>
      </c>
      <c r="I436" t="inlineStr">
        <is>
          <t xml:space="preserve"> I last saw
her
for primarily gluteal pain that was back in [**2170**] as well as
right
hip pain.</t>
        </is>
      </c>
    </row>
    <row r="437">
      <c r="A437" t="inlineStr">
        <is>
          <t>6558-history-of-present-illness-0-1</t>
        </is>
      </c>
      <c r="B437" t="inlineStr"/>
      <c r="C437" t="inlineStr"/>
      <c r="D437">
        <f>HYPERLINK("http://nlpdeep.cs.uic.edu:8080/proofing/gsii/6558-history-of-present-illness-0-1.pdf","gsii/6558-history-of-present-illness-0-1.pdf")</f>
        <v/>
      </c>
      <c r="E437" t="n">
        <v>108346</v>
      </c>
      <c r="F437" t="n">
        <v>6558</v>
      </c>
      <c r="G437" t="inlineStr">
        <is>
          <t>Discharge summary</t>
        </is>
      </c>
      <c r="H437" t="inlineStr">
        <is>
          <t>history-of-present-illness</t>
        </is>
      </c>
      <c r="I437" t="inlineStr">
        <is>
          <t xml:space="preserve"> I last saw
her
for primarily gluteal pain that was back in [**2170**] as well as
right
hip pain.</t>
        </is>
      </c>
    </row>
    <row r="438">
      <c r="A438" t="inlineStr">
        <is>
          <t>6558-history-of-present-illness-0-2</t>
        </is>
      </c>
      <c r="B438" t="inlineStr"/>
      <c r="C438" t="inlineStr"/>
      <c r="D438">
        <f>HYPERLINK("http://nlpdeep.cs.uic.edu:8080/proofing/t5/6558-history-of-present-illness-0-2.pdf","t5/6558-history-of-present-illness-0-2.pdf")</f>
        <v/>
      </c>
      <c r="E438" t="n">
        <v>108346</v>
      </c>
      <c r="F438" t="n">
        <v>6558</v>
      </c>
      <c r="G438" t="inlineStr">
        <is>
          <t>Discharge summary</t>
        </is>
      </c>
      <c r="H438" t="inlineStr">
        <is>
          <t>history-of-present-illness</t>
        </is>
      </c>
      <c r="I438" t="inlineStr">
        <is>
          <t xml:space="preserve"> This primarily resolved.</t>
        </is>
      </c>
    </row>
    <row r="439">
      <c r="A439" t="inlineStr">
        <is>
          <t>6558-history-of-present-illness-0-2</t>
        </is>
      </c>
      <c r="B439" t="inlineStr"/>
      <c r="C439" t="inlineStr"/>
      <c r="D439">
        <f>HYPERLINK("http://nlpdeep.cs.uic.edu:8080/proofing/gsii/6558-history-of-present-illness-0-2.pdf","gsii/6558-history-of-present-illness-0-2.pdf")</f>
        <v/>
      </c>
      <c r="E439" t="n">
        <v>108346</v>
      </c>
      <c r="F439" t="n">
        <v>6558</v>
      </c>
      <c r="G439" t="inlineStr">
        <is>
          <t>Discharge summary</t>
        </is>
      </c>
      <c r="H439" t="inlineStr">
        <is>
          <t>history-of-present-illness</t>
        </is>
      </c>
      <c r="I439" t="inlineStr">
        <is>
          <t xml:space="preserve"> This primarily resolved.</t>
        </is>
      </c>
    </row>
    <row r="440">
      <c r="A440" t="inlineStr">
        <is>
          <t>6558-history-of-present-illness-0-3</t>
        </is>
      </c>
      <c r="B440" t="inlineStr"/>
      <c r="C440" t="inlineStr"/>
      <c r="D440">
        <f>HYPERLINK("http://nlpdeep.cs.uic.edu:8080/proofing/t5/6558-history-of-present-illness-0-3.pdf","t5/6558-history-of-present-illness-0-3.pdf")</f>
        <v/>
      </c>
      <c r="E440" t="n">
        <v>108346</v>
      </c>
      <c r="F440" t="n">
        <v>6558</v>
      </c>
      <c r="G440" t="inlineStr">
        <is>
          <t>Discharge summary</t>
        </is>
      </c>
      <c r="H440" t="inlineStr">
        <is>
          <t>history-of-present-illness</t>
        </is>
      </c>
      <c r="I440" t="inlineStr">
        <is>
          <t xml:space="preserve"> Her current symptoms are
left leg pain that goes down in an L5 distribution mostly in
line.</t>
        </is>
      </c>
    </row>
    <row r="441">
      <c r="A441" t="inlineStr">
        <is>
          <t>6558-history-of-present-illness-0-3</t>
        </is>
      </c>
      <c r="B441" t="inlineStr"/>
      <c r="C441" t="inlineStr"/>
      <c r="D441">
        <f>HYPERLINK("http://nlpdeep.cs.uic.edu:8080/proofing/gsii/6558-history-of-present-illness-0-3.pdf","gsii/6558-history-of-present-illness-0-3.pdf")</f>
        <v/>
      </c>
      <c r="E441" t="n">
        <v>108346</v>
      </c>
      <c r="F441" t="n">
        <v>6558</v>
      </c>
      <c r="G441" t="inlineStr">
        <is>
          <t>Discharge summary</t>
        </is>
      </c>
      <c r="H441" t="inlineStr">
        <is>
          <t>history-of-present-illness</t>
        </is>
      </c>
      <c r="I441" t="inlineStr">
        <is>
          <t xml:space="preserve"> Her current symptoms are
left leg pain that goes down in an L5 distribution mostly in
line.</t>
        </is>
      </c>
    </row>
    <row r="442">
      <c r="A442" t="inlineStr">
        <is>
          <t>6558-history-of-present-illness-0-4</t>
        </is>
      </c>
      <c r="B442" t="inlineStr"/>
      <c r="C442" t="inlineStr"/>
      <c r="D442">
        <f>HYPERLINK("http://nlpdeep.cs.uic.edu:8080/proofing/t5/6558-history-of-present-illness-0-4.pdf","t5/6558-history-of-present-illness-0-4.pdf")</f>
        <v/>
      </c>
      <c r="E442" t="n">
        <v>108346</v>
      </c>
      <c r="F442" t="n">
        <v>6558</v>
      </c>
      <c r="G442" t="inlineStr">
        <is>
          <t>Discharge summary</t>
        </is>
      </c>
      <c r="H442" t="inlineStr">
        <is>
          <t>history-of-present-illness</t>
        </is>
      </c>
      <c r="I442" t="inlineStr">
        <is>
          <t xml:space="preserve"> Her right leg has primarily L3-L4 distribution and worse
with walking.</t>
        </is>
      </c>
    </row>
    <row r="443">
      <c r="A443" t="inlineStr">
        <is>
          <t>6558-history-of-present-illness-0-4</t>
        </is>
      </c>
      <c r="B443" t="inlineStr"/>
      <c r="C443" t="inlineStr"/>
      <c r="D443">
        <f>HYPERLINK("http://nlpdeep.cs.uic.edu:8080/proofing/gsii/6558-history-of-present-illness-0-4.pdf","gsii/6558-history-of-present-illness-0-4.pdf")</f>
        <v/>
      </c>
      <c r="E443" t="n">
        <v>108346</v>
      </c>
      <c r="F443" t="n">
        <v>6558</v>
      </c>
      <c r="G443" t="inlineStr">
        <is>
          <t>Discharge summary</t>
        </is>
      </c>
      <c r="H443" t="inlineStr">
        <is>
          <t>history-of-present-illness</t>
        </is>
      </c>
      <c r="I443" t="inlineStr">
        <is>
          <t xml:space="preserve"> Her right leg has primarily L3-L4 distribution and worse
with walking.</t>
        </is>
      </c>
    </row>
    <row r="444">
      <c r="A444" t="inlineStr">
        <is>
          <t>6558-history-of-present-illness-0-5</t>
        </is>
      </c>
      <c r="B444" t="inlineStr"/>
      <c r="C444" t="inlineStr"/>
      <c r="D444">
        <f>HYPERLINK("http://nlpdeep.cs.uic.edu:8080/proofing/t5/6558-history-of-present-illness-0-5.pdf","t5/6558-history-of-present-illness-0-5.pdf")</f>
        <v/>
      </c>
      <c r="E444" t="n">
        <v>108346</v>
      </c>
      <c r="F444" t="n">
        <v>6558</v>
      </c>
      <c r="G444" t="inlineStr">
        <is>
          <t>Discharge summary</t>
        </is>
      </c>
      <c r="H444" t="inlineStr">
        <is>
          <t>history-of-present-illness</t>
        </is>
      </c>
      <c r="I444" t="inlineStr">
        <is>
          <t xml:space="preserve"> She has had physical therapy done on her back,
but
now only does stretching.</t>
        </is>
      </c>
    </row>
    <row r="445">
      <c r="A445" t="inlineStr">
        <is>
          <t>6558-history-of-present-illness-0-5</t>
        </is>
      </c>
      <c r="B445" t="inlineStr"/>
      <c r="C445" t="inlineStr"/>
      <c r="D445">
        <f>HYPERLINK("http://nlpdeep.cs.uic.edu:8080/proofing/gsii/6558-history-of-present-illness-0-5.pdf","gsii/6558-history-of-present-illness-0-5.pdf")</f>
        <v/>
      </c>
      <c r="E445" t="n">
        <v>108346</v>
      </c>
      <c r="F445" t="n">
        <v>6558</v>
      </c>
      <c r="G445" t="inlineStr">
        <is>
          <t>Discharge summary</t>
        </is>
      </c>
      <c r="H445" t="inlineStr">
        <is>
          <t>history-of-present-illness</t>
        </is>
      </c>
      <c r="I445" t="inlineStr">
        <is>
          <t xml:space="preserve"> She has had physical therapy done on her back,
but
now only does stretching.</t>
        </is>
      </c>
    </row>
    <row r="446">
      <c r="A446" t="inlineStr">
        <is>
          <t>6558-history-of-present-illness-0-6</t>
        </is>
      </c>
      <c r="B446" t="inlineStr"/>
      <c r="C446" t="inlineStr"/>
      <c r="D446">
        <f>HYPERLINK("http://nlpdeep.cs.uic.edu:8080/proofing/t5/6558-history-of-present-illness-0-6.pdf","t5/6558-history-of-present-illness-0-6.pdf")</f>
        <v/>
      </c>
      <c r="E446" t="n">
        <v>108346</v>
      </c>
      <c r="F446" t="n">
        <v>6558</v>
      </c>
      <c r="G446" t="inlineStr">
        <is>
          <t>Discharge summary</t>
        </is>
      </c>
      <c r="H446" t="inlineStr">
        <is>
          <t>history-of-present-illness</t>
        </is>
      </c>
      <c r="I446" t="inlineStr">
        <is>
          <t xml:space="preserve"> She was evaluated by Dr.</t>
        </is>
      </c>
    </row>
    <row r="447">
      <c r="A447" t="inlineStr">
        <is>
          <t>6558-history-of-present-illness-0-6</t>
        </is>
      </c>
      <c r="B447" t="inlineStr"/>
      <c r="C447" t="inlineStr"/>
      <c r="D447">
        <f>HYPERLINK("http://nlpdeep.cs.uic.edu:8080/proofing/gsii/6558-history-of-present-illness-0-6.pdf","gsii/6558-history-of-present-illness-0-6.pdf")</f>
        <v/>
      </c>
      <c r="E447" t="n">
        <v>108346</v>
      </c>
      <c r="F447" t="n">
        <v>6558</v>
      </c>
      <c r="G447" t="inlineStr">
        <is>
          <t>Discharge summary</t>
        </is>
      </c>
      <c r="H447" t="inlineStr">
        <is>
          <t>history-of-present-illness</t>
        </is>
      </c>
      <c r="I447" t="inlineStr">
        <is>
          <t xml:space="preserve"> She was evaluated by Dr.</t>
        </is>
      </c>
    </row>
    <row r="448">
      <c r="A448" t="inlineStr">
        <is>
          <t>6558-history-of-present-illness-0-7</t>
        </is>
      </c>
      <c r="B448" t="inlineStr"/>
      <c r="C448" t="inlineStr"/>
      <c r="D448">
        <f>HYPERLINK("http://nlpdeep.cs.uic.edu:8080/proofing/t5/6558-history-of-present-illness-0-7.pdf","t5/6558-history-of-present-illness-0-7.pdf")</f>
        <v/>
      </c>
      <c r="E448" t="n">
        <v>108346</v>
      </c>
      <c r="F448" t="n">
        <v>6558</v>
      </c>
      <c r="G448" t="inlineStr">
        <is>
          <t>Discharge summary</t>
        </is>
      </c>
      <c r="H448" t="inlineStr">
        <is>
          <t>history-of-present-illness</t>
        </is>
      </c>
      <c r="I448" t="inlineStr">
        <is>
          <t>[**Last Name (STitle) 25111**]
on
[**2170-7-30**], for injections.</t>
        </is>
      </c>
    </row>
    <row r="449">
      <c r="A449" t="inlineStr">
        <is>
          <t>6558-history-of-present-illness-0-7</t>
        </is>
      </c>
      <c r="B449" t="inlineStr"/>
      <c r="C449" t="inlineStr"/>
      <c r="D449">
        <f>HYPERLINK("http://nlpdeep.cs.uic.edu:8080/proofing/gsii/6558-history-of-present-illness-0-7.pdf","gsii/6558-history-of-present-illness-0-7.pdf")</f>
        <v/>
      </c>
      <c r="E449" t="n">
        <v>108346</v>
      </c>
      <c r="F449" t="n">
        <v>6558</v>
      </c>
      <c r="G449" t="inlineStr">
        <is>
          <t>Discharge summary</t>
        </is>
      </c>
      <c r="H449" t="inlineStr">
        <is>
          <t>history-of-present-illness</t>
        </is>
      </c>
      <c r="I449" t="inlineStr">
        <is>
          <t>[**Last Name (STitle) 25111**]
on
[**2170-7-30**], for injections.</t>
        </is>
      </c>
    </row>
    <row r="450">
      <c r="A450" t="inlineStr">
        <is>
          <t>6558-history-of-present-illness-0-8</t>
        </is>
      </c>
      <c r="B450" t="inlineStr"/>
      <c r="C450" t="inlineStr"/>
      <c r="D450">
        <f>HYPERLINK("http://nlpdeep.cs.uic.edu:8080/proofing/t5/6558-history-of-present-illness-0-8.pdf","t5/6558-history-of-present-illness-0-8.pdf")</f>
        <v/>
      </c>
      <c r="E450" t="n">
        <v>108346</v>
      </c>
      <c r="F450" t="n">
        <v>6558</v>
      </c>
      <c r="G450" t="inlineStr">
        <is>
          <t>Discharge summary</t>
        </is>
      </c>
      <c r="H450" t="inlineStr">
        <is>
          <t>history-of-present-illness</t>
        </is>
      </c>
      <c r="I450" t="inlineStr">
        <is>
          <t xml:space="preserve"> She is using a cane.</t>
        </is>
      </c>
    </row>
    <row r="451">
      <c r="A451" t="inlineStr">
        <is>
          <t>6558-history-of-present-illness-0-8</t>
        </is>
      </c>
      <c r="B451" t="inlineStr"/>
      <c r="C451" t="inlineStr"/>
      <c r="D451">
        <f>HYPERLINK("http://nlpdeep.cs.uic.edu:8080/proofing/gsii/6558-history-of-present-illness-0-8.pdf","gsii/6558-history-of-present-illness-0-8.pdf")</f>
        <v/>
      </c>
      <c r="E451" t="n">
        <v>108346</v>
      </c>
      <c r="F451" t="n">
        <v>6558</v>
      </c>
      <c r="G451" t="inlineStr">
        <is>
          <t>Discharge summary</t>
        </is>
      </c>
      <c r="H451" t="inlineStr">
        <is>
          <t>history-of-present-illness</t>
        </is>
      </c>
      <c r="I451" t="inlineStr">
        <is>
          <t xml:space="preserve"> She is using a cane.</t>
        </is>
      </c>
    </row>
    <row r="452">
      <c r="A452" t="inlineStr">
        <is>
          <t>6558-history-of-present-illness-0-9</t>
        </is>
      </c>
      <c r="B452" t="inlineStr"/>
      <c r="C452" t="inlineStr"/>
      <c r="D452">
        <f>HYPERLINK("http://nlpdeep.cs.uic.edu:8080/proofing/t5/6558-history-of-present-illness-0-9.pdf","t5/6558-history-of-present-illness-0-9.pdf")</f>
        <v/>
      </c>
      <c r="E452" t="n">
        <v>108346</v>
      </c>
      <c r="F452" t="n">
        <v>6558</v>
      </c>
      <c r="G452" t="inlineStr">
        <is>
          <t>Discharge summary</t>
        </is>
      </c>
      <c r="H452" t="inlineStr">
        <is>
          <t>history-of-present-illness</t>
        </is>
      </c>
      <c r="I452" t="inlineStr">
        <is>
          <t xml:space="preserve"> She has
trouble getting up on a stepstool and has trouble going up and
down stairs secondary to weakness.</t>
        </is>
      </c>
    </row>
    <row r="453">
      <c r="A453" t="inlineStr">
        <is>
          <t>6558-history-of-present-illness-0-9</t>
        </is>
      </c>
      <c r="B453" t="inlineStr"/>
      <c r="C453" t="inlineStr"/>
      <c r="D453">
        <f>HYPERLINK("http://nlpdeep.cs.uic.edu:8080/proofing/gsii/6558-history-of-present-illness-0-9.pdf","gsii/6558-history-of-present-illness-0-9.pdf")</f>
        <v/>
      </c>
      <c r="E453" t="n">
        <v>108346</v>
      </c>
      <c r="F453" t="n">
        <v>6558</v>
      </c>
      <c r="G453" t="inlineStr">
        <is>
          <t>Discharge summary</t>
        </is>
      </c>
      <c r="H453" t="inlineStr">
        <is>
          <t>history-of-present-illness</t>
        </is>
      </c>
      <c r="I453" t="inlineStr">
        <is>
          <t xml:space="preserve"> She has
trouble getting up on a stepstool and has trouble going up and
down stairs secondary to weakness.</t>
        </is>
      </c>
    </row>
    <row r="454">
      <c r="A454" t="inlineStr">
        <is>
          <t>6558-history-of-present-illness-0-10</t>
        </is>
      </c>
      <c r="B454" t="inlineStr"/>
      <c r="C454" t="inlineStr"/>
      <c r="D454">
        <f>HYPERLINK("http://nlpdeep.cs.uic.edu:8080/proofing/t5/6558-history-of-present-illness-0-10.pdf","t5/6558-history-of-present-illness-0-10.pdf")</f>
        <v/>
      </c>
      <c r="E454" t="n">
        <v>108346</v>
      </c>
      <c r="F454" t="n">
        <v>6558</v>
      </c>
      <c r="G454" t="inlineStr">
        <is>
          <t>Discharge summary</t>
        </is>
      </c>
      <c r="H454" t="inlineStr">
        <is>
          <t>history-of-present-illness</t>
        </is>
      </c>
      <c r="I454" t="inlineStr">
        <is>
          <t xml:space="preserve"> She walks in a forward
flexed
posture.</t>
        </is>
      </c>
    </row>
    <row r="455">
      <c r="A455" t="inlineStr">
        <is>
          <t>6558-history-of-present-illness-0-10</t>
        </is>
      </c>
      <c r="B455" t="inlineStr"/>
      <c r="C455" t="inlineStr"/>
      <c r="D455">
        <f>HYPERLINK("http://nlpdeep.cs.uic.edu:8080/proofing/gsii/6558-history-of-present-illness-0-10.pdf","gsii/6558-history-of-present-illness-0-10.pdf")</f>
        <v/>
      </c>
      <c r="E455" t="n">
        <v>108346</v>
      </c>
      <c r="F455" t="n">
        <v>6558</v>
      </c>
      <c r="G455" t="inlineStr">
        <is>
          <t>Discharge summary</t>
        </is>
      </c>
      <c r="H455" t="inlineStr">
        <is>
          <t>history-of-present-illness</t>
        </is>
      </c>
      <c r="I455" t="inlineStr">
        <is>
          <t xml:space="preserve"> She walks in a forward
flexed
posture.</t>
        </is>
      </c>
    </row>
    <row r="456">
      <c r="A456" t="inlineStr">
        <is>
          <t>6558-past-medical-history-0-0</t>
        </is>
      </c>
      <c r="B456" t="inlineStr"/>
      <c r="C456" t="inlineStr"/>
      <c r="D456">
        <f>HYPERLINK("http://nlpdeep.cs.uic.edu:8080/proofing/t5/6558-past-medical-history-0-0.pdf","t5/6558-past-medical-history-0-0.pdf")</f>
        <v/>
      </c>
      <c r="E456" t="n">
        <v>108346</v>
      </c>
      <c r="F456" t="n">
        <v>6558</v>
      </c>
      <c r="G456" t="inlineStr">
        <is>
          <t>Discharge summary</t>
        </is>
      </c>
      <c r="H456" t="inlineStr">
        <is>
          <t>past-medical-history</t>
        </is>
      </c>
      <c r="I456" t="inlineStr">
        <is>
          <t>Hypertension, Hyperlipidemia, H</t>
        </is>
      </c>
    </row>
    <row r="457">
      <c r="A457" t="inlineStr">
        <is>
          <t>6558-past-medical-history-0-0</t>
        </is>
      </c>
      <c r="B457" t="inlineStr"/>
      <c r="C457" t="inlineStr"/>
      <c r="D457">
        <f>HYPERLINK("http://nlpdeep.cs.uic.edu:8080/proofing/gsii/6558-past-medical-history-0-0.pdf","gsii/6558-past-medical-history-0-0.pdf")</f>
        <v/>
      </c>
      <c r="E457" t="n">
        <v>108346</v>
      </c>
      <c r="F457" t="n">
        <v>6558</v>
      </c>
      <c r="G457" t="inlineStr">
        <is>
          <t>Discharge summary</t>
        </is>
      </c>
      <c r="H457" t="inlineStr">
        <is>
          <t>past-medical-history</t>
        </is>
      </c>
      <c r="I457" t="inlineStr">
        <is>
          <t>Hypertension, Hyperlipidemia, H</t>
        </is>
      </c>
    </row>
    <row r="458">
      <c r="A458" t="inlineStr">
        <is>
          <t>6558-social-history-0-0</t>
        </is>
      </c>
      <c r="B458" t="inlineStr"/>
      <c r="C458" t="inlineStr"/>
      <c r="D458">
        <f>HYPERLINK("http://nlpdeep.cs.uic.edu:8080/proofing/t5/6558-social-history-0-0.pdf","t5/6558-social-history-0-0.pdf")</f>
        <v/>
      </c>
      <c r="E458" t="n">
        <v>108346</v>
      </c>
      <c r="F458" t="n">
        <v>6558</v>
      </c>
      <c r="G458" t="inlineStr">
        <is>
          <t>Discharge summary</t>
        </is>
      </c>
      <c r="H458" t="inlineStr">
        <is>
          <t>social-history</t>
        </is>
      </c>
      <c r="I458" t="inlineStr">
        <is>
          <t>see admit H</t>
        </is>
      </c>
    </row>
    <row r="459">
      <c r="A459" t="inlineStr">
        <is>
          <t>6558-social-history-0-0</t>
        </is>
      </c>
      <c r="B459" t="inlineStr"/>
      <c r="C459" t="inlineStr"/>
      <c r="D459">
        <f>HYPERLINK("http://nlpdeep.cs.uic.edu:8080/proofing/gsii/6558-social-history-0-0.pdf","gsii/6558-social-history-0-0.pdf")</f>
        <v/>
      </c>
      <c r="E459" t="n">
        <v>108346</v>
      </c>
      <c r="F459" t="n">
        <v>6558</v>
      </c>
      <c r="G459" t="inlineStr">
        <is>
          <t>Discharge summary</t>
        </is>
      </c>
      <c r="H459" t="inlineStr">
        <is>
          <t>social-history</t>
        </is>
      </c>
      <c r="I459" t="inlineStr">
        <is>
          <t>see admit H</t>
        </is>
      </c>
    </row>
    <row r="460">
      <c r="A460" t="inlineStr">
        <is>
          <t>6558-family-history-0-0</t>
        </is>
      </c>
      <c r="B460" t="inlineStr"/>
      <c r="C460" t="inlineStr"/>
      <c r="D460">
        <f>HYPERLINK("http://nlpdeep.cs.uic.edu:8080/proofing/t5/6558-family-history-0-0.pdf","t5/6558-family-history-0-0.pdf")</f>
        <v/>
      </c>
      <c r="E460" t="n">
        <v>108346</v>
      </c>
      <c r="F460" t="n">
        <v>6558</v>
      </c>
      <c r="G460" t="inlineStr">
        <is>
          <t>Discharge summary</t>
        </is>
      </c>
      <c r="H460" t="inlineStr">
        <is>
          <t>family-history</t>
        </is>
      </c>
      <c r="I460" t="inlineStr">
        <is>
          <t>see admit H</t>
        </is>
      </c>
    </row>
    <row r="461">
      <c r="A461" t="inlineStr">
        <is>
          <t>6558-family-history-0-0</t>
        </is>
      </c>
      <c r="B461" t="inlineStr"/>
      <c r="C461" t="inlineStr"/>
      <c r="D461">
        <f>HYPERLINK("http://nlpdeep.cs.uic.edu:8080/proofing/gsii/6558-family-history-0-0.pdf","gsii/6558-family-history-0-0.pdf")</f>
        <v/>
      </c>
      <c r="E461" t="n">
        <v>108346</v>
      </c>
      <c r="F461" t="n">
        <v>6558</v>
      </c>
      <c r="G461" t="inlineStr">
        <is>
          <t>Discharge summary</t>
        </is>
      </c>
      <c r="H461" t="inlineStr">
        <is>
          <t>family-history</t>
        </is>
      </c>
      <c r="I461" t="inlineStr">
        <is>
          <t>see admit H</t>
        </is>
      </c>
    </row>
    <row r="462">
      <c r="A462" t="inlineStr">
        <is>
          <t>6558-physical-examination-0-0</t>
        </is>
      </c>
      <c r="B462" t="inlineStr"/>
      <c r="C462" t="inlineStr"/>
      <c r="D462">
        <f>HYPERLINK("http://nlpdeep.cs.uic.edu:8080/proofing/t5/6558-physical-examination-0-0.pdf","t5/6558-physical-examination-0-0.pdf")</f>
        <v/>
      </c>
      <c r="E462" t="n">
        <v>108346</v>
      </c>
      <c r="F462" t="n">
        <v>6558</v>
      </c>
      <c r="G462" t="inlineStr">
        <is>
          <t>Discharge summary</t>
        </is>
      </c>
      <c r="H462" t="inlineStr">
        <is>
          <t>physical-examination</t>
        </is>
      </c>
      <c r="I462" t="inlineStr">
        <is>
          <t>On physical examination, this is a healthy-appearing female.</t>
        </is>
      </c>
    </row>
    <row r="463">
      <c r="A463" t="inlineStr">
        <is>
          <t>6558-physical-examination-0-0</t>
        </is>
      </c>
      <c r="B463" t="inlineStr"/>
      <c r="C463" t="inlineStr"/>
      <c r="D463">
        <f>HYPERLINK("http://nlpdeep.cs.uic.edu:8080/proofing/gsii/6558-physical-examination-0-0.pdf","gsii/6558-physical-examination-0-0.pdf")</f>
        <v/>
      </c>
      <c r="E463" t="n">
        <v>108346</v>
      </c>
      <c r="F463" t="n">
        <v>6558</v>
      </c>
      <c r="G463" t="inlineStr">
        <is>
          <t>Discharge summary</t>
        </is>
      </c>
      <c r="H463" t="inlineStr">
        <is>
          <t>physical-examination</t>
        </is>
      </c>
      <c r="I463" t="inlineStr">
        <is>
          <t>On physical examination, this is a healthy-appearing female.</t>
        </is>
      </c>
    </row>
    <row r="464">
      <c r="A464" t="inlineStr">
        <is>
          <t>6558-physical-examination-0-1</t>
        </is>
      </c>
      <c r="B464" t="inlineStr"/>
      <c r="C464" t="inlineStr"/>
      <c r="D464">
        <f>HYPERLINK("http://nlpdeep.cs.uic.edu:8080/proofing/t5/6558-physical-examination-0-1.pdf","t5/6558-physical-examination-0-1.pdf")</f>
        <v/>
      </c>
      <c r="E464" t="n">
        <v>108346</v>
      </c>
      <c r="F464" t="n">
        <v>6558</v>
      </c>
      <c r="G464" t="inlineStr">
        <is>
          <t>Discharge summary</t>
        </is>
      </c>
      <c r="H464" t="inlineStr">
        <is>
          <t>physical-examination</t>
        </is>
      </c>
      <c r="I464" t="inlineStr">
        <is>
          <t xml:space="preserve">
Affect is within normal limits.</t>
        </is>
      </c>
    </row>
    <row r="465">
      <c r="A465" t="inlineStr">
        <is>
          <t>6558-physical-examination-0-1</t>
        </is>
      </c>
      <c r="B465" t="inlineStr"/>
      <c r="C465" t="inlineStr"/>
      <c r="D465">
        <f>HYPERLINK("http://nlpdeep.cs.uic.edu:8080/proofing/gsii/6558-physical-examination-0-1.pdf","gsii/6558-physical-examination-0-1.pdf")</f>
        <v/>
      </c>
      <c r="E465" t="n">
        <v>108346</v>
      </c>
      <c r="F465" t="n">
        <v>6558</v>
      </c>
      <c r="G465" t="inlineStr">
        <is>
          <t>Discharge summary</t>
        </is>
      </c>
      <c r="H465" t="inlineStr">
        <is>
          <t>physical-examination</t>
        </is>
      </c>
      <c r="I465" t="inlineStr">
        <is>
          <t xml:space="preserve">
Affect is within normal limits.</t>
        </is>
      </c>
    </row>
    <row r="466">
      <c r="A466" t="inlineStr">
        <is>
          <t>6558-physical-examination-0-2</t>
        </is>
      </c>
      <c r="B466" t="inlineStr"/>
      <c r="C466" t="inlineStr"/>
      <c r="D466">
        <f>HYPERLINK("http://nlpdeep.cs.uic.edu:8080/proofing/t5/6558-physical-examination-0-2.pdf","t5/6558-physical-examination-0-2.pdf")</f>
        <v/>
      </c>
      <c r="E466" t="n">
        <v>108346</v>
      </c>
      <c r="F466" t="n">
        <v>6558</v>
      </c>
      <c r="G466" t="inlineStr">
        <is>
          <t>Discharge summary</t>
        </is>
      </c>
      <c r="H466" t="inlineStr">
        <is>
          <t>physical-examination</t>
        </is>
      </c>
      <c r="I466" t="inlineStr">
        <is>
          <t xml:space="preserve"> She has a scoliosis with a
well-balanced spine.</t>
        </is>
      </c>
    </row>
    <row r="467">
      <c r="A467" t="inlineStr">
        <is>
          <t>6558-physical-examination-0-2</t>
        </is>
      </c>
      <c r="B467" t="inlineStr"/>
      <c r="C467" t="inlineStr"/>
      <c r="D467">
        <f>HYPERLINK("http://nlpdeep.cs.uic.edu:8080/proofing/gsii/6558-physical-examination-0-2.pdf","gsii/6558-physical-examination-0-2.pdf")</f>
        <v/>
      </c>
      <c r="E467" t="n">
        <v>108346</v>
      </c>
      <c r="F467" t="n">
        <v>6558</v>
      </c>
      <c r="G467" t="inlineStr">
        <is>
          <t>Discharge summary</t>
        </is>
      </c>
      <c r="H467" t="inlineStr">
        <is>
          <t>physical-examination</t>
        </is>
      </c>
      <c r="I467" t="inlineStr">
        <is>
          <t xml:space="preserve"> She has a scoliosis with a
well-balanced spine.</t>
        </is>
      </c>
    </row>
    <row r="468">
      <c r="A468" t="inlineStr">
        <is>
          <t>6558-physical-examination-0-3</t>
        </is>
      </c>
      <c r="B468" t="inlineStr"/>
      <c r="C468" t="inlineStr"/>
      <c r="D468">
        <f>HYPERLINK("http://nlpdeep.cs.uic.edu:8080/proofing/t5/6558-physical-examination-0-3.pdf","t5/6558-physical-examination-0-3.pdf")</f>
        <v/>
      </c>
      <c r="E468" t="n">
        <v>108346</v>
      </c>
      <c r="F468" t="n">
        <v>6558</v>
      </c>
      <c r="G468" t="inlineStr">
        <is>
          <t>Discharge summary</t>
        </is>
      </c>
      <c r="H468" t="inlineStr">
        <is>
          <t>physical-examination</t>
        </is>
      </c>
      <c r="I468" t="inlineStr">
        <is>
          <t xml:space="preserve"> Her gait is forward flexed.</t>
        </is>
      </c>
    </row>
    <row r="469">
      <c r="A469" t="inlineStr">
        <is>
          <t>6558-physical-examination-0-3</t>
        </is>
      </c>
      <c r="B469" t="inlineStr"/>
      <c r="C469" t="inlineStr"/>
      <c r="D469">
        <f>HYPERLINK("http://nlpdeep.cs.uic.edu:8080/proofing/gsii/6558-physical-examination-0-3.pdf","gsii/6558-physical-examination-0-3.pdf")</f>
        <v/>
      </c>
      <c r="E469" t="n">
        <v>108346</v>
      </c>
      <c r="F469" t="n">
        <v>6558</v>
      </c>
      <c r="G469" t="inlineStr">
        <is>
          <t>Discharge summary</t>
        </is>
      </c>
      <c r="H469" t="inlineStr">
        <is>
          <t>physical-examination</t>
        </is>
      </c>
      <c r="I469" t="inlineStr">
        <is>
          <t xml:space="preserve"> Her gait is forward flexed.</t>
        </is>
      </c>
    </row>
    <row r="470">
      <c r="A470" t="inlineStr">
        <is>
          <t>6558-physical-examination-0-4</t>
        </is>
      </c>
      <c r="B470" t="inlineStr"/>
      <c r="C470" t="inlineStr"/>
      <c r="D470">
        <f>HYPERLINK("http://nlpdeep.cs.uic.edu:8080/proofing/t5/6558-physical-examination-0-4.pdf","t5/6558-physical-examination-0-4.pdf")</f>
        <v/>
      </c>
      <c r="E470" t="n">
        <v>108346</v>
      </c>
      <c r="F470" t="n">
        <v>6558</v>
      </c>
      <c r="G470" t="inlineStr">
        <is>
          <t>Discharge summary</t>
        </is>
      </c>
      <c r="H470" t="inlineStr">
        <is>
          <t>physical-examination</t>
        </is>
      </c>
      <c r="I470" t="inlineStr">
        <is>
          <t xml:space="preserve"> She takes
short strides.</t>
        </is>
      </c>
    </row>
    <row r="471">
      <c r="A471" t="inlineStr">
        <is>
          <t>6558-physical-examination-0-4</t>
        </is>
      </c>
      <c r="B471" t="inlineStr"/>
      <c r="C471" t="inlineStr"/>
      <c r="D471">
        <f>HYPERLINK("http://nlpdeep.cs.uic.edu:8080/proofing/gsii/6558-physical-examination-0-4.pdf","gsii/6558-physical-examination-0-4.pdf")</f>
        <v/>
      </c>
      <c r="E471" t="n">
        <v>108346</v>
      </c>
      <c r="F471" t="n">
        <v>6558</v>
      </c>
      <c r="G471" t="inlineStr">
        <is>
          <t>Discharge summary</t>
        </is>
      </c>
      <c r="H471" t="inlineStr">
        <is>
          <t>physical-examination</t>
        </is>
      </c>
      <c r="I471" t="inlineStr">
        <is>
          <t xml:space="preserve"> She takes
short strides.</t>
        </is>
      </c>
    </row>
    <row r="472">
      <c r="A472" t="inlineStr">
        <is>
          <t>6558-physical-examination-0-5</t>
        </is>
      </c>
      <c r="B472" t="inlineStr"/>
      <c r="C472" t="inlineStr"/>
      <c r="D472">
        <f>HYPERLINK("http://nlpdeep.cs.uic.edu:8080/proofing/t5/6558-physical-examination-0-5.pdf","t5/6558-physical-examination-0-5.pdf")</f>
        <v/>
      </c>
      <c r="E472" t="n">
        <v>108346</v>
      </c>
      <c r="F472" t="n">
        <v>6558</v>
      </c>
      <c r="G472" t="inlineStr">
        <is>
          <t>Discharge summary</t>
        </is>
      </c>
      <c r="H472" t="inlineStr">
        <is>
          <t>physical-examination</t>
        </is>
      </c>
      <c r="I472" t="inlineStr">
        <is>
          <t xml:space="preserve"> Examination of lower extremities, she has 4/5
strength globally, no hyperreflexia.</t>
        </is>
      </c>
    </row>
    <row r="473">
      <c r="A473" t="inlineStr">
        <is>
          <t>6558-physical-examination-0-5</t>
        </is>
      </c>
      <c r="B473" t="inlineStr"/>
      <c r="C473" t="inlineStr"/>
      <c r="D473">
        <f>HYPERLINK("http://nlpdeep.cs.uic.edu:8080/proofing/gsii/6558-physical-examination-0-5.pdf","gsii/6558-physical-examination-0-5.pdf")</f>
        <v/>
      </c>
      <c r="E473" t="n">
        <v>108346</v>
      </c>
      <c r="F473" t="n">
        <v>6558</v>
      </c>
      <c r="G473" t="inlineStr">
        <is>
          <t>Discharge summary</t>
        </is>
      </c>
      <c r="H473" t="inlineStr">
        <is>
          <t>physical-examination</t>
        </is>
      </c>
      <c r="I473" t="inlineStr">
        <is>
          <t xml:space="preserve"> Examination of lower extremities, she has 4/5
strength globally, no hyperreflexia.</t>
        </is>
      </c>
    </row>
    <row r="474">
      <c r="A474" t="inlineStr">
        <is>
          <t>6558-physical-examination-0-6</t>
        </is>
      </c>
      <c r="B474" t="inlineStr"/>
      <c r="C474" t="inlineStr"/>
      <c r="D474">
        <f>HYPERLINK("http://nlpdeep.cs.uic.edu:8080/proofing/t5/6558-physical-examination-0-6.pdf","t5/6558-physical-examination-0-6.pdf")</f>
        <v/>
      </c>
      <c r="E474" t="n">
        <v>108346</v>
      </c>
      <c r="F474" t="n">
        <v>6558</v>
      </c>
      <c r="G474" t="inlineStr">
        <is>
          <t>Discharge summary</t>
        </is>
      </c>
      <c r="H474" t="inlineStr">
        <is>
          <t>physical-examination</t>
        </is>
      </c>
      <c r="I474" t="inlineStr">
        <is>
          <t xml:space="preserve"> She has loss of reflexes.</t>
        </is>
      </c>
    </row>
    <row r="475">
      <c r="A475" t="inlineStr">
        <is>
          <t>6558-physical-examination-0-6</t>
        </is>
      </c>
      <c r="B475" t="inlineStr"/>
      <c r="C475" t="inlineStr"/>
      <c r="D475">
        <f>HYPERLINK("http://nlpdeep.cs.uic.edu:8080/proofing/gsii/6558-physical-examination-0-6.pdf","gsii/6558-physical-examination-0-6.pdf")</f>
        <v/>
      </c>
      <c r="E475" t="n">
        <v>108346</v>
      </c>
      <c r="F475" t="n">
        <v>6558</v>
      </c>
      <c r="G475" t="inlineStr">
        <is>
          <t>Discharge summary</t>
        </is>
      </c>
      <c r="H475" t="inlineStr">
        <is>
          <t>physical-examination</t>
        </is>
      </c>
      <c r="I475" t="inlineStr">
        <is>
          <t xml:space="preserve"> She has loss of reflexes.</t>
        </is>
      </c>
    </row>
    <row r="476">
      <c r="A476" t="inlineStr">
        <is>
          <t>6558-physical-examination-0-7</t>
        </is>
      </c>
      <c r="B476" t="inlineStr"/>
      <c r="C476" t="inlineStr"/>
      <c r="D476">
        <f>HYPERLINK("http://nlpdeep.cs.uic.edu:8080/proofing/t5/6558-physical-examination-0-7.pdf","t5/6558-physical-examination-0-7.pdf")</f>
        <v/>
      </c>
      <c r="E476" t="n">
        <v>108346</v>
      </c>
      <c r="F476" t="n">
        <v>6558</v>
      </c>
      <c r="G476" t="inlineStr">
        <is>
          <t>Discharge summary</t>
        </is>
      </c>
      <c r="H476" t="inlineStr">
        <is>
          <t>physical-examination</t>
        </is>
      </c>
      <c r="I476" t="inlineStr">
        <is>
          <t xml:space="preserve">
She is unable get up on a stepstool on either side without
significant help.</t>
        </is>
      </c>
    </row>
    <row r="477">
      <c r="A477" t="inlineStr">
        <is>
          <t>6558-physical-examination-0-7</t>
        </is>
      </c>
      <c r="B477" t="inlineStr"/>
      <c r="C477" t="inlineStr"/>
      <c r="D477">
        <f>HYPERLINK("http://nlpdeep.cs.uic.edu:8080/proofing/gsii/6558-physical-examination-0-7.pdf","gsii/6558-physical-examination-0-7.pdf")</f>
        <v/>
      </c>
      <c r="E477" t="n">
        <v>108346</v>
      </c>
      <c r="F477" t="n">
        <v>6558</v>
      </c>
      <c r="G477" t="inlineStr">
        <is>
          <t>Discharge summary</t>
        </is>
      </c>
      <c r="H477" t="inlineStr">
        <is>
          <t>physical-examination</t>
        </is>
      </c>
      <c r="I477" t="inlineStr">
        <is>
          <t xml:space="preserve">
She is unable get up on a stepstool on either side without
significant help.</t>
        </is>
      </c>
    </row>
    <row r="478">
      <c r="A478" t="inlineStr">
        <is>
          <t>6558-physical-examination-0-8</t>
        </is>
      </c>
      <c r="B478" t="inlineStr"/>
      <c r="C478" t="inlineStr"/>
      <c r="D478">
        <f>HYPERLINK("http://nlpdeep.cs.uic.edu:8080/proofing/t5/6558-physical-examination-0-8.pdf","t5/6558-physical-examination-0-8.pdf")</f>
        <v/>
      </c>
      <c r="E478" t="n">
        <v>108346</v>
      </c>
      <c r="F478" t="n">
        <v>6558</v>
      </c>
      <c r="G478" t="inlineStr">
        <is>
          <t>Discharge summary</t>
        </is>
      </c>
      <c r="H478" t="inlineStr">
        <is>
          <t>physical-examination</t>
        </is>
      </c>
      <c r="I478" t="inlineStr">
        <is>
          <t xml:space="preserve"> Previous incision is clean, dry, and intact.</t>
        </is>
      </c>
    </row>
    <row r="479">
      <c r="A479" t="inlineStr">
        <is>
          <t>6558-physical-examination-0-8</t>
        </is>
      </c>
      <c r="B479" t="inlineStr"/>
      <c r="C479" t="inlineStr"/>
      <c r="D479">
        <f>HYPERLINK("http://nlpdeep.cs.uic.edu:8080/proofing/gsii/6558-physical-examination-0-8.pdf","gsii/6558-physical-examination-0-8.pdf")</f>
        <v/>
      </c>
      <c r="E479" t="n">
        <v>108346</v>
      </c>
      <c r="F479" t="n">
        <v>6558</v>
      </c>
      <c r="G479" t="inlineStr">
        <is>
          <t>Discharge summary</t>
        </is>
      </c>
      <c r="H479" t="inlineStr">
        <is>
          <t>physical-examination</t>
        </is>
      </c>
      <c r="I479" t="inlineStr">
        <is>
          <t xml:space="preserve"> Previous incision is clean, dry, and intact.</t>
        </is>
      </c>
    </row>
    <row r="480">
      <c r="A480" t="inlineStr">
        <is>
          <t>6558-physical-examination-0-9</t>
        </is>
      </c>
      <c r="B480" t="inlineStr"/>
      <c r="C480" t="inlineStr"/>
      <c r="D480">
        <f>HYPERLINK("http://nlpdeep.cs.uic.edu:8080/proofing/t5/6558-physical-examination-0-9.pdf","t5/6558-physical-examination-0-9.pdf")</f>
        <v/>
      </c>
      <c r="E480" t="n">
        <v>108346</v>
      </c>
      <c r="F480" t="n">
        <v>6558</v>
      </c>
      <c r="G480" t="inlineStr">
        <is>
          <t>Discharge summary</t>
        </is>
      </c>
      <c r="H480" t="inlineStr">
        <is>
          <t>physical-examination</t>
        </is>
      </c>
      <c r="I480" t="inlineStr">
        <is>
          <t xml:space="preserve">
No pain with internal rotation.</t>
        </is>
      </c>
    </row>
    <row r="481">
      <c r="A481" t="inlineStr">
        <is>
          <t>6558-physical-examination-0-9</t>
        </is>
      </c>
      <c r="B481" t="inlineStr"/>
      <c r="C481" t="inlineStr"/>
      <c r="D481">
        <f>HYPERLINK("http://nlpdeep.cs.uic.edu:8080/proofing/gsii/6558-physical-examination-0-9.pdf","gsii/6558-physical-examination-0-9.pdf")</f>
        <v/>
      </c>
      <c r="E481" t="n">
        <v>108346</v>
      </c>
      <c r="F481" t="n">
        <v>6558</v>
      </c>
      <c r="G481" t="inlineStr">
        <is>
          <t>Discharge summary</t>
        </is>
      </c>
      <c r="H481" t="inlineStr">
        <is>
          <t>physical-examination</t>
        </is>
      </c>
      <c r="I481" t="inlineStr">
        <is>
          <t xml:space="preserve">
No pain with internal rotation.</t>
        </is>
      </c>
    </row>
    <row r="482">
      <c r="A482" t="inlineStr">
        <is>
          <t>6558-physical-examination-0-10</t>
        </is>
      </c>
      <c r="B482" t="inlineStr"/>
      <c r="C482" t="inlineStr"/>
      <c r="D482">
        <f>HYPERLINK("http://nlpdeep.cs.uic.edu:8080/proofing/t5/6558-physical-examination-0-10.pdf","t5/6558-physical-examination-0-10.pdf")</f>
        <v/>
      </c>
      <c r="E482" t="n">
        <v>108346</v>
      </c>
      <c r="F482" t="n">
        <v>6558</v>
      </c>
      <c r="G482" t="inlineStr">
        <is>
          <t>Discharge summary</t>
        </is>
      </c>
      <c r="H482" t="inlineStr">
        <is>
          <t>physical-examination</t>
        </is>
      </c>
      <c r="I482" t="inlineStr">
        <is>
          <t xml:space="preserve"> Negative straight leg raise.</t>
        </is>
      </c>
    </row>
    <row r="483">
      <c r="A483" t="inlineStr">
        <is>
          <t>6558-physical-examination-0-10</t>
        </is>
      </c>
      <c r="B483" t="inlineStr"/>
      <c r="C483" t="inlineStr"/>
      <c r="D483">
        <f>HYPERLINK("http://nlpdeep.cs.uic.edu:8080/proofing/gsii/6558-physical-examination-0-10.pdf","gsii/6558-physical-examination-0-10.pdf")</f>
        <v/>
      </c>
      <c r="E483" t="n">
        <v>108346</v>
      </c>
      <c r="F483" t="n">
        <v>6558</v>
      </c>
      <c r="G483" t="inlineStr">
        <is>
          <t>Discharge summary</t>
        </is>
      </c>
      <c r="H483" t="inlineStr">
        <is>
          <t>physical-examination</t>
        </is>
      </c>
      <c r="I483" t="inlineStr">
        <is>
          <t xml:space="preserve"> Negative straight leg raise.</t>
        </is>
      </c>
    </row>
    <row r="484">
      <c r="A484" t="inlineStr">
        <is>
          <t>6558-labs-imaging-0-0</t>
        </is>
      </c>
      <c r="B484" t="inlineStr"/>
      <c r="C484" t="inlineStr"/>
      <c r="D484">
        <f>HYPERLINK("http://nlpdeep.cs.uic.edu:8080/proofing/t5/6558-labs-imaging-0-0.pdf","t5/6558-labs-imaging-0-0.pdf")</f>
        <v/>
      </c>
      <c r="E484" t="n">
        <v>108346</v>
      </c>
      <c r="F484" t="n">
        <v>6558</v>
      </c>
      <c r="G484" t="inlineStr">
        <is>
          <t>Discharge summary</t>
        </is>
      </c>
      <c r="H484" t="inlineStr">
        <is>
          <t>labs-imaging</t>
        </is>
      </c>
      <c r="I484" t="inlineStr">
        <is>
          <t>[**2172-1-24**] 03:50PM   GLUCOSE-182* UREA N-14 CREAT-0.5 SODIUM-142
POTASSIUM-3.7 CHLORIDE-111* TOTAL CO2-22 ANION GAP-13
[**2172-1-24**] 03:50PM   estGFR-Using this
[**2172-1-24**] 03:50PM   CALCIUM-7.8* PHOSPHATE-4.2 MAGNESIUM-1.7
[**2172-1-24**] 03:50PM   HCT-28.6*#
[**2172-1-24**] 01:35PM   TYPE-ART PO2-289* PCO2-42 PH-7.33* TOTAL
CO2-23 BASE XS--3 INTUBATED-INTUBATED VENT-CONTROLLED
[**2172-1-24**] 01:35PM   GLUCOSE-149* LACTATE-1.2 NA+-143 K+-3.3*
CL--109
[**2172-1-24**] 01:35PM   HGB-11.9* calcHCT-36
[**2172-1-24**] 01:35PM   freeCa-1.08*
[**2172-2-2**] 05:15AM BLOOD WBC-7.0 RBC-3.04* Hgb-9.4* Hct-28.3*
MCV-93 MCH-31.1 MCHC-33.4 RDW-13.3 Plt Ct-236
[**2172-2-3**] 06:00AM BLOOD PT-20.6* PTT-133.2* INR(PT)-1.9*
[**2172-2-2**] 05:15AM BLOOD PT-16.3* PTT-91.8* INR(PT)-1.4*
[**2172-2-1**] 04:00AM BLOOD PT-14.6* PTT-91.4* INR(PT)-1.3*
[**2172-1-30**] 11:48PM BLOOD Glucose-126* UreaN-11 Creat-0.6 Na-141
K-3.8 Cl-109* HCO3-23 AnGap-13
[**2172-1-30**] 11:48PM BLOOD Calcium-8.4 Phos-3.7 M</t>
        </is>
      </c>
    </row>
    <row r="485">
      <c r="A485" t="inlineStr">
        <is>
          <t>6558-labs-imaging-0-0</t>
        </is>
      </c>
      <c r="B485" t="inlineStr"/>
      <c r="C485" t="inlineStr"/>
      <c r="D485">
        <f>HYPERLINK("http://nlpdeep.cs.uic.edu:8080/proofing/gsii/6558-labs-imaging-0-0.pdf","gsii/6558-labs-imaging-0-0.pdf")</f>
        <v/>
      </c>
      <c r="E485" t="n">
        <v>108346</v>
      </c>
      <c r="F485" t="n">
        <v>6558</v>
      </c>
      <c r="G485" t="inlineStr">
        <is>
          <t>Discharge summary</t>
        </is>
      </c>
      <c r="H485" t="inlineStr">
        <is>
          <t>labs-imaging</t>
        </is>
      </c>
      <c r="I485" t="inlineStr">
        <is>
          <t>[**2172-1-24**] 03:50PM   GLUCOSE-182* UREA N-14 CREAT-0.5 SODIUM-142
POTASSIUM-3.7 CHLORIDE-111* TOTAL CO2-22 ANION GAP-13
[**2172-1-24**] 03:50PM   estGFR-Using this
[**2172-1-24**] 03:50PM   CALCIUM-7.8* PHOSPHATE-4.2 MAGNESIUM-1.7
[**2172-1-24**] 03:50PM   HCT-28.6*#
[**2172-1-24**] 01:35PM   TYPE-ART PO2-289* PCO2-42 PH-7.33* TOTAL
CO2-23 BASE XS--3 INTUBATED-INTUBATED VENT-CONTROLLED
[**2172-1-24**] 01:35PM   GLUCOSE-149* LACTATE-1.2 NA+-143 K+-3.3*
CL--109
[**2172-1-24**] 01:35PM   HGB-11.9* calcHCT-36
[**2172-1-24**] 01:35PM   freeCa-1.08*
[**2172-2-2**] 05:15AM BLOOD WBC-7.0 RBC-3.04* Hgb-9.4* Hct-28.3*
MCV-93 MCH-31.1 MCHC-33.4 RDW-13.3 Plt Ct-236
[**2172-2-3**] 06:00AM BLOOD PT-20.6* PTT-133.2* INR(PT)-1.9*
[**2172-2-2**] 05:15AM BLOOD PT-16.3* PTT-91.8* INR(PT)-1.4*
[**2172-2-1**] 04:00AM BLOOD PT-14.6* PTT-91.4* INR(PT)-1.3*
[**2172-1-30**] 11:48PM BLOOD Glucose-126* UreaN-11 Creat-0.6 Na-141
K-3.8 Cl-109* HCO3-23 AnGap-13
[**2172-1-30**] 11:48PM BLOOD Calcium-8.4 Phos-3.7 M</t>
        </is>
      </c>
    </row>
    <row r="486">
      <c r="A486" t="inlineStr">
        <is>
          <t>6558-hospital-course-0-0</t>
        </is>
      </c>
      <c r="B486" t="inlineStr"/>
      <c r="C486" t="inlineStr"/>
      <c r="D486">
        <f>HYPERLINK("http://nlpdeep.cs.uic.edu:8080/proofing/t5/6558-hospital-course-0-0.pdf","t5/6558-hospital-course-0-0.pdf")</f>
        <v/>
      </c>
      <c r="E486" t="n">
        <v>108346</v>
      </c>
      <c r="F486" t="n">
        <v>6558</v>
      </c>
      <c r="G486" t="inlineStr">
        <is>
          <t>Discharge summary</t>
        </is>
      </c>
      <c r="H486" t="inlineStr">
        <is>
          <t>hospital-course</t>
        </is>
      </c>
      <c r="I486" t="inlineStr">
        <is>
          <t>The patient underwent the above procedure.</t>
        </is>
      </c>
    </row>
    <row r="487">
      <c r="A487" t="inlineStr">
        <is>
          <t>6558-hospital-course-0-0</t>
        </is>
      </c>
      <c r="B487" t="inlineStr"/>
      <c r="C487" t="inlineStr"/>
      <c r="D487">
        <f>HYPERLINK("http://nlpdeep.cs.uic.edu:8080/proofing/gsii/6558-hospital-course-0-0.pdf","gsii/6558-hospital-course-0-0.pdf")</f>
        <v/>
      </c>
      <c r="E487" t="n">
        <v>108346</v>
      </c>
      <c r="F487" t="n">
        <v>6558</v>
      </c>
      <c r="G487" t="inlineStr">
        <is>
          <t>Discharge summary</t>
        </is>
      </c>
      <c r="H487" t="inlineStr">
        <is>
          <t>hospital-course</t>
        </is>
      </c>
      <c r="I487" t="inlineStr">
        <is>
          <t>The patient underwent the above procedure.</t>
        </is>
      </c>
    </row>
    <row r="488">
      <c r="A488" t="inlineStr">
        <is>
          <t>6558-hospital-course-0-1</t>
        </is>
      </c>
      <c r="B488" t="inlineStr"/>
      <c r="C488" t="inlineStr"/>
      <c r="D488">
        <f>HYPERLINK("http://nlpdeep.cs.uic.edu:8080/proofing/t5/6558-hospital-course-0-1.pdf","t5/6558-hospital-course-0-1.pdf")</f>
        <v/>
      </c>
      <c r="E488" t="n">
        <v>108346</v>
      </c>
      <c r="F488" t="n">
        <v>6558</v>
      </c>
      <c r="G488" t="inlineStr">
        <is>
          <t>Discharge summary</t>
        </is>
      </c>
      <c r="H488" t="inlineStr">
        <is>
          <t>hospital-course</t>
        </is>
      </c>
      <c r="I488" t="inlineStr">
        <is>
          <t xml:space="preserve"> For full details
please see the separately dictated operative note.</t>
        </is>
      </c>
    </row>
    <row r="489">
      <c r="A489" t="inlineStr">
        <is>
          <t>6558-hospital-course-0-1</t>
        </is>
      </c>
      <c r="B489" t="inlineStr"/>
      <c r="C489" t="inlineStr"/>
      <c r="D489">
        <f>HYPERLINK("http://nlpdeep.cs.uic.edu:8080/proofing/gsii/6558-hospital-course-0-1.pdf","gsii/6558-hospital-course-0-1.pdf")</f>
        <v/>
      </c>
      <c r="E489" t="n">
        <v>108346</v>
      </c>
      <c r="F489" t="n">
        <v>6558</v>
      </c>
      <c r="G489" t="inlineStr">
        <is>
          <t>Discharge summary</t>
        </is>
      </c>
      <c r="H489" t="inlineStr">
        <is>
          <t>hospital-course</t>
        </is>
      </c>
      <c r="I489" t="inlineStr">
        <is>
          <t xml:space="preserve"> For full details
please see the separately dictated operative note.</t>
        </is>
      </c>
    </row>
    <row r="490">
      <c r="A490" t="inlineStr">
        <is>
          <t>6558-hospital-course-0-2</t>
        </is>
      </c>
      <c r="B490" t="inlineStr"/>
      <c r="C490" t="inlineStr"/>
      <c r="D490">
        <f>HYPERLINK("http://nlpdeep.cs.uic.edu:8080/proofing/t5/6558-hospital-course-0-2.pdf","t5/6558-hospital-course-0-2.pdf")</f>
        <v/>
      </c>
      <c r="E490" t="n">
        <v>108346</v>
      </c>
      <c r="F490" t="n">
        <v>6558</v>
      </c>
      <c r="G490" t="inlineStr">
        <is>
          <t>Discharge summary</t>
        </is>
      </c>
      <c r="H490" t="inlineStr">
        <is>
          <t>hospital-course</t>
        </is>
      </c>
      <c r="I490" t="inlineStr">
        <is>
          <t xml:space="preserve"> The patient
progressed well post-operatively.</t>
        </is>
      </c>
    </row>
    <row r="491">
      <c r="A491" t="inlineStr">
        <is>
          <t>6558-hospital-course-0-2</t>
        </is>
      </c>
      <c r="B491" t="inlineStr"/>
      <c r="C491" t="inlineStr"/>
      <c r="D491">
        <f>HYPERLINK("http://nlpdeep.cs.uic.edu:8080/proofing/gsii/6558-hospital-course-0-2.pdf","gsii/6558-hospital-course-0-2.pdf")</f>
        <v/>
      </c>
      <c r="E491" t="n">
        <v>108346</v>
      </c>
      <c r="F491" t="n">
        <v>6558</v>
      </c>
      <c r="G491" t="inlineStr">
        <is>
          <t>Discharge summary</t>
        </is>
      </c>
      <c r="H491" t="inlineStr">
        <is>
          <t>hospital-course</t>
        </is>
      </c>
      <c r="I491" t="inlineStr">
        <is>
          <t xml:space="preserve"> The patient
progressed well post-operatively.</t>
        </is>
      </c>
    </row>
    <row r="492">
      <c r="A492" t="inlineStr">
        <is>
          <t>6558-hospital-course-0-3</t>
        </is>
      </c>
      <c r="B492" t="inlineStr"/>
      <c r="C492" t="inlineStr"/>
      <c r="D492">
        <f>HYPERLINK("http://nlpdeep.cs.uic.edu:8080/proofing/t5/6558-hospital-course-0-3.pdf","t5/6558-hospital-course-0-3.pdf")</f>
        <v/>
      </c>
      <c r="E492" t="n">
        <v>108346</v>
      </c>
      <c r="F492" t="n">
        <v>6558</v>
      </c>
      <c r="G492" t="inlineStr">
        <is>
          <t>Discharge summary</t>
        </is>
      </c>
      <c r="H492" t="inlineStr">
        <is>
          <t>hospital-course</t>
        </is>
      </c>
      <c r="I492" t="inlineStr">
        <is>
          <t xml:space="preserve"> She was kept on bedrest with
the head of bed flat for 48 hours postoperatively due to dural
tear that was repaired.</t>
        </is>
      </c>
    </row>
    <row r="493">
      <c r="A493" t="inlineStr">
        <is>
          <t>6558-hospital-course-0-3</t>
        </is>
      </c>
      <c r="B493" t="inlineStr"/>
      <c r="C493" t="inlineStr"/>
      <c r="D493">
        <f>HYPERLINK("http://nlpdeep.cs.uic.edu:8080/proofing/gsii/6558-hospital-course-0-3.pdf","gsii/6558-hospital-course-0-3.pdf")</f>
        <v/>
      </c>
      <c r="E493" t="n">
        <v>108346</v>
      </c>
      <c r="F493" t="n">
        <v>6558</v>
      </c>
      <c r="G493" t="inlineStr">
        <is>
          <t>Discharge summary</t>
        </is>
      </c>
      <c r="H493" t="inlineStr">
        <is>
          <t>hospital-course</t>
        </is>
      </c>
      <c r="I493" t="inlineStr">
        <is>
          <t xml:space="preserve"> She was kept on bedrest with
the head of bed flat for 48 hours postoperatively due to dural
tear that was repaired.</t>
        </is>
      </c>
    </row>
    <row r="494">
      <c r="A494" t="inlineStr">
        <is>
          <t>6558-hospital-course-0-4</t>
        </is>
      </c>
      <c r="B494" t="inlineStr"/>
      <c r="C494" t="inlineStr"/>
      <c r="D494">
        <f>HYPERLINK("http://nlpdeep.cs.uic.edu:8080/proofing/t5/6558-hospital-course-0-4.pdf","t5/6558-hospital-course-0-4.pdf")</f>
        <v/>
      </c>
      <c r="E494" t="n">
        <v>108346</v>
      </c>
      <c r="F494" t="n">
        <v>6558</v>
      </c>
      <c r="G494" t="inlineStr">
        <is>
          <t>Discharge summary</t>
        </is>
      </c>
      <c r="H494" t="inlineStr">
        <is>
          <t>hospital-course</t>
        </is>
      </c>
      <c r="I494" t="inlineStr">
        <is>
          <t xml:space="preserve"> A drain was utilized and was d/c'ed
when output had tapered down.</t>
        </is>
      </c>
    </row>
    <row r="495">
      <c r="A495" t="inlineStr">
        <is>
          <t>6558-hospital-course-0-4</t>
        </is>
      </c>
      <c r="B495" t="inlineStr"/>
      <c r="C495" t="inlineStr"/>
      <c r="D495">
        <f>HYPERLINK("http://nlpdeep.cs.uic.edu:8080/proofing/gsii/6558-hospital-course-0-4.pdf","gsii/6558-hospital-course-0-4.pdf")</f>
        <v/>
      </c>
      <c r="E495" t="n">
        <v>108346</v>
      </c>
      <c r="F495" t="n">
        <v>6558</v>
      </c>
      <c r="G495" t="inlineStr">
        <is>
          <t>Discharge summary</t>
        </is>
      </c>
      <c r="H495" t="inlineStr">
        <is>
          <t>hospital-course</t>
        </is>
      </c>
      <c r="I495" t="inlineStr">
        <is>
          <t xml:space="preserve"> A drain was utilized and was d/c'ed
when output had tapered down.</t>
        </is>
      </c>
    </row>
    <row r="496">
      <c r="A496" t="inlineStr">
        <is>
          <t>6558-hospital-course-0-5</t>
        </is>
      </c>
      <c r="B496" t="inlineStr"/>
      <c r="C496" t="inlineStr"/>
      <c r="D496">
        <f>HYPERLINK("http://nlpdeep.cs.uic.edu:8080/proofing/t5/6558-hospital-course-0-5.pdf","t5/6558-hospital-course-0-5.pdf")</f>
        <v/>
      </c>
      <c r="E496" t="n">
        <v>108346</v>
      </c>
      <c r="F496" t="n">
        <v>6558</v>
      </c>
      <c r="G496" t="inlineStr">
        <is>
          <t>Discharge summary</t>
        </is>
      </c>
      <c r="H496" t="inlineStr">
        <is>
          <t>hospital-course</t>
        </is>
      </c>
      <c r="I496" t="inlineStr">
        <is>
          <t xml:space="preserve"> Peri-operative antibiotics were
utilized for 24 hrs.</t>
        </is>
      </c>
    </row>
    <row r="497">
      <c r="A497" t="inlineStr">
        <is>
          <t>6558-hospital-course-0-5</t>
        </is>
      </c>
      <c r="B497" t="inlineStr"/>
      <c r="C497" t="inlineStr"/>
      <c r="D497">
        <f>HYPERLINK("http://nlpdeep.cs.uic.edu:8080/proofing/gsii/6558-hospital-course-0-5.pdf","gsii/6558-hospital-course-0-5.pdf")</f>
        <v/>
      </c>
      <c r="E497" t="n">
        <v>108346</v>
      </c>
      <c r="F497" t="n">
        <v>6558</v>
      </c>
      <c r="G497" t="inlineStr">
        <is>
          <t>Discharge summary</t>
        </is>
      </c>
      <c r="H497" t="inlineStr">
        <is>
          <t>hospital-course</t>
        </is>
      </c>
      <c r="I497" t="inlineStr">
        <is>
          <t xml:space="preserve"> Peri-operative antibiotics were
utilized for 24 hrs.</t>
        </is>
      </c>
    </row>
    <row r="498">
      <c r="A498" t="inlineStr">
        <is>
          <t>6558-hospital-course-0-6</t>
        </is>
      </c>
      <c r="B498" t="inlineStr"/>
      <c r="C498" t="inlineStr"/>
      <c r="D498">
        <f>HYPERLINK("http://nlpdeep.cs.uic.edu:8080/proofing/t5/6558-hospital-course-0-6.pdf","t5/6558-hospital-course-0-6.pdf")</f>
        <v/>
      </c>
      <c r="E498" t="n">
        <v>108346</v>
      </c>
      <c r="F498" t="n">
        <v>6558</v>
      </c>
      <c r="G498" t="inlineStr">
        <is>
          <t>Discharge summary</t>
        </is>
      </c>
      <c r="H498" t="inlineStr">
        <is>
          <t>hospital-course</t>
        </is>
      </c>
      <c r="I498" t="inlineStr">
        <is>
          <t xml:space="preserve"> Post-operative pain was controlled with IV
followed by PO medications.</t>
        </is>
      </c>
    </row>
    <row r="499">
      <c r="A499" t="inlineStr">
        <is>
          <t>6558-hospital-course-0-6</t>
        </is>
      </c>
      <c r="B499" t="inlineStr"/>
      <c r="C499" t="inlineStr"/>
      <c r="D499">
        <f>HYPERLINK("http://nlpdeep.cs.uic.edu:8080/proofing/gsii/6558-hospital-course-0-6.pdf","gsii/6558-hospital-course-0-6.pdf")</f>
        <v/>
      </c>
      <c r="E499" t="n">
        <v>108346</v>
      </c>
      <c r="F499" t="n">
        <v>6558</v>
      </c>
      <c r="G499" t="inlineStr">
        <is>
          <t>Discharge summary</t>
        </is>
      </c>
      <c r="H499" t="inlineStr">
        <is>
          <t>hospital-course</t>
        </is>
      </c>
      <c r="I499" t="inlineStr">
        <is>
          <t xml:space="preserve"> Post-operative pain was controlled with IV
followed by PO medications.</t>
        </is>
      </c>
    </row>
    <row r="500">
      <c r="A500" t="inlineStr">
        <is>
          <t>6558-hospital-course-0-7</t>
        </is>
      </c>
      <c r="B500" t="inlineStr"/>
      <c r="C500" t="inlineStr"/>
      <c r="D500">
        <f>HYPERLINK("http://nlpdeep.cs.uic.edu:8080/proofing/t5/6558-hospital-course-0-7.pdf","t5/6558-hospital-course-0-7.pdf")</f>
        <v/>
      </c>
      <c r="E500" t="n">
        <v>108346</v>
      </c>
      <c r="F500" t="n">
        <v>6558</v>
      </c>
      <c r="G500" t="inlineStr">
        <is>
          <t>Discharge summary</t>
        </is>
      </c>
      <c r="H500" t="inlineStr">
        <is>
          <t>hospital-course</t>
        </is>
      </c>
      <c r="I500" t="inlineStr">
        <is>
          <t xml:space="preserve"> Diet was advanced without
complication.</t>
        </is>
      </c>
    </row>
    <row r="501">
      <c r="A501" t="inlineStr">
        <is>
          <t>6558-hospital-course-0-7</t>
        </is>
      </c>
      <c r="B501" t="inlineStr"/>
      <c r="C501" t="inlineStr"/>
      <c r="D501">
        <f>HYPERLINK("http://nlpdeep.cs.uic.edu:8080/proofing/gsii/6558-hospital-course-0-7.pdf","gsii/6558-hospital-course-0-7.pdf")</f>
        <v/>
      </c>
      <c r="E501" t="n">
        <v>108346</v>
      </c>
      <c r="F501" t="n">
        <v>6558</v>
      </c>
      <c r="G501" t="inlineStr">
        <is>
          <t>Discharge summary</t>
        </is>
      </c>
      <c r="H501" t="inlineStr">
        <is>
          <t>hospital-course</t>
        </is>
      </c>
      <c r="I501" t="inlineStr">
        <is>
          <t xml:space="preserve"> Diet was advanced without
complication.</t>
        </is>
      </c>
    </row>
    <row r="502">
      <c r="A502" t="inlineStr">
        <is>
          <t>6558-hospital-course-0-8</t>
        </is>
      </c>
      <c r="B502" t="inlineStr"/>
      <c r="C502" t="inlineStr"/>
      <c r="D502">
        <f>HYPERLINK("http://nlpdeep.cs.uic.edu:8080/proofing/t5/6558-hospital-course-0-8.pdf","t5/6558-hospital-course-0-8.pdf")</f>
        <v/>
      </c>
      <c r="E502" t="n">
        <v>108346</v>
      </c>
      <c r="F502" t="n">
        <v>6558</v>
      </c>
      <c r="G502" t="inlineStr">
        <is>
          <t>Discharge summary</t>
        </is>
      </c>
      <c r="H502" t="inlineStr">
        <is>
          <t>hospital-course</t>
        </is>
      </c>
      <c r="I502" t="inlineStr">
        <is>
          <t xml:space="preserve"> Physical therapy was consulted for assistance
with mobilization.</t>
        </is>
      </c>
    </row>
    <row r="503">
      <c r="A503" t="inlineStr">
        <is>
          <t>6558-hospital-course-0-8</t>
        </is>
      </c>
      <c r="B503" t="inlineStr"/>
      <c r="C503" t="inlineStr"/>
      <c r="D503">
        <f>HYPERLINK("http://nlpdeep.cs.uic.edu:8080/proofing/gsii/6558-hospital-course-0-8.pdf","gsii/6558-hospital-course-0-8.pdf")</f>
        <v/>
      </c>
      <c r="E503" t="n">
        <v>108346</v>
      </c>
      <c r="F503" t="n">
        <v>6558</v>
      </c>
      <c r="G503" t="inlineStr">
        <is>
          <t>Discharge summary</t>
        </is>
      </c>
      <c r="H503" t="inlineStr">
        <is>
          <t>hospital-course</t>
        </is>
      </c>
      <c r="I503" t="inlineStr">
        <is>
          <t xml:space="preserve"> Physical therapy was consulted for assistance
with mobilization.</t>
        </is>
      </c>
    </row>
    <row r="504">
      <c r="A504" t="inlineStr">
        <is>
          <t>6558-hospital-course-1-0</t>
        </is>
      </c>
      <c r="B504" t="inlineStr"/>
      <c r="C504" t="inlineStr"/>
      <c r="D504">
        <f>HYPERLINK("http://nlpdeep.cs.uic.edu:8080/proofing/t5/6558-hospital-course-1-0.pdf","t5/6558-hospital-course-1-0.pdf")</f>
        <v/>
      </c>
      <c r="E504" t="n">
        <v>108346</v>
      </c>
      <c r="F504" t="n">
        <v>6558</v>
      </c>
      <c r="G504" t="inlineStr">
        <is>
          <t>Discharge summary</t>
        </is>
      </c>
      <c r="H504" t="inlineStr">
        <is>
          <t>hospital-course</t>
        </is>
      </c>
      <c r="I504" t="inlineStr">
        <is>
          <t xml:space="preserve">
During PT, patient had syncopal episode.</t>
        </is>
      </c>
    </row>
    <row r="505">
      <c r="A505" t="inlineStr">
        <is>
          <t>6558-hospital-course-1-0</t>
        </is>
      </c>
      <c r="B505" t="inlineStr"/>
      <c r="C505" t="inlineStr"/>
      <c r="D505">
        <f>HYPERLINK("http://nlpdeep.cs.uic.edu:8080/proofing/gsii/6558-hospital-course-1-0.pdf","gsii/6558-hospital-course-1-0.pdf")</f>
        <v/>
      </c>
      <c r="E505" t="n">
        <v>108346</v>
      </c>
      <c r="F505" t="n">
        <v>6558</v>
      </c>
      <c r="G505" t="inlineStr">
        <is>
          <t>Discharge summary</t>
        </is>
      </c>
      <c r="H505" t="inlineStr">
        <is>
          <t>hospital-course</t>
        </is>
      </c>
      <c r="I505" t="inlineStr">
        <is>
          <t xml:space="preserve">
During PT, patient had syncopal episode.</t>
        </is>
      </c>
    </row>
    <row r="506">
      <c r="A506" t="inlineStr">
        <is>
          <t>6558-hospital-course-1-1</t>
        </is>
      </c>
      <c r="B506" t="inlineStr"/>
      <c r="C506" t="inlineStr"/>
      <c r="D506">
        <f>HYPERLINK("http://nlpdeep.cs.uic.edu:8080/proofing/t5/6558-hospital-course-1-1.pdf","t5/6558-hospital-course-1-1.pdf")</f>
        <v/>
      </c>
      <c r="E506" t="n">
        <v>108346</v>
      </c>
      <c r="F506" t="n">
        <v>6558</v>
      </c>
      <c r="G506" t="inlineStr">
        <is>
          <t>Discharge summary</t>
        </is>
      </c>
      <c r="H506" t="inlineStr">
        <is>
          <t>hospital-course</t>
        </is>
      </c>
      <c r="I506" t="inlineStr">
        <is>
          <t xml:space="preserve"> Complete workup
revealed no evidence of cardiac compromise (normal enzymes,
EKG).</t>
        </is>
      </c>
    </row>
    <row r="507">
      <c r="A507" t="inlineStr">
        <is>
          <t>6558-hospital-course-1-1</t>
        </is>
      </c>
      <c r="B507" t="inlineStr"/>
      <c r="C507" t="inlineStr"/>
      <c r="D507">
        <f>HYPERLINK("http://nlpdeep.cs.uic.edu:8080/proofing/gsii/6558-hospital-course-1-1.pdf","gsii/6558-hospital-course-1-1.pdf")</f>
        <v/>
      </c>
      <c r="E507" t="n">
        <v>108346</v>
      </c>
      <c r="F507" t="n">
        <v>6558</v>
      </c>
      <c r="G507" t="inlineStr">
        <is>
          <t>Discharge summary</t>
        </is>
      </c>
      <c r="H507" t="inlineStr">
        <is>
          <t>hospital-course</t>
        </is>
      </c>
      <c r="I507" t="inlineStr">
        <is>
          <t xml:space="preserve"> Complete workup
revealed no evidence of cardiac compromise (normal enzymes,
EKG).</t>
        </is>
      </c>
    </row>
    <row r="508">
      <c r="A508" t="inlineStr">
        <is>
          <t>6558-hospital-course-1-2</t>
        </is>
      </c>
      <c r="B508" t="inlineStr"/>
      <c r="C508" t="inlineStr"/>
      <c r="D508">
        <f>HYPERLINK("http://nlpdeep.cs.uic.edu:8080/proofing/t5/6558-hospital-course-1-2.pdf","t5/6558-hospital-course-1-2.pdf")</f>
        <v/>
      </c>
      <c r="E508" t="n">
        <v>108346</v>
      </c>
      <c r="F508" t="n">
        <v>6558</v>
      </c>
      <c r="G508" t="inlineStr">
        <is>
          <t>Discharge summary</t>
        </is>
      </c>
      <c r="H508" t="inlineStr">
        <is>
          <t>hospital-course</t>
        </is>
      </c>
      <c r="I508" t="inlineStr">
        <is>
          <t xml:space="preserve"> CT chest revealed subsegmental PE.</t>
        </is>
      </c>
    </row>
    <row r="509">
      <c r="A509" t="inlineStr">
        <is>
          <t>6558-hospital-course-1-2</t>
        </is>
      </c>
      <c r="B509" t="inlineStr"/>
      <c r="C509" t="inlineStr"/>
      <c r="D509">
        <f>HYPERLINK("http://nlpdeep.cs.uic.edu:8080/proofing/gsii/6558-hospital-course-1-2.pdf","gsii/6558-hospital-course-1-2.pdf")</f>
        <v/>
      </c>
      <c r="E509" t="n">
        <v>108346</v>
      </c>
      <c r="F509" t="n">
        <v>6558</v>
      </c>
      <c r="G509" t="inlineStr">
        <is>
          <t>Discharge summary</t>
        </is>
      </c>
      <c r="H509" t="inlineStr">
        <is>
          <t>hospital-course</t>
        </is>
      </c>
      <c r="I509" t="inlineStr">
        <is>
          <t xml:space="preserve"> CT chest revealed subsegmental PE.</t>
        </is>
      </c>
    </row>
    <row r="510">
      <c r="A510" t="inlineStr">
        <is>
          <t>6558-hospital-course-1-3</t>
        </is>
      </c>
      <c r="B510" t="inlineStr"/>
      <c r="C510" t="inlineStr"/>
      <c r="D510">
        <f>HYPERLINK("http://nlpdeep.cs.uic.edu:8080/proofing/t5/6558-hospital-course-1-3.pdf","t5/6558-hospital-course-1-3.pdf")</f>
        <v/>
      </c>
      <c r="E510" t="n">
        <v>108346</v>
      </c>
      <c r="F510" t="n">
        <v>6558</v>
      </c>
      <c r="G510" t="inlineStr">
        <is>
          <t>Discharge summary</t>
        </is>
      </c>
      <c r="H510" t="inlineStr">
        <is>
          <t>hospital-course</t>
        </is>
      </c>
      <c r="I510" t="inlineStr">
        <is>
          <t xml:space="preserve"> Medicine was
consulted and recommended treatment with 3 months of
anticoagulation.</t>
        </is>
      </c>
    </row>
    <row r="511">
      <c r="A511" t="inlineStr">
        <is>
          <t>6558-hospital-course-1-3</t>
        </is>
      </c>
      <c r="B511" t="inlineStr"/>
      <c r="C511" t="inlineStr"/>
      <c r="D511">
        <f>HYPERLINK("http://nlpdeep.cs.uic.edu:8080/proofing/gsii/6558-hospital-course-1-3.pdf","gsii/6558-hospital-course-1-3.pdf")</f>
        <v/>
      </c>
      <c r="E511" t="n">
        <v>108346</v>
      </c>
      <c r="F511" t="n">
        <v>6558</v>
      </c>
      <c r="G511" t="inlineStr">
        <is>
          <t>Discharge summary</t>
        </is>
      </c>
      <c r="H511" t="inlineStr">
        <is>
          <t>hospital-course</t>
        </is>
      </c>
      <c r="I511" t="inlineStr">
        <is>
          <t xml:space="preserve"> Medicine was
consulted and recommended treatment with 3 months of
anticoagulation.</t>
        </is>
      </c>
    </row>
    <row r="512">
      <c r="A512" t="inlineStr">
        <is>
          <t>6558-hospital-course-2-0</t>
        </is>
      </c>
      <c r="B512" t="inlineStr"/>
      <c r="C512" t="inlineStr"/>
      <c r="D512">
        <f>HYPERLINK("http://nlpdeep.cs.uic.edu:8080/proofing/t5/6558-hospital-course-2-0.pdf","t5/6558-hospital-course-2-0.pdf")</f>
        <v/>
      </c>
      <c r="E512" t="n">
        <v>108346</v>
      </c>
      <c r="F512" t="n">
        <v>6558</v>
      </c>
      <c r="G512" t="inlineStr">
        <is>
          <t>Discharge summary</t>
        </is>
      </c>
      <c r="H512" t="inlineStr">
        <is>
          <t>hospital-course</t>
        </is>
      </c>
      <c r="I512" t="inlineStr">
        <is>
          <t xml:space="preserve">
Patient was begun on coumadin bridged by heparain gtt.</t>
        </is>
      </c>
    </row>
    <row r="513">
      <c r="A513" t="inlineStr">
        <is>
          <t>6558-hospital-course-2-0</t>
        </is>
      </c>
      <c r="B513" t="inlineStr"/>
      <c r="C513" t="inlineStr"/>
      <c r="D513">
        <f>HYPERLINK("http://nlpdeep.cs.uic.edu:8080/proofing/gsii/6558-hospital-course-2-0.pdf","gsii/6558-hospital-course-2-0.pdf")</f>
        <v/>
      </c>
      <c r="E513" t="n">
        <v>108346</v>
      </c>
      <c r="F513" t="n">
        <v>6558</v>
      </c>
      <c r="G513" t="inlineStr">
        <is>
          <t>Discharge summary</t>
        </is>
      </c>
      <c r="H513" t="inlineStr">
        <is>
          <t>hospital-course</t>
        </is>
      </c>
      <c r="I513" t="inlineStr">
        <is>
          <t xml:space="preserve">
Patient was begun on coumadin bridged by heparain gtt.</t>
        </is>
      </c>
    </row>
    <row r="514">
      <c r="A514" t="inlineStr">
        <is>
          <t>6558-hospital-course-2-1</t>
        </is>
      </c>
      <c r="B514" t="inlineStr"/>
      <c r="C514" t="inlineStr"/>
      <c r="D514">
        <f>HYPERLINK("http://nlpdeep.cs.uic.edu:8080/proofing/t5/6558-hospital-course-2-1.pdf","t5/6558-hospital-course-2-1.pdf")</f>
        <v/>
      </c>
      <c r="E514" t="n">
        <v>108346</v>
      </c>
      <c r="F514" t="n">
        <v>6558</v>
      </c>
      <c r="G514" t="inlineStr">
        <is>
          <t>Discharge summary</t>
        </is>
      </c>
      <c r="H514" t="inlineStr">
        <is>
          <t>hospital-course</t>
        </is>
      </c>
      <c r="I514" t="inlineStr">
        <is>
          <t xml:space="preserve"> Once she
was therapeutic, heparin was discontinued and patient was
maintained on coumadin with goal INR [**3-20**].</t>
        </is>
      </c>
    </row>
    <row r="515">
      <c r="A515" t="inlineStr">
        <is>
          <t>6558-hospital-course-2-1</t>
        </is>
      </c>
      <c r="B515" t="inlineStr"/>
      <c r="C515" t="inlineStr"/>
      <c r="D515">
        <f>HYPERLINK("http://nlpdeep.cs.uic.edu:8080/proofing/gsii/6558-hospital-course-2-1.pdf","gsii/6558-hospital-course-2-1.pdf")</f>
        <v/>
      </c>
      <c r="E515" t="n">
        <v>108346</v>
      </c>
      <c r="F515" t="n">
        <v>6558</v>
      </c>
      <c r="G515" t="inlineStr">
        <is>
          <t>Discharge summary</t>
        </is>
      </c>
      <c r="H515" t="inlineStr">
        <is>
          <t>hospital-course</t>
        </is>
      </c>
      <c r="I515" t="inlineStr">
        <is>
          <t xml:space="preserve"> Once she
was therapeutic, heparin was discontinued and patient was
maintained on coumadin with goal INR [**3-20**].</t>
        </is>
      </c>
    </row>
    <row r="516">
      <c r="A516" t="inlineStr">
        <is>
          <t>6558-hospital-course-2-2</t>
        </is>
      </c>
      <c r="B516" t="inlineStr"/>
      <c r="C516" t="inlineStr"/>
      <c r="D516">
        <f>HYPERLINK("http://nlpdeep.cs.uic.edu:8080/proofing/t5/6558-hospital-course-2-2.pdf","t5/6558-hospital-course-2-2.pdf")</f>
        <v/>
      </c>
      <c r="E516" t="n">
        <v>108346</v>
      </c>
      <c r="F516" t="n">
        <v>6558</v>
      </c>
      <c r="G516" t="inlineStr">
        <is>
          <t>Discharge summary</t>
        </is>
      </c>
      <c r="H516" t="inlineStr">
        <is>
          <t>hospital-course</t>
        </is>
      </c>
      <c r="I516" t="inlineStr">
        <is>
          <t xml:space="preserve"> Given her complicated
post-operative course, she was deemed most appropriate for
transfer to an extended care facility.</t>
        </is>
      </c>
    </row>
    <row r="517">
      <c r="A517" t="inlineStr">
        <is>
          <t>6558-hospital-course-2-2</t>
        </is>
      </c>
      <c r="B517" t="inlineStr"/>
      <c r="C517" t="inlineStr"/>
      <c r="D517">
        <f>HYPERLINK("http://nlpdeep.cs.uic.edu:8080/proofing/gsii/6558-hospital-course-2-2.pdf","gsii/6558-hospital-course-2-2.pdf")</f>
        <v/>
      </c>
      <c r="E517" t="n">
        <v>108346</v>
      </c>
      <c r="F517" t="n">
        <v>6558</v>
      </c>
      <c r="G517" t="inlineStr">
        <is>
          <t>Discharge summary</t>
        </is>
      </c>
      <c r="H517" t="inlineStr">
        <is>
          <t>hospital-course</t>
        </is>
      </c>
      <c r="I517" t="inlineStr">
        <is>
          <t xml:space="preserve"> Given her complicated
post-operative course, she was deemed most appropriate for
transfer to an extended care facility.</t>
        </is>
      </c>
    </row>
    <row r="518">
      <c r="A518" t="inlineStr">
        <is>
          <t>6558-hospital-course-2-3</t>
        </is>
      </c>
      <c r="B518" t="inlineStr"/>
      <c r="C518" t="inlineStr"/>
      <c r="D518">
        <f>HYPERLINK("http://nlpdeep.cs.uic.edu:8080/proofing/t5/6558-hospital-course-2-3.pdf","t5/6558-hospital-course-2-3.pdf")</f>
        <v/>
      </c>
      <c r="E518" t="n">
        <v>108346</v>
      </c>
      <c r="F518" t="n">
        <v>6558</v>
      </c>
      <c r="G518" t="inlineStr">
        <is>
          <t>Discharge summary</t>
        </is>
      </c>
      <c r="H518" t="inlineStr">
        <is>
          <t>hospital-course</t>
        </is>
      </c>
      <c r="I518" t="inlineStr">
        <is>
          <t xml:space="preserve"> INR should be closely
monitored and coumadin adjusted to the target range, and PT
should be continued at the facility.</t>
        </is>
      </c>
    </row>
    <row r="519">
      <c r="A519" t="inlineStr">
        <is>
          <t>6558-hospital-course-2-3</t>
        </is>
      </c>
      <c r="B519" t="inlineStr"/>
      <c r="C519" t="inlineStr"/>
      <c r="D519">
        <f>HYPERLINK("http://nlpdeep.cs.uic.edu:8080/proofing/gsii/6558-hospital-course-2-3.pdf","gsii/6558-hospital-course-2-3.pdf")</f>
        <v/>
      </c>
      <c r="E519" t="n">
        <v>108346</v>
      </c>
      <c r="F519" t="n">
        <v>6558</v>
      </c>
      <c r="G519" t="inlineStr">
        <is>
          <t>Discharge summary</t>
        </is>
      </c>
      <c r="H519" t="inlineStr">
        <is>
          <t>hospital-course</t>
        </is>
      </c>
      <c r="I519" t="inlineStr">
        <is>
          <t xml:space="preserve"> INR should be closely
monitored and coumadin adjusted to the target range, and PT
should be continued at the facility.</t>
        </is>
      </c>
    </row>
    <row r="520">
      <c r="A520" t="inlineStr">
        <is>
          <t>6558-medication-history-0-0</t>
        </is>
      </c>
      <c r="B520" t="inlineStr"/>
      <c r="C520" t="inlineStr"/>
      <c r="D520">
        <f>HYPERLINK("http://nlpdeep.cs.uic.edu:8080/proofing/t5/6558-medication-history-0-0.pdf","t5/6558-medication-history-0-0.pdf")</f>
        <v/>
      </c>
      <c r="E520" t="n">
        <v>108346</v>
      </c>
      <c r="F520" t="n">
        <v>6558</v>
      </c>
      <c r="G520" t="inlineStr">
        <is>
          <t>Discharge summary</t>
        </is>
      </c>
      <c r="H520" t="inlineStr">
        <is>
          <t>medication-history</t>
        </is>
      </c>
      <c r="I520" t="inlineStr">
        <is>
          <t>acetaminophen-codeine, alendronate, amlodipine 5, ergocalciferol
, estradiol, fexofenadine , ibuprofen, levothyroxine 112 mcg,
metronidazole 0.75 % Cream, omeprazole 20, simvastatin 2</t>
        </is>
      </c>
    </row>
    <row r="521">
      <c r="A521" t="inlineStr">
        <is>
          <t>6558-medication-history-0-0</t>
        </is>
      </c>
      <c r="B521" t="inlineStr"/>
      <c r="C521" t="inlineStr"/>
      <c r="D521">
        <f>HYPERLINK("http://nlpdeep.cs.uic.edu:8080/proofing/gsii/6558-medication-history-0-0.pdf","gsii/6558-medication-history-0-0.pdf")</f>
        <v/>
      </c>
      <c r="E521" t="n">
        <v>108346</v>
      </c>
      <c r="F521" t="n">
        <v>6558</v>
      </c>
      <c r="G521" t="inlineStr">
        <is>
          <t>Discharge summary</t>
        </is>
      </c>
      <c r="H521" t="inlineStr">
        <is>
          <t>medication-history</t>
        </is>
      </c>
      <c r="I521" t="inlineStr">
        <is>
          <t>acetaminophen-codeine, alendronate, amlodipine 5, ergocalciferol
, estradiol, fexofenadine , ibuprofen, levothyroxine 112 mcg,
metronidazole 0.75 % Cream, omeprazole 20, simvastatin 2</t>
        </is>
      </c>
    </row>
    <row r="522">
      <c r="A522" t="inlineStr">
        <is>
          <t>6558-discharge-medications-0-0</t>
        </is>
      </c>
      <c r="B522" t="inlineStr"/>
      <c r="C522" t="inlineStr"/>
      <c r="D522">
        <f>HYPERLINK("http://nlpdeep.cs.uic.edu:8080/proofing/t5/6558-discharge-medications-0-0.pdf","t5/6558-discharge-medications-0-0.pdf")</f>
        <v/>
      </c>
      <c r="E522" t="n">
        <v>108346</v>
      </c>
      <c r="F522" t="n">
        <v>6558</v>
      </c>
      <c r="G522" t="inlineStr">
        <is>
          <t>Discharge summary</t>
        </is>
      </c>
      <c r="H522" t="inlineStr">
        <is>
          <t>discharge-medications</t>
        </is>
      </c>
      <c r="I522" t="inlineStr">
        <is>
          <t>senna 8.6 mg Capsule Sig: One (1) Tablet PO BID (2 times a
day).</t>
        </is>
      </c>
    </row>
    <row r="523">
      <c r="A523" t="inlineStr">
        <is>
          <t>6558-discharge-medications-0-0</t>
        </is>
      </c>
      <c r="B523" t="inlineStr"/>
      <c r="C523" t="inlineStr"/>
      <c r="D523">
        <f>HYPERLINK("http://nlpdeep.cs.uic.edu:8080/proofing/gsii/6558-discharge-medications-0-0.pdf","gsii/6558-discharge-medications-0-0.pdf")</f>
        <v/>
      </c>
      <c r="E523" t="n">
        <v>108346</v>
      </c>
      <c r="F523" t="n">
        <v>6558</v>
      </c>
      <c r="G523" t="inlineStr">
        <is>
          <t>Discharge summary</t>
        </is>
      </c>
      <c r="H523" t="inlineStr">
        <is>
          <t>discharge-medications</t>
        </is>
      </c>
      <c r="I523" t="inlineStr">
        <is>
          <t>senna 8.6 mg Capsule Sig: One (1) Tablet PO BID (2 times a
day).</t>
        </is>
      </c>
    </row>
    <row r="524">
      <c r="A524" t="inlineStr">
        <is>
          <t>6558-discharge-medications-0-1</t>
        </is>
      </c>
      <c r="B524" t="inlineStr"/>
      <c r="C524" t="inlineStr"/>
      <c r="D524">
        <f>HYPERLINK("http://nlpdeep.cs.uic.edu:8080/proofing/t5/6558-discharge-medications-0-1.pdf","t5/6558-discharge-medications-0-1.pdf")</f>
        <v/>
      </c>
      <c r="E524" t="n">
        <v>108346</v>
      </c>
      <c r="F524" t="n">
        <v>6558</v>
      </c>
      <c r="G524" t="inlineStr">
        <is>
          <t>Discharge summary</t>
        </is>
      </c>
      <c r="H524" t="inlineStr">
        <is>
          <t>discharge-medications</t>
        </is>
      </c>
      <c r="I524" t="inlineStr">
        <is>
          <t>simvastatin 20 mg Tablet Sig: One (1) Tablet PO DAILY
(Daily).</t>
        </is>
      </c>
    </row>
    <row r="525">
      <c r="A525" t="inlineStr">
        <is>
          <t>6558-discharge-medications-0-1</t>
        </is>
      </c>
      <c r="B525" t="inlineStr"/>
      <c r="C525" t="inlineStr"/>
      <c r="D525">
        <f>HYPERLINK("http://nlpdeep.cs.uic.edu:8080/proofing/gsii/6558-discharge-medications-0-1.pdf","gsii/6558-discharge-medications-0-1.pdf")</f>
        <v/>
      </c>
      <c r="E525" t="n">
        <v>108346</v>
      </c>
      <c r="F525" t="n">
        <v>6558</v>
      </c>
      <c r="G525" t="inlineStr">
        <is>
          <t>Discharge summary</t>
        </is>
      </c>
      <c r="H525" t="inlineStr">
        <is>
          <t>discharge-medications</t>
        </is>
      </c>
      <c r="I525" t="inlineStr">
        <is>
          <t>simvastatin 20 mg Tablet Sig: One (1) Tablet PO DAILY
(Daily).</t>
        </is>
      </c>
    </row>
    <row r="526">
      <c r="A526" t="inlineStr">
        <is>
          <t>6558-discharge-medications-0-2</t>
        </is>
      </c>
      <c r="B526" t="inlineStr"/>
      <c r="C526" t="inlineStr"/>
      <c r="D526">
        <f>HYPERLINK("http://nlpdeep.cs.uic.edu:8080/proofing/t5/6558-discharge-medications-0-2.pdf","t5/6558-discharge-medications-0-2.pdf")</f>
        <v/>
      </c>
      <c r="E526" t="n">
        <v>108346</v>
      </c>
      <c r="F526" t="n">
        <v>6558</v>
      </c>
      <c r="G526" t="inlineStr">
        <is>
          <t>Discharge summary</t>
        </is>
      </c>
      <c r="H526" t="inlineStr">
        <is>
          <t>discharge-medications</t>
        </is>
      </c>
      <c r="I526" t="inlineStr">
        <is>
          <t>amlodipine 5 mg Tablet Sig: One (1) Tablet PO DAILY (Daily).</t>
        </is>
      </c>
    </row>
    <row r="527">
      <c r="A527" t="inlineStr">
        <is>
          <t>6558-discharge-medications-0-2</t>
        </is>
      </c>
      <c r="B527" t="inlineStr"/>
      <c r="C527" t="inlineStr"/>
      <c r="D527">
        <f>HYPERLINK("http://nlpdeep.cs.uic.edu:8080/proofing/gsii/6558-discharge-medications-0-2.pdf","gsii/6558-discharge-medications-0-2.pdf")</f>
        <v/>
      </c>
      <c r="E527" t="n">
        <v>108346</v>
      </c>
      <c r="F527" t="n">
        <v>6558</v>
      </c>
      <c r="G527" t="inlineStr">
        <is>
          <t>Discharge summary</t>
        </is>
      </c>
      <c r="H527" t="inlineStr">
        <is>
          <t>discharge-medications</t>
        </is>
      </c>
      <c r="I527" t="inlineStr">
        <is>
          <t>amlodipine 5 mg Tablet Sig: One (1) Tablet PO DAILY (Daily).</t>
        </is>
      </c>
    </row>
    <row r="528">
      <c r="A528" t="inlineStr">
        <is>
          <t>6558-discharge-instructions-0-0</t>
        </is>
      </c>
      <c r="B528" t="inlineStr"/>
      <c r="C528" t="inlineStr"/>
      <c r="D528">
        <f>HYPERLINK("http://nlpdeep.cs.uic.edu:8080/proofing/t5/6558-discharge-instructions-0-0.pdf","t5/6558-discharge-instructions-0-0.pdf")</f>
        <v/>
      </c>
      <c r="E528" t="n">
        <v>108346</v>
      </c>
      <c r="F528" t="n">
        <v>6558</v>
      </c>
      <c r="G528" t="inlineStr">
        <is>
          <t>Discharge summary</t>
        </is>
      </c>
      <c r="H528" t="inlineStr">
        <is>
          <t>discharge-instructions</t>
        </is>
      </c>
      <c r="I528" t="inlineStr"/>
    </row>
    <row r="529">
      <c r="A529" t="inlineStr">
        <is>
          <t>6558-discharge-instructions-0-0</t>
        </is>
      </c>
      <c r="B529" t="inlineStr"/>
      <c r="C529" t="inlineStr"/>
      <c r="D529">
        <f>HYPERLINK("http://nlpdeep.cs.uic.edu:8080/proofing/gsii/6558-discharge-instructions-0-0.pdf","gsii/6558-discharge-instructions-0-0.pdf")</f>
        <v/>
      </c>
      <c r="E529" t="n">
        <v>108346</v>
      </c>
      <c r="F529" t="n">
        <v>6558</v>
      </c>
      <c r="G529" t="inlineStr">
        <is>
          <t>Discharge summary</t>
        </is>
      </c>
      <c r="H529" t="inlineStr">
        <is>
          <t>discharge-instructions</t>
        </is>
      </c>
      <c r="I529" t="inlineStr"/>
    </row>
    <row r="530">
      <c r="A530" t="inlineStr">
        <is>
          <t>6558-discharge-instructions-1-0</t>
        </is>
      </c>
      <c r="B530" t="inlineStr"/>
      <c r="C530" t="inlineStr"/>
      <c r="D530">
        <f>HYPERLINK("http://nlpdeep.cs.uic.edu:8080/proofing/t5/6558-discharge-instructions-1-0.pdf","t5/6558-discharge-instructions-1-0.pdf")</f>
        <v/>
      </c>
      <c r="E530" t="n">
        <v>108346</v>
      </c>
      <c r="F530" t="n">
        <v>6558</v>
      </c>
      <c r="G530" t="inlineStr">
        <is>
          <t>Discharge summary</t>
        </is>
      </c>
      <c r="H530" t="inlineStr">
        <is>
          <t>discharge-instructions</t>
        </is>
      </c>
      <c r="I530" t="inlineStr"/>
    </row>
    <row r="531">
      <c r="A531" t="inlineStr">
        <is>
          <t>6558-discharge-instructions-1-0</t>
        </is>
      </c>
      <c r="B531" t="inlineStr"/>
      <c r="C531" t="inlineStr"/>
      <c r="D531">
        <f>HYPERLINK("http://nlpdeep.cs.uic.edu:8080/proofing/gsii/6558-discharge-instructions-1-0.pdf","gsii/6558-discharge-instructions-1-0.pdf")</f>
        <v/>
      </c>
      <c r="E531" t="n">
        <v>108346</v>
      </c>
      <c r="F531" t="n">
        <v>6558</v>
      </c>
      <c r="G531" t="inlineStr">
        <is>
          <t>Discharge summary</t>
        </is>
      </c>
      <c r="H531" t="inlineStr">
        <is>
          <t>discharge-instructions</t>
        </is>
      </c>
      <c r="I531" t="inlineStr"/>
    </row>
    <row r="532">
      <c r="A532" t="inlineStr">
        <is>
          <t>6558-discharge-instructions-2-0</t>
        </is>
      </c>
      <c r="B532" t="inlineStr"/>
      <c r="C532" t="inlineStr"/>
      <c r="D532">
        <f>HYPERLINK("http://nlpdeep.cs.uic.edu:8080/proofing/t5/6558-discharge-instructions-2-0.pdf","t5/6558-discharge-instructions-2-0.pdf")</f>
        <v/>
      </c>
      <c r="E532" t="n">
        <v>108346</v>
      </c>
      <c r="F532" t="n">
        <v>6558</v>
      </c>
      <c r="G532" t="inlineStr">
        <is>
          <t>Discharge summary</t>
        </is>
      </c>
      <c r="H532" t="inlineStr">
        <is>
          <t>discharge-instructions</t>
        </is>
      </c>
      <c r="I532" t="inlineStr"/>
    </row>
    <row r="533">
      <c r="A533" t="inlineStr">
        <is>
          <t>6558-discharge-instructions-2-0</t>
        </is>
      </c>
      <c r="B533" t="inlineStr"/>
      <c r="C533" t="inlineStr"/>
      <c r="D533">
        <f>HYPERLINK("http://nlpdeep.cs.uic.edu:8080/proofing/gsii/6558-discharge-instructions-2-0.pdf","gsii/6558-discharge-instructions-2-0.pdf")</f>
        <v/>
      </c>
      <c r="E533" t="n">
        <v>108346</v>
      </c>
      <c r="F533" t="n">
        <v>6558</v>
      </c>
      <c r="G533" t="inlineStr">
        <is>
          <t>Discharge summary</t>
        </is>
      </c>
      <c r="H533" t="inlineStr">
        <is>
          <t>discharge-instructions</t>
        </is>
      </c>
      <c r="I533" t="inlineStr"/>
    </row>
    <row r="534">
      <c r="A534" t="inlineStr">
        <is>
          <t>6558-discharge-instructions-2-1</t>
        </is>
      </c>
      <c r="B534" t="inlineStr"/>
      <c r="C534" t="inlineStr"/>
      <c r="D534">
        <f>HYPERLINK("http://nlpdeep.cs.uic.edu:8080/proofing/t5/6558-discharge-instructions-2-1.pdf","t5/6558-discharge-instructions-2-1.pdf")</f>
        <v/>
      </c>
      <c r="E534" t="n">
        <v>108346</v>
      </c>
      <c r="F534" t="n">
        <v>6558</v>
      </c>
      <c r="G534" t="inlineStr">
        <is>
          <t>Discharge summary</t>
        </is>
      </c>
      <c r="H534" t="inlineStr">
        <is>
          <t>discharge-instructions</t>
        </is>
      </c>
      <c r="I534" t="inlineStr">
        <is>
          <t>You will be more comfortable if you do not sit or stand
more than ~45 minutes without getting up and walking around.</t>
        </is>
      </c>
    </row>
    <row r="535">
      <c r="A535" t="inlineStr">
        <is>
          <t>6558-discharge-instructions-2-1</t>
        </is>
      </c>
      <c r="B535" t="inlineStr"/>
      <c r="C535" t="inlineStr"/>
      <c r="D535">
        <f>HYPERLINK("http://nlpdeep.cs.uic.edu:8080/proofing/gsii/6558-discharge-instructions-2-1.pdf","gsii/6558-discharge-instructions-2-1.pdf")</f>
        <v/>
      </c>
      <c r="E535" t="n">
        <v>108346</v>
      </c>
      <c r="F535" t="n">
        <v>6558</v>
      </c>
      <c r="G535" t="inlineStr">
        <is>
          <t>Discharge summary</t>
        </is>
      </c>
      <c r="H535" t="inlineStr">
        <is>
          <t>discharge-instructions</t>
        </is>
      </c>
      <c r="I535" t="inlineStr">
        <is>
          <t>You will be more comfortable if you do not sit or stand
more than ~45 minutes without getting up and walking around.</t>
        </is>
      </c>
    </row>
    <row r="536">
      <c r="A536" t="inlineStr">
        <is>
          <t>6558-discharge-instructions-3-0</t>
        </is>
      </c>
      <c r="B536" t="inlineStr"/>
      <c r="C536" t="inlineStr"/>
      <c r="D536">
        <f>HYPERLINK("http://nlpdeep.cs.uic.edu:8080/proofing/t5/6558-discharge-instructions-3-0.pdf","t5/6558-discharge-instructions-3-0.pdf")</f>
        <v/>
      </c>
      <c r="E536" t="n">
        <v>108346</v>
      </c>
      <c r="F536" t="n">
        <v>6558</v>
      </c>
      <c r="G536" t="inlineStr">
        <is>
          <t>Discharge summary</t>
        </is>
      </c>
      <c r="H536" t="inlineStr">
        <is>
          <t>discharge-instructions</t>
        </is>
      </c>
      <c r="I536" t="inlineStr">
        <is>
          <t xml:space="preserve">
-	Rehabilitation/ Physical Therapy:
o	2-3 times a day you should go for a walk for 15-30 minutes as
part of your recovery.</t>
        </is>
      </c>
    </row>
    <row r="537">
      <c r="A537" t="inlineStr">
        <is>
          <t>6558-discharge-instructions-3-0</t>
        </is>
      </c>
      <c r="B537" t="inlineStr"/>
      <c r="C537" t="inlineStr"/>
      <c r="D537">
        <f>HYPERLINK("http://nlpdeep.cs.uic.edu:8080/proofing/gsii/6558-discharge-instructions-3-0.pdf","gsii/6558-discharge-instructions-3-0.pdf")</f>
        <v/>
      </c>
      <c r="E537" t="n">
        <v>108346</v>
      </c>
      <c r="F537" t="n">
        <v>6558</v>
      </c>
      <c r="G537" t="inlineStr">
        <is>
          <t>Discharge summary</t>
        </is>
      </c>
      <c r="H537" t="inlineStr">
        <is>
          <t>discharge-instructions</t>
        </is>
      </c>
      <c r="I537" t="inlineStr">
        <is>
          <t xml:space="preserve">
-	Rehabilitation/ Physical Therapy:
o	2-3 times a day you should go for a walk for 15-30 minutes as
part of your recovery.</t>
        </is>
      </c>
    </row>
    <row r="538">
      <c r="A538" t="inlineStr">
        <is>
          <t>6558-discharge-instructions-3-1</t>
        </is>
      </c>
      <c r="B538" t="inlineStr"/>
      <c r="C538" t="inlineStr"/>
      <c r="D538">
        <f>HYPERLINK("http://nlpdeep.cs.uic.edu:8080/proofing/t5/6558-discharge-instructions-3-1.pdf","t5/6558-discharge-instructions-3-1.pdf")</f>
        <v/>
      </c>
      <c r="E538" t="n">
        <v>108346</v>
      </c>
      <c r="F538" t="n">
        <v>6558</v>
      </c>
      <c r="G538" t="inlineStr">
        <is>
          <t>Discharge summary</t>
        </is>
      </c>
      <c r="H538" t="inlineStr">
        <is>
          <t>discharge-instructions</t>
        </is>
      </c>
      <c r="I538" t="inlineStr">
        <is>
          <t xml:space="preserve"> You can walk as much as you can
tolerate.</t>
        </is>
      </c>
    </row>
    <row r="539">
      <c r="A539" t="inlineStr">
        <is>
          <t>6558-discharge-instructions-3-1</t>
        </is>
      </c>
      <c r="B539" t="inlineStr"/>
      <c r="C539" t="inlineStr"/>
      <c r="D539">
        <f>HYPERLINK("http://nlpdeep.cs.uic.edu:8080/proofing/gsii/6558-discharge-instructions-3-1.pdf","gsii/6558-discharge-instructions-3-1.pdf")</f>
        <v/>
      </c>
      <c r="E539" t="n">
        <v>108346</v>
      </c>
      <c r="F539" t="n">
        <v>6558</v>
      </c>
      <c r="G539" t="inlineStr">
        <is>
          <t>Discharge summary</t>
        </is>
      </c>
      <c r="H539" t="inlineStr">
        <is>
          <t>discharge-instructions</t>
        </is>
      </c>
      <c r="I539" t="inlineStr">
        <is>
          <t xml:space="preserve"> You can walk as much as you can
tolerate.</t>
        </is>
      </c>
    </row>
    <row r="540">
      <c r="A540" t="inlineStr">
        <is>
          <t>6558-discharge-instructions-3-2</t>
        </is>
      </c>
      <c r="B540" t="inlineStr"/>
      <c r="C540" t="inlineStr"/>
      <c r="D540">
        <f>HYPERLINK("http://nlpdeep.cs.uic.edu:8080/proofing/t5/6558-discharge-instructions-3-2.pdf","t5/6558-discharge-instructions-3-2.pdf")</f>
        <v/>
      </c>
      <c r="E540" t="n">
        <v>108346</v>
      </c>
      <c r="F540" t="n">
        <v>6558</v>
      </c>
      <c r="G540" t="inlineStr">
        <is>
          <t>Discharge summary</t>
        </is>
      </c>
      <c r="H540" t="inlineStr">
        <is>
          <t>discharge-instructions</t>
        </is>
      </c>
      <c r="I540" t="inlineStr">
        <is>
          <t xml:space="preserve">
o	Limit any kind of lifting.</t>
        </is>
      </c>
    </row>
    <row r="541">
      <c r="A541" t="inlineStr">
        <is>
          <t>6558-discharge-instructions-3-2</t>
        </is>
      </c>
      <c r="B541" t="inlineStr"/>
      <c r="C541" t="inlineStr"/>
      <c r="D541">
        <f>HYPERLINK("http://nlpdeep.cs.uic.edu:8080/proofing/gsii/6558-discharge-instructions-3-2.pdf","gsii/6558-discharge-instructions-3-2.pdf")</f>
        <v/>
      </c>
      <c r="E541" t="n">
        <v>108346</v>
      </c>
      <c r="F541" t="n">
        <v>6558</v>
      </c>
      <c r="G541" t="inlineStr">
        <is>
          <t>Discharge summary</t>
        </is>
      </c>
      <c r="H541" t="inlineStr">
        <is>
          <t>discharge-instructions</t>
        </is>
      </c>
      <c r="I541" t="inlineStr">
        <is>
          <t xml:space="preserve">
o	Limit any kind of lifting.</t>
        </is>
      </c>
    </row>
    <row r="542">
      <c r="A542" t="inlineStr">
        <is>
          <t>6558-discharge-instructions-4-0</t>
        </is>
      </c>
      <c r="B542" t="inlineStr"/>
      <c r="C542" t="inlineStr"/>
      <c r="D542">
        <f>HYPERLINK("http://nlpdeep.cs.uic.edu:8080/proofing/t5/6558-discharge-instructions-4-0.pdf","t5/6558-discharge-instructions-4-0.pdf")</f>
        <v/>
      </c>
      <c r="E542" t="n">
        <v>108346</v>
      </c>
      <c r="F542" t="n">
        <v>6558</v>
      </c>
      <c r="G542" t="inlineStr">
        <is>
          <t>Discharge summary</t>
        </is>
      </c>
      <c r="H542" t="inlineStr">
        <is>
          <t>discharge-instructions</t>
        </is>
      </c>
      <c r="I542" t="inlineStr">
        <is>
          <t xml:space="preserve">
-	Diet: Eat a normal healthy diet.</t>
        </is>
      </c>
    </row>
    <row r="543">
      <c r="A543" t="inlineStr">
        <is>
          <t>6558-discharge-instructions-4-0</t>
        </is>
      </c>
      <c r="B543" t="inlineStr"/>
      <c r="C543" t="inlineStr"/>
      <c r="D543">
        <f>HYPERLINK("http://nlpdeep.cs.uic.edu:8080/proofing/gsii/6558-discharge-instructions-4-0.pdf","gsii/6558-discharge-instructions-4-0.pdf")</f>
        <v/>
      </c>
      <c r="E543" t="n">
        <v>108346</v>
      </c>
      <c r="F543" t="n">
        <v>6558</v>
      </c>
      <c r="G543" t="inlineStr">
        <is>
          <t>Discharge summary</t>
        </is>
      </c>
      <c r="H543" t="inlineStr">
        <is>
          <t>discharge-instructions</t>
        </is>
      </c>
      <c r="I543" t="inlineStr">
        <is>
          <t xml:space="preserve">
-	Diet: Eat a normal healthy diet.</t>
        </is>
      </c>
    </row>
    <row r="544">
      <c r="A544" t="inlineStr">
        <is>
          <t>6558-discharge-instructions-4-1</t>
        </is>
      </c>
      <c r="B544" t="inlineStr"/>
      <c r="C544" t="inlineStr"/>
      <c r="D544">
        <f>HYPERLINK("http://nlpdeep.cs.uic.edu:8080/proofing/t5/6558-discharge-instructions-4-1.pdf","t5/6558-discharge-instructions-4-1.pdf")</f>
        <v/>
      </c>
      <c r="E544" t="n">
        <v>108346</v>
      </c>
      <c r="F544" t="n">
        <v>6558</v>
      </c>
      <c r="G544" t="inlineStr">
        <is>
          <t>Discharge summary</t>
        </is>
      </c>
      <c r="H544" t="inlineStr">
        <is>
          <t>discharge-instructions</t>
        </is>
      </c>
      <c r="I544" t="inlineStr">
        <is>
          <t>You may have some
constipation after surgery.</t>
        </is>
      </c>
    </row>
    <row r="545">
      <c r="A545" t="inlineStr">
        <is>
          <t>6558-discharge-instructions-4-1</t>
        </is>
      </c>
      <c r="B545" t="inlineStr"/>
      <c r="C545" t="inlineStr"/>
      <c r="D545">
        <f>HYPERLINK("http://nlpdeep.cs.uic.edu:8080/proofing/gsii/6558-discharge-instructions-4-1.pdf","gsii/6558-discharge-instructions-4-1.pdf")</f>
        <v/>
      </c>
      <c r="E545" t="n">
        <v>108346</v>
      </c>
      <c r="F545" t="n">
        <v>6558</v>
      </c>
      <c r="G545" t="inlineStr">
        <is>
          <t>Discharge summary</t>
        </is>
      </c>
      <c r="H545" t="inlineStr">
        <is>
          <t>discharge-instructions</t>
        </is>
      </c>
      <c r="I545" t="inlineStr">
        <is>
          <t>You may have some
constipation after surgery.</t>
        </is>
      </c>
    </row>
    <row r="546">
      <c r="A546" t="inlineStr">
        <is>
          <t>6558-discharge-instructions-4-2</t>
        </is>
      </c>
      <c r="B546" t="inlineStr"/>
      <c r="C546" t="inlineStr"/>
      <c r="D546">
        <f>HYPERLINK("http://nlpdeep.cs.uic.edu:8080/proofing/t5/6558-discharge-instructions-4-2.pdf","t5/6558-discharge-instructions-4-2.pdf")</f>
        <v/>
      </c>
      <c r="E546" t="n">
        <v>108346</v>
      </c>
      <c r="F546" t="n">
        <v>6558</v>
      </c>
      <c r="G546" t="inlineStr">
        <is>
          <t>Discharge summary</t>
        </is>
      </c>
      <c r="H546" t="inlineStr">
        <is>
          <t>discharge-instructions</t>
        </is>
      </c>
      <c r="I546" t="inlineStr">
        <is>
          <t xml:space="preserve"> You have been given medication to
help with this issue.</t>
        </is>
      </c>
    </row>
    <row r="547">
      <c r="A547" t="inlineStr">
        <is>
          <t>6558-discharge-instructions-4-2</t>
        </is>
      </c>
      <c r="B547" t="inlineStr"/>
      <c r="C547" t="inlineStr"/>
      <c r="D547">
        <f>HYPERLINK("http://nlpdeep.cs.uic.edu:8080/proofing/gsii/6558-discharge-instructions-4-2.pdf","gsii/6558-discharge-instructions-4-2.pdf")</f>
        <v/>
      </c>
      <c r="E547" t="n">
        <v>108346</v>
      </c>
      <c r="F547" t="n">
        <v>6558</v>
      </c>
      <c r="G547" t="inlineStr">
        <is>
          <t>Discharge summary</t>
        </is>
      </c>
      <c r="H547" t="inlineStr">
        <is>
          <t>discharge-instructions</t>
        </is>
      </c>
      <c r="I547" t="inlineStr">
        <is>
          <t xml:space="preserve"> You have been given medication to
help with this issue.</t>
        </is>
      </c>
    </row>
    <row r="548">
      <c r="A548" t="inlineStr">
        <is>
          <t>6558-discharge-instructions-5-0</t>
        </is>
      </c>
      <c r="B548" t="inlineStr"/>
      <c r="C548" t="inlineStr"/>
      <c r="D548">
        <f>HYPERLINK("http://nlpdeep.cs.uic.edu:8080/proofing/t5/6558-discharge-instructions-5-0.pdf","t5/6558-discharge-instructions-5-0.pdf")</f>
        <v/>
      </c>
      <c r="E548" t="n">
        <v>108346</v>
      </c>
      <c r="F548" t="n">
        <v>6558</v>
      </c>
      <c r="G548" t="inlineStr">
        <is>
          <t>Discharge summary</t>
        </is>
      </c>
      <c r="H548" t="inlineStr">
        <is>
          <t>discharge-instructions</t>
        </is>
      </c>
      <c r="I548" t="inlineStr">
        <is>
          <t xml:space="preserve">
-	Brace: You may have been given a brace.</t>
        </is>
      </c>
    </row>
    <row r="549">
      <c r="A549" t="inlineStr">
        <is>
          <t>6558-discharge-instructions-5-0</t>
        </is>
      </c>
      <c r="B549" t="inlineStr"/>
      <c r="C549" t="inlineStr"/>
      <c r="D549">
        <f>HYPERLINK("http://nlpdeep.cs.uic.edu:8080/proofing/gsii/6558-discharge-instructions-5-0.pdf","gsii/6558-discharge-instructions-5-0.pdf")</f>
        <v/>
      </c>
      <c r="E549" t="n">
        <v>108346</v>
      </c>
      <c r="F549" t="n">
        <v>6558</v>
      </c>
      <c r="G549" t="inlineStr">
        <is>
          <t>Discharge summary</t>
        </is>
      </c>
      <c r="H549" t="inlineStr">
        <is>
          <t>discharge-instructions</t>
        </is>
      </c>
      <c r="I549" t="inlineStr">
        <is>
          <t xml:space="preserve">
-	Brace: You may have been given a brace.</t>
        </is>
      </c>
    </row>
    <row r="550">
      <c r="A550" t="inlineStr">
        <is>
          <t>6558-discharge-instructions-5-1</t>
        </is>
      </c>
      <c r="B550" t="inlineStr"/>
      <c r="C550" t="inlineStr"/>
      <c r="D550">
        <f>HYPERLINK("http://nlpdeep.cs.uic.edu:8080/proofing/t5/6558-discharge-instructions-5-1.pdf","t5/6558-discharge-instructions-5-1.pdf")</f>
        <v/>
      </c>
      <c r="E550" t="n">
        <v>108346</v>
      </c>
      <c r="F550" t="n">
        <v>6558</v>
      </c>
      <c r="G550" t="inlineStr">
        <is>
          <t>Discharge summary</t>
        </is>
      </c>
      <c r="H550" t="inlineStr">
        <is>
          <t>discharge-instructions</t>
        </is>
      </c>
      <c r="I550" t="inlineStr">
        <is>
          <t>This brace is to be
worn when you are walking.</t>
        </is>
      </c>
    </row>
    <row r="551">
      <c r="A551" t="inlineStr">
        <is>
          <t>6558-discharge-instructions-5-1</t>
        </is>
      </c>
      <c r="B551" t="inlineStr"/>
      <c r="C551" t="inlineStr"/>
      <c r="D551">
        <f>HYPERLINK("http://nlpdeep.cs.uic.edu:8080/proofing/gsii/6558-discharge-instructions-5-1.pdf","gsii/6558-discharge-instructions-5-1.pdf")</f>
        <v/>
      </c>
      <c r="E551" t="n">
        <v>108346</v>
      </c>
      <c r="F551" t="n">
        <v>6558</v>
      </c>
      <c r="G551" t="inlineStr">
        <is>
          <t>Discharge summary</t>
        </is>
      </c>
      <c r="H551" t="inlineStr">
        <is>
          <t>discharge-instructions</t>
        </is>
      </c>
      <c r="I551" t="inlineStr">
        <is>
          <t>This brace is to be
worn when you are walking.</t>
        </is>
      </c>
    </row>
    <row r="552">
      <c r="A552" t="inlineStr">
        <is>
          <t>6558-discharge-instructions-5-2</t>
        </is>
      </c>
      <c r="B552" t="inlineStr"/>
      <c r="C552" t="inlineStr"/>
      <c r="D552">
        <f>HYPERLINK("http://nlpdeep.cs.uic.edu:8080/proofing/t5/6558-discharge-instructions-5-2.pdf","t5/6558-discharge-instructions-5-2.pdf")</f>
        <v/>
      </c>
      <c r="E552" t="n">
        <v>108346</v>
      </c>
      <c r="F552" t="n">
        <v>6558</v>
      </c>
      <c r="G552" t="inlineStr">
        <is>
          <t>Discharge summary</t>
        </is>
      </c>
      <c r="H552" t="inlineStr">
        <is>
          <t>discharge-instructions</t>
        </is>
      </c>
      <c r="I552" t="inlineStr">
        <is>
          <t>You may take it off when sitting in a
chair or while lying in bed.</t>
        </is>
      </c>
    </row>
    <row r="553">
      <c r="A553" t="inlineStr">
        <is>
          <t>6558-discharge-instructions-5-2</t>
        </is>
      </c>
      <c r="B553" t="inlineStr"/>
      <c r="C553" t="inlineStr"/>
      <c r="D553">
        <f>HYPERLINK("http://nlpdeep.cs.uic.edu:8080/proofing/gsii/6558-discharge-instructions-5-2.pdf","gsii/6558-discharge-instructions-5-2.pdf")</f>
        <v/>
      </c>
      <c r="E553" t="n">
        <v>108346</v>
      </c>
      <c r="F553" t="n">
        <v>6558</v>
      </c>
      <c r="G553" t="inlineStr">
        <is>
          <t>Discharge summary</t>
        </is>
      </c>
      <c r="H553" t="inlineStr">
        <is>
          <t>discharge-instructions</t>
        </is>
      </c>
      <c r="I553" t="inlineStr">
        <is>
          <t>You may take it off when sitting in a
chair or while lying in bed.</t>
        </is>
      </c>
    </row>
    <row r="554">
      <c r="A554" t="inlineStr">
        <is>
          <t>6558-discharge-instructions-6-0</t>
        </is>
      </c>
      <c r="B554" t="inlineStr"/>
      <c r="C554" t="inlineStr"/>
      <c r="D554">
        <f>HYPERLINK("http://nlpdeep.cs.uic.edu:8080/proofing/t5/6558-discharge-instructions-6-0.pdf","t5/6558-discharge-instructions-6-0.pdf")</f>
        <v/>
      </c>
      <c r="E554" t="n">
        <v>108346</v>
      </c>
      <c r="F554" t="n">
        <v>6558</v>
      </c>
      <c r="G554" t="inlineStr">
        <is>
          <t>Discharge summary</t>
        </is>
      </c>
      <c r="H554" t="inlineStr">
        <is>
          <t>discharge-instructions</t>
        </is>
      </c>
      <c r="I554" t="inlineStr">
        <is>
          <t xml:space="preserve">
-	Wound Care: Remove the dressing in 2 days.</t>
        </is>
      </c>
    </row>
    <row r="555">
      <c r="A555" t="inlineStr">
        <is>
          <t>6558-discharge-instructions-6-0</t>
        </is>
      </c>
      <c r="B555" t="inlineStr"/>
      <c r="C555" t="inlineStr"/>
      <c r="D555">
        <f>HYPERLINK("http://nlpdeep.cs.uic.edu:8080/proofing/gsii/6558-discharge-instructions-6-0.pdf","gsii/6558-discharge-instructions-6-0.pdf")</f>
        <v/>
      </c>
      <c r="E555" t="n">
        <v>108346</v>
      </c>
      <c r="F555" t="n">
        <v>6558</v>
      </c>
      <c r="G555" t="inlineStr">
        <is>
          <t>Discharge summary</t>
        </is>
      </c>
      <c r="H555" t="inlineStr">
        <is>
          <t>discharge-instructions</t>
        </is>
      </c>
      <c r="I555" t="inlineStr">
        <is>
          <t xml:space="preserve">
-	Wound Care: Remove the dressing in 2 days.</t>
        </is>
      </c>
    </row>
    <row r="556">
      <c r="A556" t="inlineStr">
        <is>
          <t>6558-discharge-instructions-6-1</t>
        </is>
      </c>
      <c r="B556" t="inlineStr"/>
      <c r="C556" t="inlineStr"/>
      <c r="D556">
        <f>HYPERLINK("http://nlpdeep.cs.uic.edu:8080/proofing/t5/6558-discharge-instructions-6-1.pdf","t5/6558-discharge-instructions-6-1.pdf")</f>
        <v/>
      </c>
      <c r="E556" t="n">
        <v>108346</v>
      </c>
      <c r="F556" t="n">
        <v>6558</v>
      </c>
      <c r="G556" t="inlineStr">
        <is>
          <t>Discharge summary</t>
        </is>
      </c>
      <c r="H556" t="inlineStr">
        <is>
          <t>discharge-instructions</t>
        </is>
      </c>
      <c r="I556" t="inlineStr">
        <is>
          <t xml:space="preserve"> If the incision is
draining cover it with a new sterile dressing.</t>
        </is>
      </c>
    </row>
    <row r="557">
      <c r="A557" t="inlineStr">
        <is>
          <t>6558-discharge-instructions-6-1</t>
        </is>
      </c>
      <c r="B557" t="inlineStr"/>
      <c r="C557" t="inlineStr"/>
      <c r="D557">
        <f>HYPERLINK("http://nlpdeep.cs.uic.edu:8080/proofing/gsii/6558-discharge-instructions-6-1.pdf","gsii/6558-discharge-instructions-6-1.pdf")</f>
        <v/>
      </c>
      <c r="E557" t="n">
        <v>108346</v>
      </c>
      <c r="F557" t="n">
        <v>6558</v>
      </c>
      <c r="G557" t="inlineStr">
        <is>
          <t>Discharge summary</t>
        </is>
      </c>
      <c r="H557" t="inlineStr">
        <is>
          <t>discharge-instructions</t>
        </is>
      </c>
      <c r="I557" t="inlineStr">
        <is>
          <t xml:space="preserve"> If the incision is
draining cover it with a new sterile dressing.</t>
        </is>
      </c>
    </row>
    <row r="558">
      <c r="A558" t="inlineStr">
        <is>
          <t>6558-discharge-instructions-6-2</t>
        </is>
      </c>
      <c r="B558" t="inlineStr"/>
      <c r="C558" t="inlineStr"/>
      <c r="D558">
        <f>HYPERLINK("http://nlpdeep.cs.uic.edu:8080/proofing/t5/6558-discharge-instructions-6-2.pdf","t5/6558-discharge-instructions-6-2.pdf")</f>
        <v/>
      </c>
      <c r="E558" t="n">
        <v>108346</v>
      </c>
      <c r="F558" t="n">
        <v>6558</v>
      </c>
      <c r="G558" t="inlineStr">
        <is>
          <t>Discharge summary</t>
        </is>
      </c>
      <c r="H558" t="inlineStr">
        <is>
          <t>discharge-instructions</t>
        </is>
      </c>
      <c r="I558" t="inlineStr">
        <is>
          <t xml:space="preserve"> If it is dry
then you can leave the incision open to the air.</t>
        </is>
      </c>
    </row>
    <row r="559">
      <c r="A559" t="inlineStr">
        <is>
          <t>6558-discharge-instructions-6-2</t>
        </is>
      </c>
      <c r="B559" t="inlineStr"/>
      <c r="C559" t="inlineStr"/>
      <c r="D559">
        <f>HYPERLINK("http://nlpdeep.cs.uic.edu:8080/proofing/gsii/6558-discharge-instructions-6-2.pdf","gsii/6558-discharge-instructions-6-2.pdf")</f>
        <v/>
      </c>
      <c r="E559" t="n">
        <v>108346</v>
      </c>
      <c r="F559" t="n">
        <v>6558</v>
      </c>
      <c r="G559" t="inlineStr">
        <is>
          <t>Discharge summary</t>
        </is>
      </c>
      <c r="H559" t="inlineStr">
        <is>
          <t>discharge-instructions</t>
        </is>
      </c>
      <c r="I559" t="inlineStr">
        <is>
          <t xml:space="preserve"> If it is dry
then you can leave the incision open to the air.</t>
        </is>
      </c>
    </row>
    <row r="560">
      <c r="A560" t="inlineStr">
        <is>
          <t>6558-discharge-instructions-6-3</t>
        </is>
      </c>
      <c r="B560" t="inlineStr"/>
      <c r="C560" t="inlineStr"/>
      <c r="D560">
        <f>HYPERLINK("http://nlpdeep.cs.uic.edu:8080/proofing/t5/6558-discharge-instructions-6-3.pdf","t5/6558-discharge-instructions-6-3.pdf")</f>
        <v/>
      </c>
      <c r="E560" t="n">
        <v>108346</v>
      </c>
      <c r="F560" t="n">
        <v>6558</v>
      </c>
      <c r="G560" t="inlineStr">
        <is>
          <t>Discharge summary</t>
        </is>
      </c>
      <c r="H560" t="inlineStr">
        <is>
          <t>discharge-instructions</t>
        </is>
      </c>
      <c r="I560" t="inlineStr">
        <is>
          <t xml:space="preserve"> Once the
incision is completely dry (usually 2-3 days after the
operation) you may take a shower.</t>
        </is>
      </c>
    </row>
    <row r="561">
      <c r="A561" t="inlineStr">
        <is>
          <t>6558-discharge-instructions-6-3</t>
        </is>
      </c>
      <c r="B561" t="inlineStr"/>
      <c r="C561" t="inlineStr"/>
      <c r="D561">
        <f>HYPERLINK("http://nlpdeep.cs.uic.edu:8080/proofing/gsii/6558-discharge-instructions-6-3.pdf","gsii/6558-discharge-instructions-6-3.pdf")</f>
        <v/>
      </c>
      <c r="E561" t="n">
        <v>108346</v>
      </c>
      <c r="F561" t="n">
        <v>6558</v>
      </c>
      <c r="G561" t="inlineStr">
        <is>
          <t>Discharge summary</t>
        </is>
      </c>
      <c r="H561" t="inlineStr">
        <is>
          <t>discharge-instructions</t>
        </is>
      </c>
      <c r="I561" t="inlineStr">
        <is>
          <t xml:space="preserve"> Once the
incision is completely dry (usually 2-3 days after the
operation) you may take a shower.</t>
        </is>
      </c>
    </row>
    <row r="562">
      <c r="A562" t="inlineStr">
        <is>
          <t>6558-discharge-instructions-6-4</t>
        </is>
      </c>
      <c r="B562" t="inlineStr"/>
      <c r="C562" t="inlineStr"/>
      <c r="D562">
        <f>HYPERLINK("http://nlpdeep.cs.uic.edu:8080/proofing/t5/6558-discharge-instructions-6-4.pdf","t5/6558-discharge-instructions-6-4.pdf")</f>
        <v/>
      </c>
      <c r="E562" t="n">
        <v>108346</v>
      </c>
      <c r="F562" t="n">
        <v>6558</v>
      </c>
      <c r="G562" t="inlineStr">
        <is>
          <t>Discharge summary</t>
        </is>
      </c>
      <c r="H562" t="inlineStr">
        <is>
          <t>discharge-instructions</t>
        </is>
      </c>
      <c r="I562" t="inlineStr">
        <is>
          <t>Do not soak the incision in a
bath or pool.</t>
        </is>
      </c>
    </row>
    <row r="563">
      <c r="A563" t="inlineStr">
        <is>
          <t>6558-discharge-instructions-6-4</t>
        </is>
      </c>
      <c r="B563" t="inlineStr"/>
      <c r="C563" t="inlineStr"/>
      <c r="D563">
        <f>HYPERLINK("http://nlpdeep.cs.uic.edu:8080/proofing/gsii/6558-discharge-instructions-6-4.pdf","gsii/6558-discharge-instructions-6-4.pdf")</f>
        <v/>
      </c>
      <c r="E563" t="n">
        <v>108346</v>
      </c>
      <c r="F563" t="n">
        <v>6558</v>
      </c>
      <c r="G563" t="inlineStr">
        <is>
          <t>Discharge summary</t>
        </is>
      </c>
      <c r="H563" t="inlineStr">
        <is>
          <t>discharge-instructions</t>
        </is>
      </c>
      <c r="I563" t="inlineStr">
        <is>
          <t>Do not soak the incision in a
bath or pool.</t>
        </is>
      </c>
    </row>
    <row r="564">
      <c r="A564" t="inlineStr">
        <is>
          <t>6558-discharge-instructions-6-5</t>
        </is>
      </c>
      <c r="B564" t="inlineStr"/>
      <c r="C564" t="inlineStr"/>
      <c r="D564">
        <f>HYPERLINK("http://nlpdeep.cs.uic.edu:8080/proofing/t5/6558-discharge-instructions-6-5.pdf","t5/6558-discharge-instructions-6-5.pdf")</f>
        <v/>
      </c>
      <c r="E564" t="n">
        <v>108346</v>
      </c>
      <c r="F564" t="n">
        <v>6558</v>
      </c>
      <c r="G564" t="inlineStr">
        <is>
          <t>Discharge summary</t>
        </is>
      </c>
      <c r="H564" t="inlineStr">
        <is>
          <t>discharge-instructions</t>
        </is>
      </c>
      <c r="I564" t="inlineStr">
        <is>
          <t xml:space="preserve"> If the incision starts draining at anytime after
surgery, do not get the incision wet.</t>
        </is>
      </c>
    </row>
    <row r="565">
      <c r="A565" t="inlineStr">
        <is>
          <t>6558-discharge-instructions-6-5</t>
        </is>
      </c>
      <c r="B565" t="inlineStr"/>
      <c r="C565" t="inlineStr"/>
      <c r="D565">
        <f>HYPERLINK("http://nlpdeep.cs.uic.edu:8080/proofing/gsii/6558-discharge-instructions-6-5.pdf","gsii/6558-discharge-instructions-6-5.pdf")</f>
        <v/>
      </c>
      <c r="E565" t="n">
        <v>108346</v>
      </c>
      <c r="F565" t="n">
        <v>6558</v>
      </c>
      <c r="G565" t="inlineStr">
        <is>
          <t>Discharge summary</t>
        </is>
      </c>
      <c r="H565" t="inlineStr">
        <is>
          <t>discharge-instructions</t>
        </is>
      </c>
      <c r="I565" t="inlineStr">
        <is>
          <t xml:space="preserve"> If the incision starts draining at anytime after
surgery, do not get the incision wet.</t>
        </is>
      </c>
    </row>
    <row r="566">
      <c r="A566" t="inlineStr">
        <is>
          <t>6558-discharge-instructions-6-6</t>
        </is>
      </c>
      <c r="B566" t="inlineStr"/>
      <c r="C566" t="inlineStr"/>
      <c r="D566">
        <f>HYPERLINK("http://nlpdeep.cs.uic.edu:8080/proofing/t5/6558-discharge-instructions-6-6.pdf","t5/6558-discharge-instructions-6-6.pdf")</f>
        <v/>
      </c>
      <c r="E566" t="n">
        <v>108346</v>
      </c>
      <c r="F566" t="n">
        <v>6558</v>
      </c>
      <c r="G566" t="inlineStr">
        <is>
          <t>Discharge summary</t>
        </is>
      </c>
      <c r="H566" t="inlineStr">
        <is>
          <t>discharge-instructions</t>
        </is>
      </c>
      <c r="I566" t="inlineStr">
        <is>
          <t>Cover it with a sterile
dressing.</t>
        </is>
      </c>
    </row>
    <row r="567">
      <c r="A567" t="inlineStr">
        <is>
          <t>6558-discharge-instructions-6-6</t>
        </is>
      </c>
      <c r="B567" t="inlineStr"/>
      <c r="C567" t="inlineStr"/>
      <c r="D567">
        <f>HYPERLINK("http://nlpdeep.cs.uic.edu:8080/proofing/gsii/6558-discharge-instructions-6-6.pdf","gsii/6558-discharge-instructions-6-6.pdf")</f>
        <v/>
      </c>
      <c r="E567" t="n">
        <v>108346</v>
      </c>
      <c r="F567" t="n">
        <v>6558</v>
      </c>
      <c r="G567" t="inlineStr">
        <is>
          <t>Discharge summary</t>
        </is>
      </c>
      <c r="H567" t="inlineStr">
        <is>
          <t>discharge-instructions</t>
        </is>
      </c>
      <c r="I567" t="inlineStr">
        <is>
          <t>Cover it with a sterile
dressing.</t>
        </is>
      </c>
    </row>
    <row r="568">
      <c r="A568" t="inlineStr">
        <is>
          <t>6558-discharge-instructions-6-7</t>
        </is>
      </c>
      <c r="B568" t="inlineStr"/>
      <c r="C568" t="inlineStr"/>
      <c r="D568">
        <f>HYPERLINK("http://nlpdeep.cs.uic.edu:8080/proofing/t5/6558-discharge-instructions-6-7.pdf","t5/6558-discharge-instructions-6-7.pdf")</f>
        <v/>
      </c>
      <c r="E568" t="n">
        <v>108346</v>
      </c>
      <c r="F568" t="n">
        <v>6558</v>
      </c>
      <c r="G568" t="inlineStr">
        <is>
          <t>Discharge summary</t>
        </is>
      </c>
      <c r="H568" t="inlineStr">
        <is>
          <t>discharge-instructions</t>
        </is>
      </c>
      <c r="I568" t="inlineStr">
        <is>
          <t xml:space="preserve"> Call the office.</t>
        </is>
      </c>
    </row>
    <row r="569">
      <c r="A569" t="inlineStr">
        <is>
          <t>6558-discharge-instructions-6-7</t>
        </is>
      </c>
      <c r="B569" t="inlineStr"/>
      <c r="C569" t="inlineStr"/>
      <c r="D569">
        <f>HYPERLINK("http://nlpdeep.cs.uic.edu:8080/proofing/gsii/6558-discharge-instructions-6-7.pdf","gsii/6558-discharge-instructions-6-7.pdf")</f>
        <v/>
      </c>
      <c r="E569" t="n">
        <v>108346</v>
      </c>
      <c r="F569" t="n">
        <v>6558</v>
      </c>
      <c r="G569" t="inlineStr">
        <is>
          <t>Discharge summary</t>
        </is>
      </c>
      <c r="H569" t="inlineStr">
        <is>
          <t>discharge-instructions</t>
        </is>
      </c>
      <c r="I569" t="inlineStr">
        <is>
          <t xml:space="preserve"> Call the office.</t>
        </is>
      </c>
    </row>
    <row r="570">
      <c r="A570" t="inlineStr">
        <is>
          <t>6558-discharge-instructions-7-0</t>
        </is>
      </c>
      <c r="B570" t="inlineStr"/>
      <c r="C570" t="inlineStr"/>
      <c r="D570">
        <f>HYPERLINK("http://nlpdeep.cs.uic.edu:8080/proofing/t5/6558-discharge-instructions-7-0.pdf","t5/6558-discharge-instructions-7-0.pdf")</f>
        <v/>
      </c>
      <c r="E570" t="n">
        <v>108346</v>
      </c>
      <c r="F570" t="n">
        <v>6558</v>
      </c>
      <c r="G570" t="inlineStr">
        <is>
          <t>Discharge summary</t>
        </is>
      </c>
      <c r="H570" t="inlineStr">
        <is>
          <t>discharge-instructions</t>
        </is>
      </c>
      <c r="I570" t="inlineStr">
        <is>
          <t xml:space="preserve">
-	You should resume taking your normal home medications.</t>
        </is>
      </c>
    </row>
    <row r="571">
      <c r="A571" t="inlineStr">
        <is>
          <t>6558-discharge-instructions-7-0</t>
        </is>
      </c>
      <c r="B571" t="inlineStr"/>
      <c r="C571" t="inlineStr"/>
      <c r="D571">
        <f>HYPERLINK("http://nlpdeep.cs.uic.edu:8080/proofing/gsii/6558-discharge-instructions-7-0.pdf","gsii/6558-discharge-instructions-7-0.pdf")</f>
        <v/>
      </c>
      <c r="E571" t="n">
        <v>108346</v>
      </c>
      <c r="F571" t="n">
        <v>6558</v>
      </c>
      <c r="G571" t="inlineStr">
        <is>
          <t>Discharge summary</t>
        </is>
      </c>
      <c r="H571" t="inlineStr">
        <is>
          <t>discharge-instructions</t>
        </is>
      </c>
      <c r="I571" t="inlineStr">
        <is>
          <t xml:space="preserve">
-	You should resume taking your normal home medications.</t>
        </is>
      </c>
    </row>
    <row r="572">
      <c r="A572" t="inlineStr">
        <is>
          <t>6558-discharge-instructions-8-0</t>
        </is>
      </c>
      <c r="B572" t="inlineStr"/>
      <c r="C572" t="inlineStr"/>
      <c r="D572">
        <f>HYPERLINK("http://nlpdeep.cs.uic.edu:8080/proofing/t5/6558-discharge-instructions-8-0.pdf","t5/6558-discharge-instructions-8-0.pdf")</f>
        <v/>
      </c>
      <c r="E572" t="n">
        <v>108346</v>
      </c>
      <c r="F572" t="n">
        <v>6558</v>
      </c>
      <c r="G572" t="inlineStr">
        <is>
          <t>Discharge summary</t>
        </is>
      </c>
      <c r="H572" t="inlineStr">
        <is>
          <t>discharge-instructions</t>
        </is>
      </c>
      <c r="I572" t="inlineStr">
        <is>
          <t xml:space="preserve">
-	You have also been given Additional Medications to control
your pain.</t>
        </is>
      </c>
    </row>
    <row r="573">
      <c r="A573" t="inlineStr">
        <is>
          <t>6558-discharge-instructions-8-0</t>
        </is>
      </c>
      <c r="B573" t="inlineStr"/>
      <c r="C573" t="inlineStr"/>
      <c r="D573">
        <f>HYPERLINK("http://nlpdeep.cs.uic.edu:8080/proofing/gsii/6558-discharge-instructions-8-0.pdf","gsii/6558-discharge-instructions-8-0.pdf")</f>
        <v/>
      </c>
      <c r="E573" t="n">
        <v>108346</v>
      </c>
      <c r="F573" t="n">
        <v>6558</v>
      </c>
      <c r="G573" t="inlineStr">
        <is>
          <t>Discharge summary</t>
        </is>
      </c>
      <c r="H573" t="inlineStr">
        <is>
          <t>discharge-instructions</t>
        </is>
      </c>
      <c r="I573" t="inlineStr">
        <is>
          <t xml:space="preserve">
-	You have also been given Additional Medications to control
your pain.</t>
        </is>
      </c>
    </row>
    <row r="574">
      <c r="A574" t="inlineStr">
        <is>
          <t>6558-discharge-instructions-8-1</t>
        </is>
      </c>
      <c r="B574" t="inlineStr"/>
      <c r="C574" t="inlineStr"/>
      <c r="D574">
        <f>HYPERLINK("http://nlpdeep.cs.uic.edu:8080/proofing/t5/6558-discharge-instructions-8-1.pdf","t5/6558-discharge-instructions-8-1.pdf")</f>
        <v/>
      </c>
      <c r="E574" t="n">
        <v>108346</v>
      </c>
      <c r="F574" t="n">
        <v>6558</v>
      </c>
      <c r="G574" t="inlineStr">
        <is>
          <t>Discharge summary</t>
        </is>
      </c>
      <c r="H574" t="inlineStr">
        <is>
          <t>discharge-instructions</t>
        </is>
      </c>
      <c r="I574" t="inlineStr">
        <is>
          <t xml:space="preserve"> Please allow 72 hours for refill of narcotic
prescriptions, so please plan ahead.</t>
        </is>
      </c>
    </row>
    <row r="575">
      <c r="A575" t="inlineStr">
        <is>
          <t>6558-discharge-instructions-8-1</t>
        </is>
      </c>
      <c r="B575" t="inlineStr"/>
      <c r="C575" t="inlineStr"/>
      <c r="D575">
        <f>HYPERLINK("http://nlpdeep.cs.uic.edu:8080/proofing/gsii/6558-discharge-instructions-8-1.pdf","gsii/6558-discharge-instructions-8-1.pdf")</f>
        <v/>
      </c>
      <c r="E575" t="n">
        <v>108346</v>
      </c>
      <c r="F575" t="n">
        <v>6558</v>
      </c>
      <c r="G575" t="inlineStr">
        <is>
          <t>Discharge summary</t>
        </is>
      </c>
      <c r="H575" t="inlineStr">
        <is>
          <t>discharge-instructions</t>
        </is>
      </c>
      <c r="I575" t="inlineStr">
        <is>
          <t xml:space="preserve"> Please allow 72 hours for refill of narcotic
prescriptions, so please plan ahead.</t>
        </is>
      </c>
    </row>
    <row r="576">
      <c r="A576" t="inlineStr">
        <is>
          <t>6558-discharge-instructions-8-2</t>
        </is>
      </c>
      <c r="B576" t="inlineStr"/>
      <c r="C576" t="inlineStr"/>
      <c r="D576">
        <f>HYPERLINK("http://nlpdeep.cs.uic.edu:8080/proofing/t5/6558-discharge-instructions-8-2.pdf","t5/6558-discharge-instructions-8-2.pdf")</f>
        <v/>
      </c>
      <c r="E576" t="n">
        <v>108346</v>
      </c>
      <c r="F576" t="n">
        <v>6558</v>
      </c>
      <c r="G576" t="inlineStr">
        <is>
          <t>Discharge summary</t>
        </is>
      </c>
      <c r="H576" t="inlineStr">
        <is>
          <t>discharge-instructions</t>
        </is>
      </c>
      <c r="I576" t="inlineStr">
        <is>
          <t xml:space="preserve"> You can either have them
mailed to your home or pick them up at the clinic located on
[**Hospital Ward Name 23**] 2.</t>
        </is>
      </c>
    </row>
    <row r="577">
      <c r="A577" t="inlineStr">
        <is>
          <t>6558-discharge-instructions-8-2</t>
        </is>
      </c>
      <c r="B577" t="inlineStr"/>
      <c r="C577" t="inlineStr"/>
      <c r="D577">
        <f>HYPERLINK("http://nlpdeep.cs.uic.edu:8080/proofing/gsii/6558-discharge-instructions-8-2.pdf","gsii/6558-discharge-instructions-8-2.pdf")</f>
        <v/>
      </c>
      <c r="E577" t="n">
        <v>108346</v>
      </c>
      <c r="F577" t="n">
        <v>6558</v>
      </c>
      <c r="G577" t="inlineStr">
        <is>
          <t>Discharge summary</t>
        </is>
      </c>
      <c r="H577" t="inlineStr">
        <is>
          <t>discharge-instructions</t>
        </is>
      </c>
      <c r="I577" t="inlineStr">
        <is>
          <t xml:space="preserve"> You can either have them
mailed to your home or pick them up at the clinic located on
[**Hospital Ward Name 23**] 2.</t>
        </is>
      </c>
    </row>
    <row r="578">
      <c r="A578" t="inlineStr">
        <is>
          <t>6558-discharge-instructions-8-3</t>
        </is>
      </c>
      <c r="B578" t="inlineStr"/>
      <c r="C578" t="inlineStr"/>
      <c r="D578">
        <f>HYPERLINK("http://nlpdeep.cs.uic.edu:8080/proofing/t5/6558-discharge-instructions-8-3.pdf","t5/6558-discharge-instructions-8-3.pdf")</f>
        <v/>
      </c>
      <c r="E578" t="n">
        <v>108346</v>
      </c>
      <c r="F578" t="n">
        <v>6558</v>
      </c>
      <c r="G578" t="inlineStr">
        <is>
          <t>Discharge summary</t>
        </is>
      </c>
      <c r="H578" t="inlineStr">
        <is>
          <t>discharge-instructions</t>
        </is>
      </c>
      <c r="I578" t="inlineStr">
        <is>
          <t xml:space="preserve"> We are not allowed to call in or fax narcotic
prescriptions (oxycontin, oxycodone, percocet) to your pharmacy.</t>
        </is>
      </c>
    </row>
    <row r="579">
      <c r="A579" t="inlineStr">
        <is>
          <t>6558-discharge-instructions-8-3</t>
        </is>
      </c>
      <c r="B579" t="inlineStr"/>
      <c r="C579" t="inlineStr"/>
      <c r="D579">
        <f>HYPERLINK("http://nlpdeep.cs.uic.edu:8080/proofing/gsii/6558-discharge-instructions-8-3.pdf","gsii/6558-discharge-instructions-8-3.pdf")</f>
        <v/>
      </c>
      <c r="E579" t="n">
        <v>108346</v>
      </c>
      <c r="F579" t="n">
        <v>6558</v>
      </c>
      <c r="G579" t="inlineStr">
        <is>
          <t>Discharge summary</t>
        </is>
      </c>
      <c r="H579" t="inlineStr">
        <is>
          <t>discharge-instructions</t>
        </is>
      </c>
      <c r="I579" t="inlineStr">
        <is>
          <t xml:space="preserve"> We are not allowed to call in or fax narcotic
prescriptions (oxycontin, oxycodone, percocet) to your pharmacy.</t>
        </is>
      </c>
    </row>
    <row r="580">
      <c r="A580" t="inlineStr">
        <is>
          <t>6558-discharge-instructions-8-4</t>
        </is>
      </c>
      <c r="B580" t="inlineStr"/>
      <c r="C580" t="inlineStr"/>
      <c r="D580">
        <f>HYPERLINK("http://nlpdeep.cs.uic.edu:8080/proofing/t5/6558-discharge-instructions-8-4.pdf","t5/6558-discharge-instructions-8-4.pdf")</f>
        <v/>
      </c>
      <c r="E580" t="n">
        <v>108346</v>
      </c>
      <c r="F580" t="n">
        <v>6558</v>
      </c>
      <c r="G580" t="inlineStr">
        <is>
          <t>Discharge summary</t>
        </is>
      </c>
      <c r="H580" t="inlineStr">
        <is>
          <t>discharge-instructions</t>
        </is>
      </c>
      <c r="I580" t="inlineStr">
        <is>
          <t xml:space="preserve">
 In addition, we are only allowed to write for pain medications
for 90 days from the date of surgery.</t>
        </is>
      </c>
    </row>
    <row r="581">
      <c r="A581" t="inlineStr">
        <is>
          <t>6558-discharge-instructions-8-4</t>
        </is>
      </c>
      <c r="B581" t="inlineStr"/>
      <c r="C581" t="inlineStr"/>
      <c r="D581">
        <f>HYPERLINK("http://nlpdeep.cs.uic.edu:8080/proofing/gsii/6558-discharge-instructions-8-4.pdf","gsii/6558-discharge-instructions-8-4.pdf")</f>
        <v/>
      </c>
      <c r="E581" t="n">
        <v>108346</v>
      </c>
      <c r="F581" t="n">
        <v>6558</v>
      </c>
      <c r="G581" t="inlineStr">
        <is>
          <t>Discharge summary</t>
        </is>
      </c>
      <c r="H581" t="inlineStr">
        <is>
          <t>discharge-instructions</t>
        </is>
      </c>
      <c r="I581" t="inlineStr">
        <is>
          <t xml:space="preserve">
 In addition, we are only allowed to write for pain medications
for 90 days from the date of surgery.</t>
        </is>
      </c>
    </row>
    <row r="582">
      <c r="A582" t="inlineStr">
        <is>
          <t>6558-discharge-instructions-8-5</t>
        </is>
      </c>
      <c r="B582" t="inlineStr"/>
      <c r="C582" t="inlineStr"/>
      <c r="D582">
        <f>HYPERLINK("http://nlpdeep.cs.uic.edu:8080/proofing/t5/6558-discharge-instructions-8-5.pdf","t5/6558-discharge-instructions-8-5.pdf")</f>
        <v/>
      </c>
      <c r="E582" t="n">
        <v>108346</v>
      </c>
      <c r="F582" t="n">
        <v>6558</v>
      </c>
      <c r="G582" t="inlineStr">
        <is>
          <t>Discharge summary</t>
        </is>
      </c>
      <c r="H582" t="inlineStr">
        <is>
          <t>discharge-instructions</t>
        </is>
      </c>
      <c r="I582" t="inlineStr">
        <is>
          <t xml:space="preserve">
Physical Therapy:
Continue to advance mobility.</t>
        </is>
      </c>
    </row>
    <row r="583">
      <c r="A583" t="inlineStr">
        <is>
          <t>6558-discharge-instructions-8-5</t>
        </is>
      </c>
      <c r="B583" t="inlineStr"/>
      <c r="C583" t="inlineStr"/>
      <c r="D583">
        <f>HYPERLINK("http://nlpdeep.cs.uic.edu:8080/proofing/gsii/6558-discharge-instructions-8-5.pdf","gsii/6558-discharge-instructions-8-5.pdf")</f>
        <v/>
      </c>
      <c r="E583" t="n">
        <v>108346</v>
      </c>
      <c r="F583" t="n">
        <v>6558</v>
      </c>
      <c r="G583" t="inlineStr">
        <is>
          <t>Discharge summary</t>
        </is>
      </c>
      <c r="H583" t="inlineStr">
        <is>
          <t>discharge-instructions</t>
        </is>
      </c>
      <c r="I583" t="inlineStr">
        <is>
          <t xml:space="preserve">
Physical Therapy:
Continue to advance mobility.</t>
        </is>
      </c>
    </row>
    <row r="584">
      <c r="A584" t="inlineStr">
        <is>
          <t>6558-discharge-instructions-8-6</t>
        </is>
      </c>
      <c r="B584" t="inlineStr"/>
      <c r="C584" t="inlineStr"/>
      <c r="D584">
        <f>HYPERLINK("http://nlpdeep.cs.uic.edu:8080/proofing/t5/6558-discharge-instructions-8-6.pdf","t5/6558-discharge-instructions-8-6.pdf")</f>
        <v/>
      </c>
      <c r="E584" t="n">
        <v>108346</v>
      </c>
      <c r="F584" t="n">
        <v>6558</v>
      </c>
      <c r="G584" t="inlineStr">
        <is>
          <t>Discharge summary</t>
        </is>
      </c>
      <c r="H584" t="inlineStr">
        <is>
          <t>discharge-instructions</t>
        </is>
      </c>
      <c r="I584" t="inlineStr">
        <is>
          <t xml:space="preserve"> no bending, twisting, lifting
Treatments Frequency:
keep incision clean and dry.</t>
        </is>
      </c>
    </row>
    <row r="585">
      <c r="A585" t="inlineStr">
        <is>
          <t>6558-discharge-instructions-8-6</t>
        </is>
      </c>
      <c r="B585" t="inlineStr"/>
      <c r="C585" t="inlineStr"/>
      <c r="D585">
        <f>HYPERLINK("http://nlpdeep.cs.uic.edu:8080/proofing/gsii/6558-discharge-instructions-8-6.pdf","gsii/6558-discharge-instructions-8-6.pdf")</f>
        <v/>
      </c>
      <c r="E585" t="n">
        <v>108346</v>
      </c>
      <c r="F585" t="n">
        <v>6558</v>
      </c>
      <c r="G585" t="inlineStr">
        <is>
          <t>Discharge summary</t>
        </is>
      </c>
      <c r="H585" t="inlineStr">
        <is>
          <t>discharge-instructions</t>
        </is>
      </c>
      <c r="I585" t="inlineStr">
        <is>
          <t xml:space="preserve"> no bending, twisting, lifting
Treatments Frequency:
keep incision clean and dry.</t>
        </is>
      </c>
    </row>
    <row r="586">
      <c r="A586" t="inlineStr">
        <is>
          <t>6558-discharge-instructions-8-7</t>
        </is>
      </c>
      <c r="B586" t="inlineStr"/>
      <c r="C586" t="inlineStr"/>
      <c r="D586">
        <f>HYPERLINK("http://nlpdeep.cs.uic.edu:8080/proofing/t5/6558-discharge-instructions-8-7.pdf","t5/6558-discharge-instructions-8-7.pdf")</f>
        <v/>
      </c>
      <c r="E586" t="n">
        <v>108346</v>
      </c>
      <c r="F586" t="n">
        <v>6558</v>
      </c>
      <c r="G586" t="inlineStr">
        <is>
          <t>Discharge summary</t>
        </is>
      </c>
      <c r="H586" t="inlineStr">
        <is>
          <t>discharge-instructions</t>
        </is>
      </c>
      <c r="I586" t="inlineStr">
        <is>
          <t xml:space="preserve"> [**Month (only) 116**] shower, change dressing
afterwards.</t>
        </is>
      </c>
    </row>
    <row r="587">
      <c r="A587" t="inlineStr">
        <is>
          <t>6558-discharge-instructions-8-7</t>
        </is>
      </c>
      <c r="B587" t="inlineStr"/>
      <c r="C587" t="inlineStr"/>
      <c r="D587">
        <f>HYPERLINK("http://nlpdeep.cs.uic.edu:8080/proofing/gsii/6558-discharge-instructions-8-7.pdf","gsii/6558-discharge-instructions-8-7.pdf")</f>
        <v/>
      </c>
      <c r="E587" t="n">
        <v>108346</v>
      </c>
      <c r="F587" t="n">
        <v>6558</v>
      </c>
      <c r="G587" t="inlineStr">
        <is>
          <t>Discharge summary</t>
        </is>
      </c>
      <c r="H587" t="inlineStr">
        <is>
          <t>discharge-instructions</t>
        </is>
      </c>
      <c r="I587" t="inlineStr">
        <is>
          <t xml:space="preserve"> [**Month (only) 116**] shower, change dressing
afterwards.</t>
        </is>
      </c>
    </row>
    <row r="588">
      <c r="A588" t="inlineStr">
        <is>
          <t>6558-discharge-instructions-8-8</t>
        </is>
      </c>
      <c r="B588" t="inlineStr"/>
      <c r="C588" t="inlineStr"/>
      <c r="D588">
        <f>HYPERLINK("http://nlpdeep.cs.uic.edu:8080/proofing/t5/6558-discharge-instructions-8-8.pdf","t5/6558-discharge-instructions-8-8.pdf")</f>
        <v/>
      </c>
      <c r="E588" t="n">
        <v>108346</v>
      </c>
      <c r="F588" t="n">
        <v>6558</v>
      </c>
      <c r="G588" t="inlineStr">
        <is>
          <t>Discharge summary</t>
        </is>
      </c>
      <c r="H588" t="inlineStr">
        <is>
          <t>discharge-instructions</t>
        </is>
      </c>
      <c r="I588" t="inlineStr">
        <is>
          <t xml:space="preserve"> [**Month (only) 116**] leave open to  air when dressing dry for 24
hours, no baths.</t>
        </is>
      </c>
    </row>
    <row r="589">
      <c r="A589" t="inlineStr">
        <is>
          <t>6558-discharge-instructions-8-8</t>
        </is>
      </c>
      <c r="B589" t="inlineStr"/>
      <c r="C589" t="inlineStr"/>
      <c r="D589">
        <f>HYPERLINK("http://nlpdeep.cs.uic.edu:8080/proofing/gsii/6558-discharge-instructions-8-8.pdf","gsii/6558-discharge-instructions-8-8.pdf")</f>
        <v/>
      </c>
      <c r="E589" t="n">
        <v>108346</v>
      </c>
      <c r="F589" t="n">
        <v>6558</v>
      </c>
      <c r="G589" t="inlineStr">
        <is>
          <t>Discharge summary</t>
        </is>
      </c>
      <c r="H589" t="inlineStr">
        <is>
          <t>discharge-instructions</t>
        </is>
      </c>
      <c r="I589" t="inlineStr">
        <is>
          <t xml:space="preserve"> [**Month (only) 116**] leave open to  air when dressing dry for 24
hours, no baths.</t>
        </is>
      </c>
    </row>
    <row r="590">
      <c r="A590" t="inlineStr">
        <is>
          <t>6558-discharge-instructions-8-9</t>
        </is>
      </c>
      <c r="B590" t="inlineStr"/>
      <c r="C590" t="inlineStr"/>
      <c r="D590">
        <f>HYPERLINK("http://nlpdeep.cs.uic.edu:8080/proofing/t5/6558-discharge-instructions-8-9.pdf","t5/6558-discharge-instructions-8-9.pdf")</f>
        <v/>
      </c>
      <c r="E590" t="n">
        <v>108346</v>
      </c>
      <c r="F590" t="n">
        <v>6558</v>
      </c>
      <c r="G590" t="inlineStr">
        <is>
          <t>Discharge summary</t>
        </is>
      </c>
      <c r="H590" t="inlineStr">
        <is>
          <t>discharge-instructions</t>
        </is>
      </c>
      <c r="I590" t="inlineStr">
        <is>
          <t xml:space="preserve"> Steri-strips will fall off on their own in
[**11-28**] days.</t>
        </is>
      </c>
    </row>
    <row r="591">
      <c r="A591" t="inlineStr">
        <is>
          <t>6558-discharge-instructions-8-9</t>
        </is>
      </c>
      <c r="B591" t="inlineStr"/>
      <c r="C591" t="inlineStr"/>
      <c r="D591">
        <f>HYPERLINK("http://nlpdeep.cs.uic.edu:8080/proofing/gsii/6558-discharge-instructions-8-9.pdf","gsii/6558-discharge-instructions-8-9.pdf")</f>
        <v/>
      </c>
      <c r="E591" t="n">
        <v>108346</v>
      </c>
      <c r="F591" t="n">
        <v>6558</v>
      </c>
      <c r="G591" t="inlineStr">
        <is>
          <t>Discharge summary</t>
        </is>
      </c>
      <c r="H591" t="inlineStr">
        <is>
          <t>discharge-instructions</t>
        </is>
      </c>
      <c r="I591" t="inlineStr">
        <is>
          <t xml:space="preserve"> Steri-strips will fall off on their own in
[**11-28**] days.</t>
        </is>
      </c>
    </row>
    <row r="592">
      <c r="A592" t="inlineStr">
        <is>
          <t>6558-discharge-instructions-9-0</t>
        </is>
      </c>
      <c r="B592" t="inlineStr"/>
      <c r="C592" t="inlineStr"/>
      <c r="D592">
        <f>HYPERLINK("http://nlpdeep.cs.uic.edu:8080/proofing/t5/6558-discharge-instructions-9-0.pdf","t5/6558-discharge-instructions-9-0.pdf")</f>
        <v/>
      </c>
      <c r="E592" t="n">
        <v>108346</v>
      </c>
      <c r="F592" t="n">
        <v>6558</v>
      </c>
      <c r="G592" t="inlineStr">
        <is>
          <t>Discharge summary</t>
        </is>
      </c>
      <c r="H592" t="inlineStr">
        <is>
          <t>discharge-instructions</t>
        </is>
      </c>
      <c r="I592" t="inlineStr">
        <is>
          <t xml:space="preserve">
Followup Instructions:
-Follow up:
Provider: [**First Name4 (NamePattern1) 1141**] [**Last Name (NamePattern1) 4983**], [**MD Number(3) 1240**]:[**Telephone/Fax (1) 3736**]
Date/Time:[**2172-2-11**] 10:40
oPlease Call the office and make an appointment for 2 weeks
after the day of your operation if this has not been done
already.</t>
        </is>
      </c>
    </row>
    <row r="593">
      <c r="A593" t="inlineStr">
        <is>
          <t>6558-discharge-instructions-9-0</t>
        </is>
      </c>
      <c r="B593" t="inlineStr"/>
      <c r="C593" t="inlineStr"/>
      <c r="D593">
        <f>HYPERLINK("http://nlpdeep.cs.uic.edu:8080/proofing/gsii/6558-discharge-instructions-9-0.pdf","gsii/6558-discharge-instructions-9-0.pdf")</f>
        <v/>
      </c>
      <c r="E593" t="n">
        <v>108346</v>
      </c>
      <c r="F593" t="n">
        <v>6558</v>
      </c>
      <c r="G593" t="inlineStr">
        <is>
          <t>Discharge summary</t>
        </is>
      </c>
      <c r="H593" t="inlineStr">
        <is>
          <t>discharge-instructions</t>
        </is>
      </c>
      <c r="I593" t="inlineStr">
        <is>
          <t xml:space="preserve">
Followup Instructions:
-Follow up:
Provider: [**First Name4 (NamePattern1) 1141**] [**Last Name (NamePattern1) 4983**], [**MD Number(3) 1240**]:[**Telephone/Fax (1) 3736**]
Date/Time:[**2172-2-11**] 10:40
oPlease Call the office and make an appointment for 2 weeks
after the day of your operation if this has not been done
already.</t>
        </is>
      </c>
    </row>
    <row r="594">
      <c r="A594" t="inlineStr">
        <is>
          <t>6558-discharge-instructions-9-1</t>
        </is>
      </c>
      <c r="B594" t="inlineStr"/>
      <c r="C594" t="inlineStr"/>
      <c r="D594">
        <f>HYPERLINK("http://nlpdeep.cs.uic.edu:8080/proofing/t5/6558-discharge-instructions-9-1.pdf","t5/6558-discharge-instructions-9-1.pdf")</f>
        <v/>
      </c>
      <c r="E594" t="n">
        <v>108346</v>
      </c>
      <c r="F594" t="n">
        <v>6558</v>
      </c>
      <c r="G594" t="inlineStr">
        <is>
          <t>Discharge summary</t>
        </is>
      </c>
      <c r="H594" t="inlineStr">
        <is>
          <t>discharge-instructions</t>
        </is>
      </c>
      <c r="I594" t="inlineStr">
        <is>
          <t xml:space="preserve">
oAt the 2-week visit we will check your incision, take baseline
X-rays and answer any questions.</t>
        </is>
      </c>
    </row>
    <row r="595">
      <c r="A595" t="inlineStr">
        <is>
          <t>6558-discharge-instructions-9-1</t>
        </is>
      </c>
      <c r="B595" t="inlineStr"/>
      <c r="C595" t="inlineStr"/>
      <c r="D595">
        <f>HYPERLINK("http://nlpdeep.cs.uic.edu:8080/proofing/gsii/6558-discharge-instructions-9-1.pdf","gsii/6558-discharge-instructions-9-1.pdf")</f>
        <v/>
      </c>
      <c r="E595" t="n">
        <v>108346</v>
      </c>
      <c r="F595" t="n">
        <v>6558</v>
      </c>
      <c r="G595" t="inlineStr">
        <is>
          <t>Discharge summary</t>
        </is>
      </c>
      <c r="H595" t="inlineStr">
        <is>
          <t>discharge-instructions</t>
        </is>
      </c>
      <c r="I595" t="inlineStr">
        <is>
          <t xml:space="preserve">
oAt the 2-week visit we will check your incision, take baseline
X-rays and answer any questions.</t>
        </is>
      </c>
    </row>
    <row r="596">
      <c r="A596" t="inlineStr">
        <is>
          <t>6558-discharge-instructions-9-2</t>
        </is>
      </c>
      <c r="B596" t="inlineStr"/>
      <c r="C596" t="inlineStr"/>
      <c r="D596">
        <f>HYPERLINK("http://nlpdeep.cs.uic.edu:8080/proofing/t5/6558-discharge-instructions-9-2.pdf","t5/6558-discharge-instructions-9-2.pdf")</f>
        <v/>
      </c>
      <c r="E596" t="n">
        <v>108346</v>
      </c>
      <c r="F596" t="n">
        <v>6558</v>
      </c>
      <c r="G596" t="inlineStr">
        <is>
          <t>Discharge summary</t>
        </is>
      </c>
      <c r="H596" t="inlineStr">
        <is>
          <t>discharge-instructions</t>
        </is>
      </c>
      <c r="I596" t="inlineStr">
        <is>
          <t>We may at that time start
physical therapy.</t>
        </is>
      </c>
    </row>
    <row r="597">
      <c r="A597" t="inlineStr">
        <is>
          <t>6558-discharge-instructions-9-2</t>
        </is>
      </c>
      <c r="B597" t="inlineStr"/>
      <c r="C597" t="inlineStr"/>
      <c r="D597">
        <f>HYPERLINK("http://nlpdeep.cs.uic.edu:8080/proofing/gsii/6558-discharge-instructions-9-2.pdf","gsii/6558-discharge-instructions-9-2.pdf")</f>
        <v/>
      </c>
      <c r="E597" t="n">
        <v>108346</v>
      </c>
      <c r="F597" t="n">
        <v>6558</v>
      </c>
      <c r="G597" t="inlineStr">
        <is>
          <t>Discharge summary</t>
        </is>
      </c>
      <c r="H597" t="inlineStr">
        <is>
          <t>discharge-instructions</t>
        </is>
      </c>
      <c r="I597" t="inlineStr">
        <is>
          <t>We may at that time start
physical therapy.</t>
        </is>
      </c>
    </row>
    <row r="598">
      <c r="A598" t="inlineStr">
        <is>
          <t>6558-discharge-instructions-9-3</t>
        </is>
      </c>
      <c r="B598" t="inlineStr"/>
      <c r="C598" t="inlineStr"/>
      <c r="D598">
        <f>HYPERLINK("http://nlpdeep.cs.uic.edu:8080/proofing/t5/6558-discharge-instructions-9-3.pdf","t5/6558-discharge-instructions-9-3.pdf")</f>
        <v/>
      </c>
      <c r="E598" t="n">
        <v>108346</v>
      </c>
      <c r="F598" t="n">
        <v>6558</v>
      </c>
      <c r="G598" t="inlineStr">
        <is>
          <t>Discharge summary</t>
        </is>
      </c>
      <c r="H598" t="inlineStr">
        <is>
          <t>discharge-instructions</t>
        </is>
      </c>
      <c r="I598" t="inlineStr">
        <is>
          <t xml:space="preserve">
oWe will then see you at 6 weeks from the day of the operation
and at that time release you to full activity.</t>
        </is>
      </c>
    </row>
    <row r="599">
      <c r="A599" t="inlineStr">
        <is>
          <t>6558-discharge-instructions-9-3</t>
        </is>
      </c>
      <c r="B599" t="inlineStr"/>
      <c r="C599" t="inlineStr"/>
      <c r="D599">
        <f>HYPERLINK("http://nlpdeep.cs.uic.edu:8080/proofing/gsii/6558-discharge-instructions-9-3.pdf","gsii/6558-discharge-instructions-9-3.pdf")</f>
        <v/>
      </c>
      <c r="E599" t="n">
        <v>108346</v>
      </c>
      <c r="F599" t="n">
        <v>6558</v>
      </c>
      <c r="G599" t="inlineStr">
        <is>
          <t>Discharge summary</t>
        </is>
      </c>
      <c r="H599" t="inlineStr">
        <is>
          <t>discharge-instructions</t>
        </is>
      </c>
      <c r="I599" t="inlineStr">
        <is>
          <t xml:space="preserve">
oWe will then see you at 6 weeks from the day of the operation
and at that time release you to full activity.</t>
        </is>
      </c>
    </row>
    <row r="600">
      <c r="A600" t="inlineStr">
        <is>
          <t>6558-discharge-condition-0-0</t>
        </is>
      </c>
      <c r="B600" t="inlineStr"/>
      <c r="C600" t="inlineStr"/>
      <c r="D600">
        <f>HYPERLINK("http://nlpdeep.cs.uic.edu:8080/proofing/t5/6558-discharge-condition-0-0.pdf","t5/6558-discharge-condition-0-0.pdf")</f>
        <v/>
      </c>
      <c r="E600" t="n">
        <v>108346</v>
      </c>
      <c r="F600" t="n">
        <v>6558</v>
      </c>
      <c r="G600" t="inlineStr">
        <is>
          <t>Discharge summary</t>
        </is>
      </c>
      <c r="H600" t="inlineStr">
        <is>
          <t>discharge-condition</t>
        </is>
      </c>
      <c r="I600" t="inlineStr">
        <is>
          <t>Mental Status: Clear and coherent.</t>
        </is>
      </c>
    </row>
    <row r="601">
      <c r="A601" t="inlineStr">
        <is>
          <t>6558-discharge-condition-0-0</t>
        </is>
      </c>
      <c r="B601" t="inlineStr"/>
      <c r="C601" t="inlineStr"/>
      <c r="D601">
        <f>HYPERLINK("http://nlpdeep.cs.uic.edu:8080/proofing/gsii/6558-discharge-condition-0-0.pdf","gsii/6558-discharge-condition-0-0.pdf")</f>
        <v/>
      </c>
      <c r="E601" t="n">
        <v>108346</v>
      </c>
      <c r="F601" t="n">
        <v>6558</v>
      </c>
      <c r="G601" t="inlineStr">
        <is>
          <t>Discharge summary</t>
        </is>
      </c>
      <c r="H601" t="inlineStr">
        <is>
          <t>discharge-condition</t>
        </is>
      </c>
      <c r="I601" t="inlineStr">
        <is>
          <t>Mental Status: Clear and coherent.</t>
        </is>
      </c>
    </row>
    <row r="602">
      <c r="A602" t="inlineStr">
        <is>
          <t>6558-discharge-condition-0-1</t>
        </is>
      </c>
      <c r="B602" t="inlineStr"/>
      <c r="C602" t="inlineStr"/>
      <c r="D602">
        <f>HYPERLINK("http://nlpdeep.cs.uic.edu:8080/proofing/t5/6558-discharge-condition-0-1.pdf","t5/6558-discharge-condition-0-1.pdf")</f>
        <v/>
      </c>
      <c r="E602" t="n">
        <v>108346</v>
      </c>
      <c r="F602" t="n">
        <v>6558</v>
      </c>
      <c r="G602" t="inlineStr">
        <is>
          <t>Discharge summary</t>
        </is>
      </c>
      <c r="H602" t="inlineStr">
        <is>
          <t>discharge-condition</t>
        </is>
      </c>
      <c r="I602" t="inlineStr">
        <is>
          <t xml:space="preserve">
Level of Consciousness: Alert and interactive.</t>
        </is>
      </c>
    </row>
    <row r="603">
      <c r="A603" t="inlineStr">
        <is>
          <t>6558-discharge-condition-0-1</t>
        </is>
      </c>
      <c r="B603" t="inlineStr"/>
      <c r="C603" t="inlineStr"/>
      <c r="D603">
        <f>HYPERLINK("http://nlpdeep.cs.uic.edu:8080/proofing/gsii/6558-discharge-condition-0-1.pdf","gsii/6558-discharge-condition-0-1.pdf")</f>
        <v/>
      </c>
      <c r="E603" t="n">
        <v>108346</v>
      </c>
      <c r="F603" t="n">
        <v>6558</v>
      </c>
      <c r="G603" t="inlineStr">
        <is>
          <t>Discharge summary</t>
        </is>
      </c>
      <c r="H603" t="inlineStr">
        <is>
          <t>discharge-condition</t>
        </is>
      </c>
      <c r="I603" t="inlineStr">
        <is>
          <t xml:space="preserve">
Level of Consciousness: Alert and interactive.</t>
        </is>
      </c>
    </row>
    <row r="604">
      <c r="A604" t="inlineStr">
        <is>
          <t>6558-discharge-condition-0-2</t>
        </is>
      </c>
      <c r="B604" t="inlineStr"/>
      <c r="C604" t="inlineStr"/>
      <c r="D604">
        <f>HYPERLINK("http://nlpdeep.cs.uic.edu:8080/proofing/t5/6558-discharge-condition-0-2.pdf","t5/6558-discharge-condition-0-2.pdf")</f>
        <v/>
      </c>
      <c r="E604" t="n">
        <v>108346</v>
      </c>
      <c r="F604" t="n">
        <v>6558</v>
      </c>
      <c r="G604" t="inlineStr">
        <is>
          <t>Discharge summary</t>
        </is>
      </c>
      <c r="H604" t="inlineStr">
        <is>
          <t>discharge-condition</t>
        </is>
      </c>
      <c r="I604" t="inlineStr">
        <is>
          <t xml:space="preserve">
Activity Status: Ambulatory - requires assistance or aid (walker
or cane).</t>
        </is>
      </c>
    </row>
    <row r="605">
      <c r="A605" t="inlineStr">
        <is>
          <t>6558-discharge-condition-0-2</t>
        </is>
      </c>
      <c r="B605" t="inlineStr"/>
      <c r="C605" t="inlineStr"/>
      <c r="D605">
        <f>HYPERLINK("http://nlpdeep.cs.uic.edu:8080/proofing/gsii/6558-discharge-condition-0-2.pdf","gsii/6558-discharge-condition-0-2.pdf")</f>
        <v/>
      </c>
      <c r="E605" t="n">
        <v>108346</v>
      </c>
      <c r="F605" t="n">
        <v>6558</v>
      </c>
      <c r="G605" t="inlineStr">
        <is>
          <t>Discharge summary</t>
        </is>
      </c>
      <c r="H605" t="inlineStr">
        <is>
          <t>discharge-condition</t>
        </is>
      </c>
      <c r="I605" t="inlineStr">
        <is>
          <t xml:space="preserve">
Activity Status: Ambulatory - requires assistance or aid (walker
or cane).</t>
        </is>
      </c>
    </row>
    <row r="606">
      <c r="A606" t="inlineStr">
        <is>
          <t>6558-facility-0-0</t>
        </is>
      </c>
      <c r="B606" t="inlineStr"/>
      <c r="C606" t="inlineStr"/>
      <c r="D606">
        <f>HYPERLINK("http://nlpdeep.cs.uic.edu:8080/proofing/t5/6558-facility-0-0.pdf","t5/6558-facility-0-0.pdf")</f>
        <v/>
      </c>
      <c r="E606" t="n">
        <v>108346</v>
      </c>
      <c r="F606" t="n">
        <v>6558</v>
      </c>
      <c r="G606" t="inlineStr">
        <is>
          <t>Discharge summary</t>
        </is>
      </c>
      <c r="H606" t="inlineStr">
        <is>
          <t>facility</t>
        </is>
      </c>
      <c r="I606" t="inlineStr">
        <is>
          <t>[**Location (un) 25112**] in [</t>
        </is>
      </c>
    </row>
    <row r="607">
      <c r="A607" t="inlineStr">
        <is>
          <t>6558-facility-0-0</t>
        </is>
      </c>
      <c r="B607" t="inlineStr"/>
      <c r="C607" t="inlineStr"/>
      <c r="D607">
        <f>HYPERLINK("http://nlpdeep.cs.uic.edu:8080/proofing/gsii/6558-facility-0-0.pdf","gsii/6558-facility-0-0.pdf")</f>
        <v/>
      </c>
      <c r="E607" t="n">
        <v>108346</v>
      </c>
      <c r="F607" t="n">
        <v>6558</v>
      </c>
      <c r="G607" t="inlineStr">
        <is>
          <t>Discharge summary</t>
        </is>
      </c>
      <c r="H607" t="inlineStr">
        <is>
          <t>facility</t>
        </is>
      </c>
      <c r="I607" t="inlineStr">
        <is>
          <t>[**Location (un) 25112**] in [</t>
        </is>
      </c>
    </row>
    <row r="608">
      <c r="A608" t="inlineStr">
        <is>
          <t>6558-discharge-diagnosis-0-0</t>
        </is>
      </c>
      <c r="B608" t="inlineStr"/>
      <c r="C608" t="inlineStr"/>
      <c r="D608">
        <f>HYPERLINK("http://nlpdeep.cs.uic.edu:8080/proofing/t5/6558-discharge-diagnosis-0-0.pdf","t5/6558-discharge-diagnosis-0-0.pdf")</f>
        <v/>
      </c>
      <c r="E608" t="n">
        <v>108346</v>
      </c>
      <c r="F608" t="n">
        <v>6558</v>
      </c>
      <c r="G608" t="inlineStr">
        <is>
          <t>Discharge summary</t>
        </is>
      </c>
      <c r="H608" t="inlineStr">
        <is>
          <t>discharge-diagnosis</t>
        </is>
      </c>
      <c r="I608" t="inlineStr">
        <is>
          <t>lumbar spinal stenosis, spondylolisthesis, scoliosis
incidental durotomy
subsegmental p</t>
        </is>
      </c>
    </row>
    <row r="609">
      <c r="A609" t="inlineStr">
        <is>
          <t>6558-discharge-diagnosis-0-0</t>
        </is>
      </c>
      <c r="B609" t="inlineStr"/>
      <c r="C609" t="inlineStr"/>
      <c r="D609">
        <f>HYPERLINK("http://nlpdeep.cs.uic.edu:8080/proofing/gsii/6558-discharge-diagnosis-0-0.pdf","gsii/6558-discharge-diagnosis-0-0.pdf")</f>
        <v/>
      </c>
      <c r="E609" t="n">
        <v>108346</v>
      </c>
      <c r="F609" t="n">
        <v>6558</v>
      </c>
      <c r="G609" t="inlineStr">
        <is>
          <t>Discharge summary</t>
        </is>
      </c>
      <c r="H609" t="inlineStr">
        <is>
          <t>discharge-diagnosis</t>
        </is>
      </c>
      <c r="I609" t="inlineStr">
        <is>
          <t>lumbar spinal stenosis, spondylolisthesis, scoliosis
incidental durotomy
subsegmental p</t>
        </is>
      </c>
    </row>
    <row r="610">
      <c r="A610" t="inlineStr">
        <is>
          <t>4309-allergies-0-0</t>
        </is>
      </c>
      <c r="B610" t="inlineStr"/>
      <c r="C610" t="inlineStr"/>
      <c r="D610">
        <f>HYPERLINK("http://nlpdeep.cs.uic.edu:8080/proofing/t5/4309-allergies-0-0.pdf","t5/4309-allergies-0-0.pdf")</f>
        <v/>
      </c>
      <c r="E610" t="n">
        <v>109181</v>
      </c>
      <c r="F610" t="n">
        <v>4309</v>
      </c>
      <c r="G610" t="inlineStr">
        <is>
          <t>Discharge summary</t>
        </is>
      </c>
      <c r="H610" t="inlineStr">
        <is>
          <t>allergies</t>
        </is>
      </c>
      <c r="I610" t="inlineStr">
        <is>
          <t>R</t>
        </is>
      </c>
    </row>
    <row r="611">
      <c r="A611" t="inlineStr">
        <is>
          <t>4309-allergies-0-0</t>
        </is>
      </c>
      <c r="B611" t="inlineStr"/>
      <c r="C611" t="inlineStr"/>
      <c r="D611">
        <f>HYPERLINK("http://nlpdeep.cs.uic.edu:8080/proofing/gsii/4309-allergies-0-0.pdf","gsii/4309-allergies-0-0.pdf")</f>
        <v/>
      </c>
      <c r="E611" t="n">
        <v>109181</v>
      </c>
      <c r="F611" t="n">
        <v>4309</v>
      </c>
      <c r="G611" t="inlineStr">
        <is>
          <t>Discharge summary</t>
        </is>
      </c>
      <c r="H611" t="inlineStr">
        <is>
          <t>allergies</t>
        </is>
      </c>
      <c r="I611" t="inlineStr">
        <is>
          <t>R</t>
        </is>
      </c>
    </row>
    <row r="612">
      <c r="A612" t="inlineStr">
        <is>
          <t>4309-chief-complaint-0-0</t>
        </is>
      </c>
      <c r="B612" t="inlineStr"/>
      <c r="C612" t="inlineStr"/>
      <c r="D612">
        <f>HYPERLINK("http://nlpdeep.cs.uic.edu:8080/proofing/t5/4309-chief-complaint-0-0.pdf","t5/4309-chief-complaint-0-0.pdf")</f>
        <v/>
      </c>
      <c r="E612" t="n">
        <v>109181</v>
      </c>
      <c r="F612" t="n">
        <v>4309</v>
      </c>
      <c r="G612" t="inlineStr">
        <is>
          <t>Discharge summary</t>
        </is>
      </c>
      <c r="H612" t="inlineStr">
        <is>
          <t>chief-complaint</t>
        </is>
      </c>
      <c r="I612" t="inlineStr">
        <is>
          <t>chest pain/s</t>
        </is>
      </c>
    </row>
    <row r="613">
      <c r="A613" t="inlineStr">
        <is>
          <t>4309-chief-complaint-0-0</t>
        </is>
      </c>
      <c r="B613" t="inlineStr"/>
      <c r="C613" t="inlineStr"/>
      <c r="D613">
        <f>HYPERLINK("http://nlpdeep.cs.uic.edu:8080/proofing/gsii/4309-chief-complaint-0-0.pdf","gsii/4309-chief-complaint-0-0.pdf")</f>
        <v/>
      </c>
      <c r="E613" t="n">
        <v>109181</v>
      </c>
      <c r="F613" t="n">
        <v>4309</v>
      </c>
      <c r="G613" t="inlineStr">
        <is>
          <t>Discharge summary</t>
        </is>
      </c>
      <c r="H613" t="inlineStr">
        <is>
          <t>chief-complaint</t>
        </is>
      </c>
      <c r="I613" t="inlineStr">
        <is>
          <t>chest pain/s</t>
        </is>
      </c>
    </row>
    <row r="614">
      <c r="A614" t="inlineStr">
        <is>
          <t>4309-major-surgical-or-invasive-procedure-0-0</t>
        </is>
      </c>
      <c r="B614" t="inlineStr"/>
      <c r="C614" t="inlineStr"/>
      <c r="D614">
        <f>HYPERLINK("http://nlpdeep.cs.uic.edu:8080/proofing/t5/4309-major-surgical-or-invasive-procedure-0-0.pdf","t5/4309-major-surgical-or-invasive-procedure-0-0.pdf")</f>
        <v/>
      </c>
      <c r="E614" t="n">
        <v>109181</v>
      </c>
      <c r="F614" t="n">
        <v>4309</v>
      </c>
      <c r="G614" t="inlineStr">
        <is>
          <t>Discharge summary</t>
        </is>
      </c>
      <c r="H614" t="inlineStr">
        <is>
          <t>major-surgical-or-invasive-procedure</t>
        </is>
      </c>
      <c r="I614" t="inlineStr">
        <is>
          <t>cardiac catheterization [</t>
        </is>
      </c>
    </row>
    <row r="615">
      <c r="A615" t="inlineStr">
        <is>
          <t>4309-major-surgical-or-invasive-procedure-0-0</t>
        </is>
      </c>
      <c r="B615" t="inlineStr"/>
      <c r="C615" t="inlineStr"/>
      <c r="D615">
        <f>HYPERLINK("http://nlpdeep.cs.uic.edu:8080/proofing/gsii/4309-major-surgical-or-invasive-procedure-0-0.pdf","gsii/4309-major-surgical-or-invasive-procedure-0-0.pdf")</f>
        <v/>
      </c>
      <c r="E615" t="n">
        <v>109181</v>
      </c>
      <c r="F615" t="n">
        <v>4309</v>
      </c>
      <c r="G615" t="inlineStr">
        <is>
          <t>Discharge summary</t>
        </is>
      </c>
      <c r="H615" t="inlineStr">
        <is>
          <t>major-surgical-or-invasive-procedure</t>
        </is>
      </c>
      <c r="I615" t="inlineStr">
        <is>
          <t>cardiac catheterization [</t>
        </is>
      </c>
    </row>
    <row r="616">
      <c r="A616" t="inlineStr">
        <is>
          <t>4309-history-of-present-illness-0-0</t>
        </is>
      </c>
      <c r="B616" t="inlineStr"/>
      <c r="C616" t="inlineStr"/>
      <c r="D616">
        <f>HYPERLINK("http://nlpdeep.cs.uic.edu:8080/proofing/t5/4309-history-of-present-illness-0-0.pdf","t5/4309-history-of-present-illness-0-0.pdf")</f>
        <v/>
      </c>
      <c r="E616" t="n">
        <v>109181</v>
      </c>
      <c r="F616" t="n">
        <v>4309</v>
      </c>
      <c r="G616" t="inlineStr">
        <is>
          <t>Discharge summary</t>
        </is>
      </c>
      <c r="H616" t="inlineStr">
        <is>
          <t>history-of-present-illness</t>
        </is>
      </c>
      <c r="I616" t="inlineStr">
        <is>
          <t>69M CAD s/p CABG in [**2152**], DM2, CKD on HD, radiation cystitis
complicated by enterococcal UTI ([**1-21**]) and history of
enterococcal endocarditis presenting with chest pain and dyspnea
on exertion for several weeks responsive to nitroglycerin.</t>
        </is>
      </c>
    </row>
    <row r="617">
      <c r="A617" t="inlineStr">
        <is>
          <t>4309-history-of-present-illness-0-0</t>
        </is>
      </c>
      <c r="B617" t="inlineStr"/>
      <c r="C617" t="inlineStr"/>
      <c r="D617">
        <f>HYPERLINK("http://nlpdeep.cs.uic.edu:8080/proofing/gsii/4309-history-of-present-illness-0-0.pdf","gsii/4309-history-of-present-illness-0-0.pdf")</f>
        <v/>
      </c>
      <c r="E617" t="n">
        <v>109181</v>
      </c>
      <c r="F617" t="n">
        <v>4309</v>
      </c>
      <c r="G617" t="inlineStr">
        <is>
          <t>Discharge summary</t>
        </is>
      </c>
      <c r="H617" t="inlineStr">
        <is>
          <t>history-of-present-illness</t>
        </is>
      </c>
      <c r="I617" t="inlineStr">
        <is>
          <t>69M CAD s/p CABG in [**2152**], DM2, CKD on HD, radiation cystitis
complicated by enterococcal UTI ([**1-21**]) and history of
enterococcal endocarditis presenting with chest pain and dyspnea
on exertion for several weeks responsive to nitroglycerin.</t>
        </is>
      </c>
    </row>
    <row r="618">
      <c r="A618" t="inlineStr">
        <is>
          <t>4309-history-of-present-illness-0-1</t>
        </is>
      </c>
      <c r="B618" t="inlineStr"/>
      <c r="C618" t="inlineStr"/>
      <c r="D618">
        <f>HYPERLINK("http://nlpdeep.cs.uic.edu:8080/proofing/t5/4309-history-of-present-illness-0-1.pdf","t5/4309-history-of-present-illness-0-1.pdf")</f>
        <v/>
      </c>
      <c r="E618" t="n">
        <v>109181</v>
      </c>
      <c r="F618" t="n">
        <v>4309</v>
      </c>
      <c r="G618" t="inlineStr">
        <is>
          <t>Discharge summary</t>
        </is>
      </c>
      <c r="H618" t="inlineStr">
        <is>
          <t>history-of-present-illness</t>
        </is>
      </c>
      <c r="I618" t="inlineStr">
        <is>
          <t>He
noticed that pain occasionally radiated to bilateral arms.</t>
        </is>
      </c>
    </row>
    <row r="619">
      <c r="A619" t="inlineStr">
        <is>
          <t>4309-history-of-present-illness-0-1</t>
        </is>
      </c>
      <c r="B619" t="inlineStr"/>
      <c r="C619" t="inlineStr"/>
      <c r="D619">
        <f>HYPERLINK("http://nlpdeep.cs.uic.edu:8080/proofing/gsii/4309-history-of-present-illness-0-1.pdf","gsii/4309-history-of-present-illness-0-1.pdf")</f>
        <v/>
      </c>
      <c r="E619" t="n">
        <v>109181</v>
      </c>
      <c r="F619" t="n">
        <v>4309</v>
      </c>
      <c r="G619" t="inlineStr">
        <is>
          <t>Discharge summary</t>
        </is>
      </c>
      <c r="H619" t="inlineStr">
        <is>
          <t>history-of-present-illness</t>
        </is>
      </c>
      <c r="I619" t="inlineStr">
        <is>
          <t>He
noticed that pain occasionally radiated to bilateral arms.</t>
        </is>
      </c>
    </row>
    <row r="620">
      <c r="A620" t="inlineStr">
        <is>
          <t>4309-history-of-present-illness-0-2</t>
        </is>
      </c>
      <c r="B620" t="inlineStr"/>
      <c r="C620" t="inlineStr"/>
      <c r="D620">
        <f>HYPERLINK("http://nlpdeep.cs.uic.edu:8080/proofing/t5/4309-history-of-present-illness-0-2.pdf","t5/4309-history-of-present-illness-0-2.pdf")</f>
        <v/>
      </c>
      <c r="E620" t="n">
        <v>109181</v>
      </c>
      <c r="F620" t="n">
        <v>4309</v>
      </c>
      <c r="G620" t="inlineStr">
        <is>
          <t>Discharge summary</t>
        </is>
      </c>
      <c r="H620" t="inlineStr">
        <is>
          <t>history-of-present-illness</t>
        </is>
      </c>
      <c r="I620" t="inlineStr">
        <is>
          <t>He
denies fevers, chills, nausea/vomiting.</t>
        </is>
      </c>
    </row>
    <row r="621">
      <c r="A621" t="inlineStr">
        <is>
          <t>4309-history-of-present-illness-0-2</t>
        </is>
      </c>
      <c r="B621" t="inlineStr"/>
      <c r="C621" t="inlineStr"/>
      <c r="D621">
        <f>HYPERLINK("http://nlpdeep.cs.uic.edu:8080/proofing/gsii/4309-history-of-present-illness-0-2.pdf","gsii/4309-history-of-present-illness-0-2.pdf")</f>
        <v/>
      </c>
      <c r="E621" t="n">
        <v>109181</v>
      </c>
      <c r="F621" t="n">
        <v>4309</v>
      </c>
      <c r="G621" t="inlineStr">
        <is>
          <t>Discharge summary</t>
        </is>
      </c>
      <c r="H621" t="inlineStr">
        <is>
          <t>history-of-present-illness</t>
        </is>
      </c>
      <c r="I621" t="inlineStr">
        <is>
          <t>He
denies fevers, chills, nausea/vomiting.</t>
        </is>
      </c>
    </row>
    <row r="622">
      <c r="A622" t="inlineStr">
        <is>
          <t>4309-history-of-present-illness-0-3</t>
        </is>
      </c>
      <c r="B622" t="inlineStr"/>
      <c r="C622" t="inlineStr"/>
      <c r="D622">
        <f>HYPERLINK("http://nlpdeep.cs.uic.edu:8080/proofing/t5/4309-history-of-present-illness-0-3.pdf","t5/4309-history-of-present-illness-0-3.pdf")</f>
        <v/>
      </c>
      <c r="E622" t="n">
        <v>109181</v>
      </c>
      <c r="F622" t="n">
        <v>4309</v>
      </c>
      <c r="G622" t="inlineStr">
        <is>
          <t>Discharge summary</t>
        </is>
      </c>
      <c r="H622" t="inlineStr">
        <is>
          <t>history-of-present-illness</t>
        </is>
      </c>
      <c r="I622" t="inlineStr">
        <is>
          <t>He also denies PND or
orthopnea.</t>
        </is>
      </c>
    </row>
    <row r="623">
      <c r="A623" t="inlineStr">
        <is>
          <t>4309-history-of-present-illness-0-3</t>
        </is>
      </c>
      <c r="B623" t="inlineStr"/>
      <c r="C623" t="inlineStr"/>
      <c r="D623">
        <f>HYPERLINK("http://nlpdeep.cs.uic.edu:8080/proofing/gsii/4309-history-of-present-illness-0-3.pdf","gsii/4309-history-of-present-illness-0-3.pdf")</f>
        <v/>
      </c>
      <c r="E623" t="n">
        <v>109181</v>
      </c>
      <c r="F623" t="n">
        <v>4309</v>
      </c>
      <c r="G623" t="inlineStr">
        <is>
          <t>Discharge summary</t>
        </is>
      </c>
      <c r="H623" t="inlineStr">
        <is>
          <t>history-of-present-illness</t>
        </is>
      </c>
      <c r="I623" t="inlineStr">
        <is>
          <t>He also denies PND or
orthopnea.</t>
        </is>
      </c>
    </row>
    <row r="624">
      <c r="A624" t="inlineStr">
        <is>
          <t>4309-history-of-present-illness-0-4</t>
        </is>
      </c>
      <c r="B624" t="inlineStr"/>
      <c r="C624" t="inlineStr"/>
      <c r="D624">
        <f>HYPERLINK("http://nlpdeep.cs.uic.edu:8080/proofing/t5/4309-history-of-present-illness-0-4.pdf","t5/4309-history-of-present-illness-0-4.pdf")</f>
        <v/>
      </c>
      <c r="E624" t="n">
        <v>109181</v>
      </c>
      <c r="F624" t="n">
        <v>4309</v>
      </c>
      <c r="G624" t="inlineStr">
        <is>
          <t>Discharge summary</t>
        </is>
      </c>
      <c r="H624" t="inlineStr">
        <is>
          <t>history-of-present-illness</t>
        </is>
      </c>
      <c r="I624" t="inlineStr">
        <is>
          <t xml:space="preserve">
Patient was due for outpatient c.</t>
        </is>
      </c>
    </row>
    <row r="625">
      <c r="A625" t="inlineStr">
        <is>
          <t>4309-history-of-present-illness-0-4</t>
        </is>
      </c>
      <c r="B625" t="inlineStr"/>
      <c r="C625" t="inlineStr"/>
      <c r="D625">
        <f>HYPERLINK("http://nlpdeep.cs.uic.edu:8080/proofing/gsii/4309-history-of-present-illness-0-4.pdf","gsii/4309-history-of-present-illness-0-4.pdf")</f>
        <v/>
      </c>
      <c r="E625" t="n">
        <v>109181</v>
      </c>
      <c r="F625" t="n">
        <v>4309</v>
      </c>
      <c r="G625" t="inlineStr">
        <is>
          <t>Discharge summary</t>
        </is>
      </c>
      <c r="H625" t="inlineStr">
        <is>
          <t>history-of-present-illness</t>
        </is>
      </c>
      <c r="I625" t="inlineStr">
        <is>
          <t xml:space="preserve">
Patient was due for outpatient c.</t>
        </is>
      </c>
    </row>
    <row r="626">
      <c r="A626" t="inlineStr">
        <is>
          <t>4309-history-of-present-illness-0-5</t>
        </is>
      </c>
      <c r="B626" t="inlineStr"/>
      <c r="C626" t="inlineStr"/>
      <c r="D626">
        <f>HYPERLINK("http://nlpdeep.cs.uic.edu:8080/proofing/t5/4309-history-of-present-illness-0-5.pdf","t5/4309-history-of-present-illness-0-5.pdf")</f>
        <v/>
      </c>
      <c r="E626" t="n">
        <v>109181</v>
      </c>
      <c r="F626" t="n">
        <v>4309</v>
      </c>
      <c r="G626" t="inlineStr">
        <is>
          <t>Discharge summary</t>
        </is>
      </c>
      <c r="H626" t="inlineStr">
        <is>
          <t>history-of-present-illness</t>
        </is>
      </c>
      <c r="I626" t="inlineStr">
        <is>
          <t>cath on Thursday with his
cardiologist Dr. [**Last Name (STitle) **].</t>
        </is>
      </c>
    </row>
    <row r="627">
      <c r="A627" t="inlineStr">
        <is>
          <t>4309-history-of-present-illness-0-5</t>
        </is>
      </c>
      <c r="B627" t="inlineStr"/>
      <c r="C627" t="inlineStr"/>
      <c r="D627">
        <f>HYPERLINK("http://nlpdeep.cs.uic.edu:8080/proofing/gsii/4309-history-of-present-illness-0-5.pdf","gsii/4309-history-of-present-illness-0-5.pdf")</f>
        <v/>
      </c>
      <c r="E627" t="n">
        <v>109181</v>
      </c>
      <c r="F627" t="n">
        <v>4309</v>
      </c>
      <c r="G627" t="inlineStr">
        <is>
          <t>Discharge summary</t>
        </is>
      </c>
      <c r="H627" t="inlineStr">
        <is>
          <t>history-of-present-illness</t>
        </is>
      </c>
      <c r="I627" t="inlineStr">
        <is>
          <t>cath on Thursday with his
cardiologist Dr. [**Last Name (STitle) **].</t>
        </is>
      </c>
    </row>
    <row r="628">
      <c r="A628" t="inlineStr">
        <is>
          <t>4309-history-of-present-illness-0-6</t>
        </is>
      </c>
      <c r="B628" t="inlineStr"/>
      <c r="C628" t="inlineStr"/>
      <c r="D628">
        <f>HYPERLINK("http://nlpdeep.cs.uic.edu:8080/proofing/t5/4309-history-of-present-illness-0-6.pdf","t5/4309-history-of-present-illness-0-6.pdf")</f>
        <v/>
      </c>
      <c r="E628" t="n">
        <v>109181</v>
      </c>
      <c r="F628" t="n">
        <v>4309</v>
      </c>
      <c r="G628" t="inlineStr">
        <is>
          <t>Discharge summary</t>
        </is>
      </c>
      <c r="H628" t="inlineStr">
        <is>
          <t>history-of-present-illness</t>
        </is>
      </c>
      <c r="I628" t="inlineStr">
        <is>
          <t>He was advised to present to the ED
given increased frequency and intensity of chest discomfort.</t>
        </is>
      </c>
    </row>
    <row r="629">
      <c r="A629" t="inlineStr">
        <is>
          <t>4309-history-of-present-illness-0-6</t>
        </is>
      </c>
      <c r="B629" t="inlineStr"/>
      <c r="C629" t="inlineStr"/>
      <c r="D629">
        <f>HYPERLINK("http://nlpdeep.cs.uic.edu:8080/proofing/gsii/4309-history-of-present-illness-0-6.pdf","gsii/4309-history-of-present-illness-0-6.pdf")</f>
        <v/>
      </c>
      <c r="E629" t="n">
        <v>109181</v>
      </c>
      <c r="F629" t="n">
        <v>4309</v>
      </c>
      <c r="G629" t="inlineStr">
        <is>
          <t>Discharge summary</t>
        </is>
      </c>
      <c r="H629" t="inlineStr">
        <is>
          <t>history-of-present-illness</t>
        </is>
      </c>
      <c r="I629" t="inlineStr">
        <is>
          <t>He was advised to present to the ED
given increased frequency and intensity of chest discomfort.</t>
        </is>
      </c>
    </row>
    <row r="630">
      <c r="A630" t="inlineStr">
        <is>
          <t>4309-history-of-present-illness-0-7</t>
        </is>
      </c>
      <c r="B630" t="inlineStr"/>
      <c r="C630" t="inlineStr"/>
      <c r="D630">
        <f>HYPERLINK("http://nlpdeep.cs.uic.edu:8080/proofing/t5/4309-history-of-present-illness-0-7.pdf","t5/4309-history-of-present-illness-0-7.pdf")</f>
        <v/>
      </c>
      <c r="E630" t="n">
        <v>109181</v>
      </c>
      <c r="F630" t="n">
        <v>4309</v>
      </c>
      <c r="G630" t="inlineStr">
        <is>
          <t>Discharge summary</t>
        </is>
      </c>
      <c r="H630" t="inlineStr">
        <is>
          <t>history-of-present-illness</t>
        </is>
      </c>
      <c r="I630" t="inlineStr">
        <is>
          <t>He
initially presented to OSH and was transferred here due to
cardiology care here.</t>
        </is>
      </c>
    </row>
    <row r="631">
      <c r="A631" t="inlineStr">
        <is>
          <t>4309-history-of-present-illness-0-7</t>
        </is>
      </c>
      <c r="B631" t="inlineStr"/>
      <c r="C631" t="inlineStr"/>
      <c r="D631">
        <f>HYPERLINK("http://nlpdeep.cs.uic.edu:8080/proofing/gsii/4309-history-of-present-illness-0-7.pdf","gsii/4309-history-of-present-illness-0-7.pdf")</f>
        <v/>
      </c>
      <c r="E631" t="n">
        <v>109181</v>
      </c>
      <c r="F631" t="n">
        <v>4309</v>
      </c>
      <c r="G631" t="inlineStr">
        <is>
          <t>Discharge summary</t>
        </is>
      </c>
      <c r="H631" t="inlineStr">
        <is>
          <t>history-of-present-illness</t>
        </is>
      </c>
      <c r="I631" t="inlineStr">
        <is>
          <t>He
initially presented to OSH and was transferred here due to
cardiology care here.</t>
        </is>
      </c>
    </row>
    <row r="632">
      <c r="A632" t="inlineStr">
        <is>
          <t>4309-history-of-present-illness-0-8</t>
        </is>
      </c>
      <c r="B632" t="inlineStr"/>
      <c r="C632" t="inlineStr"/>
      <c r="D632">
        <f>HYPERLINK("http://nlpdeep.cs.uic.edu:8080/proofing/t5/4309-history-of-present-illness-0-8.pdf","t5/4309-history-of-present-illness-0-8.pdf")</f>
        <v/>
      </c>
      <c r="E632" t="n">
        <v>109181</v>
      </c>
      <c r="F632" t="n">
        <v>4309</v>
      </c>
      <c r="G632" t="inlineStr">
        <is>
          <t>Discharge summary</t>
        </is>
      </c>
      <c r="H632" t="inlineStr">
        <is>
          <t>history-of-present-illness</t>
        </is>
      </c>
      <c r="I632" t="inlineStr">
        <is>
          <t>He states that the reason why he came
today was that he usually uses oxygen at HD sessions, but his
doctor told him that he can't do that on a regular basis.</t>
        </is>
      </c>
    </row>
    <row r="633">
      <c r="A633" t="inlineStr">
        <is>
          <t>4309-history-of-present-illness-0-8</t>
        </is>
      </c>
      <c r="B633" t="inlineStr"/>
      <c r="C633" t="inlineStr"/>
      <c r="D633">
        <f>HYPERLINK("http://nlpdeep.cs.uic.edu:8080/proofing/gsii/4309-history-of-present-illness-0-8.pdf","gsii/4309-history-of-present-illness-0-8.pdf")</f>
        <v/>
      </c>
      <c r="E633" t="n">
        <v>109181</v>
      </c>
      <c r="F633" t="n">
        <v>4309</v>
      </c>
      <c r="G633" t="inlineStr">
        <is>
          <t>Discharge summary</t>
        </is>
      </c>
      <c r="H633" t="inlineStr">
        <is>
          <t>history-of-present-illness</t>
        </is>
      </c>
      <c r="I633" t="inlineStr">
        <is>
          <t>He states that the reason why he came
today was that he usually uses oxygen at HD sessions, but his
doctor told him that he can't do that on a regular basis.</t>
        </is>
      </c>
    </row>
    <row r="634">
      <c r="A634" t="inlineStr">
        <is>
          <t>4309-history-of-present-illness-0-9</t>
        </is>
      </c>
      <c r="B634" t="inlineStr"/>
      <c r="C634" t="inlineStr"/>
      <c r="D634">
        <f>HYPERLINK("http://nlpdeep.cs.uic.edu:8080/proofing/t5/4309-history-of-present-illness-0-9.pdf","t5/4309-history-of-present-illness-0-9.pdf")</f>
        <v/>
      </c>
      <c r="E634" t="n">
        <v>109181</v>
      </c>
      <c r="F634" t="n">
        <v>4309</v>
      </c>
      <c r="G634" t="inlineStr">
        <is>
          <t>Discharge summary</t>
        </is>
      </c>
      <c r="H634" t="inlineStr">
        <is>
          <t>history-of-present-illness</t>
        </is>
      </c>
      <c r="I634" t="inlineStr">
        <is>
          <t>It was
also ascertained that for the past 3 weeks that he was using
[**8-21**] SLNTGs a day for chest discomfort occuring both at rest and
with exertion.</t>
        </is>
      </c>
    </row>
    <row r="635">
      <c r="A635" t="inlineStr">
        <is>
          <t>4309-history-of-present-illness-0-9</t>
        </is>
      </c>
      <c r="B635" t="inlineStr"/>
      <c r="C635" t="inlineStr"/>
      <c r="D635">
        <f>HYPERLINK("http://nlpdeep.cs.uic.edu:8080/proofing/gsii/4309-history-of-present-illness-0-9.pdf","gsii/4309-history-of-present-illness-0-9.pdf")</f>
        <v/>
      </c>
      <c r="E635" t="n">
        <v>109181</v>
      </c>
      <c r="F635" t="n">
        <v>4309</v>
      </c>
      <c r="G635" t="inlineStr">
        <is>
          <t>Discharge summary</t>
        </is>
      </c>
      <c r="H635" t="inlineStr">
        <is>
          <t>history-of-present-illness</t>
        </is>
      </c>
      <c r="I635" t="inlineStr">
        <is>
          <t>It was
also ascertained that for the past 3 weeks that he was using
[**8-21**] SLNTGs a day for chest discomfort occuring both at rest and
with exertion.</t>
        </is>
      </c>
    </row>
    <row r="636">
      <c r="A636" t="inlineStr">
        <is>
          <t>4309-history-of-present-illness-0-10</t>
        </is>
      </c>
      <c r="B636" t="inlineStr"/>
      <c r="C636" t="inlineStr"/>
      <c r="D636">
        <f>HYPERLINK("http://nlpdeep.cs.uic.edu:8080/proofing/t5/4309-history-of-present-illness-0-10.pdf","t5/4309-history-of-present-illness-0-10.pdf")</f>
        <v/>
      </c>
      <c r="E636" t="n">
        <v>109181</v>
      </c>
      <c r="F636" t="n">
        <v>4309</v>
      </c>
      <c r="G636" t="inlineStr">
        <is>
          <t>Discharge summary</t>
        </is>
      </c>
      <c r="H636" t="inlineStr">
        <is>
          <t>history-of-present-illness</t>
        </is>
      </c>
      <c r="I636" t="inlineStr">
        <is>
          <t>This represents increased frequency of his
symptoms - intensity has been the same.</t>
        </is>
      </c>
    </row>
    <row r="637">
      <c r="A637" t="inlineStr">
        <is>
          <t>4309-history-of-present-illness-0-10</t>
        </is>
      </c>
      <c r="B637" t="inlineStr"/>
      <c r="C637" t="inlineStr"/>
      <c r="D637">
        <f>HYPERLINK("http://nlpdeep.cs.uic.edu:8080/proofing/gsii/4309-history-of-present-illness-0-10.pdf","gsii/4309-history-of-present-illness-0-10.pdf")</f>
        <v/>
      </c>
      <c r="E637" t="n">
        <v>109181</v>
      </c>
      <c r="F637" t="n">
        <v>4309</v>
      </c>
      <c r="G637" t="inlineStr">
        <is>
          <t>Discharge summary</t>
        </is>
      </c>
      <c r="H637" t="inlineStr">
        <is>
          <t>history-of-present-illness</t>
        </is>
      </c>
      <c r="I637" t="inlineStr">
        <is>
          <t>This represents increased frequency of his
symptoms - intensity has been the same.</t>
        </is>
      </c>
    </row>
    <row r="638">
      <c r="A638" t="inlineStr">
        <is>
          <t>4309-history-of-present-illness-0-11</t>
        </is>
      </c>
      <c r="B638" t="inlineStr"/>
      <c r="C638" t="inlineStr"/>
      <c r="D638">
        <f>HYPERLINK("http://nlpdeep.cs.uic.edu:8080/proofing/t5/4309-history-of-present-illness-0-11.pdf","t5/4309-history-of-present-illness-0-11.pdf")</f>
        <v/>
      </c>
      <c r="E638" t="n">
        <v>109181</v>
      </c>
      <c r="F638" t="n">
        <v>4309</v>
      </c>
      <c r="G638" t="inlineStr">
        <is>
          <t>Discharge summary</t>
        </is>
      </c>
      <c r="H638" t="inlineStr">
        <is>
          <t>history-of-present-illness</t>
        </is>
      </c>
      <c r="I638" t="inlineStr">
        <is>
          <t xml:space="preserve">
Of note, he also was complained about needing oxygen and
subsequently is doing well on 3 L NC.</t>
        </is>
      </c>
    </row>
    <row r="639">
      <c r="A639" t="inlineStr">
        <is>
          <t>4309-history-of-present-illness-0-11</t>
        </is>
      </c>
      <c r="B639" t="inlineStr"/>
      <c r="C639" t="inlineStr"/>
      <c r="D639">
        <f>HYPERLINK("http://nlpdeep.cs.uic.edu:8080/proofing/gsii/4309-history-of-present-illness-0-11.pdf","gsii/4309-history-of-present-illness-0-11.pdf")</f>
        <v/>
      </c>
      <c r="E639" t="n">
        <v>109181</v>
      </c>
      <c r="F639" t="n">
        <v>4309</v>
      </c>
      <c r="G639" t="inlineStr">
        <is>
          <t>Discharge summary</t>
        </is>
      </c>
      <c r="H639" t="inlineStr">
        <is>
          <t>history-of-present-illness</t>
        </is>
      </c>
      <c r="I639" t="inlineStr">
        <is>
          <t xml:space="preserve">
Of note, he also was complained about needing oxygen and
subsequently is doing well on 3 L NC.</t>
        </is>
      </c>
    </row>
    <row r="640">
      <c r="A640" t="inlineStr">
        <is>
          <t>4309-history-of-present-illness-0-12</t>
        </is>
      </c>
      <c r="B640" t="inlineStr"/>
      <c r="C640" t="inlineStr"/>
      <c r="D640">
        <f>HYPERLINK("http://nlpdeep.cs.uic.edu:8080/proofing/t5/4309-history-of-present-illness-0-12.pdf","t5/4309-history-of-present-illness-0-12.pdf")</f>
        <v/>
      </c>
      <c r="E640" t="n">
        <v>109181</v>
      </c>
      <c r="F640" t="n">
        <v>4309</v>
      </c>
      <c r="G640" t="inlineStr">
        <is>
          <t>Discharge summary</t>
        </is>
      </c>
      <c r="H640" t="inlineStr">
        <is>
          <t>history-of-present-illness</t>
        </is>
      </c>
      <c r="I640" t="inlineStr">
        <is>
          <t>He does endorse some chest
congestion now.</t>
        </is>
      </c>
    </row>
    <row r="641">
      <c r="A641" t="inlineStr">
        <is>
          <t>4309-history-of-present-illness-0-12</t>
        </is>
      </c>
      <c r="B641" t="inlineStr"/>
      <c r="C641" t="inlineStr"/>
      <c r="D641">
        <f>HYPERLINK("http://nlpdeep.cs.uic.edu:8080/proofing/gsii/4309-history-of-present-illness-0-12.pdf","gsii/4309-history-of-present-illness-0-12.pdf")</f>
        <v/>
      </c>
      <c r="E641" t="n">
        <v>109181</v>
      </c>
      <c r="F641" t="n">
        <v>4309</v>
      </c>
      <c r="G641" t="inlineStr">
        <is>
          <t>Discharge summary</t>
        </is>
      </c>
      <c r="H641" t="inlineStr">
        <is>
          <t>history-of-present-illness</t>
        </is>
      </c>
      <c r="I641" t="inlineStr">
        <is>
          <t>He does endorse some chest
congestion now.</t>
        </is>
      </c>
    </row>
    <row r="642">
      <c r="A642" t="inlineStr">
        <is>
          <t>4309-history-of-present-illness-1-0</t>
        </is>
      </c>
      <c r="B642" t="inlineStr"/>
      <c r="C642" t="inlineStr"/>
      <c r="D642">
        <f>HYPERLINK("http://nlpdeep.cs.uic.edu:8080/proofing/t5/4309-history-of-present-illness-1-0.pdf","t5/4309-history-of-present-illness-1-0.pdf")</f>
        <v/>
      </c>
      <c r="E642" t="n">
        <v>109181</v>
      </c>
      <c r="F642" t="n">
        <v>4309</v>
      </c>
      <c r="G642" t="inlineStr">
        <is>
          <t>Discharge summary</t>
        </is>
      </c>
      <c r="H642" t="inlineStr">
        <is>
          <t>history-of-present-illness</t>
        </is>
      </c>
      <c r="I642" t="inlineStr">
        <is>
          <t xml:space="preserve">
In the ED, initial VS: 22:34 0 98.1 91 101/51 18 100% 3L.</t>
        </is>
      </c>
    </row>
    <row r="643">
      <c r="A643" t="inlineStr">
        <is>
          <t>4309-history-of-present-illness-1-0</t>
        </is>
      </c>
      <c r="B643" t="inlineStr"/>
      <c r="C643" t="inlineStr"/>
      <c r="D643">
        <f>HYPERLINK("http://nlpdeep.cs.uic.edu:8080/proofing/gsii/4309-history-of-present-illness-1-0.pdf","gsii/4309-history-of-present-illness-1-0.pdf")</f>
        <v/>
      </c>
      <c r="E643" t="n">
        <v>109181</v>
      </c>
      <c r="F643" t="n">
        <v>4309</v>
      </c>
      <c r="G643" t="inlineStr">
        <is>
          <t>Discharge summary</t>
        </is>
      </c>
      <c r="H643" t="inlineStr">
        <is>
          <t>history-of-present-illness</t>
        </is>
      </c>
      <c r="I643" t="inlineStr">
        <is>
          <t xml:space="preserve">
In the ED, initial VS: 22:34 0 98.1 91 101/51 18 100% 3L.</t>
        </is>
      </c>
    </row>
    <row r="644">
      <c r="A644" t="inlineStr">
        <is>
          <t>4309-history-of-present-illness-1-1</t>
        </is>
      </c>
      <c r="B644" t="inlineStr"/>
      <c r="C644" t="inlineStr"/>
      <c r="D644">
        <f>HYPERLINK("http://nlpdeep.cs.uic.edu:8080/proofing/t5/4309-history-of-present-illness-1-1.pdf","t5/4309-history-of-present-illness-1-1.pdf")</f>
        <v/>
      </c>
      <c r="E644" t="n">
        <v>109181</v>
      </c>
      <c r="F644" t="n">
        <v>4309</v>
      </c>
      <c r="G644" t="inlineStr">
        <is>
          <t>Discharge summary</t>
        </is>
      </c>
      <c r="H644" t="inlineStr">
        <is>
          <t>history-of-present-illness</t>
        </is>
      </c>
      <c r="I644" t="inlineStr">
        <is>
          <t xml:space="preserve">
ECG showed SR at 95 bpm with lateral ST depression and no STEMI.</t>
        </is>
      </c>
    </row>
    <row r="645">
      <c r="A645" t="inlineStr">
        <is>
          <t>4309-history-of-present-illness-1-1</t>
        </is>
      </c>
      <c r="B645" t="inlineStr"/>
      <c r="C645" t="inlineStr"/>
      <c r="D645">
        <f>HYPERLINK("http://nlpdeep.cs.uic.edu:8080/proofing/gsii/4309-history-of-present-illness-1-1.pdf","gsii/4309-history-of-present-illness-1-1.pdf")</f>
        <v/>
      </c>
      <c r="E645" t="n">
        <v>109181</v>
      </c>
      <c r="F645" t="n">
        <v>4309</v>
      </c>
      <c r="G645" t="inlineStr">
        <is>
          <t>Discharge summary</t>
        </is>
      </c>
      <c r="H645" t="inlineStr">
        <is>
          <t>history-of-present-illness</t>
        </is>
      </c>
      <c r="I645" t="inlineStr">
        <is>
          <t xml:space="preserve">
ECG showed SR at 95 bpm with lateral ST depression and no STEMI.</t>
        </is>
      </c>
    </row>
    <row r="646">
      <c r="A646" t="inlineStr">
        <is>
          <t>4309-history-of-present-illness-1-2</t>
        </is>
      </c>
      <c r="B646" t="inlineStr"/>
      <c r="C646" t="inlineStr"/>
      <c r="D646">
        <f>HYPERLINK("http://nlpdeep.cs.uic.edu:8080/proofing/t5/4309-history-of-present-illness-1-2.pdf","t5/4309-history-of-present-illness-1-2.pdf")</f>
        <v/>
      </c>
      <c r="E646" t="n">
        <v>109181</v>
      </c>
      <c r="F646" t="n">
        <v>4309</v>
      </c>
      <c r="G646" t="inlineStr">
        <is>
          <t>Discharge summary</t>
        </is>
      </c>
      <c r="H646" t="inlineStr">
        <is>
          <t>history-of-present-illness</t>
        </is>
      </c>
      <c r="I646" t="inlineStr">
        <is>
          <t xml:space="preserve">
There were some dynamic depressions in V4-V5 while patient was
chest pain free on arrival here.</t>
        </is>
      </c>
    </row>
    <row r="647">
      <c r="A647" t="inlineStr">
        <is>
          <t>4309-history-of-present-illness-1-2</t>
        </is>
      </c>
      <c r="B647" t="inlineStr"/>
      <c r="C647" t="inlineStr"/>
      <c r="D647">
        <f>HYPERLINK("http://nlpdeep.cs.uic.edu:8080/proofing/gsii/4309-history-of-present-illness-1-2.pdf","gsii/4309-history-of-present-illness-1-2.pdf")</f>
        <v/>
      </c>
      <c r="E647" t="n">
        <v>109181</v>
      </c>
      <c r="F647" t="n">
        <v>4309</v>
      </c>
      <c r="G647" t="inlineStr">
        <is>
          <t>Discharge summary</t>
        </is>
      </c>
      <c r="H647" t="inlineStr">
        <is>
          <t>history-of-present-illness</t>
        </is>
      </c>
      <c r="I647" t="inlineStr">
        <is>
          <t xml:space="preserve">
There were some dynamic depressions in V4-V5 while patient was
chest pain free on arrival here.</t>
        </is>
      </c>
    </row>
    <row r="648">
      <c r="A648" t="inlineStr">
        <is>
          <t>4309-history-of-present-illness-1-3</t>
        </is>
      </c>
      <c r="B648" t="inlineStr"/>
      <c r="C648" t="inlineStr"/>
      <c r="D648">
        <f>HYPERLINK("http://nlpdeep.cs.uic.edu:8080/proofing/t5/4309-history-of-present-illness-1-3.pdf","t5/4309-history-of-present-illness-1-3.pdf")</f>
        <v/>
      </c>
      <c r="E648" t="n">
        <v>109181</v>
      </c>
      <c r="F648" t="n">
        <v>4309</v>
      </c>
      <c r="G648" t="inlineStr">
        <is>
          <t>Discharge summary</t>
        </is>
      </c>
      <c r="H648" t="inlineStr">
        <is>
          <t>history-of-present-illness</t>
        </is>
      </c>
      <c r="I648" t="inlineStr">
        <is>
          <t xml:space="preserve">
OSH labs at 8 PM showing WBC 6.3, Hgb 12.4, Plt 156.</t>
        </is>
      </c>
    </row>
    <row r="649">
      <c r="A649" t="inlineStr">
        <is>
          <t>4309-history-of-present-illness-1-3</t>
        </is>
      </c>
      <c r="B649" t="inlineStr"/>
      <c r="C649" t="inlineStr"/>
      <c r="D649">
        <f>HYPERLINK("http://nlpdeep.cs.uic.edu:8080/proofing/gsii/4309-history-of-present-illness-1-3.pdf","gsii/4309-history-of-present-illness-1-3.pdf")</f>
        <v/>
      </c>
      <c r="E649" t="n">
        <v>109181</v>
      </c>
      <c r="F649" t="n">
        <v>4309</v>
      </c>
      <c r="G649" t="inlineStr">
        <is>
          <t>Discharge summary</t>
        </is>
      </c>
      <c r="H649" t="inlineStr">
        <is>
          <t>history-of-present-illness</t>
        </is>
      </c>
      <c r="I649" t="inlineStr">
        <is>
          <t xml:space="preserve">
OSH labs at 8 PM showing WBC 6.3, Hgb 12.4, Plt 156.</t>
        </is>
      </c>
    </row>
    <row r="650">
      <c r="A650" t="inlineStr">
        <is>
          <t>4309-history-of-present-illness-1-4</t>
        </is>
      </c>
      <c r="B650" t="inlineStr"/>
      <c r="C650" t="inlineStr"/>
      <c r="D650">
        <f>HYPERLINK("http://nlpdeep.cs.uic.edu:8080/proofing/t5/4309-history-of-present-illness-1-4.pdf","t5/4309-history-of-present-illness-1-4.pdf")</f>
        <v/>
      </c>
      <c r="E650" t="n">
        <v>109181</v>
      </c>
      <c r="F650" t="n">
        <v>4309</v>
      </c>
      <c r="G650" t="inlineStr">
        <is>
          <t>Discharge summary</t>
        </is>
      </c>
      <c r="H650" t="inlineStr">
        <is>
          <t>history-of-present-illness</t>
        </is>
      </c>
      <c r="I650" t="inlineStr">
        <is>
          <t>Chemistry
panel was Na 134, K 3.7, Cl 90, HCO3 30, BUN 35, Cr 2.8 and
Glucose 132.</t>
        </is>
      </c>
    </row>
    <row r="651">
      <c r="A651" t="inlineStr">
        <is>
          <t>4309-history-of-present-illness-1-4</t>
        </is>
      </c>
      <c r="B651" t="inlineStr"/>
      <c r="C651" t="inlineStr"/>
      <c r="D651">
        <f>HYPERLINK("http://nlpdeep.cs.uic.edu:8080/proofing/gsii/4309-history-of-present-illness-1-4.pdf","gsii/4309-history-of-present-illness-1-4.pdf")</f>
        <v/>
      </c>
      <c r="E651" t="n">
        <v>109181</v>
      </c>
      <c r="F651" t="n">
        <v>4309</v>
      </c>
      <c r="G651" t="inlineStr">
        <is>
          <t>Discharge summary</t>
        </is>
      </c>
      <c r="H651" t="inlineStr">
        <is>
          <t>history-of-present-illness</t>
        </is>
      </c>
      <c r="I651" t="inlineStr">
        <is>
          <t>Chemistry
panel was Na 134, K 3.7, Cl 90, HCO3 30, BUN 35, Cr 2.8 and
Glucose 132.</t>
        </is>
      </c>
    </row>
    <row r="652">
      <c r="A652" t="inlineStr">
        <is>
          <t>4309-history-of-present-illness-1-5</t>
        </is>
      </c>
      <c r="B652" t="inlineStr"/>
      <c r="C652" t="inlineStr"/>
      <c r="D652">
        <f>HYPERLINK("http://nlpdeep.cs.uic.edu:8080/proofing/t5/4309-history-of-present-illness-1-5.pdf","t5/4309-history-of-present-illness-1-5.pdf")</f>
        <v/>
      </c>
      <c r="E652" t="n">
        <v>109181</v>
      </c>
      <c r="F652" t="n">
        <v>4309</v>
      </c>
      <c r="G652" t="inlineStr">
        <is>
          <t>Discharge summary</t>
        </is>
      </c>
      <c r="H652" t="inlineStr">
        <is>
          <t>history-of-present-illness</t>
        </is>
      </c>
      <c r="I652" t="inlineStr">
        <is>
          <t>Troponin I was 0.03.</t>
        </is>
      </c>
    </row>
    <row r="653">
      <c r="A653" t="inlineStr">
        <is>
          <t>4309-history-of-present-illness-1-5</t>
        </is>
      </c>
      <c r="B653" t="inlineStr"/>
      <c r="C653" t="inlineStr"/>
      <c r="D653">
        <f>HYPERLINK("http://nlpdeep.cs.uic.edu:8080/proofing/gsii/4309-history-of-present-illness-1-5.pdf","gsii/4309-history-of-present-illness-1-5.pdf")</f>
        <v/>
      </c>
      <c r="E653" t="n">
        <v>109181</v>
      </c>
      <c r="F653" t="n">
        <v>4309</v>
      </c>
      <c r="G653" t="inlineStr">
        <is>
          <t>Discharge summary</t>
        </is>
      </c>
      <c r="H653" t="inlineStr">
        <is>
          <t>history-of-present-illness</t>
        </is>
      </c>
      <c r="I653" t="inlineStr">
        <is>
          <t>Troponin I was 0.03.</t>
        </is>
      </c>
    </row>
    <row r="654">
      <c r="A654" t="inlineStr">
        <is>
          <t>4309-history-of-present-illness-1-6</t>
        </is>
      </c>
      <c r="B654" t="inlineStr"/>
      <c r="C654" t="inlineStr"/>
      <c r="D654">
        <f>HYPERLINK("http://nlpdeep.cs.uic.edu:8080/proofing/t5/4309-history-of-present-illness-1-6.pdf","t5/4309-history-of-present-illness-1-6.pdf")</f>
        <v/>
      </c>
      <c r="E654" t="n">
        <v>109181</v>
      </c>
      <c r="F654" t="n">
        <v>4309</v>
      </c>
      <c r="G654" t="inlineStr">
        <is>
          <t>Discharge summary</t>
        </is>
      </c>
      <c r="H654" t="inlineStr">
        <is>
          <t>history-of-present-illness</t>
        </is>
      </c>
      <c r="I654" t="inlineStr">
        <is>
          <t xml:space="preserve">
A bedside ECHO in the ER showed no effusion with an EF of about
40 % with poor lateral squeeze.</t>
        </is>
      </c>
    </row>
    <row r="655">
      <c r="A655" t="inlineStr">
        <is>
          <t>4309-history-of-present-illness-1-6</t>
        </is>
      </c>
      <c r="B655" t="inlineStr"/>
      <c r="C655" t="inlineStr"/>
      <c r="D655">
        <f>HYPERLINK("http://nlpdeep.cs.uic.edu:8080/proofing/gsii/4309-history-of-present-illness-1-6.pdf","gsii/4309-history-of-present-illness-1-6.pdf")</f>
        <v/>
      </c>
      <c r="E655" t="n">
        <v>109181</v>
      </c>
      <c r="F655" t="n">
        <v>4309</v>
      </c>
      <c r="G655" t="inlineStr">
        <is>
          <t>Discharge summary</t>
        </is>
      </c>
      <c r="H655" t="inlineStr">
        <is>
          <t>history-of-present-illness</t>
        </is>
      </c>
      <c r="I655" t="inlineStr">
        <is>
          <t xml:space="preserve">
A bedside ECHO in the ER showed no effusion with an EF of about
40 % with poor lateral squeeze.</t>
        </is>
      </c>
    </row>
    <row r="656">
      <c r="A656" t="inlineStr">
        <is>
          <t>4309-history-of-present-illness-1-7</t>
        </is>
      </c>
      <c r="B656" t="inlineStr"/>
      <c r="C656" t="inlineStr"/>
      <c r="D656">
        <f>HYPERLINK("http://nlpdeep.cs.uic.edu:8080/proofing/t5/4309-history-of-present-illness-1-7.pdf","t5/4309-history-of-present-illness-1-7.pdf")</f>
        <v/>
      </c>
      <c r="E656" t="n">
        <v>109181</v>
      </c>
      <c r="F656" t="n">
        <v>4309</v>
      </c>
      <c r="G656" t="inlineStr">
        <is>
          <t>Discharge summary</t>
        </is>
      </c>
      <c r="H656" t="inlineStr">
        <is>
          <t>history-of-present-illness</t>
        </is>
      </c>
      <c r="I656" t="inlineStr">
        <is>
          <t>CXR showed mild volume overload
and airspace pulmonary edema.</t>
        </is>
      </c>
    </row>
    <row r="657">
      <c r="A657" t="inlineStr">
        <is>
          <t>4309-history-of-present-illness-1-7</t>
        </is>
      </c>
      <c r="B657" t="inlineStr"/>
      <c r="C657" t="inlineStr"/>
      <c r="D657">
        <f>HYPERLINK("http://nlpdeep.cs.uic.edu:8080/proofing/gsii/4309-history-of-present-illness-1-7.pdf","gsii/4309-history-of-present-illness-1-7.pdf")</f>
        <v/>
      </c>
      <c r="E657" t="n">
        <v>109181</v>
      </c>
      <c r="F657" t="n">
        <v>4309</v>
      </c>
      <c r="G657" t="inlineStr">
        <is>
          <t>Discharge summary</t>
        </is>
      </c>
      <c r="H657" t="inlineStr">
        <is>
          <t>history-of-present-illness</t>
        </is>
      </c>
      <c r="I657" t="inlineStr">
        <is>
          <t>CXR showed mild volume overload
and airspace pulmonary edema.</t>
        </is>
      </c>
    </row>
    <row r="658">
      <c r="A658" t="inlineStr">
        <is>
          <t>4309-history-of-present-illness-1-8</t>
        </is>
      </c>
      <c r="B658" t="inlineStr"/>
      <c r="C658" t="inlineStr"/>
      <c r="D658">
        <f>HYPERLINK("http://nlpdeep.cs.uic.edu:8080/proofing/t5/4309-history-of-present-illness-1-8.pdf","t5/4309-history-of-present-illness-1-8.pdf")</f>
        <v/>
      </c>
      <c r="E658" t="n">
        <v>109181</v>
      </c>
      <c r="F658" t="n">
        <v>4309</v>
      </c>
      <c r="G658" t="inlineStr">
        <is>
          <t>Discharge summary</t>
        </is>
      </c>
      <c r="H658" t="inlineStr">
        <is>
          <t>history-of-present-illness</t>
        </is>
      </c>
      <c r="I658" t="inlineStr">
        <is>
          <t>He was guiaic negative on exam.</t>
        </is>
      </c>
    </row>
    <row r="659">
      <c r="A659" t="inlineStr">
        <is>
          <t>4309-history-of-present-illness-1-8</t>
        </is>
      </c>
      <c r="B659" t="inlineStr"/>
      <c r="C659" t="inlineStr"/>
      <c r="D659">
        <f>HYPERLINK("http://nlpdeep.cs.uic.edu:8080/proofing/gsii/4309-history-of-present-illness-1-8.pdf","gsii/4309-history-of-present-illness-1-8.pdf")</f>
        <v/>
      </c>
      <c r="E659" t="n">
        <v>109181</v>
      </c>
      <c r="F659" t="n">
        <v>4309</v>
      </c>
      <c r="G659" t="inlineStr">
        <is>
          <t>Discharge summary</t>
        </is>
      </c>
      <c r="H659" t="inlineStr">
        <is>
          <t>history-of-present-illness</t>
        </is>
      </c>
      <c r="I659" t="inlineStr">
        <is>
          <t>He was guiaic negative on exam.</t>
        </is>
      </c>
    </row>
    <row r="660">
      <c r="A660" t="inlineStr">
        <is>
          <t>4309-history-of-present-illness-1-9</t>
        </is>
      </c>
      <c r="B660" t="inlineStr"/>
      <c r="C660" t="inlineStr"/>
      <c r="D660">
        <f>HYPERLINK("http://nlpdeep.cs.uic.edu:8080/proofing/t5/4309-history-of-present-illness-1-9.pdf","t5/4309-history-of-present-illness-1-9.pdf")</f>
        <v/>
      </c>
      <c r="E660" t="n">
        <v>109181</v>
      </c>
      <c r="F660" t="n">
        <v>4309</v>
      </c>
      <c r="G660" t="inlineStr">
        <is>
          <t>Discharge summary</t>
        </is>
      </c>
      <c r="H660" t="inlineStr">
        <is>
          <t>history-of-present-illness</t>
        </is>
      </c>
      <c r="I660" t="inlineStr">
        <is>
          <t xml:space="preserve">
He also did have active chest pain at 11:15 PM relieved by
sublingal nitroglycerin.</t>
        </is>
      </c>
    </row>
    <row r="661">
      <c r="A661" t="inlineStr">
        <is>
          <t>4309-history-of-present-illness-1-9</t>
        </is>
      </c>
      <c r="B661" t="inlineStr"/>
      <c r="C661" t="inlineStr"/>
      <c r="D661">
        <f>HYPERLINK("http://nlpdeep.cs.uic.edu:8080/proofing/gsii/4309-history-of-present-illness-1-9.pdf","gsii/4309-history-of-present-illness-1-9.pdf")</f>
        <v/>
      </c>
      <c r="E661" t="n">
        <v>109181</v>
      </c>
      <c r="F661" t="n">
        <v>4309</v>
      </c>
      <c r="G661" t="inlineStr">
        <is>
          <t>Discharge summary</t>
        </is>
      </c>
      <c r="H661" t="inlineStr">
        <is>
          <t>history-of-present-illness</t>
        </is>
      </c>
      <c r="I661" t="inlineStr">
        <is>
          <t xml:space="preserve">
He also did have active chest pain at 11:15 PM relieved by
sublingal nitroglycerin.</t>
        </is>
      </c>
    </row>
    <row r="662">
      <c r="A662" t="inlineStr">
        <is>
          <t>4309-history-of-present-illness-1-10</t>
        </is>
      </c>
      <c r="B662" t="inlineStr"/>
      <c r="C662" t="inlineStr"/>
      <c r="D662">
        <f>HYPERLINK("http://nlpdeep.cs.uic.edu:8080/proofing/t5/4309-history-of-present-illness-1-10.pdf","t5/4309-history-of-present-illness-1-10.pdf")</f>
        <v/>
      </c>
      <c r="E662" t="n">
        <v>109181</v>
      </c>
      <c r="F662" t="n">
        <v>4309</v>
      </c>
      <c r="G662" t="inlineStr">
        <is>
          <t>Discharge summary</t>
        </is>
      </c>
      <c r="H662" t="inlineStr">
        <is>
          <t>history-of-present-illness</t>
        </is>
      </c>
      <c r="I662" t="inlineStr">
        <is>
          <t>A repeat ECG did showed worsening
depression in V3 and improved in V5.</t>
        </is>
      </c>
    </row>
    <row r="663">
      <c r="A663" t="inlineStr">
        <is>
          <t>4309-history-of-present-illness-1-10</t>
        </is>
      </c>
      <c r="B663" t="inlineStr"/>
      <c r="C663" t="inlineStr"/>
      <c r="D663">
        <f>HYPERLINK("http://nlpdeep.cs.uic.edu:8080/proofing/gsii/4309-history-of-present-illness-1-10.pdf","gsii/4309-history-of-present-illness-1-10.pdf")</f>
        <v/>
      </c>
      <c r="E663" t="n">
        <v>109181</v>
      </c>
      <c r="F663" t="n">
        <v>4309</v>
      </c>
      <c r="G663" t="inlineStr">
        <is>
          <t>Discharge summary</t>
        </is>
      </c>
      <c r="H663" t="inlineStr">
        <is>
          <t>history-of-present-illness</t>
        </is>
      </c>
      <c r="I663" t="inlineStr">
        <is>
          <t>A repeat ECG did showed worsening
depression in V3 and improved in V5.</t>
        </is>
      </c>
    </row>
    <row r="664">
      <c r="A664" t="inlineStr">
        <is>
          <t>4309-history-of-present-illness-1-11</t>
        </is>
      </c>
      <c r="B664" t="inlineStr"/>
      <c r="C664" t="inlineStr"/>
      <c r="D664">
        <f>HYPERLINK("http://nlpdeep.cs.uic.edu:8080/proofing/t5/4309-history-of-present-illness-1-11.pdf","t5/4309-history-of-present-illness-1-11.pdf")</f>
        <v/>
      </c>
      <c r="E664" t="n">
        <v>109181</v>
      </c>
      <c r="F664" t="n">
        <v>4309</v>
      </c>
      <c r="G664" t="inlineStr">
        <is>
          <t>Discharge summary</t>
        </is>
      </c>
      <c r="H664" t="inlineStr">
        <is>
          <t>history-of-present-illness</t>
        </is>
      </c>
      <c r="I664" t="inlineStr">
        <is>
          <t>The attending cardiologist
assessed him in the ER, recommended heparin infusion and
nitroglycerin infusion given frequent chest discomfort.</t>
        </is>
      </c>
    </row>
    <row r="665">
      <c r="A665" t="inlineStr">
        <is>
          <t>4309-history-of-present-illness-1-11</t>
        </is>
      </c>
      <c r="B665" t="inlineStr"/>
      <c r="C665" t="inlineStr"/>
      <c r="D665">
        <f>HYPERLINK("http://nlpdeep.cs.uic.edu:8080/proofing/gsii/4309-history-of-present-illness-1-11.pdf","gsii/4309-history-of-present-illness-1-11.pdf")</f>
        <v/>
      </c>
      <c r="E665" t="n">
        <v>109181</v>
      </c>
      <c r="F665" t="n">
        <v>4309</v>
      </c>
      <c r="G665" t="inlineStr">
        <is>
          <t>Discharge summary</t>
        </is>
      </c>
      <c r="H665" t="inlineStr">
        <is>
          <t>history-of-present-illness</t>
        </is>
      </c>
      <c r="I665" t="inlineStr">
        <is>
          <t>The attending cardiologist
assessed him in the ER, recommended heparin infusion and
nitroglycerin infusion given frequent chest discomfort.</t>
        </is>
      </c>
    </row>
    <row r="666">
      <c r="A666" t="inlineStr">
        <is>
          <t>4309-history-of-present-illness-1-12</t>
        </is>
      </c>
      <c r="B666" t="inlineStr"/>
      <c r="C666" t="inlineStr"/>
      <c r="D666">
        <f>HYPERLINK("http://nlpdeep.cs.uic.edu:8080/proofing/t5/4309-history-of-present-illness-1-12.pdf","t5/4309-history-of-present-illness-1-12.pdf")</f>
        <v/>
      </c>
      <c r="E666" t="n">
        <v>109181</v>
      </c>
      <c r="F666" t="n">
        <v>4309</v>
      </c>
      <c r="G666" t="inlineStr">
        <is>
          <t>Discharge summary</t>
        </is>
      </c>
      <c r="H666" t="inlineStr">
        <is>
          <t>history-of-present-illness</t>
        </is>
      </c>
      <c r="I666" t="inlineStr">
        <is>
          <t xml:space="preserve">
Initial labs showed Cr 3.4 (HD patient), anion gap 22, TropnT
0.04.</t>
        </is>
      </c>
    </row>
    <row r="667">
      <c r="A667" t="inlineStr">
        <is>
          <t>4309-history-of-present-illness-1-12</t>
        </is>
      </c>
      <c r="B667" t="inlineStr"/>
      <c r="C667" t="inlineStr"/>
      <c r="D667">
        <f>HYPERLINK("http://nlpdeep.cs.uic.edu:8080/proofing/gsii/4309-history-of-present-illness-1-12.pdf","gsii/4309-history-of-present-illness-1-12.pdf")</f>
        <v/>
      </c>
      <c r="E667" t="n">
        <v>109181</v>
      </c>
      <c r="F667" t="n">
        <v>4309</v>
      </c>
      <c r="G667" t="inlineStr">
        <is>
          <t>Discharge summary</t>
        </is>
      </c>
      <c r="H667" t="inlineStr">
        <is>
          <t>history-of-present-illness</t>
        </is>
      </c>
      <c r="I667" t="inlineStr">
        <is>
          <t xml:space="preserve">
Initial labs showed Cr 3.4 (HD patient), anion gap 22, TropnT
0.04.</t>
        </is>
      </c>
    </row>
    <row r="668">
      <c r="A668" t="inlineStr">
        <is>
          <t>4309-history-of-present-illness-1-13</t>
        </is>
      </c>
      <c r="B668" t="inlineStr"/>
      <c r="C668" t="inlineStr"/>
      <c r="D668">
        <f>HYPERLINK("http://nlpdeep.cs.uic.edu:8080/proofing/t5/4309-history-of-present-illness-1-13.pdf","t5/4309-history-of-present-illness-1-13.pdf")</f>
        <v/>
      </c>
      <c r="E668" t="n">
        <v>109181</v>
      </c>
      <c r="F668" t="n">
        <v>4309</v>
      </c>
      <c r="G668" t="inlineStr">
        <is>
          <t>Discharge summary</t>
        </is>
      </c>
      <c r="H668" t="inlineStr">
        <is>
          <t>history-of-present-illness</t>
        </is>
      </c>
      <c r="I668" t="inlineStr">
        <is>
          <t>Hgb was 12.3 near baseline.</t>
        </is>
      </c>
    </row>
    <row r="669">
      <c r="A669" t="inlineStr">
        <is>
          <t>4309-history-of-present-illness-1-13</t>
        </is>
      </c>
      <c r="B669" t="inlineStr"/>
      <c r="C669" t="inlineStr"/>
      <c r="D669">
        <f>HYPERLINK("http://nlpdeep.cs.uic.edu:8080/proofing/gsii/4309-history-of-present-illness-1-13.pdf","gsii/4309-history-of-present-illness-1-13.pdf")</f>
        <v/>
      </c>
      <c r="E669" t="n">
        <v>109181</v>
      </c>
      <c r="F669" t="n">
        <v>4309</v>
      </c>
      <c r="G669" t="inlineStr">
        <is>
          <t>Discharge summary</t>
        </is>
      </c>
      <c r="H669" t="inlineStr">
        <is>
          <t>history-of-present-illness</t>
        </is>
      </c>
      <c r="I669" t="inlineStr">
        <is>
          <t>Hgb was 12.3 near baseline.</t>
        </is>
      </c>
    </row>
    <row r="670">
      <c r="A670" t="inlineStr">
        <is>
          <t>4309-history-of-present-illness-1-14</t>
        </is>
      </c>
      <c r="B670" t="inlineStr"/>
      <c r="C670" t="inlineStr"/>
      <c r="D670">
        <f>HYPERLINK("http://nlpdeep.cs.uic.edu:8080/proofing/t5/4309-history-of-present-illness-1-14.pdf","t5/4309-history-of-present-illness-1-14.pdf")</f>
        <v/>
      </c>
      <c r="E670" t="n">
        <v>109181</v>
      </c>
      <c r="F670" t="n">
        <v>4309</v>
      </c>
      <c r="G670" t="inlineStr">
        <is>
          <t>Discharge summary</t>
        </is>
      </c>
      <c r="H670" t="inlineStr">
        <is>
          <t>history-of-present-illness</t>
        </is>
      </c>
      <c r="I670" t="inlineStr">
        <is>
          <t>VS on transfer were: 105/49, 88, 18, 100% 3L n</t>
        </is>
      </c>
    </row>
    <row r="671">
      <c r="A671" t="inlineStr">
        <is>
          <t>4309-history-of-present-illness-1-14</t>
        </is>
      </c>
      <c r="B671" t="inlineStr"/>
      <c r="C671" t="inlineStr"/>
      <c r="D671">
        <f>HYPERLINK("http://nlpdeep.cs.uic.edu:8080/proofing/gsii/4309-history-of-present-illness-1-14.pdf","gsii/4309-history-of-present-illness-1-14.pdf")</f>
        <v/>
      </c>
      <c r="E671" t="n">
        <v>109181</v>
      </c>
      <c r="F671" t="n">
        <v>4309</v>
      </c>
      <c r="G671" t="inlineStr">
        <is>
          <t>Discharge summary</t>
        </is>
      </c>
      <c r="H671" t="inlineStr">
        <is>
          <t>history-of-present-illness</t>
        </is>
      </c>
      <c r="I671" t="inlineStr">
        <is>
          <t>VS on transfer were: 105/49, 88, 18, 100% 3L n</t>
        </is>
      </c>
    </row>
    <row r="672">
      <c r="A672" t="inlineStr">
        <is>
          <t>4309-past-medical-history-0-0</t>
        </is>
      </c>
      <c r="B672" t="inlineStr"/>
      <c r="C672" t="inlineStr"/>
      <c r="D672">
        <f>HYPERLINK("http://nlpdeep.cs.uic.edu:8080/proofing/t5/4309-past-medical-history-0-0.pdf","t5/4309-past-medical-history-0-0.pdf")</f>
        <v/>
      </c>
      <c r="E672" t="n">
        <v>109181</v>
      </c>
      <c r="F672" t="n">
        <v>4309</v>
      </c>
      <c r="G672" t="inlineStr">
        <is>
          <t>Discharge summary</t>
        </is>
      </c>
      <c r="H672" t="inlineStr">
        <is>
          <t>past-medical-history</t>
        </is>
      </c>
      <c r="I672" t="inlineStr">
        <is>
          <t>CARDIAC RISK FACTORS: Diabetes, Dyslipidemia, Hypertension
2.</t>
        </is>
      </c>
    </row>
    <row r="673">
      <c r="A673" t="inlineStr">
        <is>
          <t>4309-past-medical-history-0-0</t>
        </is>
      </c>
      <c r="B673" t="inlineStr"/>
      <c r="C673" t="inlineStr"/>
      <c r="D673">
        <f>HYPERLINK("http://nlpdeep.cs.uic.edu:8080/proofing/gsii/4309-past-medical-history-0-0.pdf","gsii/4309-past-medical-history-0-0.pdf")</f>
        <v/>
      </c>
      <c r="E673" t="n">
        <v>109181</v>
      </c>
      <c r="F673" t="n">
        <v>4309</v>
      </c>
      <c r="G673" t="inlineStr">
        <is>
          <t>Discharge summary</t>
        </is>
      </c>
      <c r="H673" t="inlineStr">
        <is>
          <t>past-medical-history</t>
        </is>
      </c>
      <c r="I673" t="inlineStr">
        <is>
          <t>CARDIAC RISK FACTORS: Diabetes, Dyslipidemia, Hypertension
2.</t>
        </is>
      </c>
    </row>
    <row r="674">
      <c r="A674" t="inlineStr">
        <is>
          <t>4309-past-medical-history-0-1</t>
        </is>
      </c>
      <c r="B674" t="inlineStr"/>
      <c r="C674" t="inlineStr"/>
      <c r="D674">
        <f>HYPERLINK("http://nlpdeep.cs.uic.edu:8080/proofing/t5/4309-past-medical-history-0-1.pdf","t5/4309-past-medical-history-0-1.pdf")</f>
        <v/>
      </c>
      <c r="E674" t="n">
        <v>109181</v>
      </c>
      <c r="F674" t="n">
        <v>4309</v>
      </c>
      <c r="G674" t="inlineStr">
        <is>
          <t>Discharge summary</t>
        </is>
      </c>
      <c r="H674" t="inlineStr">
        <is>
          <t>past-medical-history</t>
        </is>
      </c>
      <c r="I674" t="inlineStr">
        <is>
          <t>CARDIAC HISTORY:
- CABG x 4 '[**52**] (LIMA-LAD, SVG-OM, SVG-D1, SVG-PDA)
-PERCUTANEOUS CORONARY INTERVENTIONS: [**2160**]: Two 2.5 Cypher
stents and a 3.0 Cypher stent were placed in the LM and RI.</t>
        </is>
      </c>
    </row>
    <row r="675">
      <c r="A675" t="inlineStr">
        <is>
          <t>4309-past-medical-history-0-1</t>
        </is>
      </c>
      <c r="B675" t="inlineStr"/>
      <c r="C675" t="inlineStr"/>
      <c r="D675">
        <f>HYPERLINK("http://nlpdeep.cs.uic.edu:8080/proofing/gsii/4309-past-medical-history-0-1.pdf","gsii/4309-past-medical-history-0-1.pdf")</f>
        <v/>
      </c>
      <c r="E675" t="n">
        <v>109181</v>
      </c>
      <c r="F675" t="n">
        <v>4309</v>
      </c>
      <c r="G675" t="inlineStr">
        <is>
          <t>Discharge summary</t>
        </is>
      </c>
      <c r="H675" t="inlineStr">
        <is>
          <t>past-medical-history</t>
        </is>
      </c>
      <c r="I675" t="inlineStr">
        <is>
          <t>CARDIAC HISTORY:
- CABG x 4 '[**52**] (LIMA-LAD, SVG-OM, SVG-D1, SVG-PDA)
-PERCUTANEOUS CORONARY INTERVENTIONS: [**2160**]: Two 2.5 Cypher
stents and a 3.0 Cypher stent were placed in the LM and RI.</t>
        </is>
      </c>
    </row>
    <row r="676">
      <c r="A676" t="inlineStr">
        <is>
          <t>4309-past-medical-history-0-2</t>
        </is>
      </c>
      <c r="B676" t="inlineStr"/>
      <c r="C676" t="inlineStr"/>
      <c r="D676">
        <f>HYPERLINK("http://nlpdeep.cs.uic.edu:8080/proofing/t5/4309-past-medical-history-0-2.pdf","t5/4309-past-medical-history-0-2.pdf")</f>
        <v/>
      </c>
      <c r="E676" t="n">
        <v>109181</v>
      </c>
      <c r="F676" t="n">
        <v>4309</v>
      </c>
      <c r="G676" t="inlineStr">
        <is>
          <t>Discharge summary</t>
        </is>
      </c>
      <c r="H676" t="inlineStr">
        <is>
          <t>past-medical-history</t>
        </is>
      </c>
      <c r="I676" t="inlineStr">
        <is>
          <t xml:space="preserve">
in [**2161**]: drug-eluting stent placed in the ramus intermedius.</t>
        </is>
      </c>
    </row>
    <row r="677">
      <c r="A677" t="inlineStr">
        <is>
          <t>4309-past-medical-history-0-2</t>
        </is>
      </c>
      <c r="B677" t="inlineStr"/>
      <c r="C677" t="inlineStr"/>
      <c r="D677">
        <f>HYPERLINK("http://nlpdeep.cs.uic.edu:8080/proofing/gsii/4309-past-medical-history-0-2.pdf","gsii/4309-past-medical-history-0-2.pdf")</f>
        <v/>
      </c>
      <c r="E677" t="n">
        <v>109181</v>
      </c>
      <c r="F677" t="n">
        <v>4309</v>
      </c>
      <c r="G677" t="inlineStr">
        <is>
          <t>Discharge summary</t>
        </is>
      </c>
      <c r="H677" t="inlineStr">
        <is>
          <t>past-medical-history</t>
        </is>
      </c>
      <c r="I677" t="inlineStr">
        <is>
          <t xml:space="preserve">
in [**2161**]: drug-eluting stent placed in the ramus intermedius.</t>
        </is>
      </c>
    </row>
    <row r="678">
      <c r="A678" t="inlineStr">
        <is>
          <t>4309-past-medical-history-0-3</t>
        </is>
      </c>
      <c r="B678" t="inlineStr"/>
      <c r="C678" t="inlineStr"/>
      <c r="D678">
        <f>HYPERLINK("http://nlpdeep.cs.uic.edu:8080/proofing/t5/4309-past-medical-history-0-3.pdf","t5/4309-past-medical-history-0-3.pdf")</f>
        <v/>
      </c>
      <c r="E678" t="n">
        <v>109181</v>
      </c>
      <c r="F678" t="n">
        <v>4309</v>
      </c>
      <c r="G678" t="inlineStr">
        <is>
          <t>Discharge summary</t>
        </is>
      </c>
      <c r="H678" t="inlineStr">
        <is>
          <t>past-medical-history</t>
        </is>
      </c>
      <c r="I678" t="inlineStr"/>
    </row>
    <row r="679">
      <c r="A679" t="inlineStr">
        <is>
          <t>4309-past-medical-history-0-3</t>
        </is>
      </c>
      <c r="B679" t="inlineStr"/>
      <c r="C679" t="inlineStr"/>
      <c r="D679">
        <f>HYPERLINK("http://nlpdeep.cs.uic.edu:8080/proofing/gsii/4309-past-medical-history-0-3.pdf","gsii/4309-past-medical-history-0-3.pdf")</f>
        <v/>
      </c>
      <c r="E679" t="n">
        <v>109181</v>
      </c>
      <c r="F679" t="n">
        <v>4309</v>
      </c>
      <c r="G679" t="inlineStr">
        <is>
          <t>Discharge summary</t>
        </is>
      </c>
      <c r="H679" t="inlineStr">
        <is>
          <t>past-medical-history</t>
        </is>
      </c>
      <c r="I679" t="inlineStr"/>
    </row>
    <row r="680">
      <c r="A680" t="inlineStr">
        <is>
          <t>4309-past-medical-history-1-0</t>
        </is>
      </c>
      <c r="B680" t="inlineStr"/>
      <c r="C680" t="inlineStr"/>
      <c r="D680">
        <f>HYPERLINK("http://nlpdeep.cs.uic.edu:8080/proofing/t5/4309-past-medical-history-1-0.pdf","t5/4309-past-medical-history-1-0.pdf")</f>
        <v/>
      </c>
      <c r="E680" t="n">
        <v>109181</v>
      </c>
      <c r="F680" t="n">
        <v>4309</v>
      </c>
      <c r="G680" t="inlineStr">
        <is>
          <t>Discharge summary</t>
        </is>
      </c>
      <c r="H680" t="inlineStr">
        <is>
          <t>past-medical-history</t>
        </is>
      </c>
      <c r="I680" t="inlineStr"/>
    </row>
    <row r="681">
      <c r="A681" t="inlineStr">
        <is>
          <t>4309-past-medical-history-1-0</t>
        </is>
      </c>
      <c r="B681" t="inlineStr"/>
      <c r="C681" t="inlineStr"/>
      <c r="D681">
        <f>HYPERLINK("http://nlpdeep.cs.uic.edu:8080/proofing/gsii/4309-past-medical-history-1-0.pdf","gsii/4309-past-medical-history-1-0.pdf")</f>
        <v/>
      </c>
      <c r="E681" t="n">
        <v>109181</v>
      </c>
      <c r="F681" t="n">
        <v>4309</v>
      </c>
      <c r="G681" t="inlineStr">
        <is>
          <t>Discharge summary</t>
        </is>
      </c>
      <c r="H681" t="inlineStr">
        <is>
          <t>past-medical-history</t>
        </is>
      </c>
      <c r="I681" t="inlineStr"/>
    </row>
    <row r="682">
      <c r="A682" t="inlineStr">
        <is>
          <t>4309-past-medical-history-2-0</t>
        </is>
      </c>
      <c r="B682" t="inlineStr"/>
      <c r="C682" t="inlineStr"/>
      <c r="D682">
        <f>HYPERLINK("http://nlpdeep.cs.uic.edu:8080/proofing/t5/4309-past-medical-history-2-0.pdf","t5/4309-past-medical-history-2-0.pdf")</f>
        <v/>
      </c>
      <c r="E682" t="n">
        <v>109181</v>
      </c>
      <c r="F682" t="n">
        <v>4309</v>
      </c>
      <c r="G682" t="inlineStr">
        <is>
          <t>Discharge summary</t>
        </is>
      </c>
      <c r="H682" t="inlineStr">
        <is>
          <t>past-medical-history</t>
        </is>
      </c>
      <c r="I682" t="inlineStr"/>
    </row>
    <row r="683">
      <c r="A683" t="inlineStr">
        <is>
          <t>4309-past-medical-history-2-0</t>
        </is>
      </c>
      <c r="B683" t="inlineStr"/>
      <c r="C683" t="inlineStr"/>
      <c r="D683">
        <f>HYPERLINK("http://nlpdeep.cs.uic.edu:8080/proofing/gsii/4309-past-medical-history-2-0.pdf","gsii/4309-past-medical-history-2-0.pdf")</f>
        <v/>
      </c>
      <c r="E683" t="n">
        <v>109181</v>
      </c>
      <c r="F683" t="n">
        <v>4309</v>
      </c>
      <c r="G683" t="inlineStr">
        <is>
          <t>Discharge summary</t>
        </is>
      </c>
      <c r="H683" t="inlineStr">
        <is>
          <t>past-medical-history</t>
        </is>
      </c>
      <c r="I683" t="inlineStr"/>
    </row>
    <row r="684">
      <c r="A684" t="inlineStr">
        <is>
          <t>4309-past-medical-history-3-0</t>
        </is>
      </c>
      <c r="B684" t="inlineStr"/>
      <c r="C684" t="inlineStr"/>
      <c r="D684">
        <f>HYPERLINK("http://nlpdeep.cs.uic.edu:8080/proofing/t5/4309-past-medical-history-3-0.pdf","t5/4309-past-medical-history-3-0.pdf")</f>
        <v/>
      </c>
      <c r="E684" t="n">
        <v>109181</v>
      </c>
      <c r="F684" t="n">
        <v>4309</v>
      </c>
      <c r="G684" t="inlineStr">
        <is>
          <t>Discharge summary</t>
        </is>
      </c>
      <c r="H684" t="inlineStr">
        <is>
          <t>past-medical-history</t>
        </is>
      </c>
      <c r="I684" t="inlineStr">
        <is>
          <t>PSH:
s/p CABG x4 [**2152**]
s/p prostatectomy
s/p appendectomy in [**2160**]
s/p cholecystectomy [**2159**]
s/p ear, tonsil and adenoid surgery
s/p femoral rodding
s/p back s</t>
        </is>
      </c>
    </row>
    <row r="685">
      <c r="A685" t="inlineStr">
        <is>
          <t>4309-past-medical-history-3-0</t>
        </is>
      </c>
      <c r="B685" t="inlineStr"/>
      <c r="C685" t="inlineStr"/>
      <c r="D685">
        <f>HYPERLINK("http://nlpdeep.cs.uic.edu:8080/proofing/gsii/4309-past-medical-history-3-0.pdf","gsii/4309-past-medical-history-3-0.pdf")</f>
        <v/>
      </c>
      <c r="E685" t="n">
        <v>109181</v>
      </c>
      <c r="F685" t="n">
        <v>4309</v>
      </c>
      <c r="G685" t="inlineStr">
        <is>
          <t>Discharge summary</t>
        </is>
      </c>
      <c r="H685" t="inlineStr">
        <is>
          <t>past-medical-history</t>
        </is>
      </c>
      <c r="I685" t="inlineStr">
        <is>
          <t>PSH:
s/p CABG x4 [**2152**]
s/p prostatectomy
s/p appendectomy in [**2160**]
s/p cholecystectomy [**2159**]
s/p ear, tonsil and adenoid surgery
s/p femoral rodding
s/p back s</t>
        </is>
      </c>
    </row>
    <row r="686">
      <c r="A686" t="inlineStr">
        <is>
          <t>4309-social-history-0-0</t>
        </is>
      </c>
      <c r="B686" t="inlineStr"/>
      <c r="C686" t="inlineStr"/>
      <c r="D686">
        <f>HYPERLINK("http://nlpdeep.cs.uic.edu:8080/proofing/t5/4309-social-history-0-0.pdf","t5/4309-social-history-0-0.pdf")</f>
        <v/>
      </c>
      <c r="E686" t="n">
        <v>109181</v>
      </c>
      <c r="F686" t="n">
        <v>4309</v>
      </c>
      <c r="G686" t="inlineStr">
        <is>
          <t>Discharge summary</t>
        </is>
      </c>
      <c r="H686" t="inlineStr">
        <is>
          <t>social-history</t>
        </is>
      </c>
      <c r="I686" t="inlineStr">
        <is>
          <t>Retired estimator for an environmental company.</t>
        </is>
      </c>
    </row>
    <row r="687">
      <c r="A687" t="inlineStr">
        <is>
          <t>4309-social-history-0-0</t>
        </is>
      </c>
      <c r="B687" t="inlineStr"/>
      <c r="C687" t="inlineStr"/>
      <c r="D687">
        <f>HYPERLINK("http://nlpdeep.cs.uic.edu:8080/proofing/gsii/4309-social-history-0-0.pdf","gsii/4309-social-history-0-0.pdf")</f>
        <v/>
      </c>
      <c r="E687" t="n">
        <v>109181</v>
      </c>
      <c r="F687" t="n">
        <v>4309</v>
      </c>
      <c r="G687" t="inlineStr">
        <is>
          <t>Discharge summary</t>
        </is>
      </c>
      <c r="H687" t="inlineStr">
        <is>
          <t>social-history</t>
        </is>
      </c>
      <c r="I687" t="inlineStr">
        <is>
          <t>Retired estimator for an environmental company.</t>
        </is>
      </c>
    </row>
    <row r="688">
      <c r="A688" t="inlineStr">
        <is>
          <t>4309-social-history-0-1</t>
        </is>
      </c>
      <c r="B688" t="inlineStr"/>
      <c r="C688" t="inlineStr"/>
      <c r="D688">
        <f>HYPERLINK("http://nlpdeep.cs.uic.edu:8080/proofing/t5/4309-social-history-0-1.pdf","t5/4309-social-history-0-1.pdf")</f>
        <v/>
      </c>
      <c r="E688" t="n">
        <v>109181</v>
      </c>
      <c r="F688" t="n">
        <v>4309</v>
      </c>
      <c r="G688" t="inlineStr">
        <is>
          <t>Discharge summary</t>
        </is>
      </c>
      <c r="H688" t="inlineStr">
        <is>
          <t>social-history</t>
        </is>
      </c>
      <c r="I688" t="inlineStr">
        <is>
          <t>Lives with wife.</t>
        </is>
      </c>
    </row>
    <row r="689">
      <c r="A689" t="inlineStr">
        <is>
          <t>4309-social-history-0-1</t>
        </is>
      </c>
      <c r="B689" t="inlineStr"/>
      <c r="C689" t="inlineStr"/>
      <c r="D689">
        <f>HYPERLINK("http://nlpdeep.cs.uic.edu:8080/proofing/gsii/4309-social-history-0-1.pdf","gsii/4309-social-history-0-1.pdf")</f>
        <v/>
      </c>
      <c r="E689" t="n">
        <v>109181</v>
      </c>
      <c r="F689" t="n">
        <v>4309</v>
      </c>
      <c r="G689" t="inlineStr">
        <is>
          <t>Discharge summary</t>
        </is>
      </c>
      <c r="H689" t="inlineStr">
        <is>
          <t>social-history</t>
        </is>
      </c>
      <c r="I689" t="inlineStr">
        <is>
          <t>Lives with wife.</t>
        </is>
      </c>
    </row>
    <row r="690">
      <c r="A690" t="inlineStr">
        <is>
          <t>4309-social-history-0-2</t>
        </is>
      </c>
      <c r="B690" t="inlineStr"/>
      <c r="C690" t="inlineStr"/>
      <c r="D690">
        <f>HYPERLINK("http://nlpdeep.cs.uic.edu:8080/proofing/t5/4309-social-history-0-2.pdf","t5/4309-social-history-0-2.pdf")</f>
        <v/>
      </c>
      <c r="E690" t="n">
        <v>109181</v>
      </c>
      <c r="F690" t="n">
        <v>4309</v>
      </c>
      <c r="G690" t="inlineStr">
        <is>
          <t>Discharge summary</t>
        </is>
      </c>
      <c r="H690" t="inlineStr">
        <is>
          <t>social-history</t>
        </is>
      </c>
      <c r="I690" t="inlineStr">
        <is>
          <t xml:space="preserve">
Quit smoking in [**2165-12-11**], but previously smoked [**1-12**] ppd (~120
pack years).</t>
        </is>
      </c>
    </row>
    <row r="691">
      <c r="A691" t="inlineStr">
        <is>
          <t>4309-social-history-0-2</t>
        </is>
      </c>
      <c r="B691" t="inlineStr"/>
      <c r="C691" t="inlineStr"/>
      <c r="D691">
        <f>HYPERLINK("http://nlpdeep.cs.uic.edu:8080/proofing/gsii/4309-social-history-0-2.pdf","gsii/4309-social-history-0-2.pdf")</f>
        <v/>
      </c>
      <c r="E691" t="n">
        <v>109181</v>
      </c>
      <c r="F691" t="n">
        <v>4309</v>
      </c>
      <c r="G691" t="inlineStr">
        <is>
          <t>Discharge summary</t>
        </is>
      </c>
      <c r="H691" t="inlineStr">
        <is>
          <t>social-history</t>
        </is>
      </c>
      <c r="I691" t="inlineStr">
        <is>
          <t xml:space="preserve">
Quit smoking in [**2165-12-11**], but previously smoked [**1-12**] ppd (~120
pack years).</t>
        </is>
      </c>
    </row>
    <row r="692">
      <c r="A692" t="inlineStr">
        <is>
          <t>4309-social-history-0-3</t>
        </is>
      </c>
      <c r="B692" t="inlineStr"/>
      <c r="C692" t="inlineStr"/>
      <c r="D692">
        <f>HYPERLINK("http://nlpdeep.cs.uic.edu:8080/proofing/t5/4309-social-history-0-3.pdf","t5/4309-social-history-0-3.pdf")</f>
        <v/>
      </c>
      <c r="E692" t="n">
        <v>109181</v>
      </c>
      <c r="F692" t="n">
        <v>4309</v>
      </c>
      <c r="G692" t="inlineStr">
        <is>
          <t>Discharge summary</t>
        </is>
      </c>
      <c r="H692" t="inlineStr">
        <is>
          <t>social-history</t>
        </is>
      </c>
      <c r="I692" t="inlineStr">
        <is>
          <t>Previously drank ~ [**1-12**] case of beer daily, now
sober for many years.</t>
        </is>
      </c>
    </row>
    <row r="693">
      <c r="A693" t="inlineStr">
        <is>
          <t>4309-social-history-0-3</t>
        </is>
      </c>
      <c r="B693" t="inlineStr"/>
      <c r="C693" t="inlineStr"/>
      <c r="D693">
        <f>HYPERLINK("http://nlpdeep.cs.uic.edu:8080/proofing/gsii/4309-social-history-0-3.pdf","gsii/4309-social-history-0-3.pdf")</f>
        <v/>
      </c>
      <c r="E693" t="n">
        <v>109181</v>
      </c>
      <c r="F693" t="n">
        <v>4309</v>
      </c>
      <c r="G693" t="inlineStr">
        <is>
          <t>Discharge summary</t>
        </is>
      </c>
      <c r="H693" t="inlineStr">
        <is>
          <t>social-history</t>
        </is>
      </c>
      <c r="I693" t="inlineStr">
        <is>
          <t>Previously drank ~ [**1-12**] case of beer daily, now
sober for many years.</t>
        </is>
      </c>
    </row>
    <row r="694">
      <c r="A694" t="inlineStr">
        <is>
          <t>4309-social-history-0-4</t>
        </is>
      </c>
      <c r="B694" t="inlineStr"/>
      <c r="C694" t="inlineStr"/>
      <c r="D694">
        <f>HYPERLINK("http://nlpdeep.cs.uic.edu:8080/proofing/t5/4309-social-history-0-4.pdf","t5/4309-social-history-0-4.pdf")</f>
        <v/>
      </c>
      <c r="E694" t="n">
        <v>109181</v>
      </c>
      <c r="F694" t="n">
        <v>4309</v>
      </c>
      <c r="G694" t="inlineStr">
        <is>
          <t>Discharge summary</t>
        </is>
      </c>
      <c r="H694" t="inlineStr">
        <is>
          <t>social-history</t>
        </is>
      </c>
      <c r="I694" t="inlineStr">
        <is>
          <t>Denies illicit drug use.</t>
        </is>
      </c>
    </row>
    <row r="695">
      <c r="A695" t="inlineStr">
        <is>
          <t>4309-social-history-0-4</t>
        </is>
      </c>
      <c r="B695" t="inlineStr"/>
      <c r="C695" t="inlineStr"/>
      <c r="D695">
        <f>HYPERLINK("http://nlpdeep.cs.uic.edu:8080/proofing/gsii/4309-social-history-0-4.pdf","gsii/4309-social-history-0-4.pdf")</f>
        <v/>
      </c>
      <c r="E695" t="n">
        <v>109181</v>
      </c>
      <c r="F695" t="n">
        <v>4309</v>
      </c>
      <c r="G695" t="inlineStr">
        <is>
          <t>Discharge summary</t>
        </is>
      </c>
      <c r="H695" t="inlineStr">
        <is>
          <t>social-history</t>
        </is>
      </c>
      <c r="I695" t="inlineStr">
        <is>
          <t>Denies illicit drug use.</t>
        </is>
      </c>
    </row>
    <row r="696">
      <c r="A696" t="inlineStr">
        <is>
          <t>4309-family-history-0-0</t>
        </is>
      </c>
      <c r="B696" t="inlineStr"/>
      <c r="C696" t="inlineStr"/>
      <c r="D696">
        <f>HYPERLINK("http://nlpdeep.cs.uic.edu:8080/proofing/t5/4309-family-history-0-0.pdf","t5/4309-family-history-0-0.pdf")</f>
        <v/>
      </c>
      <c r="E696" t="n">
        <v>109181</v>
      </c>
      <c r="F696" t="n">
        <v>4309</v>
      </c>
      <c r="G696" t="inlineStr">
        <is>
          <t>Discharge summary</t>
        </is>
      </c>
      <c r="H696" t="inlineStr">
        <is>
          <t>family-history</t>
        </is>
      </c>
      <c r="I696" t="inlineStr">
        <is>
          <t>Unknown, as the patient does not know his biological parents.</t>
        </is>
      </c>
    </row>
    <row r="697">
      <c r="A697" t="inlineStr">
        <is>
          <t>4309-family-history-0-0</t>
        </is>
      </c>
      <c r="B697" t="inlineStr"/>
      <c r="C697" t="inlineStr"/>
      <c r="D697">
        <f>HYPERLINK("http://nlpdeep.cs.uic.edu:8080/proofing/gsii/4309-family-history-0-0.pdf","gsii/4309-family-history-0-0.pdf")</f>
        <v/>
      </c>
      <c r="E697" t="n">
        <v>109181</v>
      </c>
      <c r="F697" t="n">
        <v>4309</v>
      </c>
      <c r="G697" t="inlineStr">
        <is>
          <t>Discharge summary</t>
        </is>
      </c>
      <c r="H697" t="inlineStr">
        <is>
          <t>family-history</t>
        </is>
      </c>
      <c r="I697" t="inlineStr">
        <is>
          <t>Unknown, as the patient does not know his biological parents.</t>
        </is>
      </c>
    </row>
    <row r="698">
      <c r="A698" t="inlineStr">
        <is>
          <t>4309-physical-examination-0-0</t>
        </is>
      </c>
      <c r="B698" t="inlineStr"/>
      <c r="C698" t="inlineStr"/>
      <c r="D698">
        <f>HYPERLINK("http://nlpdeep.cs.uic.edu:8080/proofing/t5/4309-physical-examination-0-0.pdf","t5/4309-physical-examination-0-0.pdf")</f>
        <v/>
      </c>
      <c r="E698" t="n">
        <v>109181</v>
      </c>
      <c r="F698" t="n">
        <v>4309</v>
      </c>
      <c r="G698" t="inlineStr">
        <is>
          <t>Discharge summary</t>
        </is>
      </c>
      <c r="H698" t="inlineStr">
        <is>
          <t>physical-examination</t>
        </is>
      </c>
      <c r="I698" t="inlineStr">
        <is>
          <t>ADMISSION EXAM
VS T 97.9 BP 110/62 HR 98 RR 20 pOx 95 on 2L Weight: 59.6 kg
GENERAL - well-appearing in NAD, comfortable, appropriate
HEENT - NC/AT, PERRLA, EOMI, sclerae anicteric, MMM, OP clear
NECK - supple, no thyromegaly, no JVD, no carotid bruits
LUNGS - CTA bilat, no r/rh/wh, good air movement, resp
unlabored, no accessory muscle use
HEART - PMI non-displaced, RRR, + SEM, nl S1-S2
ABDOMEN - NABS, soft/NT/ND, no masses or HSM, no
rebound/guarding
EXTREMITIES - WWP, no c/c/e, 2+ peripheral pulses (radials, DPs)
+ bruit in LUE dialysis fistula
SKIN - no rashes or lesions
LYMPH - no cervical LAD
NEURO - awake, A&amp;Ox3, CNs III-XII grossly intact, muscle
strength 5/5 throughout, sensation grossly intact throughout,
DTRs 2+, gait deferred.</t>
        </is>
      </c>
    </row>
    <row r="699">
      <c r="A699" t="inlineStr">
        <is>
          <t>4309-physical-examination-0-0</t>
        </is>
      </c>
      <c r="B699" t="inlineStr"/>
      <c r="C699" t="inlineStr"/>
      <c r="D699">
        <f>HYPERLINK("http://nlpdeep.cs.uic.edu:8080/proofing/gsii/4309-physical-examination-0-0.pdf","gsii/4309-physical-examination-0-0.pdf")</f>
        <v/>
      </c>
      <c r="E699" t="n">
        <v>109181</v>
      </c>
      <c r="F699" t="n">
        <v>4309</v>
      </c>
      <c r="G699" t="inlineStr">
        <is>
          <t>Discharge summary</t>
        </is>
      </c>
      <c r="H699" t="inlineStr">
        <is>
          <t>physical-examination</t>
        </is>
      </c>
      <c r="I699" t="inlineStr">
        <is>
          <t>ADMISSION EXAM
VS T 97.9 BP 110/62 HR 98 RR 20 pOx 95 on 2L Weight: 59.6 kg
GENERAL - well-appearing in NAD, comfortable, appropriate
HEENT - NC/AT, PERRLA, EOMI, sclerae anicteric, MMM, OP clear
NECK - supple, no thyromegaly, no JVD, no carotid bruits
LUNGS - CTA bilat, no r/rh/wh, good air movement, resp
unlabored, no accessory muscle use
HEART - PMI non-displaced, RRR, + SEM, nl S1-S2
ABDOMEN - NABS, soft/NT/ND, no masses or HSM, no
rebound/guarding
EXTREMITIES - WWP, no c/c/e, 2+ peripheral pulses (radials, DPs)
+ bruit in LUE dialysis fistula
SKIN - no rashes or lesions
LYMPH - no cervical LAD
NEURO - awake, A&amp;Ox3, CNs III-XII grossly intact, muscle
strength 5/5 throughout, sensation grossly intact throughout,
DTRs 2+, gait deferred.</t>
        </is>
      </c>
    </row>
    <row r="700">
      <c r="A700" t="inlineStr">
        <is>
          <t>4309-physical-examination-1-0</t>
        </is>
      </c>
      <c r="B700" t="inlineStr"/>
      <c r="C700" t="inlineStr"/>
      <c r="D700">
        <f>HYPERLINK("http://nlpdeep.cs.uic.edu:8080/proofing/t5/4309-physical-examination-1-0.pdf","t5/4309-physical-examination-1-0.pdf")</f>
        <v/>
      </c>
      <c r="E700" t="n">
        <v>109181</v>
      </c>
      <c r="F700" t="n">
        <v>4309</v>
      </c>
      <c r="G700" t="inlineStr">
        <is>
          <t>Discharge summary</t>
        </is>
      </c>
      <c r="H700" t="inlineStr">
        <is>
          <t>physical-examination</t>
        </is>
      </c>
      <c r="I700" t="inlineStr">
        <is>
          <t xml:space="preserve">
DISCHARGE EXAM
pt pulseless, without corneal reflex, without heart sounds.</t>
        </is>
      </c>
    </row>
    <row r="701">
      <c r="A701" t="inlineStr">
        <is>
          <t>4309-physical-examination-1-0</t>
        </is>
      </c>
      <c r="B701" t="inlineStr"/>
      <c r="C701" t="inlineStr"/>
      <c r="D701">
        <f>HYPERLINK("http://nlpdeep.cs.uic.edu:8080/proofing/gsii/4309-physical-examination-1-0.pdf","gsii/4309-physical-examination-1-0.pdf")</f>
        <v/>
      </c>
      <c r="E701" t="n">
        <v>109181</v>
      </c>
      <c r="F701" t="n">
        <v>4309</v>
      </c>
      <c r="G701" t="inlineStr">
        <is>
          <t>Discharge summary</t>
        </is>
      </c>
      <c r="H701" t="inlineStr">
        <is>
          <t>physical-examination</t>
        </is>
      </c>
      <c r="I701" t="inlineStr">
        <is>
          <t xml:space="preserve">
DISCHARGE EXAM
pt pulseless, without corneal reflex, without heart sounds.</t>
        </is>
      </c>
    </row>
    <row r="702">
      <c r="A702" t="inlineStr">
        <is>
          <t>4309-labs-imaging-0-0</t>
        </is>
      </c>
      <c r="B702" t="inlineStr"/>
      <c r="C702" t="inlineStr"/>
      <c r="D702">
        <f>HYPERLINK("http://nlpdeep.cs.uic.edu:8080/proofing/t5/4309-labs-imaging-0-0.pdf","t5/4309-labs-imaging-0-0.pdf")</f>
        <v/>
      </c>
      <c r="E702" t="n">
        <v>109181</v>
      </c>
      <c r="F702" t="n">
        <v>4309</v>
      </c>
      <c r="G702" t="inlineStr">
        <is>
          <t>Discharge summary</t>
        </is>
      </c>
      <c r="H702" t="inlineStr">
        <is>
          <t>labs-imaging</t>
        </is>
      </c>
      <c r="I702" t="inlineStr"/>
    </row>
    <row r="703">
      <c r="A703" t="inlineStr">
        <is>
          <t>4309-labs-imaging-0-0</t>
        </is>
      </c>
      <c r="B703" t="inlineStr"/>
      <c r="C703" t="inlineStr"/>
      <c r="D703">
        <f>HYPERLINK("http://nlpdeep.cs.uic.edu:8080/proofing/gsii/4309-labs-imaging-0-0.pdf","gsii/4309-labs-imaging-0-0.pdf")</f>
        <v/>
      </c>
      <c r="E703" t="n">
        <v>109181</v>
      </c>
      <c r="F703" t="n">
        <v>4309</v>
      </c>
      <c r="G703" t="inlineStr">
        <is>
          <t>Discharge summary</t>
        </is>
      </c>
      <c r="H703" t="inlineStr">
        <is>
          <t>labs-imaging</t>
        </is>
      </c>
      <c r="I703" t="inlineStr"/>
    </row>
    <row r="704">
      <c r="A704" t="inlineStr">
        <is>
          <t>4309-labs-imaging-1-0</t>
        </is>
      </c>
      <c r="B704" t="inlineStr"/>
      <c r="C704" t="inlineStr"/>
      <c r="D704">
        <f>HYPERLINK("http://nlpdeep.cs.uic.edu:8080/proofing/t5/4309-labs-imaging-1-0.pdf","t5/4309-labs-imaging-1-0.pdf")</f>
        <v/>
      </c>
      <c r="E704" t="n">
        <v>109181</v>
      </c>
      <c r="F704" t="n">
        <v>4309</v>
      </c>
      <c r="G704" t="inlineStr">
        <is>
          <t>Discharge summary</t>
        </is>
      </c>
      <c r="H704" t="inlineStr">
        <is>
          <t>labs-imaging</t>
        </is>
      </c>
      <c r="I704" t="inlineStr">
        <is>
          <t xml:space="preserve">
ADMISSION LABS
[**2167-1-19**] 11:30PM BLOOD WBC-5.9 RBC-3.64* Hgb-12.3* Hct-36.2*
MCV-99*</t>
        </is>
      </c>
    </row>
    <row r="705">
      <c r="A705" t="inlineStr">
        <is>
          <t>4309-labs-imaging-1-0</t>
        </is>
      </c>
      <c r="B705" t="inlineStr"/>
      <c r="C705" t="inlineStr"/>
      <c r="D705">
        <f>HYPERLINK("http://nlpdeep.cs.uic.edu:8080/proofing/gsii/4309-labs-imaging-1-0.pdf","gsii/4309-labs-imaging-1-0.pdf")</f>
        <v/>
      </c>
      <c r="E705" t="n">
        <v>109181</v>
      </c>
      <c r="F705" t="n">
        <v>4309</v>
      </c>
      <c r="G705" t="inlineStr">
        <is>
          <t>Discharge summary</t>
        </is>
      </c>
      <c r="H705" t="inlineStr">
        <is>
          <t>labs-imaging</t>
        </is>
      </c>
      <c r="I705" t="inlineStr">
        <is>
          <t xml:space="preserve">
ADMISSION LABS
[**2167-1-19**] 11:30PM BLOOD WBC-5.9 RBC-3.64* Hgb-12.3* Hct-36.2*
MCV-99*</t>
        </is>
      </c>
    </row>
    <row r="706">
      <c r="A706" t="inlineStr">
        <is>
          <t>4309-labs-imaging-1-1</t>
        </is>
      </c>
      <c r="B706" t="inlineStr"/>
      <c r="C706" t="inlineStr"/>
      <c r="D706">
        <f>HYPERLINK("http://nlpdeep.cs.uic.edu:8080/proofing/t5/4309-labs-imaging-1-1.pdf","t5/4309-labs-imaging-1-1.pdf")</f>
        <v/>
      </c>
      <c r="E706" t="n">
        <v>109181</v>
      </c>
      <c r="F706" t="n">
        <v>4309</v>
      </c>
      <c r="G706" t="inlineStr">
        <is>
          <t>Discharge summary</t>
        </is>
      </c>
      <c r="H706" t="inlineStr">
        <is>
          <t>labs-imaging</t>
        </is>
      </c>
      <c r="I706" t="inlineStr">
        <is>
          <t>MCH-33.9* MCHC-34.1 RDW-14.2 Plt Ct-165
[**2167-1-19**] 11:30PM BLOOD Neuts-77.9* Lymphs-14.5* Monos-5.5
Eos-1.8 Baso-0.4
[**2167-1-19**] 11:30PM BLOOD PT-12.7*</t>
        </is>
      </c>
    </row>
    <row r="707">
      <c r="A707" t="inlineStr">
        <is>
          <t>4309-labs-imaging-1-1</t>
        </is>
      </c>
      <c r="B707" t="inlineStr"/>
      <c r="C707" t="inlineStr"/>
      <c r="D707">
        <f>HYPERLINK("http://nlpdeep.cs.uic.edu:8080/proofing/gsii/4309-labs-imaging-1-1.pdf","gsii/4309-labs-imaging-1-1.pdf")</f>
        <v/>
      </c>
      <c r="E707" t="n">
        <v>109181</v>
      </c>
      <c r="F707" t="n">
        <v>4309</v>
      </c>
      <c r="G707" t="inlineStr">
        <is>
          <t>Discharge summary</t>
        </is>
      </c>
      <c r="H707" t="inlineStr">
        <is>
          <t>labs-imaging</t>
        </is>
      </c>
      <c r="I707" t="inlineStr">
        <is>
          <t>MCH-33.9* MCHC-34.1 RDW-14.2 Plt Ct-165
[**2167-1-19**] 11:30PM BLOOD Neuts-77.9* Lymphs-14.5* Monos-5.5
Eos-1.8 Baso-0.4
[**2167-1-19**] 11:30PM BLOOD PT-12.7*</t>
        </is>
      </c>
    </row>
    <row r="708">
      <c r="A708" t="inlineStr">
        <is>
          <t>4309-labs-imaging-1-2</t>
        </is>
      </c>
      <c r="B708" t="inlineStr"/>
      <c r="C708" t="inlineStr"/>
      <c r="D708">
        <f>HYPERLINK("http://nlpdeep.cs.uic.edu:8080/proofing/t5/4309-labs-imaging-1-2.pdf","t5/4309-labs-imaging-1-2.pdf")</f>
        <v/>
      </c>
      <c r="E708" t="n">
        <v>109181</v>
      </c>
      <c r="F708" t="n">
        <v>4309</v>
      </c>
      <c r="G708" t="inlineStr">
        <is>
          <t>Discharge summary</t>
        </is>
      </c>
      <c r="H708" t="inlineStr">
        <is>
          <t>labs-imaging</t>
        </is>
      </c>
      <c r="I708" t="inlineStr"/>
    </row>
    <row r="709">
      <c r="A709" t="inlineStr">
        <is>
          <t>4309-labs-imaging-1-2</t>
        </is>
      </c>
      <c r="B709" t="inlineStr"/>
      <c r="C709" t="inlineStr"/>
      <c r="D709">
        <f>HYPERLINK("http://nlpdeep.cs.uic.edu:8080/proofing/gsii/4309-labs-imaging-1-2.pdf","gsii/4309-labs-imaging-1-2.pdf")</f>
        <v/>
      </c>
      <c r="E709" t="n">
        <v>109181</v>
      </c>
      <c r="F709" t="n">
        <v>4309</v>
      </c>
      <c r="G709" t="inlineStr">
        <is>
          <t>Discharge summary</t>
        </is>
      </c>
      <c r="H709" t="inlineStr">
        <is>
          <t>labs-imaging</t>
        </is>
      </c>
      <c r="I709" t="inlineStr"/>
    </row>
    <row r="710">
      <c r="A710" t="inlineStr">
        <is>
          <t>4309-labs-imaging-2-0</t>
        </is>
      </c>
      <c r="B710" t="inlineStr"/>
      <c r="C710" t="inlineStr"/>
      <c r="D710">
        <f>HYPERLINK("http://nlpdeep.cs.uic.edu:8080/proofing/t5/4309-labs-imaging-2-0.pdf","t5/4309-labs-imaging-2-0.pdf")</f>
        <v/>
      </c>
      <c r="E710" t="n">
        <v>109181</v>
      </c>
      <c r="F710" t="n">
        <v>4309</v>
      </c>
      <c r="G710" t="inlineStr">
        <is>
          <t>Discharge summary</t>
        </is>
      </c>
      <c r="H710" t="inlineStr">
        <is>
          <t>labs-imaging</t>
        </is>
      </c>
      <c r="I710" t="inlineStr"/>
    </row>
    <row r="711">
      <c r="A711" t="inlineStr">
        <is>
          <t>4309-labs-imaging-2-0</t>
        </is>
      </c>
      <c r="B711" t="inlineStr"/>
      <c r="C711" t="inlineStr"/>
      <c r="D711">
        <f>HYPERLINK("http://nlpdeep.cs.uic.edu:8080/proofing/gsii/4309-labs-imaging-2-0.pdf","gsii/4309-labs-imaging-2-0.pdf")</f>
        <v/>
      </c>
      <c r="E711" t="n">
        <v>109181</v>
      </c>
      <c r="F711" t="n">
        <v>4309</v>
      </c>
      <c r="G711" t="inlineStr">
        <is>
          <t>Discharge summary</t>
        </is>
      </c>
      <c r="H711" t="inlineStr">
        <is>
          <t>labs-imaging</t>
        </is>
      </c>
      <c r="I711" t="inlineStr"/>
    </row>
    <row r="712">
      <c r="A712" t="inlineStr">
        <is>
          <t>4309-labs-imaging-3-0</t>
        </is>
      </c>
      <c r="B712" t="inlineStr"/>
      <c r="C712" t="inlineStr"/>
      <c r="D712">
        <f>HYPERLINK("http://nlpdeep.cs.uic.edu:8080/proofing/t5/4309-labs-imaging-3-0.pdf","t5/4309-labs-imaging-3-0.pdf")</f>
        <v/>
      </c>
      <c r="E712" t="n">
        <v>109181</v>
      </c>
      <c r="F712" t="n">
        <v>4309</v>
      </c>
      <c r="G712" t="inlineStr">
        <is>
          <t>Discharge summary</t>
        </is>
      </c>
      <c r="H712" t="inlineStr">
        <is>
          <t>labs-imaging</t>
        </is>
      </c>
      <c r="I712" t="inlineStr"/>
    </row>
    <row r="713">
      <c r="A713" t="inlineStr">
        <is>
          <t>4309-labs-imaging-3-0</t>
        </is>
      </c>
      <c r="B713" t="inlineStr"/>
      <c r="C713" t="inlineStr"/>
      <c r="D713">
        <f>HYPERLINK("http://nlpdeep.cs.uic.edu:8080/proofing/gsii/4309-labs-imaging-3-0.pdf","gsii/4309-labs-imaging-3-0.pdf")</f>
        <v/>
      </c>
      <c r="E713" t="n">
        <v>109181</v>
      </c>
      <c r="F713" t="n">
        <v>4309</v>
      </c>
      <c r="G713" t="inlineStr">
        <is>
          <t>Discharge summary</t>
        </is>
      </c>
      <c r="H713" t="inlineStr">
        <is>
          <t>labs-imaging</t>
        </is>
      </c>
      <c r="I713" t="inlineStr"/>
    </row>
    <row r="714">
      <c r="A714" t="inlineStr">
        <is>
          <t>4309-labs-imaging-3-1</t>
        </is>
      </c>
      <c r="B714" t="inlineStr"/>
      <c r="C714" t="inlineStr"/>
      <c r="D714">
        <f>HYPERLINK("http://nlpdeep.cs.uic.edu:8080/proofing/t5/4309-labs-imaging-3-1.pdf","t5/4309-labs-imaging-3-1.pdf")</f>
        <v/>
      </c>
      <c r="E714" t="n">
        <v>109181</v>
      </c>
      <c r="F714" t="n">
        <v>4309</v>
      </c>
      <c r="G714" t="inlineStr">
        <is>
          <t>Discharge summary</t>
        </is>
      </c>
      <c r="H714" t="inlineStr">
        <is>
          <t>labs-imaging</t>
        </is>
      </c>
      <c r="I714" t="inlineStr">
        <is>
          <t>Lungs are overinflated, with biapical
hyperlucency.</t>
        </is>
      </c>
    </row>
    <row r="715">
      <c r="A715" t="inlineStr">
        <is>
          <t>4309-labs-imaging-3-1</t>
        </is>
      </c>
      <c r="B715" t="inlineStr"/>
      <c r="C715" t="inlineStr"/>
      <c r="D715">
        <f>HYPERLINK("http://nlpdeep.cs.uic.edu:8080/proofing/gsii/4309-labs-imaging-3-1.pdf","gsii/4309-labs-imaging-3-1.pdf")</f>
        <v/>
      </c>
      <c r="E715" t="n">
        <v>109181</v>
      </c>
      <c r="F715" t="n">
        <v>4309</v>
      </c>
      <c r="G715" t="inlineStr">
        <is>
          <t>Discharge summary</t>
        </is>
      </c>
      <c r="H715" t="inlineStr">
        <is>
          <t>labs-imaging</t>
        </is>
      </c>
      <c r="I715" t="inlineStr">
        <is>
          <t>Lungs are overinflated, with biapical
hyperlucency.</t>
        </is>
      </c>
    </row>
    <row r="716">
      <c r="A716" t="inlineStr">
        <is>
          <t>4309-labs-imaging-3-2</t>
        </is>
      </c>
      <c r="B716" t="inlineStr"/>
      <c r="C716" t="inlineStr"/>
      <c r="D716">
        <f>HYPERLINK("http://nlpdeep.cs.uic.edu:8080/proofing/t5/4309-labs-imaging-3-2.pdf","t5/4309-labs-imaging-3-2.pdf")</f>
        <v/>
      </c>
      <c r="E716" t="n">
        <v>109181</v>
      </c>
      <c r="F716" t="n">
        <v>4309</v>
      </c>
      <c r="G716" t="inlineStr">
        <is>
          <t>Discharge summary</t>
        </is>
      </c>
      <c r="H716" t="inlineStr">
        <is>
          <t>labs-imaging</t>
        </is>
      </c>
      <c r="I716" t="inlineStr">
        <is>
          <t>There is new right lower lobe opacity with
obscuration of the hemidiaphragm.</t>
        </is>
      </c>
    </row>
    <row r="717">
      <c r="A717" t="inlineStr">
        <is>
          <t>4309-labs-imaging-3-2</t>
        </is>
      </c>
      <c r="B717" t="inlineStr"/>
      <c r="C717" t="inlineStr"/>
      <c r="D717">
        <f>HYPERLINK("http://nlpdeep.cs.uic.edu:8080/proofing/gsii/4309-labs-imaging-3-2.pdf","gsii/4309-labs-imaging-3-2.pdf")</f>
        <v/>
      </c>
      <c r="E717" t="n">
        <v>109181</v>
      </c>
      <c r="F717" t="n">
        <v>4309</v>
      </c>
      <c r="G717" t="inlineStr">
        <is>
          <t>Discharge summary</t>
        </is>
      </c>
      <c r="H717" t="inlineStr">
        <is>
          <t>labs-imaging</t>
        </is>
      </c>
      <c r="I717" t="inlineStr">
        <is>
          <t>There is new right lower lobe opacity with
obscuration of the hemidiaphragm.</t>
        </is>
      </c>
    </row>
    <row r="718">
      <c r="A718" t="inlineStr">
        <is>
          <t>4309-labs-imaging-3-3</t>
        </is>
      </c>
      <c r="B718" t="inlineStr"/>
      <c r="C718" t="inlineStr"/>
      <c r="D718">
        <f>HYPERLINK("http://nlpdeep.cs.uic.edu:8080/proofing/t5/4309-labs-imaging-3-3.pdf","t5/4309-labs-imaging-3-3.pdf")</f>
        <v/>
      </c>
      <c r="E718" t="n">
        <v>109181</v>
      </c>
      <c r="F718" t="n">
        <v>4309</v>
      </c>
      <c r="G718" t="inlineStr">
        <is>
          <t>Discharge summary</t>
        </is>
      </c>
      <c r="H718" t="inlineStr">
        <is>
          <t>labs-imaging</t>
        </is>
      </c>
      <c r="I718" t="inlineStr">
        <is>
          <t>Increasing volume overload
with mild cardiomegaly, central venous congestion, and
interstitial/early airspace pulmonary edema.</t>
        </is>
      </c>
    </row>
    <row r="719">
      <c r="A719" t="inlineStr">
        <is>
          <t>4309-labs-imaging-3-3</t>
        </is>
      </c>
      <c r="B719" t="inlineStr"/>
      <c r="C719" t="inlineStr"/>
      <c r="D719">
        <f>HYPERLINK("http://nlpdeep.cs.uic.edu:8080/proofing/gsii/4309-labs-imaging-3-3.pdf","gsii/4309-labs-imaging-3-3.pdf")</f>
        <v/>
      </c>
      <c r="E719" t="n">
        <v>109181</v>
      </c>
      <c r="F719" t="n">
        <v>4309</v>
      </c>
      <c r="G719" t="inlineStr">
        <is>
          <t>Discharge summary</t>
        </is>
      </c>
      <c r="H719" t="inlineStr">
        <is>
          <t>labs-imaging</t>
        </is>
      </c>
      <c r="I719" t="inlineStr">
        <is>
          <t>Increasing volume overload
with mild cardiomegaly, central venous congestion, and
interstitial/early airspace pulmonary edema.</t>
        </is>
      </c>
    </row>
    <row r="720">
      <c r="A720" t="inlineStr">
        <is>
          <t>4309-labs-imaging-3-4</t>
        </is>
      </c>
      <c r="B720" t="inlineStr"/>
      <c r="C720" t="inlineStr"/>
      <c r="D720">
        <f>HYPERLINK("http://nlpdeep.cs.uic.edu:8080/proofing/t5/4309-labs-imaging-3-4.pdf","t5/4309-labs-imaging-3-4.pdf")</f>
        <v/>
      </c>
      <c r="E720" t="n">
        <v>109181</v>
      </c>
      <c r="F720" t="n">
        <v>4309</v>
      </c>
      <c r="G720" t="inlineStr">
        <is>
          <t>Discharge summary</t>
        </is>
      </c>
      <c r="H720" t="inlineStr">
        <is>
          <t>labs-imaging</t>
        </is>
      </c>
      <c r="I720" t="inlineStr">
        <is>
          <t>Probable small left
effusion.</t>
        </is>
      </c>
    </row>
    <row r="721">
      <c r="A721" t="inlineStr">
        <is>
          <t>4309-labs-imaging-3-4</t>
        </is>
      </c>
      <c r="B721" t="inlineStr"/>
      <c r="C721" t="inlineStr"/>
      <c r="D721">
        <f>HYPERLINK("http://nlpdeep.cs.uic.edu:8080/proofing/gsii/4309-labs-imaging-3-4.pdf","gsii/4309-labs-imaging-3-4.pdf")</f>
        <v/>
      </c>
      <c r="E721" t="n">
        <v>109181</v>
      </c>
      <c r="F721" t="n">
        <v>4309</v>
      </c>
      <c r="G721" t="inlineStr">
        <is>
          <t>Discharge summary</t>
        </is>
      </c>
      <c r="H721" t="inlineStr">
        <is>
          <t>labs-imaging</t>
        </is>
      </c>
      <c r="I721" t="inlineStr">
        <is>
          <t>Probable small left
effusion.</t>
        </is>
      </c>
    </row>
    <row r="722">
      <c r="A722" t="inlineStr">
        <is>
          <t>4309-labs-imaging-3-5</t>
        </is>
      </c>
      <c r="B722" t="inlineStr"/>
      <c r="C722" t="inlineStr"/>
      <c r="D722">
        <f>HYPERLINK("http://nlpdeep.cs.uic.edu:8080/proofing/t5/4309-labs-imaging-3-5.pdf","t5/4309-labs-imaging-3-5.pdf")</f>
        <v/>
      </c>
      <c r="E722" t="n">
        <v>109181</v>
      </c>
      <c r="F722" t="n">
        <v>4309</v>
      </c>
      <c r="G722" t="inlineStr">
        <is>
          <t>Discharge summary</t>
        </is>
      </c>
      <c r="H722" t="inlineStr">
        <is>
          <t>labs-imaging</t>
        </is>
      </c>
      <c r="I722" t="inlineStr">
        <is>
          <t>CABG changes are noted, with median sternotomy wires
and mediastinal clips.</t>
        </is>
      </c>
    </row>
    <row r="723">
      <c r="A723" t="inlineStr">
        <is>
          <t>4309-labs-imaging-3-5</t>
        </is>
      </c>
      <c r="B723" t="inlineStr"/>
      <c r="C723" t="inlineStr"/>
      <c r="D723">
        <f>HYPERLINK("http://nlpdeep.cs.uic.edu:8080/proofing/gsii/4309-labs-imaging-3-5.pdf","gsii/4309-labs-imaging-3-5.pdf")</f>
        <v/>
      </c>
      <c r="E723" t="n">
        <v>109181</v>
      </c>
      <c r="F723" t="n">
        <v>4309</v>
      </c>
      <c r="G723" t="inlineStr">
        <is>
          <t>Discharge summary</t>
        </is>
      </c>
      <c r="H723" t="inlineStr">
        <is>
          <t>labs-imaging</t>
        </is>
      </c>
      <c r="I723" t="inlineStr">
        <is>
          <t>CABG changes are noted, with median sternotomy wires
and mediastinal clips.</t>
        </is>
      </c>
    </row>
    <row r="724">
      <c r="A724" t="inlineStr">
        <is>
          <t>4309-labs-imaging-3-6</t>
        </is>
      </c>
      <c r="B724" t="inlineStr"/>
      <c r="C724" t="inlineStr"/>
      <c r="D724">
        <f>HYPERLINK("http://nlpdeep.cs.uic.edu:8080/proofing/t5/4309-labs-imaging-3-6.pdf","t5/4309-labs-imaging-3-6.pdf")</f>
        <v/>
      </c>
      <c r="E724" t="n">
        <v>109181</v>
      </c>
      <c r="F724" t="n">
        <v>4309</v>
      </c>
      <c r="G724" t="inlineStr">
        <is>
          <t>Discharge summary</t>
        </is>
      </c>
      <c r="H724" t="inlineStr">
        <is>
          <t>labs-imaging</t>
        </is>
      </c>
      <c r="I724" t="inlineStr">
        <is>
          <t xml:space="preserve">
IMPRESSION:
1.</t>
        </is>
      </c>
    </row>
    <row r="725">
      <c r="A725" t="inlineStr">
        <is>
          <t>4309-labs-imaging-3-6</t>
        </is>
      </c>
      <c r="B725" t="inlineStr"/>
      <c r="C725" t="inlineStr"/>
      <c r="D725">
        <f>HYPERLINK("http://nlpdeep.cs.uic.edu:8080/proofing/gsii/4309-labs-imaging-3-6.pdf","gsii/4309-labs-imaging-3-6.pdf")</f>
        <v/>
      </c>
      <c r="E725" t="n">
        <v>109181</v>
      </c>
      <c r="F725" t="n">
        <v>4309</v>
      </c>
      <c r="G725" t="inlineStr">
        <is>
          <t>Discharge summary</t>
        </is>
      </c>
      <c r="H725" t="inlineStr">
        <is>
          <t>labs-imaging</t>
        </is>
      </c>
      <c r="I725" t="inlineStr">
        <is>
          <t xml:space="preserve">
IMPRESSION:
1.</t>
        </is>
      </c>
    </row>
    <row r="726">
      <c r="A726" t="inlineStr">
        <is>
          <t>4309-labs-imaging-3-7</t>
        </is>
      </c>
      <c r="B726" t="inlineStr"/>
      <c r="C726" t="inlineStr"/>
      <c r="D726">
        <f>HYPERLINK("http://nlpdeep.cs.uic.edu:8080/proofing/t5/4309-labs-imaging-3-7.pdf","t5/4309-labs-imaging-3-7.pdf")</f>
        <v/>
      </c>
      <c r="E726" t="n">
        <v>109181</v>
      </c>
      <c r="F726" t="n">
        <v>4309</v>
      </c>
      <c r="G726" t="inlineStr">
        <is>
          <t>Discharge summary</t>
        </is>
      </c>
      <c r="H726" t="inlineStr">
        <is>
          <t>labs-imaging</t>
        </is>
      </c>
      <c r="I726" t="inlineStr">
        <is>
          <t>Possible right lower lobe pneumonia.</t>
        </is>
      </c>
    </row>
    <row r="727">
      <c r="A727" t="inlineStr">
        <is>
          <t>4309-labs-imaging-3-7</t>
        </is>
      </c>
      <c r="B727" t="inlineStr"/>
      <c r="C727" t="inlineStr"/>
      <c r="D727">
        <f>HYPERLINK("http://nlpdeep.cs.uic.edu:8080/proofing/gsii/4309-labs-imaging-3-7.pdf","gsii/4309-labs-imaging-3-7.pdf")</f>
        <v/>
      </c>
      <c r="E727" t="n">
        <v>109181</v>
      </c>
      <c r="F727" t="n">
        <v>4309</v>
      </c>
      <c r="G727" t="inlineStr">
        <is>
          <t>Discharge summary</t>
        </is>
      </c>
      <c r="H727" t="inlineStr">
        <is>
          <t>labs-imaging</t>
        </is>
      </c>
      <c r="I727" t="inlineStr">
        <is>
          <t>Possible right lower lobe pneumonia.</t>
        </is>
      </c>
    </row>
    <row r="728">
      <c r="A728" t="inlineStr">
        <is>
          <t>4309-labs-imaging-3-8</t>
        </is>
      </c>
      <c r="B728" t="inlineStr"/>
      <c r="C728" t="inlineStr"/>
      <c r="D728">
        <f>HYPERLINK("http://nlpdeep.cs.uic.edu:8080/proofing/t5/4309-labs-imaging-3-8.pdf","t5/4309-labs-imaging-3-8.pdf")</f>
        <v/>
      </c>
      <c r="E728" t="n">
        <v>109181</v>
      </c>
      <c r="F728" t="n">
        <v>4309</v>
      </c>
      <c r="G728" t="inlineStr">
        <is>
          <t>Discharge summary</t>
        </is>
      </c>
      <c r="H728" t="inlineStr">
        <is>
          <t>labs-imaging</t>
        </is>
      </c>
      <c r="I728" t="inlineStr">
        <is>
          <t>Increasing volume overload.</t>
        </is>
      </c>
    </row>
    <row r="729">
      <c r="A729" t="inlineStr">
        <is>
          <t>4309-labs-imaging-3-8</t>
        </is>
      </c>
      <c r="B729" t="inlineStr"/>
      <c r="C729" t="inlineStr"/>
      <c r="D729">
        <f>HYPERLINK("http://nlpdeep.cs.uic.edu:8080/proofing/gsii/4309-labs-imaging-3-8.pdf","gsii/4309-labs-imaging-3-8.pdf")</f>
        <v/>
      </c>
      <c r="E729" t="n">
        <v>109181</v>
      </c>
      <c r="F729" t="n">
        <v>4309</v>
      </c>
      <c r="G729" t="inlineStr">
        <is>
          <t>Discharge summary</t>
        </is>
      </c>
      <c r="H729" t="inlineStr">
        <is>
          <t>labs-imaging</t>
        </is>
      </c>
      <c r="I729" t="inlineStr">
        <is>
          <t>Increasing volume overload.</t>
        </is>
      </c>
    </row>
    <row r="730">
      <c r="A730" t="inlineStr">
        <is>
          <t>4309-labs-imaging-4-0</t>
        </is>
      </c>
      <c r="B730" t="inlineStr"/>
      <c r="C730" t="inlineStr"/>
      <c r="D730">
        <f>HYPERLINK("http://nlpdeep.cs.uic.edu:8080/proofing/t5/4309-labs-imaging-4-0.pdf","t5/4309-labs-imaging-4-0.pdf")</f>
        <v/>
      </c>
      <c r="E730" t="n">
        <v>109181</v>
      </c>
      <c r="F730" t="n">
        <v>4309</v>
      </c>
      <c r="G730" t="inlineStr">
        <is>
          <t>Discharge summary</t>
        </is>
      </c>
      <c r="H730" t="inlineStr">
        <is>
          <t>labs-imaging</t>
        </is>
      </c>
      <c r="I730" t="inlineStr">
        <is>
          <t xml:space="preserve">
cardiac cath
# CARDIAC CATHETERIZATION [**2167-1-20**]
(Prelim report was up)
COMMENTS:
1.</t>
        </is>
      </c>
    </row>
    <row r="731">
      <c r="A731" t="inlineStr">
        <is>
          <t>4309-labs-imaging-4-0</t>
        </is>
      </c>
      <c r="B731" t="inlineStr"/>
      <c r="C731" t="inlineStr"/>
      <c r="D731">
        <f>HYPERLINK("http://nlpdeep.cs.uic.edu:8080/proofing/gsii/4309-labs-imaging-4-0.pdf","gsii/4309-labs-imaging-4-0.pdf")</f>
        <v/>
      </c>
      <c r="E731" t="n">
        <v>109181</v>
      </c>
      <c r="F731" t="n">
        <v>4309</v>
      </c>
      <c r="G731" t="inlineStr">
        <is>
          <t>Discharge summary</t>
        </is>
      </c>
      <c r="H731" t="inlineStr">
        <is>
          <t>labs-imaging</t>
        </is>
      </c>
      <c r="I731" t="inlineStr">
        <is>
          <t xml:space="preserve">
cardiac cath
# CARDIAC CATHETERIZATION [**2167-1-20**]
(Prelim report was up)
COMMENTS:
1.</t>
        </is>
      </c>
    </row>
    <row r="732">
      <c r="A732" t="inlineStr">
        <is>
          <t>4309-labs-imaging-4-1</t>
        </is>
      </c>
      <c r="B732" t="inlineStr"/>
      <c r="C732" t="inlineStr"/>
      <c r="D732">
        <f>HYPERLINK("http://nlpdeep.cs.uic.edu:8080/proofing/t5/4309-labs-imaging-4-1.pdf","t5/4309-labs-imaging-4-1.pdf")</f>
        <v/>
      </c>
      <c r="E732" t="n">
        <v>109181</v>
      </c>
      <c r="F732" t="n">
        <v>4309</v>
      </c>
      <c r="G732" t="inlineStr">
        <is>
          <t>Discharge summary</t>
        </is>
      </c>
      <c r="H732" t="inlineStr">
        <is>
          <t>labs-imaging</t>
        </is>
      </c>
      <c r="I732" t="inlineStr">
        <is>
          <t>Selective native coronary angiography of this right dominant
system
demonstrated severe 2 vessel coronary artery disease.</t>
        </is>
      </c>
    </row>
    <row r="733">
      <c r="A733" t="inlineStr">
        <is>
          <t>4309-labs-imaging-4-1</t>
        </is>
      </c>
      <c r="B733" t="inlineStr"/>
      <c r="C733" t="inlineStr"/>
      <c r="D733">
        <f>HYPERLINK("http://nlpdeep.cs.uic.edu:8080/proofing/gsii/4309-labs-imaging-4-1.pdf","gsii/4309-labs-imaging-4-1.pdf")</f>
        <v/>
      </c>
      <c r="E733" t="n">
        <v>109181</v>
      </c>
      <c r="F733" t="n">
        <v>4309</v>
      </c>
      <c r="G733" t="inlineStr">
        <is>
          <t>Discharge summary</t>
        </is>
      </c>
      <c r="H733" t="inlineStr">
        <is>
          <t>labs-imaging</t>
        </is>
      </c>
      <c r="I733" t="inlineStr">
        <is>
          <t>Selective native coronary angiography of this right dominant
system
demonstrated severe 2 vessel coronary artery disease.</t>
        </is>
      </c>
    </row>
    <row r="734">
      <c r="A734" t="inlineStr">
        <is>
          <t>4309-labs-imaging-4-2</t>
        </is>
      </c>
      <c r="B734" t="inlineStr"/>
      <c r="C734" t="inlineStr"/>
      <c r="D734">
        <f>HYPERLINK("http://nlpdeep.cs.uic.edu:8080/proofing/t5/4309-labs-imaging-4-2.pdf","t5/4309-labs-imaging-4-2.pdf")</f>
        <v/>
      </c>
      <c r="E734" t="n">
        <v>109181</v>
      </c>
      <c r="F734" t="n">
        <v>4309</v>
      </c>
      <c r="G734" t="inlineStr">
        <is>
          <t>Discharge summary</t>
        </is>
      </c>
      <c r="H734" t="inlineStr">
        <is>
          <t>labs-imaging</t>
        </is>
      </c>
      <c r="I734" t="inlineStr">
        <is>
          <t xml:space="preserve"> The RCA
was not
engaged due to it having a known total occlusion.</t>
        </is>
      </c>
    </row>
    <row r="735">
      <c r="A735" t="inlineStr">
        <is>
          <t>4309-labs-imaging-4-2</t>
        </is>
      </c>
      <c r="B735" t="inlineStr"/>
      <c r="C735" t="inlineStr"/>
      <c r="D735">
        <f>HYPERLINK("http://nlpdeep.cs.uic.edu:8080/proofing/gsii/4309-labs-imaging-4-2.pdf","gsii/4309-labs-imaging-4-2.pdf")</f>
        <v/>
      </c>
      <c r="E735" t="n">
        <v>109181</v>
      </c>
      <c r="F735" t="n">
        <v>4309</v>
      </c>
      <c r="G735" t="inlineStr">
        <is>
          <t>Discharge summary</t>
        </is>
      </c>
      <c r="H735" t="inlineStr">
        <is>
          <t>labs-imaging</t>
        </is>
      </c>
      <c r="I735" t="inlineStr">
        <is>
          <t xml:space="preserve"> The RCA
was not
engaged due to it having a known total occlusion.</t>
        </is>
      </c>
    </row>
    <row r="736">
      <c r="A736" t="inlineStr">
        <is>
          <t>4309-labs-imaging-4-3</t>
        </is>
      </c>
      <c r="B736" t="inlineStr"/>
      <c r="C736" t="inlineStr"/>
      <c r="D736">
        <f>HYPERLINK("http://nlpdeep.cs.uic.edu:8080/proofing/t5/4309-labs-imaging-4-3.pdf","t5/4309-labs-imaging-4-3.pdf")</f>
        <v/>
      </c>
      <c r="E736" t="n">
        <v>109181</v>
      </c>
      <c r="F736" t="n">
        <v>4309</v>
      </c>
      <c r="G736" t="inlineStr">
        <is>
          <t>Discharge summary</t>
        </is>
      </c>
      <c r="H736" t="inlineStr">
        <is>
          <t>labs-imaging</t>
        </is>
      </c>
      <c r="I736" t="inlineStr">
        <is>
          <t xml:space="preserve"> The LMCA had
minimal
non-angiographically significant coronary artery disease with a
patent
stent.</t>
        </is>
      </c>
    </row>
    <row r="737">
      <c r="A737" t="inlineStr">
        <is>
          <t>4309-labs-imaging-4-3</t>
        </is>
      </c>
      <c r="B737" t="inlineStr"/>
      <c r="C737" t="inlineStr"/>
      <c r="D737">
        <f>HYPERLINK("http://nlpdeep.cs.uic.edu:8080/proofing/gsii/4309-labs-imaging-4-3.pdf","gsii/4309-labs-imaging-4-3.pdf")</f>
        <v/>
      </c>
      <c r="E737" t="n">
        <v>109181</v>
      </c>
      <c r="F737" t="n">
        <v>4309</v>
      </c>
      <c r="G737" t="inlineStr">
        <is>
          <t>Discharge summary</t>
        </is>
      </c>
      <c r="H737" t="inlineStr">
        <is>
          <t>labs-imaging</t>
        </is>
      </c>
      <c r="I737" t="inlineStr">
        <is>
          <t xml:space="preserve"> The LMCA had
minimal
non-angiographically significant coronary artery disease with a
patent
stent.</t>
        </is>
      </c>
    </row>
    <row r="738">
      <c r="A738" t="inlineStr">
        <is>
          <t>4309-labs-imaging-4-4</t>
        </is>
      </c>
      <c r="B738" t="inlineStr"/>
      <c r="C738" t="inlineStr"/>
      <c r="D738">
        <f>HYPERLINK("http://nlpdeep.cs.uic.edu:8080/proofing/t5/4309-labs-imaging-4-4.pdf","t5/4309-labs-imaging-4-4.pdf")</f>
        <v/>
      </c>
      <c r="E738" t="n">
        <v>109181</v>
      </c>
      <c r="F738" t="n">
        <v>4309</v>
      </c>
      <c r="G738" t="inlineStr">
        <is>
          <t>Discharge summary</t>
        </is>
      </c>
      <c r="H738" t="inlineStr">
        <is>
          <t>labs-imaging</t>
        </is>
      </c>
      <c r="I738" t="inlineStr">
        <is>
          <t xml:space="preserve"> The LAD had a proximal total occlusion.</t>
        </is>
      </c>
    </row>
    <row r="739">
      <c r="A739" t="inlineStr">
        <is>
          <t>4309-labs-imaging-4-4</t>
        </is>
      </c>
      <c r="B739" t="inlineStr"/>
      <c r="C739" t="inlineStr"/>
      <c r="D739">
        <f>HYPERLINK("http://nlpdeep.cs.uic.edu:8080/proofing/gsii/4309-labs-imaging-4-4.pdf","gsii/4309-labs-imaging-4-4.pdf")</f>
        <v/>
      </c>
      <c r="E739" t="n">
        <v>109181</v>
      </c>
      <c r="F739" t="n">
        <v>4309</v>
      </c>
      <c r="G739" t="inlineStr">
        <is>
          <t>Discharge summary</t>
        </is>
      </c>
      <c r="H739" t="inlineStr">
        <is>
          <t>labs-imaging</t>
        </is>
      </c>
      <c r="I739" t="inlineStr">
        <is>
          <t xml:space="preserve"> The LAD had a proximal total occlusion.</t>
        </is>
      </c>
    </row>
    <row r="740">
      <c r="A740" t="inlineStr">
        <is>
          <t>4309-labs-imaging-4-5</t>
        </is>
      </c>
      <c r="B740" t="inlineStr"/>
      <c r="C740" t="inlineStr"/>
      <c r="D740">
        <f>HYPERLINK("http://nlpdeep.cs.uic.edu:8080/proofing/t5/4309-labs-imaging-4-5.pdf","t5/4309-labs-imaging-4-5.pdf")</f>
        <v/>
      </c>
      <c r="E740" t="n">
        <v>109181</v>
      </c>
      <c r="F740" t="n">
        <v>4309</v>
      </c>
      <c r="G740" t="inlineStr">
        <is>
          <t>Discharge summary</t>
        </is>
      </c>
      <c r="H740" t="inlineStr">
        <is>
          <t>labs-imaging</t>
        </is>
      </c>
      <c r="I740" t="inlineStr">
        <is>
          <t xml:space="preserve"> The LCX had a
proximal
total occlusion.</t>
        </is>
      </c>
    </row>
    <row r="741">
      <c r="A741" t="inlineStr">
        <is>
          <t>4309-labs-imaging-4-5</t>
        </is>
      </c>
      <c r="B741" t="inlineStr"/>
      <c r="C741" t="inlineStr"/>
      <c r="D741">
        <f>HYPERLINK("http://nlpdeep.cs.uic.edu:8080/proofing/gsii/4309-labs-imaging-4-5.pdf","gsii/4309-labs-imaging-4-5.pdf")</f>
        <v/>
      </c>
      <c r="E741" t="n">
        <v>109181</v>
      </c>
      <c r="F741" t="n">
        <v>4309</v>
      </c>
      <c r="G741" t="inlineStr">
        <is>
          <t>Discharge summary</t>
        </is>
      </c>
      <c r="H741" t="inlineStr">
        <is>
          <t>labs-imaging</t>
        </is>
      </c>
      <c r="I741" t="inlineStr">
        <is>
          <t xml:space="preserve"> The LCX had a
proximal
total occlusion.</t>
        </is>
      </c>
    </row>
    <row r="742">
      <c r="A742" t="inlineStr">
        <is>
          <t>4309-labs-imaging-4-6</t>
        </is>
      </c>
      <c r="B742" t="inlineStr"/>
      <c r="C742" t="inlineStr"/>
      <c r="D742">
        <f>HYPERLINK("http://nlpdeep.cs.uic.edu:8080/proofing/t5/4309-labs-imaging-4-6.pdf","t5/4309-labs-imaging-4-6.pdf")</f>
        <v/>
      </c>
      <c r="E742" t="n">
        <v>109181</v>
      </c>
      <c r="F742" t="n">
        <v>4309</v>
      </c>
      <c r="G742" t="inlineStr">
        <is>
          <t>Discharge summary</t>
        </is>
      </c>
      <c r="H742" t="inlineStr">
        <is>
          <t>labs-imaging</t>
        </is>
      </c>
      <c r="I742" t="inlineStr">
        <is>
          <t xml:space="preserve"> The ramus had a patent stent with minimal
non-angiographically significant coronary artery disease.</t>
        </is>
      </c>
    </row>
    <row r="743">
      <c r="A743" t="inlineStr">
        <is>
          <t>4309-labs-imaging-4-6</t>
        </is>
      </c>
      <c r="B743" t="inlineStr"/>
      <c r="C743" t="inlineStr"/>
      <c r="D743">
        <f>HYPERLINK("http://nlpdeep.cs.uic.edu:8080/proofing/gsii/4309-labs-imaging-4-6.pdf","gsii/4309-labs-imaging-4-6.pdf")</f>
        <v/>
      </c>
      <c r="E743" t="n">
        <v>109181</v>
      </c>
      <c r="F743" t="n">
        <v>4309</v>
      </c>
      <c r="G743" t="inlineStr">
        <is>
          <t>Discharge summary</t>
        </is>
      </c>
      <c r="H743" t="inlineStr">
        <is>
          <t>labs-imaging</t>
        </is>
      </c>
      <c r="I743" t="inlineStr">
        <is>
          <t xml:space="preserve"> The ramus had a patent stent with minimal
non-angiographically significant coronary artery disease.</t>
        </is>
      </c>
    </row>
    <row r="744">
      <c r="A744" t="inlineStr">
        <is>
          <t>4309-labs-imaging-4-7</t>
        </is>
      </c>
      <c r="B744" t="inlineStr"/>
      <c r="C744" t="inlineStr"/>
      <c r="D744">
        <f>HYPERLINK("http://nlpdeep.cs.uic.edu:8080/proofing/t5/4309-labs-imaging-4-7.pdf","t5/4309-labs-imaging-4-7.pdf")</f>
        <v/>
      </c>
      <c r="E744" t="n">
        <v>109181</v>
      </c>
      <c r="F744" t="n">
        <v>4309</v>
      </c>
      <c r="G744" t="inlineStr">
        <is>
          <t>Discharge summary</t>
        </is>
      </c>
      <c r="H744" t="inlineStr">
        <is>
          <t>labs-imaging</t>
        </is>
      </c>
      <c r="I744" t="inlineStr">
        <is>
          <t>Selective venous conduit angiography demonstrated widely
patent SVG
to PDA, and SVG to Diagnoal grafts.</t>
        </is>
      </c>
    </row>
    <row r="745">
      <c r="A745" t="inlineStr">
        <is>
          <t>4309-labs-imaging-4-7</t>
        </is>
      </c>
      <c r="B745" t="inlineStr"/>
      <c r="C745" t="inlineStr"/>
      <c r="D745">
        <f>HYPERLINK("http://nlpdeep.cs.uic.edu:8080/proofing/gsii/4309-labs-imaging-4-7.pdf","gsii/4309-labs-imaging-4-7.pdf")</f>
        <v/>
      </c>
      <c r="E745" t="n">
        <v>109181</v>
      </c>
      <c r="F745" t="n">
        <v>4309</v>
      </c>
      <c r="G745" t="inlineStr">
        <is>
          <t>Discharge summary</t>
        </is>
      </c>
      <c r="H745" t="inlineStr">
        <is>
          <t>labs-imaging</t>
        </is>
      </c>
      <c r="I745" t="inlineStr">
        <is>
          <t>Selective venous conduit angiography demonstrated widely
patent SVG
to PDA, and SVG to Diagnoal grafts.</t>
        </is>
      </c>
    </row>
    <row r="746">
      <c r="A746" t="inlineStr">
        <is>
          <t>4309-labs-imaging-4-8</t>
        </is>
      </c>
      <c r="B746" t="inlineStr"/>
      <c r="C746" t="inlineStr"/>
      <c r="D746">
        <f>HYPERLINK("http://nlpdeep.cs.uic.edu:8080/proofing/t5/4309-labs-imaging-4-8.pdf","t5/4309-labs-imaging-4-8.pdf")</f>
        <v/>
      </c>
      <c r="E746" t="n">
        <v>109181</v>
      </c>
      <c r="F746" t="n">
        <v>4309</v>
      </c>
      <c r="G746" t="inlineStr">
        <is>
          <t>Discharge summary</t>
        </is>
      </c>
      <c r="H746" t="inlineStr">
        <is>
          <t>labs-imaging</t>
        </is>
      </c>
      <c r="I746" t="inlineStr">
        <is>
          <t xml:space="preserve"> The SVG to OM graft was
patent,
with a 60% stenosis at the ostium of the bypassed OM at its
point of
attachment to the LCX.</t>
        </is>
      </c>
    </row>
    <row r="747">
      <c r="A747" t="inlineStr">
        <is>
          <t>4309-labs-imaging-4-8</t>
        </is>
      </c>
      <c r="B747" t="inlineStr"/>
      <c r="C747" t="inlineStr"/>
      <c r="D747">
        <f>HYPERLINK("http://nlpdeep.cs.uic.edu:8080/proofing/gsii/4309-labs-imaging-4-8.pdf","gsii/4309-labs-imaging-4-8.pdf")</f>
        <v/>
      </c>
      <c r="E747" t="n">
        <v>109181</v>
      </c>
      <c r="F747" t="n">
        <v>4309</v>
      </c>
      <c r="G747" t="inlineStr">
        <is>
          <t>Discharge summary</t>
        </is>
      </c>
      <c r="H747" t="inlineStr">
        <is>
          <t>labs-imaging</t>
        </is>
      </c>
      <c r="I747" t="inlineStr">
        <is>
          <t xml:space="preserve"> The SVG to OM graft was
patent,
with a 60% stenosis at the ostium of the bypassed OM at its
point of
attachment to the LCX.</t>
        </is>
      </c>
    </row>
    <row r="748">
      <c r="A748" t="inlineStr">
        <is>
          <t>4309-labs-imaging-4-9</t>
        </is>
      </c>
      <c r="B748" t="inlineStr"/>
      <c r="C748" t="inlineStr"/>
      <c r="D748">
        <f>HYPERLINK("http://nlpdeep.cs.uic.edu:8080/proofing/t5/4309-labs-imaging-4-9.pdf","t5/4309-labs-imaging-4-9.pdf")</f>
        <v/>
      </c>
      <c r="E748" t="n">
        <v>109181</v>
      </c>
      <c r="F748" t="n">
        <v>4309</v>
      </c>
      <c r="G748" t="inlineStr">
        <is>
          <t>Discharge summary</t>
        </is>
      </c>
      <c r="H748" t="inlineStr">
        <is>
          <t>labs-imaging</t>
        </is>
      </c>
      <c r="I748" t="inlineStr">
        <is>
          <t>Selective arterial conduit angiography demonstrated a widely
patent LIMA to LAD graft.</t>
        </is>
      </c>
    </row>
    <row r="749">
      <c r="A749" t="inlineStr">
        <is>
          <t>4309-labs-imaging-4-9</t>
        </is>
      </c>
      <c r="B749" t="inlineStr"/>
      <c r="C749" t="inlineStr"/>
      <c r="D749">
        <f>HYPERLINK("http://nlpdeep.cs.uic.edu:8080/proofing/gsii/4309-labs-imaging-4-9.pdf","gsii/4309-labs-imaging-4-9.pdf")</f>
        <v/>
      </c>
      <c r="E749" t="n">
        <v>109181</v>
      </c>
      <c r="F749" t="n">
        <v>4309</v>
      </c>
      <c r="G749" t="inlineStr">
        <is>
          <t>Discharge summary</t>
        </is>
      </c>
      <c r="H749" t="inlineStr">
        <is>
          <t>labs-imaging</t>
        </is>
      </c>
      <c r="I749" t="inlineStr">
        <is>
          <t>Selective arterial conduit angiography demonstrated a widely
patent LIMA to LAD graft.</t>
        </is>
      </c>
    </row>
    <row r="750">
      <c r="A750" t="inlineStr">
        <is>
          <t>4309-labs-imaging-4-10</t>
        </is>
      </c>
      <c r="B750" t="inlineStr"/>
      <c r="C750" t="inlineStr"/>
      <c r="D750">
        <f>HYPERLINK("http://nlpdeep.cs.uic.edu:8080/proofing/t5/4309-labs-imaging-4-10.pdf","t5/4309-labs-imaging-4-10.pdf")</f>
        <v/>
      </c>
      <c r="E750" t="n">
        <v>109181</v>
      </c>
      <c r="F750" t="n">
        <v>4309</v>
      </c>
      <c r="G750" t="inlineStr">
        <is>
          <t>Discharge summary</t>
        </is>
      </c>
      <c r="H750" t="inlineStr">
        <is>
          <t>labs-imaging</t>
        </is>
      </c>
      <c r="I750" t="inlineStr">
        <is>
          <t xml:space="preserve"> The distal native LAD had a 80%
lesion.</t>
        </is>
      </c>
    </row>
    <row r="751">
      <c r="A751" t="inlineStr">
        <is>
          <t>4309-labs-imaging-4-10</t>
        </is>
      </c>
      <c r="B751" t="inlineStr"/>
      <c r="C751" t="inlineStr"/>
      <c r="D751">
        <f>HYPERLINK("http://nlpdeep.cs.uic.edu:8080/proofing/gsii/4309-labs-imaging-4-10.pdf","gsii/4309-labs-imaging-4-10.pdf")</f>
        <v/>
      </c>
      <c r="E751" t="n">
        <v>109181</v>
      </c>
      <c r="F751" t="n">
        <v>4309</v>
      </c>
      <c r="G751" t="inlineStr">
        <is>
          <t>Discharge summary</t>
        </is>
      </c>
      <c r="H751" t="inlineStr">
        <is>
          <t>labs-imaging</t>
        </is>
      </c>
      <c r="I751" t="inlineStr">
        <is>
          <t xml:space="preserve"> The distal native LAD had a 80%
lesion.</t>
        </is>
      </c>
    </row>
    <row r="752">
      <c r="A752" t="inlineStr">
        <is>
          <t>4309-labs-imaging-4-11</t>
        </is>
      </c>
      <c r="B752" t="inlineStr"/>
      <c r="C752" t="inlineStr"/>
      <c r="D752">
        <f>HYPERLINK("http://nlpdeep.cs.uic.edu:8080/proofing/t5/4309-labs-imaging-4-11.pdf","t5/4309-labs-imaging-4-11.pdf")</f>
        <v/>
      </c>
      <c r="E752" t="n">
        <v>109181</v>
      </c>
      <c r="F752" t="n">
        <v>4309</v>
      </c>
      <c r="G752" t="inlineStr">
        <is>
          <t>Discharge summary</t>
        </is>
      </c>
      <c r="H752" t="inlineStr">
        <is>
          <t>labs-imaging</t>
        </is>
      </c>
      <c r="I752" t="inlineStr">
        <is>
          <t>Successful balloon angioplasty of the LAD with a 2.0 x 8 mm
balloon
(see PTCA comments).</t>
        </is>
      </c>
    </row>
    <row r="753">
      <c r="A753" t="inlineStr">
        <is>
          <t>4309-labs-imaging-4-11</t>
        </is>
      </c>
      <c r="B753" t="inlineStr"/>
      <c r="C753" t="inlineStr"/>
      <c r="D753">
        <f>HYPERLINK("http://nlpdeep.cs.uic.edu:8080/proofing/gsii/4309-labs-imaging-4-11.pdf","gsii/4309-labs-imaging-4-11.pdf")</f>
        <v/>
      </c>
      <c r="E753" t="n">
        <v>109181</v>
      </c>
      <c r="F753" t="n">
        <v>4309</v>
      </c>
      <c r="G753" t="inlineStr">
        <is>
          <t>Discharge summary</t>
        </is>
      </c>
      <c r="H753" t="inlineStr">
        <is>
          <t>labs-imaging</t>
        </is>
      </c>
      <c r="I753" t="inlineStr">
        <is>
          <t>Successful balloon angioplasty of the LAD with a 2.0 x 8 mm
balloon
(see PTCA comments).</t>
        </is>
      </c>
    </row>
    <row r="754">
      <c r="A754" t="inlineStr">
        <is>
          <t>4309-labs-imaging-4-12</t>
        </is>
      </c>
      <c r="B754" t="inlineStr"/>
      <c r="C754" t="inlineStr"/>
      <c r="D754">
        <f>HYPERLINK("http://nlpdeep.cs.uic.edu:8080/proofing/t5/4309-labs-imaging-4-12.pdf","t5/4309-labs-imaging-4-12.pdf")</f>
        <v/>
      </c>
      <c r="E754" t="n">
        <v>109181</v>
      </c>
      <c r="F754" t="n">
        <v>4309</v>
      </c>
      <c r="G754" t="inlineStr">
        <is>
          <t>Discharge summary</t>
        </is>
      </c>
      <c r="H754" t="inlineStr">
        <is>
          <t>labs-imaging</t>
        </is>
      </c>
      <c r="I754" t="inlineStr">
        <is>
          <t xml:space="preserve">
FINAL DIAGNOSIS:
1.</t>
        </is>
      </c>
    </row>
    <row r="755">
      <c r="A755" t="inlineStr">
        <is>
          <t>4309-labs-imaging-4-12</t>
        </is>
      </c>
      <c r="B755" t="inlineStr"/>
      <c r="C755" t="inlineStr"/>
      <c r="D755">
        <f>HYPERLINK("http://nlpdeep.cs.uic.edu:8080/proofing/gsii/4309-labs-imaging-4-12.pdf","gsii/4309-labs-imaging-4-12.pdf")</f>
        <v/>
      </c>
      <c r="E755" t="n">
        <v>109181</v>
      </c>
      <c r="F755" t="n">
        <v>4309</v>
      </c>
      <c r="G755" t="inlineStr">
        <is>
          <t>Discharge summary</t>
        </is>
      </c>
      <c r="H755" t="inlineStr">
        <is>
          <t>labs-imaging</t>
        </is>
      </c>
      <c r="I755" t="inlineStr">
        <is>
          <t xml:space="preserve">
FINAL DIAGNOSIS:
1.</t>
        </is>
      </c>
    </row>
    <row r="756">
      <c r="A756" t="inlineStr">
        <is>
          <t>4309-labs-imaging-4-13</t>
        </is>
      </c>
      <c r="B756" t="inlineStr"/>
      <c r="C756" t="inlineStr"/>
      <c r="D756">
        <f>HYPERLINK("http://nlpdeep.cs.uic.edu:8080/proofing/t5/4309-labs-imaging-4-13.pdf","t5/4309-labs-imaging-4-13.pdf")</f>
        <v/>
      </c>
      <c r="E756" t="n">
        <v>109181</v>
      </c>
      <c r="F756" t="n">
        <v>4309</v>
      </c>
      <c r="G756" t="inlineStr">
        <is>
          <t>Discharge summary</t>
        </is>
      </c>
      <c r="H756" t="inlineStr">
        <is>
          <t>labs-imaging</t>
        </is>
      </c>
      <c r="I756" t="inlineStr">
        <is>
          <t>Severe two vessel native coronary artery disease (RCA not
evaluated
due to a known total occlusion)
2.</t>
        </is>
      </c>
    </row>
    <row r="757">
      <c r="A757" t="inlineStr">
        <is>
          <t>4309-labs-imaging-4-13</t>
        </is>
      </c>
      <c r="B757" t="inlineStr"/>
      <c r="C757" t="inlineStr"/>
      <c r="D757">
        <f>HYPERLINK("http://nlpdeep.cs.uic.edu:8080/proofing/gsii/4309-labs-imaging-4-13.pdf","gsii/4309-labs-imaging-4-13.pdf")</f>
        <v/>
      </c>
      <c r="E757" t="n">
        <v>109181</v>
      </c>
      <c r="F757" t="n">
        <v>4309</v>
      </c>
      <c r="G757" t="inlineStr">
        <is>
          <t>Discharge summary</t>
        </is>
      </c>
      <c r="H757" t="inlineStr">
        <is>
          <t>labs-imaging</t>
        </is>
      </c>
      <c r="I757" t="inlineStr">
        <is>
          <t>Severe two vessel native coronary artery disease (RCA not
evaluated
due to a known total occlusion)
2.</t>
        </is>
      </c>
    </row>
    <row r="758">
      <c r="A758" t="inlineStr">
        <is>
          <t>4309-labs-imaging-4-14</t>
        </is>
      </c>
      <c r="B758" t="inlineStr"/>
      <c r="C758" t="inlineStr"/>
      <c r="D758">
        <f>HYPERLINK("http://nlpdeep.cs.uic.edu:8080/proofing/t5/4309-labs-imaging-4-14.pdf","t5/4309-labs-imaging-4-14.pdf")</f>
        <v/>
      </c>
      <c r="E758" t="n">
        <v>109181</v>
      </c>
      <c r="F758" t="n">
        <v>4309</v>
      </c>
      <c r="G758" t="inlineStr">
        <is>
          <t>Discharge summary</t>
        </is>
      </c>
      <c r="H758" t="inlineStr">
        <is>
          <t>labs-imaging</t>
        </is>
      </c>
      <c r="I758" t="inlineStr">
        <is>
          <t>Patent LIMA to LAD graft with an 80% stenosis in the distal
native
LAD.</t>
        </is>
      </c>
    </row>
    <row r="759">
      <c r="A759" t="inlineStr">
        <is>
          <t>4309-labs-imaging-4-14</t>
        </is>
      </c>
      <c r="B759" t="inlineStr"/>
      <c r="C759" t="inlineStr"/>
      <c r="D759">
        <f>HYPERLINK("http://nlpdeep.cs.uic.edu:8080/proofing/gsii/4309-labs-imaging-4-14.pdf","gsii/4309-labs-imaging-4-14.pdf")</f>
        <v/>
      </c>
      <c r="E759" t="n">
        <v>109181</v>
      </c>
      <c r="F759" t="n">
        <v>4309</v>
      </c>
      <c r="G759" t="inlineStr">
        <is>
          <t>Discharge summary</t>
        </is>
      </c>
      <c r="H759" t="inlineStr">
        <is>
          <t>labs-imaging</t>
        </is>
      </c>
      <c r="I759" t="inlineStr">
        <is>
          <t>Patent LIMA to LAD graft with an 80% stenosis in the distal
native
LAD.</t>
        </is>
      </c>
    </row>
    <row r="760">
      <c r="A760" t="inlineStr">
        <is>
          <t>4309-labs-imaging-4-15</t>
        </is>
      </c>
      <c r="B760" t="inlineStr"/>
      <c r="C760" t="inlineStr"/>
      <c r="D760">
        <f>HYPERLINK("http://nlpdeep.cs.uic.edu:8080/proofing/t5/4309-labs-imaging-4-15.pdf","t5/4309-labs-imaging-4-15.pdf")</f>
        <v/>
      </c>
      <c r="E760" t="n">
        <v>109181</v>
      </c>
      <c r="F760" t="n">
        <v>4309</v>
      </c>
      <c r="G760" t="inlineStr">
        <is>
          <t>Discharge summary</t>
        </is>
      </c>
      <c r="H760" t="inlineStr">
        <is>
          <t>labs-imaging</t>
        </is>
      </c>
      <c r="I760" t="inlineStr">
        <is>
          <t>Patent SVG to Diagonal, SVG to PDA, and SVG to OM grafts.</t>
        </is>
      </c>
    </row>
    <row r="761">
      <c r="A761" t="inlineStr">
        <is>
          <t>4309-labs-imaging-4-15</t>
        </is>
      </c>
      <c r="B761" t="inlineStr"/>
      <c r="C761" t="inlineStr"/>
      <c r="D761">
        <f>HYPERLINK("http://nlpdeep.cs.uic.edu:8080/proofing/gsii/4309-labs-imaging-4-15.pdf","gsii/4309-labs-imaging-4-15.pdf")</f>
        <v/>
      </c>
      <c r="E761" t="n">
        <v>109181</v>
      </c>
      <c r="F761" t="n">
        <v>4309</v>
      </c>
      <c r="G761" t="inlineStr">
        <is>
          <t>Discharge summary</t>
        </is>
      </c>
      <c r="H761" t="inlineStr">
        <is>
          <t>labs-imaging</t>
        </is>
      </c>
      <c r="I761" t="inlineStr">
        <is>
          <t>Patent SVG to Diagonal, SVG to PDA, and SVG to OM grafts.</t>
        </is>
      </c>
    </row>
    <row r="762">
      <c r="A762" t="inlineStr">
        <is>
          <t>4309-labs-imaging-4-16</t>
        </is>
      </c>
      <c r="B762" t="inlineStr"/>
      <c r="C762" t="inlineStr"/>
      <c r="D762">
        <f>HYPERLINK("http://nlpdeep.cs.uic.edu:8080/proofing/t5/4309-labs-imaging-4-16.pdf","t5/4309-labs-imaging-4-16.pdf")</f>
        <v/>
      </c>
      <c r="E762" t="n">
        <v>109181</v>
      </c>
      <c r="F762" t="n">
        <v>4309</v>
      </c>
      <c r="G762" t="inlineStr">
        <is>
          <t>Discharge summary</t>
        </is>
      </c>
      <c r="H762" t="inlineStr">
        <is>
          <t>labs-imaging</t>
        </is>
      </c>
      <c r="I762" t="inlineStr">
        <is>
          <t>Mild asymptomatic systemic arterial hypotension.</t>
        </is>
      </c>
    </row>
    <row r="763">
      <c r="A763" t="inlineStr">
        <is>
          <t>4309-labs-imaging-4-16</t>
        </is>
      </c>
      <c r="B763" t="inlineStr"/>
      <c r="C763" t="inlineStr"/>
      <c r="D763">
        <f>HYPERLINK("http://nlpdeep.cs.uic.edu:8080/proofing/gsii/4309-labs-imaging-4-16.pdf","gsii/4309-labs-imaging-4-16.pdf")</f>
        <v/>
      </c>
      <c r="E763" t="n">
        <v>109181</v>
      </c>
      <c r="F763" t="n">
        <v>4309</v>
      </c>
      <c r="G763" t="inlineStr">
        <is>
          <t>Discharge summary</t>
        </is>
      </c>
      <c r="H763" t="inlineStr">
        <is>
          <t>labs-imaging</t>
        </is>
      </c>
      <c r="I763" t="inlineStr">
        <is>
          <t>Mild asymptomatic systemic arterial hypotension.</t>
        </is>
      </c>
    </row>
    <row r="764">
      <c r="A764" t="inlineStr">
        <is>
          <t>4309-labs-imaging-4-17</t>
        </is>
      </c>
      <c r="B764" t="inlineStr"/>
      <c r="C764" t="inlineStr"/>
      <c r="D764">
        <f>HYPERLINK("http://nlpdeep.cs.uic.edu:8080/proofing/t5/4309-labs-imaging-4-17.pdf","t5/4309-labs-imaging-4-17.pdf")</f>
        <v/>
      </c>
      <c r="E764" t="n">
        <v>109181</v>
      </c>
      <c r="F764" t="n">
        <v>4309</v>
      </c>
      <c r="G764" t="inlineStr">
        <is>
          <t>Discharge summary</t>
        </is>
      </c>
      <c r="H764" t="inlineStr">
        <is>
          <t>labs-imaging</t>
        </is>
      </c>
      <c r="I764" t="inlineStr">
        <is>
          <t>Successful POBA of the LAD with a 2.0 x 8 mm balloon.</t>
        </is>
      </c>
    </row>
    <row r="765">
      <c r="A765" t="inlineStr">
        <is>
          <t>4309-labs-imaging-4-17</t>
        </is>
      </c>
      <c r="B765" t="inlineStr"/>
      <c r="C765" t="inlineStr"/>
      <c r="D765">
        <f>HYPERLINK("http://nlpdeep.cs.uic.edu:8080/proofing/gsii/4309-labs-imaging-4-17.pdf","gsii/4309-labs-imaging-4-17.pdf")</f>
        <v/>
      </c>
      <c r="E765" t="n">
        <v>109181</v>
      </c>
      <c r="F765" t="n">
        <v>4309</v>
      </c>
      <c r="G765" t="inlineStr">
        <is>
          <t>Discharge summary</t>
        </is>
      </c>
      <c r="H765" t="inlineStr">
        <is>
          <t>labs-imaging</t>
        </is>
      </c>
      <c r="I765" t="inlineStr">
        <is>
          <t>Successful POBA of the LAD with a 2.0 x 8 mm balloon.</t>
        </is>
      </c>
    </row>
    <row r="766">
      <c r="A766" t="inlineStr">
        <is>
          <t>4309-labs-imaging-5-0</t>
        </is>
      </c>
      <c r="B766" t="inlineStr"/>
      <c r="C766" t="inlineStr"/>
      <c r="D766">
        <f>HYPERLINK("http://nlpdeep.cs.uic.edu:8080/proofing/t5/4309-labs-imaging-5-0.pdf","t5/4309-labs-imaging-5-0.pdf")</f>
        <v/>
      </c>
      <c r="E766" t="n">
        <v>109181</v>
      </c>
      <c r="F766" t="n">
        <v>4309</v>
      </c>
      <c r="G766" t="inlineStr">
        <is>
          <t>Discharge summary</t>
        </is>
      </c>
      <c r="H766" t="inlineStr">
        <is>
          <t>labs-imaging</t>
        </is>
      </c>
      <c r="I766" t="inlineStr">
        <is>
          <t xml:space="preserve">
TTE [**2167-1-20**]
Moderately dilated left ventricle.</t>
        </is>
      </c>
    </row>
    <row r="767">
      <c r="A767" t="inlineStr">
        <is>
          <t>4309-labs-imaging-5-0</t>
        </is>
      </c>
      <c r="B767" t="inlineStr"/>
      <c r="C767" t="inlineStr"/>
      <c r="D767">
        <f>HYPERLINK("http://nlpdeep.cs.uic.edu:8080/proofing/gsii/4309-labs-imaging-5-0.pdf","gsii/4309-labs-imaging-5-0.pdf")</f>
        <v/>
      </c>
      <c r="E767" t="n">
        <v>109181</v>
      </c>
      <c r="F767" t="n">
        <v>4309</v>
      </c>
      <c r="G767" t="inlineStr">
        <is>
          <t>Discharge summary</t>
        </is>
      </c>
      <c r="H767" t="inlineStr">
        <is>
          <t>labs-imaging</t>
        </is>
      </c>
      <c r="I767" t="inlineStr">
        <is>
          <t xml:space="preserve">
TTE [**2167-1-20**]
Moderately dilated left ventricle.</t>
        </is>
      </c>
    </row>
    <row r="768">
      <c r="A768" t="inlineStr">
        <is>
          <t>4309-labs-imaging-5-1</t>
        </is>
      </c>
      <c r="B768" t="inlineStr"/>
      <c r="C768" t="inlineStr"/>
      <c r="D768">
        <f>HYPERLINK("http://nlpdeep.cs.uic.edu:8080/proofing/t5/4309-labs-imaging-5-1.pdf","t5/4309-labs-imaging-5-1.pdf")</f>
        <v/>
      </c>
      <c r="E768" t="n">
        <v>109181</v>
      </c>
      <c r="F768" t="n">
        <v>4309</v>
      </c>
      <c r="G768" t="inlineStr">
        <is>
          <t>Discharge summary</t>
        </is>
      </c>
      <c r="H768" t="inlineStr">
        <is>
          <t>labs-imaging</t>
        </is>
      </c>
      <c r="I768" t="inlineStr">
        <is>
          <t>Regional left ventricular
systolic dysfunction c/w CAD.</t>
        </is>
      </c>
    </row>
    <row r="769">
      <c r="A769" t="inlineStr">
        <is>
          <t>4309-labs-imaging-5-1</t>
        </is>
      </c>
      <c r="B769" t="inlineStr"/>
      <c r="C769" t="inlineStr"/>
      <c r="D769">
        <f>HYPERLINK("http://nlpdeep.cs.uic.edu:8080/proofing/gsii/4309-labs-imaging-5-1.pdf","gsii/4309-labs-imaging-5-1.pdf")</f>
        <v/>
      </c>
      <c r="E769" t="n">
        <v>109181</v>
      </c>
      <c r="F769" t="n">
        <v>4309</v>
      </c>
      <c r="G769" t="inlineStr">
        <is>
          <t>Discharge summary</t>
        </is>
      </c>
      <c r="H769" t="inlineStr">
        <is>
          <t>labs-imaging</t>
        </is>
      </c>
      <c r="I769" t="inlineStr">
        <is>
          <t>Regional left ventricular
systolic dysfunction c/w CAD.</t>
        </is>
      </c>
    </row>
    <row r="770">
      <c r="A770" t="inlineStr">
        <is>
          <t>4309-labs-imaging-5-2</t>
        </is>
      </c>
      <c r="B770" t="inlineStr"/>
      <c r="C770" t="inlineStr"/>
      <c r="D770">
        <f>HYPERLINK("http://nlpdeep.cs.uic.edu:8080/proofing/t5/4309-labs-imaging-5-2.pdf","t5/4309-labs-imaging-5-2.pdf")</f>
        <v/>
      </c>
      <c r="E770" t="n">
        <v>109181</v>
      </c>
      <c r="F770" t="n">
        <v>4309</v>
      </c>
      <c r="G770" t="inlineStr">
        <is>
          <t>Discharge summary</t>
        </is>
      </c>
      <c r="H770" t="inlineStr">
        <is>
          <t>labs-imaging</t>
        </is>
      </c>
      <c r="I770" t="inlineStr">
        <is>
          <t>Probable small vegetation on
aortic valve, right coronary cusp.</t>
        </is>
      </c>
    </row>
    <row r="771">
      <c r="A771" t="inlineStr">
        <is>
          <t>4309-labs-imaging-5-2</t>
        </is>
      </c>
      <c r="B771" t="inlineStr"/>
      <c r="C771" t="inlineStr"/>
      <c r="D771">
        <f>HYPERLINK("http://nlpdeep.cs.uic.edu:8080/proofing/gsii/4309-labs-imaging-5-2.pdf","gsii/4309-labs-imaging-5-2.pdf")</f>
        <v/>
      </c>
      <c r="E771" t="n">
        <v>109181</v>
      </c>
      <c r="F771" t="n">
        <v>4309</v>
      </c>
      <c r="G771" t="inlineStr">
        <is>
          <t>Discharge summary</t>
        </is>
      </c>
      <c r="H771" t="inlineStr">
        <is>
          <t>labs-imaging</t>
        </is>
      </c>
      <c r="I771" t="inlineStr">
        <is>
          <t>Probable small vegetation on
aortic valve, right coronary cusp.</t>
        </is>
      </c>
    </row>
    <row r="772">
      <c r="A772" t="inlineStr">
        <is>
          <t>4309-labs-imaging-5-3</t>
        </is>
      </c>
      <c r="B772" t="inlineStr"/>
      <c r="C772" t="inlineStr"/>
      <c r="D772">
        <f>HYPERLINK("http://nlpdeep.cs.uic.edu:8080/proofing/t5/4309-labs-imaging-5-3.pdf","t5/4309-labs-imaging-5-3.pdf")</f>
        <v/>
      </c>
      <c r="E772" t="n">
        <v>109181</v>
      </c>
      <c r="F772" t="n">
        <v>4309</v>
      </c>
      <c r="G772" t="inlineStr">
        <is>
          <t>Discharge summary</t>
        </is>
      </c>
      <c r="H772" t="inlineStr">
        <is>
          <t>labs-imaging</t>
        </is>
      </c>
      <c r="I772" t="inlineStr">
        <is>
          <t>Moderate aortic
regurgitation.</t>
        </is>
      </c>
    </row>
    <row r="773">
      <c r="A773" t="inlineStr">
        <is>
          <t>4309-labs-imaging-5-3</t>
        </is>
      </c>
      <c r="B773" t="inlineStr"/>
      <c r="C773" t="inlineStr"/>
      <c r="D773">
        <f>HYPERLINK("http://nlpdeep.cs.uic.edu:8080/proofing/gsii/4309-labs-imaging-5-3.pdf","gsii/4309-labs-imaging-5-3.pdf")</f>
        <v/>
      </c>
      <c r="E773" t="n">
        <v>109181</v>
      </c>
      <c r="F773" t="n">
        <v>4309</v>
      </c>
      <c r="G773" t="inlineStr">
        <is>
          <t>Discharge summary</t>
        </is>
      </c>
      <c r="H773" t="inlineStr">
        <is>
          <t>labs-imaging</t>
        </is>
      </c>
      <c r="I773" t="inlineStr">
        <is>
          <t>Moderate aortic
regurgitation.</t>
        </is>
      </c>
    </row>
    <row r="774">
      <c r="A774" t="inlineStr">
        <is>
          <t>4309-labs-imaging-5-4</t>
        </is>
      </c>
      <c r="B774" t="inlineStr"/>
      <c r="C774" t="inlineStr"/>
      <c r="D774">
        <f>HYPERLINK("http://nlpdeep.cs.uic.edu:8080/proofing/t5/4309-labs-imaging-5-4.pdf","t5/4309-labs-imaging-5-4.pdf")</f>
        <v/>
      </c>
      <c r="E774" t="n">
        <v>109181</v>
      </c>
      <c r="F774" t="n">
        <v>4309</v>
      </c>
      <c r="G774" t="inlineStr">
        <is>
          <t>Discharge summary</t>
        </is>
      </c>
      <c r="H774" t="inlineStr">
        <is>
          <t>labs-imaging</t>
        </is>
      </c>
      <c r="I774" t="inlineStr">
        <is>
          <t>Moderate mitral regurgitation.</t>
        </is>
      </c>
    </row>
    <row r="775">
      <c r="A775" t="inlineStr">
        <is>
          <t>4309-labs-imaging-5-4</t>
        </is>
      </c>
      <c r="B775" t="inlineStr"/>
      <c r="C775" t="inlineStr"/>
      <c r="D775">
        <f>HYPERLINK("http://nlpdeep.cs.uic.edu:8080/proofing/gsii/4309-labs-imaging-5-4.pdf","gsii/4309-labs-imaging-5-4.pdf")</f>
        <v/>
      </c>
      <c r="E775" t="n">
        <v>109181</v>
      </c>
      <c r="F775" t="n">
        <v>4309</v>
      </c>
      <c r="G775" t="inlineStr">
        <is>
          <t>Discharge summary</t>
        </is>
      </c>
      <c r="H775" t="inlineStr">
        <is>
          <t>labs-imaging</t>
        </is>
      </c>
      <c r="I775" t="inlineStr">
        <is>
          <t>Moderate mitral regurgitation.</t>
        </is>
      </c>
    </row>
    <row r="776">
      <c r="A776" t="inlineStr">
        <is>
          <t>4309-labs-imaging-5-5</t>
        </is>
      </c>
      <c r="B776" t="inlineStr"/>
      <c r="C776" t="inlineStr"/>
      <c r="D776">
        <f>HYPERLINK("http://nlpdeep.cs.uic.edu:8080/proofing/t5/4309-labs-imaging-5-5.pdf","t5/4309-labs-imaging-5-5.pdf")</f>
        <v/>
      </c>
      <c r="E776" t="n">
        <v>109181</v>
      </c>
      <c r="F776" t="n">
        <v>4309</v>
      </c>
      <c r="G776" t="inlineStr">
        <is>
          <t>Discharge summary</t>
        </is>
      </c>
      <c r="H776" t="inlineStr">
        <is>
          <t>labs-imaging</t>
        </is>
      </c>
      <c r="I776" t="inlineStr">
        <is>
          <t>At least moderate
pulmonary hypertension.</t>
        </is>
      </c>
    </row>
    <row r="777">
      <c r="A777" t="inlineStr">
        <is>
          <t>4309-labs-imaging-5-5</t>
        </is>
      </c>
      <c r="B777" t="inlineStr"/>
      <c r="C777" t="inlineStr"/>
      <c r="D777">
        <f>HYPERLINK("http://nlpdeep.cs.uic.edu:8080/proofing/gsii/4309-labs-imaging-5-5.pdf","gsii/4309-labs-imaging-5-5.pdf")</f>
        <v/>
      </c>
      <c r="E777" t="n">
        <v>109181</v>
      </c>
      <c r="F777" t="n">
        <v>4309</v>
      </c>
      <c r="G777" t="inlineStr">
        <is>
          <t>Discharge summary</t>
        </is>
      </c>
      <c r="H777" t="inlineStr">
        <is>
          <t>labs-imaging</t>
        </is>
      </c>
      <c r="I777" t="inlineStr">
        <is>
          <t>At least moderate
pulmonary hypertension.</t>
        </is>
      </c>
    </row>
    <row r="778">
      <c r="A778" t="inlineStr">
        <is>
          <t>4309-labs-imaging-5-6</t>
        </is>
      </c>
      <c r="B778" t="inlineStr"/>
      <c r="C778" t="inlineStr"/>
      <c r="D778">
        <f>HYPERLINK("http://nlpdeep.cs.uic.edu:8080/proofing/t5/4309-labs-imaging-5-6.pdf","t5/4309-labs-imaging-5-6.pdf")</f>
        <v/>
      </c>
      <c r="E778" t="n">
        <v>109181</v>
      </c>
      <c r="F778" t="n">
        <v>4309</v>
      </c>
      <c r="G778" t="inlineStr">
        <is>
          <t>Discharge summary</t>
        </is>
      </c>
      <c r="H778" t="inlineStr">
        <is>
          <t>labs-imaging</t>
        </is>
      </c>
      <c r="I778" t="inlineStr">
        <is>
          <t>Mild right ventricular global
hypokinesis.</t>
        </is>
      </c>
    </row>
    <row r="779">
      <c r="A779" t="inlineStr">
        <is>
          <t>4309-labs-imaging-5-6</t>
        </is>
      </c>
      <c r="B779" t="inlineStr"/>
      <c r="C779" t="inlineStr"/>
      <c r="D779">
        <f>HYPERLINK("http://nlpdeep.cs.uic.edu:8080/proofing/gsii/4309-labs-imaging-5-6.pdf","gsii/4309-labs-imaging-5-6.pdf")</f>
        <v/>
      </c>
      <c r="E779" t="n">
        <v>109181</v>
      </c>
      <c r="F779" t="n">
        <v>4309</v>
      </c>
      <c r="G779" t="inlineStr">
        <is>
          <t>Discharge summary</t>
        </is>
      </c>
      <c r="H779" t="inlineStr">
        <is>
          <t>labs-imaging</t>
        </is>
      </c>
      <c r="I779" t="inlineStr">
        <is>
          <t>Mild right ventricular global
hypokinesis.</t>
        </is>
      </c>
    </row>
    <row r="780">
      <c r="A780" t="inlineStr">
        <is>
          <t>4309-labs-imaging-5-7</t>
        </is>
      </c>
      <c r="B780" t="inlineStr"/>
      <c r="C780" t="inlineStr"/>
      <c r="D780">
        <f>HYPERLINK("http://nlpdeep.cs.uic.edu:8080/proofing/t5/4309-labs-imaging-5-7.pdf","t5/4309-labs-imaging-5-7.pdf")</f>
        <v/>
      </c>
      <c r="E780" t="n">
        <v>109181</v>
      </c>
      <c r="F780" t="n">
        <v>4309</v>
      </c>
      <c r="G780" t="inlineStr">
        <is>
          <t>Discharge summary</t>
        </is>
      </c>
      <c r="H780" t="inlineStr">
        <is>
          <t>labs-imaging</t>
        </is>
      </c>
      <c r="I780" t="inlineStr">
        <is>
          <t>Compared with the prior study (images reviewed) of
[**2166-9-12**], regional left ventricular systolic dysfunction is more
extensive (distal LAD territory).</t>
        </is>
      </c>
    </row>
    <row r="781">
      <c r="A781" t="inlineStr">
        <is>
          <t>4309-labs-imaging-5-7</t>
        </is>
      </c>
      <c r="B781" t="inlineStr"/>
      <c r="C781" t="inlineStr"/>
      <c r="D781">
        <f>HYPERLINK("http://nlpdeep.cs.uic.edu:8080/proofing/gsii/4309-labs-imaging-5-7.pdf","gsii/4309-labs-imaging-5-7.pdf")</f>
        <v/>
      </c>
      <c r="E781" t="n">
        <v>109181</v>
      </c>
      <c r="F781" t="n">
        <v>4309</v>
      </c>
      <c r="G781" t="inlineStr">
        <is>
          <t>Discharge summary</t>
        </is>
      </c>
      <c r="H781" t="inlineStr">
        <is>
          <t>labs-imaging</t>
        </is>
      </c>
      <c r="I781" t="inlineStr">
        <is>
          <t>Compared with the prior study (images reviewed) of
[**2166-9-12**], regional left ventricular systolic dysfunction is more
extensive (distal LAD territory).</t>
        </is>
      </c>
    </row>
    <row r="782">
      <c r="A782" t="inlineStr">
        <is>
          <t>4309-labs-imaging-5-8</t>
        </is>
      </c>
      <c r="B782" t="inlineStr"/>
      <c r="C782" t="inlineStr"/>
      <c r="D782">
        <f>HYPERLINK("http://nlpdeep.cs.uic.edu:8080/proofing/t5/4309-labs-imaging-5-8.pdf","t5/4309-labs-imaging-5-8.pdf")</f>
        <v/>
      </c>
      <c r="E782" t="n">
        <v>109181</v>
      </c>
      <c r="F782" t="n">
        <v>4309</v>
      </c>
      <c r="G782" t="inlineStr">
        <is>
          <t>Discharge summary</t>
        </is>
      </c>
      <c r="H782" t="inlineStr">
        <is>
          <t>labs-imaging</t>
        </is>
      </c>
      <c r="I782" t="inlineStr">
        <is>
          <t>The severity of pulmonary
hypertension has increased.</t>
        </is>
      </c>
    </row>
    <row r="783">
      <c r="A783" t="inlineStr">
        <is>
          <t>4309-labs-imaging-5-8</t>
        </is>
      </c>
      <c r="B783" t="inlineStr"/>
      <c r="C783" t="inlineStr"/>
      <c r="D783">
        <f>HYPERLINK("http://nlpdeep.cs.uic.edu:8080/proofing/gsii/4309-labs-imaging-5-8.pdf","gsii/4309-labs-imaging-5-8.pdf")</f>
        <v/>
      </c>
      <c r="E783" t="n">
        <v>109181</v>
      </c>
      <c r="F783" t="n">
        <v>4309</v>
      </c>
      <c r="G783" t="inlineStr">
        <is>
          <t>Discharge summary</t>
        </is>
      </c>
      <c r="H783" t="inlineStr">
        <is>
          <t>labs-imaging</t>
        </is>
      </c>
      <c r="I783" t="inlineStr">
        <is>
          <t>The severity of pulmonary
hypertension has increased.</t>
        </is>
      </c>
    </row>
    <row r="784">
      <c r="A784" t="inlineStr">
        <is>
          <t>4309-labs-imaging-5-9</t>
        </is>
      </c>
      <c r="B784" t="inlineStr"/>
      <c r="C784" t="inlineStr"/>
      <c r="D784">
        <f>HYPERLINK("http://nlpdeep.cs.uic.edu:8080/proofing/t5/4309-labs-imaging-5-9.pdf","t5/4309-labs-imaging-5-9.pdf")</f>
        <v/>
      </c>
      <c r="E784" t="n">
        <v>109181</v>
      </c>
      <c r="F784" t="n">
        <v>4309</v>
      </c>
      <c r="G784" t="inlineStr">
        <is>
          <t>Discharge summary</t>
        </is>
      </c>
      <c r="H784" t="inlineStr">
        <is>
          <t>labs-imaging</t>
        </is>
      </c>
      <c r="I784" t="inlineStr">
        <is>
          <t>There is right ventricular
dysfunction.</t>
        </is>
      </c>
    </row>
    <row r="785">
      <c r="A785" t="inlineStr">
        <is>
          <t>4309-labs-imaging-5-9</t>
        </is>
      </c>
      <c r="B785" t="inlineStr"/>
      <c r="C785" t="inlineStr"/>
      <c r="D785">
        <f>HYPERLINK("http://nlpdeep.cs.uic.edu:8080/proofing/gsii/4309-labs-imaging-5-9.pdf","gsii/4309-labs-imaging-5-9.pdf")</f>
        <v/>
      </c>
      <c r="E785" t="n">
        <v>109181</v>
      </c>
      <c r="F785" t="n">
        <v>4309</v>
      </c>
      <c r="G785" t="inlineStr">
        <is>
          <t>Discharge summary</t>
        </is>
      </c>
      <c r="H785" t="inlineStr">
        <is>
          <t>labs-imaging</t>
        </is>
      </c>
      <c r="I785" t="inlineStr">
        <is>
          <t>There is right ventricular
dysfunction.</t>
        </is>
      </c>
    </row>
    <row r="786">
      <c r="A786" t="inlineStr">
        <is>
          <t>4309-labs-imaging-5-10</t>
        </is>
      </c>
      <c r="B786" t="inlineStr"/>
      <c r="C786" t="inlineStr"/>
      <c r="D786">
        <f>HYPERLINK("http://nlpdeep.cs.uic.edu:8080/proofing/t5/4309-labs-imaging-5-10.pdf","t5/4309-labs-imaging-5-10.pdf")</f>
        <v/>
      </c>
      <c r="E786" t="n">
        <v>109181</v>
      </c>
      <c r="F786" t="n">
        <v>4309</v>
      </c>
      <c r="G786" t="inlineStr">
        <is>
          <t>Discharge summary</t>
        </is>
      </c>
      <c r="H786" t="inlineStr">
        <is>
          <t>labs-imaging</t>
        </is>
      </c>
      <c r="I786" t="inlineStr">
        <is>
          <t>The aortic valve vegetation appears similar in
size.</t>
        </is>
      </c>
    </row>
    <row r="787">
      <c r="A787" t="inlineStr">
        <is>
          <t>4309-labs-imaging-5-10</t>
        </is>
      </c>
      <c r="B787" t="inlineStr"/>
      <c r="C787" t="inlineStr"/>
      <c r="D787">
        <f>HYPERLINK("http://nlpdeep.cs.uic.edu:8080/proofing/gsii/4309-labs-imaging-5-10.pdf","gsii/4309-labs-imaging-5-10.pdf")</f>
        <v/>
      </c>
      <c r="E787" t="n">
        <v>109181</v>
      </c>
      <c r="F787" t="n">
        <v>4309</v>
      </c>
      <c r="G787" t="inlineStr">
        <is>
          <t>Discharge summary</t>
        </is>
      </c>
      <c r="H787" t="inlineStr">
        <is>
          <t>labs-imaging</t>
        </is>
      </c>
      <c r="I787" t="inlineStr">
        <is>
          <t>The aortic valve vegetation appears similar in
size.</t>
        </is>
      </c>
    </row>
    <row r="788">
      <c r="A788" t="inlineStr">
        <is>
          <t>4309-hospital-course-0-0</t>
        </is>
      </c>
      <c r="B788" t="inlineStr"/>
      <c r="C788" t="inlineStr"/>
      <c r="D788">
        <f>HYPERLINK("http://nlpdeep.cs.uic.edu:8080/proofing/t5/4309-hospital-course-0-0.pdf","t5/4309-hospital-course-0-0.pdf")</f>
        <v/>
      </c>
      <c r="E788" t="n">
        <v>109181</v>
      </c>
      <c r="F788" t="n">
        <v>4309</v>
      </c>
      <c r="G788" t="inlineStr">
        <is>
          <t>Discharge summary</t>
        </is>
      </c>
      <c r="H788" t="inlineStr">
        <is>
          <t>hospital-course</t>
        </is>
      </c>
      <c r="I788" t="inlineStr">
        <is>
          <t>69 yo M with CAD s/p CABG ([**2152**]), DMII, and ESRD presenting with
worsening chest pains and DOE.</t>
        </is>
      </c>
    </row>
    <row r="789">
      <c r="A789" t="inlineStr">
        <is>
          <t>4309-hospital-course-0-0</t>
        </is>
      </c>
      <c r="B789" t="inlineStr"/>
      <c r="C789" t="inlineStr"/>
      <c r="D789">
        <f>HYPERLINK("http://nlpdeep.cs.uic.edu:8080/proofing/gsii/4309-hospital-course-0-0.pdf","gsii/4309-hospital-course-0-0.pdf")</f>
        <v/>
      </c>
      <c r="E789" t="n">
        <v>109181</v>
      </c>
      <c r="F789" t="n">
        <v>4309</v>
      </c>
      <c r="G789" t="inlineStr">
        <is>
          <t>Discharge summary</t>
        </is>
      </c>
      <c r="H789" t="inlineStr">
        <is>
          <t>hospital-course</t>
        </is>
      </c>
      <c r="I789" t="inlineStr">
        <is>
          <t>69 yo M with CAD s/p CABG ([**2152**]), DMII, and ESRD presenting with
worsening chest pains and DOE.</t>
        </is>
      </c>
    </row>
    <row r="790">
      <c r="A790" t="inlineStr">
        <is>
          <t>4309-hospital-course-0-1</t>
        </is>
      </c>
      <c r="B790" t="inlineStr"/>
      <c r="C790" t="inlineStr"/>
      <c r="D790">
        <f>HYPERLINK("http://nlpdeep.cs.uic.edu:8080/proofing/t5/4309-hospital-course-0-1.pdf","t5/4309-hospital-course-0-1.pdf")</f>
        <v/>
      </c>
      <c r="E790" t="n">
        <v>109181</v>
      </c>
      <c r="F790" t="n">
        <v>4309</v>
      </c>
      <c r="G790" t="inlineStr">
        <is>
          <t>Discharge summary</t>
        </is>
      </c>
      <c r="H790" t="inlineStr">
        <is>
          <t>hospital-course</t>
        </is>
      </c>
      <c r="I790" t="inlineStr">
        <is>
          <t xml:space="preserve"> He had been taking multiple
nitroglycerin tabs daily ([**8-21**]) in addition to his long acting
nitrates.</t>
        </is>
      </c>
    </row>
    <row r="791">
      <c r="A791" t="inlineStr">
        <is>
          <t>4309-hospital-course-0-1</t>
        </is>
      </c>
      <c r="B791" t="inlineStr"/>
      <c r="C791" t="inlineStr"/>
      <c r="D791">
        <f>HYPERLINK("http://nlpdeep.cs.uic.edu:8080/proofing/gsii/4309-hospital-course-0-1.pdf","gsii/4309-hospital-course-0-1.pdf")</f>
        <v/>
      </c>
      <c r="E791" t="n">
        <v>109181</v>
      </c>
      <c r="F791" t="n">
        <v>4309</v>
      </c>
      <c r="G791" t="inlineStr">
        <is>
          <t>Discharge summary</t>
        </is>
      </c>
      <c r="H791" t="inlineStr">
        <is>
          <t>hospital-course</t>
        </is>
      </c>
      <c r="I791" t="inlineStr">
        <is>
          <t xml:space="preserve"> He had been taking multiple
nitroglycerin tabs daily ([**8-21**]) in addition to his long acting
nitrates.</t>
        </is>
      </c>
    </row>
    <row r="792">
      <c r="A792" t="inlineStr">
        <is>
          <t>4309-hospital-course-0-2</t>
        </is>
      </c>
      <c r="B792" t="inlineStr"/>
      <c r="C792" t="inlineStr"/>
      <c r="D792">
        <f>HYPERLINK("http://nlpdeep.cs.uic.edu:8080/proofing/t5/4309-hospital-course-0-2.pdf","t5/4309-hospital-course-0-2.pdf")</f>
        <v/>
      </c>
      <c r="E792" t="n">
        <v>109181</v>
      </c>
      <c r="F792" t="n">
        <v>4309</v>
      </c>
      <c r="G792" t="inlineStr">
        <is>
          <t>Discharge summary</t>
        </is>
      </c>
      <c r="H792" t="inlineStr">
        <is>
          <t>hospital-course</t>
        </is>
      </c>
      <c r="I792" t="inlineStr">
        <is>
          <t xml:space="preserve"> He was scheduled for outpatient cath 2 days from
admission, however presented to the ED with worsening frequency
and severity of his chest pains.</t>
        </is>
      </c>
    </row>
    <row r="793">
      <c r="A793" t="inlineStr">
        <is>
          <t>4309-hospital-course-0-2</t>
        </is>
      </c>
      <c r="B793" t="inlineStr"/>
      <c r="C793" t="inlineStr"/>
      <c r="D793">
        <f>HYPERLINK("http://nlpdeep.cs.uic.edu:8080/proofing/gsii/4309-hospital-course-0-2.pdf","gsii/4309-hospital-course-0-2.pdf")</f>
        <v/>
      </c>
      <c r="E793" t="n">
        <v>109181</v>
      </c>
      <c r="F793" t="n">
        <v>4309</v>
      </c>
      <c r="G793" t="inlineStr">
        <is>
          <t>Discharge summary</t>
        </is>
      </c>
      <c r="H793" t="inlineStr">
        <is>
          <t>hospital-course</t>
        </is>
      </c>
      <c r="I793" t="inlineStr">
        <is>
          <t xml:space="preserve"> He was scheduled for outpatient cath 2 days from
admission, however presented to the ED with worsening frequency
and severity of his chest pains.</t>
        </is>
      </c>
    </row>
    <row r="794">
      <c r="A794" t="inlineStr">
        <is>
          <t>4309-hospital-course-0-3</t>
        </is>
      </c>
      <c r="B794" t="inlineStr"/>
      <c r="C794" t="inlineStr"/>
      <c r="D794">
        <f>HYPERLINK("http://nlpdeep.cs.uic.edu:8080/proofing/t5/4309-hospital-course-0-3.pdf","t5/4309-hospital-course-0-3.pdf")</f>
        <v/>
      </c>
      <c r="E794" t="n">
        <v>109181</v>
      </c>
      <c r="F794" t="n">
        <v>4309</v>
      </c>
      <c r="G794" t="inlineStr">
        <is>
          <t>Discharge summary</t>
        </is>
      </c>
      <c r="H794" t="inlineStr">
        <is>
          <t>hospital-course</t>
        </is>
      </c>
      <c r="I794" t="inlineStr">
        <is>
          <t xml:space="preserve"> He was started on heparin and
nitro drips and admitted to the cardiology floor.</t>
        </is>
      </c>
    </row>
    <row r="795">
      <c r="A795" t="inlineStr">
        <is>
          <t>4309-hospital-course-0-3</t>
        </is>
      </c>
      <c r="B795" t="inlineStr"/>
      <c r="C795" t="inlineStr"/>
      <c r="D795">
        <f>HYPERLINK("http://nlpdeep.cs.uic.edu:8080/proofing/gsii/4309-hospital-course-0-3.pdf","gsii/4309-hospital-course-0-3.pdf")</f>
        <v/>
      </c>
      <c r="E795" t="n">
        <v>109181</v>
      </c>
      <c r="F795" t="n">
        <v>4309</v>
      </c>
      <c r="G795" t="inlineStr">
        <is>
          <t>Discharge summary</t>
        </is>
      </c>
      <c r="H795" t="inlineStr">
        <is>
          <t>hospital-course</t>
        </is>
      </c>
      <c r="I795" t="inlineStr">
        <is>
          <t xml:space="preserve"> He was started on heparin and
nitro drips and admitted to the cardiology floor.</t>
        </is>
      </c>
    </row>
    <row r="796">
      <c r="A796" t="inlineStr">
        <is>
          <t>4309-hospital-course-0-4</t>
        </is>
      </c>
      <c r="B796" t="inlineStr"/>
      <c r="C796" t="inlineStr"/>
      <c r="D796">
        <f>HYPERLINK("http://nlpdeep.cs.uic.edu:8080/proofing/t5/4309-hospital-course-0-4.pdf","t5/4309-hospital-course-0-4.pdf")</f>
        <v/>
      </c>
      <c r="E796" t="n">
        <v>109181</v>
      </c>
      <c r="F796" t="n">
        <v>4309</v>
      </c>
      <c r="G796" t="inlineStr">
        <is>
          <t>Discharge summary</t>
        </is>
      </c>
      <c r="H796" t="inlineStr">
        <is>
          <t>hospital-course</t>
        </is>
      </c>
      <c r="I796" t="inlineStr">
        <is>
          <t xml:space="preserve"> He continued
to have chest pains overnight and was was taken to the cath lab
on the morning of [**1-20**].</t>
        </is>
      </c>
    </row>
    <row r="797">
      <c r="A797" t="inlineStr">
        <is>
          <t>4309-hospital-course-0-4</t>
        </is>
      </c>
      <c r="B797" t="inlineStr"/>
      <c r="C797" t="inlineStr"/>
      <c r="D797">
        <f>HYPERLINK("http://nlpdeep.cs.uic.edu:8080/proofing/gsii/4309-hospital-course-0-4.pdf","gsii/4309-hospital-course-0-4.pdf")</f>
        <v/>
      </c>
      <c r="E797" t="n">
        <v>109181</v>
      </c>
      <c r="F797" t="n">
        <v>4309</v>
      </c>
      <c r="G797" t="inlineStr">
        <is>
          <t>Discharge summary</t>
        </is>
      </c>
      <c r="H797" t="inlineStr">
        <is>
          <t>hospital-course</t>
        </is>
      </c>
      <c r="I797" t="inlineStr">
        <is>
          <t xml:space="preserve"> He continued
to have chest pains overnight and was was taken to the cath lab
on the morning of [**1-20**].</t>
        </is>
      </c>
    </row>
    <row r="798">
      <c r="A798" t="inlineStr">
        <is>
          <t>4309-hospital-course-0-5</t>
        </is>
      </c>
      <c r="B798" t="inlineStr"/>
      <c r="C798" t="inlineStr"/>
      <c r="D798">
        <f>HYPERLINK("http://nlpdeep.cs.uic.edu:8080/proofing/t5/4309-hospital-course-0-5.pdf","t5/4309-hospital-course-0-5.pdf")</f>
        <v/>
      </c>
      <c r="E798" t="n">
        <v>109181</v>
      </c>
      <c r="F798" t="n">
        <v>4309</v>
      </c>
      <c r="G798" t="inlineStr">
        <is>
          <t>Discharge summary</t>
        </is>
      </c>
      <c r="H798" t="inlineStr">
        <is>
          <t>hospital-course</t>
        </is>
      </c>
      <c r="I798" t="inlineStr">
        <is>
          <t xml:space="preserve"> Received 600mg plavix, bivalirudin, no
stents placed.</t>
        </is>
      </c>
    </row>
    <row r="799">
      <c r="A799" t="inlineStr">
        <is>
          <t>4309-hospital-course-0-5</t>
        </is>
      </c>
      <c r="B799" t="inlineStr"/>
      <c r="C799" t="inlineStr"/>
      <c r="D799">
        <f>HYPERLINK("http://nlpdeep.cs.uic.edu:8080/proofing/gsii/4309-hospital-course-0-5.pdf","gsii/4309-hospital-course-0-5.pdf")</f>
        <v/>
      </c>
      <c r="E799" t="n">
        <v>109181</v>
      </c>
      <c r="F799" t="n">
        <v>4309</v>
      </c>
      <c r="G799" t="inlineStr">
        <is>
          <t>Discharge summary</t>
        </is>
      </c>
      <c r="H799" t="inlineStr">
        <is>
          <t>hospital-course</t>
        </is>
      </c>
      <c r="I799" t="inlineStr">
        <is>
          <t xml:space="preserve"> Received 600mg plavix, bivalirudin, no
stents placed.</t>
        </is>
      </c>
    </row>
    <row r="800">
      <c r="A800" t="inlineStr">
        <is>
          <t>4309-hospital-course-0-6</t>
        </is>
      </c>
      <c r="B800" t="inlineStr"/>
      <c r="C800" t="inlineStr"/>
      <c r="D800">
        <f>HYPERLINK("http://nlpdeep.cs.uic.edu:8080/proofing/t5/4309-hospital-course-0-6.pdf","t5/4309-hospital-course-0-6.pdf")</f>
        <v/>
      </c>
      <c r="E800" t="n">
        <v>109181</v>
      </c>
      <c r="F800" t="n">
        <v>4309</v>
      </c>
      <c r="G800" t="inlineStr">
        <is>
          <t>Discharge summary</t>
        </is>
      </c>
      <c r="H800" t="inlineStr">
        <is>
          <t>hospital-course</t>
        </is>
      </c>
      <c r="I800" t="inlineStr">
        <is>
          <t>balloon angioplasty to LAD.</t>
        </is>
      </c>
    </row>
    <row r="801">
      <c r="A801" t="inlineStr">
        <is>
          <t>4309-hospital-course-0-6</t>
        </is>
      </c>
      <c r="B801" t="inlineStr"/>
      <c r="C801" t="inlineStr"/>
      <c r="D801">
        <f>HYPERLINK("http://nlpdeep.cs.uic.edu:8080/proofing/gsii/4309-hospital-course-0-6.pdf","gsii/4309-hospital-course-0-6.pdf")</f>
        <v/>
      </c>
      <c r="E801" t="n">
        <v>109181</v>
      </c>
      <c r="F801" t="n">
        <v>4309</v>
      </c>
      <c r="G801" t="inlineStr">
        <is>
          <t>Discharge summary</t>
        </is>
      </c>
      <c r="H801" t="inlineStr">
        <is>
          <t>hospital-course</t>
        </is>
      </c>
      <c r="I801" t="inlineStr">
        <is>
          <t>balloon angioplasty to LAD.</t>
        </is>
      </c>
    </row>
    <row r="802">
      <c r="A802" t="inlineStr">
        <is>
          <t>4309-hospital-course-0-7</t>
        </is>
      </c>
      <c r="B802" t="inlineStr"/>
      <c r="C802" t="inlineStr"/>
      <c r="D802">
        <f>HYPERLINK("http://nlpdeep.cs.uic.edu:8080/proofing/t5/4309-hospital-course-0-7.pdf","t5/4309-hospital-course-0-7.pdf")</f>
        <v/>
      </c>
      <c r="E802" t="n">
        <v>109181</v>
      </c>
      <c r="F802" t="n">
        <v>4309</v>
      </c>
      <c r="G802" t="inlineStr">
        <is>
          <t>Discharge summary</t>
        </is>
      </c>
      <c r="H802" t="inlineStr">
        <is>
          <t>hospital-course</t>
        </is>
      </c>
      <c r="I802" t="inlineStr">
        <is>
          <t xml:space="preserve"> During the cath, he
continued to have chest pains.</t>
        </is>
      </c>
    </row>
    <row r="803">
      <c r="A803" t="inlineStr">
        <is>
          <t>4309-hospital-course-0-7</t>
        </is>
      </c>
      <c r="B803" t="inlineStr"/>
      <c r="C803" t="inlineStr"/>
      <c r="D803">
        <f>HYPERLINK("http://nlpdeep.cs.uic.edu:8080/proofing/gsii/4309-hospital-course-0-7.pdf","gsii/4309-hospital-course-0-7.pdf")</f>
        <v/>
      </c>
      <c r="E803" t="n">
        <v>109181</v>
      </c>
      <c r="F803" t="n">
        <v>4309</v>
      </c>
      <c r="G803" t="inlineStr">
        <is>
          <t>Discharge summary</t>
        </is>
      </c>
      <c r="H803" t="inlineStr">
        <is>
          <t>hospital-course</t>
        </is>
      </c>
      <c r="I803" t="inlineStr">
        <is>
          <t xml:space="preserve"> During the cath, he
continued to have chest pains.</t>
        </is>
      </c>
    </row>
    <row r="804">
      <c r="A804" t="inlineStr">
        <is>
          <t>4309-hospital-course-0-8</t>
        </is>
      </c>
      <c r="B804" t="inlineStr"/>
      <c r="C804" t="inlineStr"/>
      <c r="D804">
        <f>HYPERLINK("http://nlpdeep.cs.uic.edu:8080/proofing/t5/4309-hospital-course-0-8.pdf","t5/4309-hospital-course-0-8.pdf")</f>
        <v/>
      </c>
      <c r="E804" t="n">
        <v>109181</v>
      </c>
      <c r="F804" t="n">
        <v>4309</v>
      </c>
      <c r="G804" t="inlineStr">
        <is>
          <t>Discharge summary</t>
        </is>
      </c>
      <c r="H804" t="inlineStr">
        <is>
          <t>hospital-course</t>
        </is>
      </c>
      <c r="I804" t="inlineStr">
        <is>
          <t xml:space="preserve"> He contined to have lateral ST
depressions on his EKG after the procedure.</t>
        </is>
      </c>
    </row>
    <row r="805">
      <c r="A805" t="inlineStr">
        <is>
          <t>4309-hospital-course-0-8</t>
        </is>
      </c>
      <c r="B805" t="inlineStr"/>
      <c r="C805" t="inlineStr"/>
      <c r="D805">
        <f>HYPERLINK("http://nlpdeep.cs.uic.edu:8080/proofing/gsii/4309-hospital-course-0-8.pdf","gsii/4309-hospital-course-0-8.pdf")</f>
        <v/>
      </c>
      <c r="E805" t="n">
        <v>109181</v>
      </c>
      <c r="F805" t="n">
        <v>4309</v>
      </c>
      <c r="G805" t="inlineStr">
        <is>
          <t>Discharge summary</t>
        </is>
      </c>
      <c r="H805" t="inlineStr">
        <is>
          <t>hospital-course</t>
        </is>
      </c>
      <c r="I805" t="inlineStr">
        <is>
          <t xml:space="preserve"> He contined to have lateral ST
depressions on his EKG after the procedure.</t>
        </is>
      </c>
    </row>
    <row r="806">
      <c r="A806" t="inlineStr">
        <is>
          <t>4309-hospital-course-0-9</t>
        </is>
      </c>
      <c r="B806" t="inlineStr"/>
      <c r="C806" t="inlineStr"/>
      <c r="D806">
        <f>HYPERLINK("http://nlpdeep.cs.uic.edu:8080/proofing/t5/4309-hospital-course-0-9.pdf","t5/4309-hospital-course-0-9.pdf")</f>
        <v/>
      </c>
      <c r="E806" t="n">
        <v>109181</v>
      </c>
      <c r="F806" t="n">
        <v>4309</v>
      </c>
      <c r="G806" t="inlineStr">
        <is>
          <t>Discharge summary</t>
        </is>
      </c>
      <c r="H806" t="inlineStr">
        <is>
          <t>hospital-course</t>
        </is>
      </c>
      <c r="I806" t="inlineStr">
        <is>
          <t xml:space="preserve"> He was initially
chest pain free after the procedure, however his chest pains
have returned and he was to be transferred to the CCU for
further management.</t>
        </is>
      </c>
    </row>
    <row r="807">
      <c r="A807" t="inlineStr">
        <is>
          <t>4309-hospital-course-0-9</t>
        </is>
      </c>
      <c r="B807" t="inlineStr"/>
      <c r="C807" t="inlineStr"/>
      <c r="D807">
        <f>HYPERLINK("http://nlpdeep.cs.uic.edu:8080/proofing/gsii/4309-hospital-course-0-9.pdf","gsii/4309-hospital-course-0-9.pdf")</f>
        <v/>
      </c>
      <c r="E807" t="n">
        <v>109181</v>
      </c>
      <c r="F807" t="n">
        <v>4309</v>
      </c>
      <c r="G807" t="inlineStr">
        <is>
          <t>Discharge summary</t>
        </is>
      </c>
      <c r="H807" t="inlineStr">
        <is>
          <t>hospital-course</t>
        </is>
      </c>
      <c r="I807" t="inlineStr">
        <is>
          <t xml:space="preserve"> He was initially
chest pain free after the procedure, however his chest pains
have returned and he was to be transferred to the CCU for
further management.</t>
        </is>
      </c>
    </row>
    <row r="808">
      <c r="A808" t="inlineStr">
        <is>
          <t>4309-hospital-course-1-0</t>
        </is>
      </c>
      <c r="B808" t="inlineStr"/>
      <c r="C808" t="inlineStr"/>
      <c r="D808">
        <f>HYPERLINK("http://nlpdeep.cs.uic.edu:8080/proofing/t5/4309-hospital-course-1-0.pdf","t5/4309-hospital-course-1-0.pdf")</f>
        <v/>
      </c>
      <c r="E808" t="n">
        <v>109181</v>
      </c>
      <c r="F808" t="n">
        <v>4309</v>
      </c>
      <c r="G808" t="inlineStr">
        <is>
          <t>Discharge summary</t>
        </is>
      </c>
      <c r="H808" t="inlineStr">
        <is>
          <t>hospital-course</t>
        </is>
      </c>
      <c r="I808" t="inlineStr">
        <is>
          <t xml:space="preserve">
# Acute coronary syndrome - presented with increased freq of CP
including at rest with troponins slightly elevated.</t>
        </is>
      </c>
    </row>
    <row r="809">
      <c r="A809" t="inlineStr">
        <is>
          <t>4309-hospital-course-1-0</t>
        </is>
      </c>
      <c r="B809" t="inlineStr"/>
      <c r="C809" t="inlineStr"/>
      <c r="D809">
        <f>HYPERLINK("http://nlpdeep.cs.uic.edu:8080/proofing/gsii/4309-hospital-course-1-0.pdf","gsii/4309-hospital-course-1-0.pdf")</f>
        <v/>
      </c>
      <c r="E809" t="n">
        <v>109181</v>
      </c>
      <c r="F809" t="n">
        <v>4309</v>
      </c>
      <c r="G809" t="inlineStr">
        <is>
          <t>Discharge summary</t>
        </is>
      </c>
      <c r="H809" t="inlineStr">
        <is>
          <t>hospital-course</t>
        </is>
      </c>
      <c r="I809" t="inlineStr">
        <is>
          <t xml:space="preserve">
# Acute coronary syndrome - presented with increased freq of CP
including at rest with troponins slightly elevated.</t>
        </is>
      </c>
    </row>
    <row r="810">
      <c r="A810" t="inlineStr">
        <is>
          <t>4309-hospital-course-1-1</t>
        </is>
      </c>
      <c r="B810" t="inlineStr"/>
      <c r="C810" t="inlineStr"/>
      <c r="D810">
        <f>HYPERLINK("http://nlpdeep.cs.uic.edu:8080/proofing/t5/4309-hospital-course-1-1.pdf","t5/4309-hospital-course-1-1.pdf")</f>
        <v/>
      </c>
      <c r="E810" t="n">
        <v>109181</v>
      </c>
      <c r="F810" t="n">
        <v>4309</v>
      </c>
      <c r="G810" t="inlineStr">
        <is>
          <t>Discharge summary</t>
        </is>
      </c>
      <c r="H810" t="inlineStr">
        <is>
          <t>hospital-course</t>
        </is>
      </c>
      <c r="I810" t="inlineStr">
        <is>
          <t>Pt to cath
lab [**2167-1-20**], with severe 2 vessel native disease RCA with total
occlusion, patent grafts, balloon angioplasty to LAD, unable to
access circ lesion.</t>
        </is>
      </c>
    </row>
    <row r="811">
      <c r="A811" t="inlineStr">
        <is>
          <t>4309-hospital-course-1-1</t>
        </is>
      </c>
      <c r="B811" t="inlineStr"/>
      <c r="C811" t="inlineStr"/>
      <c r="D811">
        <f>HYPERLINK("http://nlpdeep.cs.uic.edu:8080/proofing/gsii/4309-hospital-course-1-1.pdf","gsii/4309-hospital-course-1-1.pdf")</f>
        <v/>
      </c>
      <c r="E811" t="n">
        <v>109181</v>
      </c>
      <c r="F811" t="n">
        <v>4309</v>
      </c>
      <c r="G811" t="inlineStr">
        <is>
          <t>Discharge summary</t>
        </is>
      </c>
      <c r="H811" t="inlineStr">
        <is>
          <t>hospital-course</t>
        </is>
      </c>
      <c r="I811" t="inlineStr">
        <is>
          <t>Pt to cath
lab [**2167-1-20**], with severe 2 vessel native disease RCA with total
occlusion, patent grafts, balloon angioplasty to LAD, unable to
access circ lesion.</t>
        </is>
      </c>
    </row>
    <row r="812">
      <c r="A812" t="inlineStr">
        <is>
          <t>4309-hospital-course-1-2</t>
        </is>
      </c>
      <c r="B812" t="inlineStr"/>
      <c r="C812" t="inlineStr"/>
      <c r="D812">
        <f>HYPERLINK("http://nlpdeep.cs.uic.edu:8080/proofing/t5/4309-hospital-course-1-2.pdf","t5/4309-hospital-course-1-2.pdf")</f>
        <v/>
      </c>
      <c r="E812" t="n">
        <v>109181</v>
      </c>
      <c r="F812" t="n">
        <v>4309</v>
      </c>
      <c r="G812" t="inlineStr">
        <is>
          <t>Discharge summary</t>
        </is>
      </c>
      <c r="H812" t="inlineStr">
        <is>
          <t>hospital-course</t>
        </is>
      </c>
      <c r="I812" t="inlineStr">
        <is>
          <t>Cath also showed patent LIMA to LAD graft
and patent SVG to OM, SVG to Diagonal, and SVG to PDA grafts.</t>
        </is>
      </c>
    </row>
    <row r="813">
      <c r="A813" t="inlineStr">
        <is>
          <t>4309-hospital-course-1-2</t>
        </is>
      </c>
      <c r="B813" t="inlineStr"/>
      <c r="C813" t="inlineStr"/>
      <c r="D813">
        <f>HYPERLINK("http://nlpdeep.cs.uic.edu:8080/proofing/gsii/4309-hospital-course-1-2.pdf","gsii/4309-hospital-course-1-2.pdf")</f>
        <v/>
      </c>
      <c r="E813" t="n">
        <v>109181</v>
      </c>
      <c r="F813" t="n">
        <v>4309</v>
      </c>
      <c r="G813" t="inlineStr">
        <is>
          <t>Discharge summary</t>
        </is>
      </c>
      <c r="H813" t="inlineStr">
        <is>
          <t>hospital-course</t>
        </is>
      </c>
      <c r="I813" t="inlineStr">
        <is>
          <t>Cath also showed patent LIMA to LAD graft
and patent SVG to OM, SVG to Diagonal, and SVG to PDA grafts.</t>
        </is>
      </c>
    </row>
    <row r="814">
      <c r="A814" t="inlineStr">
        <is>
          <t>4309-hospital-course-1-3</t>
        </is>
      </c>
      <c r="B814" t="inlineStr"/>
      <c r="C814" t="inlineStr"/>
      <c r="D814">
        <f>HYPERLINK("http://nlpdeep.cs.uic.edu:8080/proofing/t5/4309-hospital-course-1-3.pdf","t5/4309-hospital-course-1-3.pdf")</f>
        <v/>
      </c>
      <c r="E814" t="n">
        <v>109181</v>
      </c>
      <c r="F814" t="n">
        <v>4309</v>
      </c>
      <c r="G814" t="inlineStr">
        <is>
          <t>Discharge summary</t>
        </is>
      </c>
      <c r="H814" t="inlineStr">
        <is>
          <t>hospital-course</t>
        </is>
      </c>
      <c r="I814" t="inlineStr">
        <is>
          <t>Pt
to CCU for monitoring.</t>
        </is>
      </c>
    </row>
    <row r="815">
      <c r="A815" t="inlineStr">
        <is>
          <t>4309-hospital-course-1-3</t>
        </is>
      </c>
      <c r="B815" t="inlineStr"/>
      <c r="C815" t="inlineStr"/>
      <c r="D815">
        <f>HYPERLINK("http://nlpdeep.cs.uic.edu:8080/proofing/gsii/4309-hospital-course-1-3.pdf","gsii/4309-hospital-course-1-3.pdf")</f>
        <v/>
      </c>
      <c r="E815" t="n">
        <v>109181</v>
      </c>
      <c r="F815" t="n">
        <v>4309</v>
      </c>
      <c r="G815" t="inlineStr">
        <is>
          <t>Discharge summary</t>
        </is>
      </c>
      <c r="H815" t="inlineStr">
        <is>
          <t>hospital-course</t>
        </is>
      </c>
      <c r="I815" t="inlineStr">
        <is>
          <t>Pt
to CCU for monitoring.</t>
        </is>
      </c>
    </row>
    <row r="816">
      <c r="A816" t="inlineStr">
        <is>
          <t>4309-hospital-course-1-4</t>
        </is>
      </c>
      <c r="B816" t="inlineStr"/>
      <c r="C816" t="inlineStr"/>
      <c r="D816">
        <f>HYPERLINK("http://nlpdeep.cs.uic.edu:8080/proofing/t5/4309-hospital-course-1-4.pdf","t5/4309-hospital-course-1-4.pdf")</f>
        <v/>
      </c>
      <c r="E816" t="n">
        <v>109181</v>
      </c>
      <c r="F816" t="n">
        <v>4309</v>
      </c>
      <c r="G816" t="inlineStr">
        <is>
          <t>Discharge summary</t>
        </is>
      </c>
      <c r="H816" t="inlineStr">
        <is>
          <t>hospital-course</t>
        </is>
      </c>
      <c r="I816" t="inlineStr">
        <is>
          <t>He was given 25mg metoprolol after cath.</t>
        </is>
      </c>
    </row>
    <row r="817">
      <c r="A817" t="inlineStr">
        <is>
          <t>4309-hospital-course-1-4</t>
        </is>
      </c>
      <c r="B817" t="inlineStr"/>
      <c r="C817" t="inlineStr"/>
      <c r="D817">
        <f>HYPERLINK("http://nlpdeep.cs.uic.edu:8080/proofing/gsii/4309-hospital-course-1-4.pdf","gsii/4309-hospital-course-1-4.pdf")</f>
        <v/>
      </c>
      <c r="E817" t="n">
        <v>109181</v>
      </c>
      <c r="F817" t="n">
        <v>4309</v>
      </c>
      <c r="G817" t="inlineStr">
        <is>
          <t>Discharge summary</t>
        </is>
      </c>
      <c r="H817" t="inlineStr">
        <is>
          <t>hospital-course</t>
        </is>
      </c>
      <c r="I817" t="inlineStr">
        <is>
          <t>He was given 25mg metoprolol after cath.</t>
        </is>
      </c>
    </row>
    <row r="818">
      <c r="A818" t="inlineStr">
        <is>
          <t>4309-hospital-course-1-5</t>
        </is>
      </c>
      <c r="B818" t="inlineStr"/>
      <c r="C818" t="inlineStr"/>
      <c r="D818">
        <f>HYPERLINK("http://nlpdeep.cs.uic.edu:8080/proofing/t5/4309-hospital-course-1-5.pdf","t5/4309-hospital-course-1-5.pdf")</f>
        <v/>
      </c>
      <c r="E818" t="n">
        <v>109181</v>
      </c>
      <c r="F818" t="n">
        <v>4309</v>
      </c>
      <c r="G818" t="inlineStr">
        <is>
          <t>Discharge summary</t>
        </is>
      </c>
      <c r="H818" t="inlineStr">
        <is>
          <t>hospital-course</t>
        </is>
      </c>
      <c r="I818" t="inlineStr">
        <is>
          <t xml:space="preserve">
On transfer to the CCU (after several hours chest pain free) pt
developed [**6-21**] chest pressure.</t>
        </is>
      </c>
    </row>
    <row r="819">
      <c r="A819" t="inlineStr">
        <is>
          <t>4309-hospital-course-1-5</t>
        </is>
      </c>
      <c r="B819" t="inlineStr"/>
      <c r="C819" t="inlineStr"/>
      <c r="D819">
        <f>HYPERLINK("http://nlpdeep.cs.uic.edu:8080/proofing/gsii/4309-hospital-course-1-5.pdf","gsii/4309-hospital-course-1-5.pdf")</f>
        <v/>
      </c>
      <c r="E819" t="n">
        <v>109181</v>
      </c>
      <c r="F819" t="n">
        <v>4309</v>
      </c>
      <c r="G819" t="inlineStr">
        <is>
          <t>Discharge summary</t>
        </is>
      </c>
      <c r="H819" t="inlineStr">
        <is>
          <t>hospital-course</t>
        </is>
      </c>
      <c r="I819" t="inlineStr">
        <is>
          <t xml:space="preserve">
On transfer to the CCU (after several hours chest pain free) pt
developed [**6-21**] chest pressure.</t>
        </is>
      </c>
    </row>
    <row r="820">
      <c r="A820" t="inlineStr">
        <is>
          <t>4309-hospital-course-1-6</t>
        </is>
      </c>
      <c r="B820" t="inlineStr"/>
      <c r="C820" t="inlineStr"/>
      <c r="D820">
        <f>HYPERLINK("http://nlpdeep.cs.uic.edu:8080/proofing/t5/4309-hospital-course-1-6.pdf","t5/4309-hospital-course-1-6.pdf")</f>
        <v/>
      </c>
      <c r="E820" t="n">
        <v>109181</v>
      </c>
      <c r="F820" t="n">
        <v>4309</v>
      </c>
      <c r="G820" t="inlineStr">
        <is>
          <t>Discharge summary</t>
        </is>
      </c>
      <c r="H820" t="inlineStr">
        <is>
          <t>hospital-course</t>
        </is>
      </c>
      <c r="I820" t="inlineStr">
        <is>
          <t>Nitro drip was increased to 1.2
with good resolution of pain.</t>
        </is>
      </c>
    </row>
    <row r="821">
      <c r="A821" t="inlineStr">
        <is>
          <t>4309-hospital-course-1-6</t>
        </is>
      </c>
      <c r="B821" t="inlineStr"/>
      <c r="C821" t="inlineStr"/>
      <c r="D821">
        <f>HYPERLINK("http://nlpdeep.cs.uic.edu:8080/proofing/gsii/4309-hospital-course-1-6.pdf","gsii/4309-hospital-course-1-6.pdf")</f>
        <v/>
      </c>
      <c r="E821" t="n">
        <v>109181</v>
      </c>
      <c r="F821" t="n">
        <v>4309</v>
      </c>
      <c r="G821" t="inlineStr">
        <is>
          <t>Discharge summary</t>
        </is>
      </c>
      <c r="H821" t="inlineStr">
        <is>
          <t>hospital-course</t>
        </is>
      </c>
      <c r="I821" t="inlineStr">
        <is>
          <t>Nitro drip was increased to 1.2
with good resolution of pain.</t>
        </is>
      </c>
    </row>
    <row r="822">
      <c r="A822" t="inlineStr">
        <is>
          <t>4309-hospital-course-1-7</t>
        </is>
      </c>
      <c r="B822" t="inlineStr"/>
      <c r="C822" t="inlineStr"/>
      <c r="D822">
        <f>HYPERLINK("http://nlpdeep.cs.uic.edu:8080/proofing/t5/4309-hospital-course-1-7.pdf","t5/4309-hospital-course-1-7.pdf")</f>
        <v/>
      </c>
      <c r="E822" t="n">
        <v>109181</v>
      </c>
      <c r="F822" t="n">
        <v>4309</v>
      </c>
      <c r="G822" t="inlineStr">
        <is>
          <t>Discharge summary</t>
        </is>
      </c>
      <c r="H822" t="inlineStr">
        <is>
          <t>hospital-course</t>
        </is>
      </c>
      <c r="I822" t="inlineStr">
        <is>
          <t>ECG with 1mm elevations in V1, V2
with 1mm depressions V3-V5.</t>
        </is>
      </c>
    </row>
    <row r="823">
      <c r="A823" t="inlineStr">
        <is>
          <t>4309-hospital-course-1-7</t>
        </is>
      </c>
      <c r="B823" t="inlineStr"/>
      <c r="C823" t="inlineStr"/>
      <c r="D823">
        <f>HYPERLINK("http://nlpdeep.cs.uic.edu:8080/proofing/gsii/4309-hospital-course-1-7.pdf","gsii/4309-hospital-course-1-7.pdf")</f>
        <v/>
      </c>
      <c r="E823" t="n">
        <v>109181</v>
      </c>
      <c r="F823" t="n">
        <v>4309</v>
      </c>
      <c r="G823" t="inlineStr">
        <is>
          <t>Discharge summary</t>
        </is>
      </c>
      <c r="H823" t="inlineStr">
        <is>
          <t>hospital-course</t>
        </is>
      </c>
      <c r="I823" t="inlineStr">
        <is>
          <t>ECG with 1mm elevations in V1, V2
with 1mm depressions V3-V5.</t>
        </is>
      </c>
    </row>
    <row r="824">
      <c r="A824" t="inlineStr">
        <is>
          <t>4309-hospital-course-1-8</t>
        </is>
      </c>
      <c r="B824" t="inlineStr"/>
      <c r="C824" t="inlineStr"/>
      <c r="D824">
        <f>HYPERLINK("http://nlpdeep.cs.uic.edu:8080/proofing/t5/4309-hospital-course-1-8.pdf","t5/4309-hospital-course-1-8.pdf")</f>
        <v/>
      </c>
      <c r="E824" t="n">
        <v>109181</v>
      </c>
      <c r="F824" t="n">
        <v>4309</v>
      </c>
      <c r="G824" t="inlineStr">
        <is>
          <t>Discharge summary</t>
        </is>
      </c>
      <c r="H824" t="inlineStr">
        <is>
          <t>hospital-course</t>
        </is>
      </c>
      <c r="I824" t="inlineStr">
        <is>
          <t>Pt was sleeping calmly following
this episode.</t>
        </is>
      </c>
    </row>
    <row r="825">
      <c r="A825" t="inlineStr">
        <is>
          <t>4309-hospital-course-1-8</t>
        </is>
      </c>
      <c r="B825" t="inlineStr"/>
      <c r="C825" t="inlineStr"/>
      <c r="D825">
        <f>HYPERLINK("http://nlpdeep.cs.uic.edu:8080/proofing/gsii/4309-hospital-course-1-8.pdf","gsii/4309-hospital-course-1-8.pdf")</f>
        <v/>
      </c>
      <c r="E825" t="n">
        <v>109181</v>
      </c>
      <c r="F825" t="n">
        <v>4309</v>
      </c>
      <c r="G825" t="inlineStr">
        <is>
          <t>Discharge summary</t>
        </is>
      </c>
      <c r="H825" t="inlineStr">
        <is>
          <t>hospital-course</t>
        </is>
      </c>
      <c r="I825" t="inlineStr">
        <is>
          <t>Pt was sleeping calmly following
this episode.</t>
        </is>
      </c>
    </row>
    <row r="826">
      <c r="A826" t="inlineStr">
        <is>
          <t>4309-hospital-course-1-9</t>
        </is>
      </c>
      <c r="B826" t="inlineStr"/>
      <c r="C826" t="inlineStr"/>
      <c r="D826">
        <f>HYPERLINK("http://nlpdeep.cs.uic.edu:8080/proofing/t5/4309-hospital-course-1-9.pdf","t5/4309-hospital-course-1-9.pdf")</f>
        <v/>
      </c>
      <c r="E826" t="n">
        <v>109181</v>
      </c>
      <c r="F826" t="n">
        <v>4309</v>
      </c>
      <c r="G826" t="inlineStr">
        <is>
          <t>Discharge summary</t>
        </is>
      </c>
      <c r="H826" t="inlineStr">
        <is>
          <t>hospital-course</t>
        </is>
      </c>
      <c r="I826" t="inlineStr">
        <is>
          <t>That afternoon pt with acute episode of
diaphoresis, chest pain, and dyspnea.</t>
        </is>
      </c>
    </row>
    <row r="827">
      <c r="A827" t="inlineStr">
        <is>
          <t>4309-hospital-course-1-9</t>
        </is>
      </c>
      <c r="B827" t="inlineStr"/>
      <c r="C827" t="inlineStr"/>
      <c r="D827">
        <f>HYPERLINK("http://nlpdeep.cs.uic.edu:8080/proofing/gsii/4309-hospital-course-1-9.pdf","gsii/4309-hospital-course-1-9.pdf")</f>
        <v/>
      </c>
      <c r="E827" t="n">
        <v>109181</v>
      </c>
      <c r="F827" t="n">
        <v>4309</v>
      </c>
      <c r="G827" t="inlineStr">
        <is>
          <t>Discharge summary</t>
        </is>
      </c>
      <c r="H827" t="inlineStr">
        <is>
          <t>hospital-course</t>
        </is>
      </c>
      <c r="I827" t="inlineStr">
        <is>
          <t>That afternoon pt with acute episode of
diaphoresis, chest pain, and dyspnea.</t>
        </is>
      </c>
    </row>
    <row r="828">
      <c r="A828" t="inlineStr">
        <is>
          <t>4309-hospital-course-1-10</t>
        </is>
      </c>
      <c r="B828" t="inlineStr"/>
      <c r="C828" t="inlineStr"/>
      <c r="D828">
        <f>HYPERLINK("http://nlpdeep.cs.uic.edu:8080/proofing/t5/4309-hospital-course-1-10.pdf","t5/4309-hospital-course-1-10.pdf")</f>
        <v/>
      </c>
      <c r="E828" t="n">
        <v>109181</v>
      </c>
      <c r="F828" t="n">
        <v>4309</v>
      </c>
      <c r="G828" t="inlineStr">
        <is>
          <t>Discharge summary</t>
        </is>
      </c>
      <c r="H828" t="inlineStr">
        <is>
          <t>hospital-course</t>
        </is>
      </c>
      <c r="I828" t="inlineStr">
        <is>
          <t>O2 sats 95 on 3L nc, BP
80s/40s so limited in ability to uptitrate nitro drip which was
at 1.2.</t>
        </is>
      </c>
    </row>
    <row r="829">
      <c r="A829" t="inlineStr">
        <is>
          <t>4309-hospital-course-1-10</t>
        </is>
      </c>
      <c r="B829" t="inlineStr"/>
      <c r="C829" t="inlineStr"/>
      <c r="D829">
        <f>HYPERLINK("http://nlpdeep.cs.uic.edu:8080/proofing/gsii/4309-hospital-course-1-10.pdf","gsii/4309-hospital-course-1-10.pdf")</f>
        <v/>
      </c>
      <c r="E829" t="n">
        <v>109181</v>
      </c>
      <c r="F829" t="n">
        <v>4309</v>
      </c>
      <c r="G829" t="inlineStr">
        <is>
          <t>Discharge summary</t>
        </is>
      </c>
      <c r="H829" t="inlineStr">
        <is>
          <t>hospital-course</t>
        </is>
      </c>
      <c r="I829" t="inlineStr">
        <is>
          <t>O2 sats 95 on 3L nc, BP
80s/40s so limited in ability to uptitrate nitro drip which was
at 1.2.</t>
        </is>
      </c>
    </row>
    <row r="830">
      <c r="A830" t="inlineStr">
        <is>
          <t>4309-hospital-course-1-11</t>
        </is>
      </c>
      <c r="B830" t="inlineStr"/>
      <c r="C830" t="inlineStr"/>
      <c r="D830">
        <f>HYPERLINK("http://nlpdeep.cs.uic.edu:8080/proofing/t5/4309-hospital-course-1-11.pdf","t5/4309-hospital-course-1-11.pdf")</f>
        <v/>
      </c>
      <c r="E830" t="n">
        <v>109181</v>
      </c>
      <c r="F830" t="n">
        <v>4309</v>
      </c>
      <c r="G830" t="inlineStr">
        <is>
          <t>Discharge summary</t>
        </is>
      </c>
      <c r="H830" t="inlineStr">
        <is>
          <t>hospital-course</t>
        </is>
      </c>
      <c r="I830" t="inlineStr">
        <is>
          <t>ECG showed depressions in antero-lateral leads unchanged
from ECGs from prior. got ipratropium nebs (HR was high 90s) and
klonipin.</t>
        </is>
      </c>
    </row>
    <row r="831">
      <c r="A831" t="inlineStr">
        <is>
          <t>4309-hospital-course-1-11</t>
        </is>
      </c>
      <c r="B831" t="inlineStr"/>
      <c r="C831" t="inlineStr"/>
      <c r="D831">
        <f>HYPERLINK("http://nlpdeep.cs.uic.edu:8080/proofing/gsii/4309-hospital-course-1-11.pdf","gsii/4309-hospital-course-1-11.pdf")</f>
        <v/>
      </c>
      <c r="E831" t="n">
        <v>109181</v>
      </c>
      <c r="F831" t="n">
        <v>4309</v>
      </c>
      <c r="G831" t="inlineStr">
        <is>
          <t>Discharge summary</t>
        </is>
      </c>
      <c r="H831" t="inlineStr">
        <is>
          <t>hospital-course</t>
        </is>
      </c>
      <c r="I831" t="inlineStr">
        <is>
          <t>ECG showed depressions in antero-lateral leads unchanged
from ECGs from prior. got ipratropium nebs (HR was high 90s) and
klonipin.</t>
        </is>
      </c>
    </row>
    <row r="832">
      <c r="A832" t="inlineStr">
        <is>
          <t>4309-hospital-course-1-12</t>
        </is>
      </c>
      <c r="B832" t="inlineStr"/>
      <c r="C832" t="inlineStr"/>
      <c r="D832">
        <f>HYPERLINK("http://nlpdeep.cs.uic.edu:8080/proofing/t5/4309-hospital-course-1-12.pdf","t5/4309-hospital-course-1-12.pdf")</f>
        <v/>
      </c>
      <c r="E832" t="n">
        <v>109181</v>
      </c>
      <c r="F832" t="n">
        <v>4309</v>
      </c>
      <c r="G832" t="inlineStr">
        <is>
          <t>Discharge summary</t>
        </is>
      </c>
      <c r="H832" t="inlineStr">
        <is>
          <t>hospital-course</t>
        </is>
      </c>
      <c r="I832" t="inlineStr">
        <is>
          <t>within 10-20 minutes pt was without dyspnea/CP, stated
that he had a lot of anxiety about the procedure not able to
open up the circ lesion.</t>
        </is>
      </c>
    </row>
    <row r="833">
      <c r="A833" t="inlineStr">
        <is>
          <t>4309-hospital-course-1-12</t>
        </is>
      </c>
      <c r="B833" t="inlineStr"/>
      <c r="C833" t="inlineStr"/>
      <c r="D833">
        <f>HYPERLINK("http://nlpdeep.cs.uic.edu:8080/proofing/gsii/4309-hospital-course-1-12.pdf","gsii/4309-hospital-course-1-12.pdf")</f>
        <v/>
      </c>
      <c r="E833" t="n">
        <v>109181</v>
      </c>
      <c r="F833" t="n">
        <v>4309</v>
      </c>
      <c r="G833" t="inlineStr">
        <is>
          <t>Discharge summary</t>
        </is>
      </c>
      <c r="H833" t="inlineStr">
        <is>
          <t>hospital-course</t>
        </is>
      </c>
      <c r="I833" t="inlineStr">
        <is>
          <t>within 10-20 minutes pt was without dyspnea/CP, stated
that he had a lot of anxiety about the procedure not able to
open up the circ lesion.</t>
        </is>
      </c>
    </row>
    <row r="834">
      <c r="A834" t="inlineStr">
        <is>
          <t>4309-hospital-course-1-13</t>
        </is>
      </c>
      <c r="B834" t="inlineStr"/>
      <c r="C834" t="inlineStr"/>
      <c r="D834">
        <f>HYPERLINK("http://nlpdeep.cs.uic.edu:8080/proofing/t5/4309-hospital-course-1-13.pdf","t5/4309-hospital-course-1-13.pdf")</f>
        <v/>
      </c>
      <c r="E834" t="n">
        <v>109181</v>
      </c>
      <c r="F834" t="n">
        <v>4309</v>
      </c>
      <c r="G834" t="inlineStr">
        <is>
          <t>Discharge summary</t>
        </is>
      </c>
      <c r="H834" t="inlineStr">
        <is>
          <t>hospital-course</t>
        </is>
      </c>
      <c r="I834" t="inlineStr">
        <is>
          <t xml:space="preserve">
Nitro gtt was continued, eventually weaned and pt put on home
dose imdur.</t>
        </is>
      </c>
    </row>
    <row r="835">
      <c r="A835" t="inlineStr">
        <is>
          <t>4309-hospital-course-1-13</t>
        </is>
      </c>
      <c r="B835" t="inlineStr"/>
      <c r="C835" t="inlineStr"/>
      <c r="D835">
        <f>HYPERLINK("http://nlpdeep.cs.uic.edu:8080/proofing/gsii/4309-hospital-course-1-13.pdf","gsii/4309-hospital-course-1-13.pdf")</f>
        <v/>
      </c>
      <c r="E835" t="n">
        <v>109181</v>
      </c>
      <c r="F835" t="n">
        <v>4309</v>
      </c>
      <c r="G835" t="inlineStr">
        <is>
          <t>Discharge summary</t>
        </is>
      </c>
      <c r="H835" t="inlineStr">
        <is>
          <t>hospital-course</t>
        </is>
      </c>
      <c r="I835" t="inlineStr">
        <is>
          <t xml:space="preserve">
Nitro gtt was continued, eventually weaned and pt put on home
dose imdur.</t>
        </is>
      </c>
    </row>
    <row r="836">
      <c r="A836" t="inlineStr">
        <is>
          <t>4309-hospital-course-1-14</t>
        </is>
      </c>
      <c r="B836" t="inlineStr"/>
      <c r="C836" t="inlineStr"/>
      <c r="D836">
        <f>HYPERLINK("http://nlpdeep.cs.uic.edu:8080/proofing/t5/4309-hospital-course-1-14.pdf","t5/4309-hospital-course-1-14.pdf")</f>
        <v/>
      </c>
      <c r="E836" t="n">
        <v>109181</v>
      </c>
      <c r="F836" t="n">
        <v>4309</v>
      </c>
      <c r="G836" t="inlineStr">
        <is>
          <t>Discharge summary</t>
        </is>
      </c>
      <c r="H836" t="inlineStr">
        <is>
          <t>hospital-course</t>
        </is>
      </c>
      <c r="I836" t="inlineStr">
        <is>
          <t>Pt continued to have episodes of [**6-21**] chest pain but
ECGs were all with stable anterolateral depressions.</t>
        </is>
      </c>
    </row>
    <row r="837">
      <c r="A837" t="inlineStr">
        <is>
          <t>4309-hospital-course-1-14</t>
        </is>
      </c>
      <c r="B837" t="inlineStr"/>
      <c r="C837" t="inlineStr"/>
      <c r="D837">
        <f>HYPERLINK("http://nlpdeep.cs.uic.edu:8080/proofing/gsii/4309-hospital-course-1-14.pdf","gsii/4309-hospital-course-1-14.pdf")</f>
        <v/>
      </c>
      <c r="E837" t="n">
        <v>109181</v>
      </c>
      <c r="F837" t="n">
        <v>4309</v>
      </c>
      <c r="G837" t="inlineStr">
        <is>
          <t>Discharge summary</t>
        </is>
      </c>
      <c r="H837" t="inlineStr">
        <is>
          <t>hospital-course</t>
        </is>
      </c>
      <c r="I837" t="inlineStr">
        <is>
          <t>Pt continued to have episodes of [**6-21**] chest pain but
ECGs were all with stable anterolateral depressions.</t>
        </is>
      </c>
    </row>
    <row r="838">
      <c r="A838" t="inlineStr">
        <is>
          <t>4309-hospital-course-1-15</t>
        </is>
      </c>
      <c r="B838" t="inlineStr"/>
      <c r="C838" t="inlineStr"/>
      <c r="D838">
        <f>HYPERLINK("http://nlpdeep.cs.uic.edu:8080/proofing/t5/4309-hospital-course-1-15.pdf","t5/4309-hospital-course-1-15.pdf")</f>
        <v/>
      </c>
      <c r="E838" t="n">
        <v>109181</v>
      </c>
      <c r="F838" t="n">
        <v>4309</v>
      </c>
      <c r="G838" t="inlineStr">
        <is>
          <t>Discharge summary</t>
        </is>
      </c>
      <c r="H838" t="inlineStr">
        <is>
          <t>hospital-course</t>
        </is>
      </c>
      <c r="I838" t="inlineStr">
        <is>
          <t>Even when
CP resolved ECGs with those findings.</t>
        </is>
      </c>
    </row>
    <row r="839">
      <c r="A839" t="inlineStr">
        <is>
          <t>4309-hospital-course-1-15</t>
        </is>
      </c>
      <c r="B839" t="inlineStr"/>
      <c r="C839" t="inlineStr"/>
      <c r="D839">
        <f>HYPERLINK("http://nlpdeep.cs.uic.edu:8080/proofing/gsii/4309-hospital-course-1-15.pdf","gsii/4309-hospital-course-1-15.pdf")</f>
        <v/>
      </c>
      <c r="E839" t="n">
        <v>109181</v>
      </c>
      <c r="F839" t="n">
        <v>4309</v>
      </c>
      <c r="G839" t="inlineStr">
        <is>
          <t>Discharge summary</t>
        </is>
      </c>
      <c r="H839" t="inlineStr">
        <is>
          <t>hospital-course</t>
        </is>
      </c>
      <c r="I839" t="inlineStr">
        <is>
          <t>Even when
CP resolved ECGs with those findings.</t>
        </is>
      </c>
    </row>
    <row r="840">
      <c r="A840" t="inlineStr">
        <is>
          <t>4309-hospital-course-1-16</t>
        </is>
      </c>
      <c r="B840" t="inlineStr"/>
      <c r="C840" t="inlineStr"/>
      <c r="D840">
        <f>HYPERLINK("http://nlpdeep.cs.uic.edu:8080/proofing/t5/4309-hospital-course-1-16.pdf","t5/4309-hospital-course-1-16.pdf")</f>
        <v/>
      </c>
      <c r="E840" t="n">
        <v>109181</v>
      </c>
      <c r="F840" t="n">
        <v>4309</v>
      </c>
      <c r="G840" t="inlineStr">
        <is>
          <t>Discharge summary</t>
        </is>
      </c>
      <c r="H840" t="inlineStr">
        <is>
          <t>hospital-course</t>
        </is>
      </c>
      <c r="I840" t="inlineStr">
        <is>
          <t>Pt was continued on
atorvastatin, aspirin, plavix, and metoprolol.</t>
        </is>
      </c>
    </row>
    <row r="841">
      <c r="A841" t="inlineStr">
        <is>
          <t>4309-hospital-course-1-16</t>
        </is>
      </c>
      <c r="B841" t="inlineStr"/>
      <c r="C841" t="inlineStr"/>
      <c r="D841">
        <f>HYPERLINK("http://nlpdeep.cs.uic.edu:8080/proofing/gsii/4309-hospital-course-1-16.pdf","gsii/4309-hospital-course-1-16.pdf")</f>
        <v/>
      </c>
      <c r="E841" t="n">
        <v>109181</v>
      </c>
      <c r="F841" t="n">
        <v>4309</v>
      </c>
      <c r="G841" t="inlineStr">
        <is>
          <t>Discharge summary</t>
        </is>
      </c>
      <c r="H841" t="inlineStr">
        <is>
          <t>hospital-course</t>
        </is>
      </c>
      <c r="I841" t="inlineStr">
        <is>
          <t>Pt was continued on
atorvastatin, aspirin, plavix, and metoprolol.</t>
        </is>
      </c>
    </row>
    <row r="842">
      <c r="A842" t="inlineStr">
        <is>
          <t>4309-hospital-course-1-17</t>
        </is>
      </c>
      <c r="B842" t="inlineStr"/>
      <c r="C842" t="inlineStr"/>
      <c r="D842">
        <f>HYPERLINK("http://nlpdeep.cs.uic.edu:8080/proofing/t5/4309-hospital-course-1-17.pdf","t5/4309-hospital-course-1-17.pdf")</f>
        <v/>
      </c>
      <c r="E842" t="n">
        <v>109181</v>
      </c>
      <c r="F842" t="n">
        <v>4309</v>
      </c>
      <c r="G842" t="inlineStr">
        <is>
          <t>Discharge summary</t>
        </is>
      </c>
      <c r="H842" t="inlineStr">
        <is>
          <t>hospital-course</t>
        </is>
      </c>
      <c r="I842" t="inlineStr">
        <is>
          <t>His blood
pressures remained in the 80s/40s, appears his b/l roughly
around this range, but this limited our ability to increase
nitro.</t>
        </is>
      </c>
    </row>
    <row r="843">
      <c r="A843" t="inlineStr">
        <is>
          <t>4309-hospital-course-1-17</t>
        </is>
      </c>
      <c r="B843" t="inlineStr"/>
      <c r="C843" t="inlineStr"/>
      <c r="D843">
        <f>HYPERLINK("http://nlpdeep.cs.uic.edu:8080/proofing/gsii/4309-hospital-course-1-17.pdf","gsii/4309-hospital-course-1-17.pdf")</f>
        <v/>
      </c>
      <c r="E843" t="n">
        <v>109181</v>
      </c>
      <c r="F843" t="n">
        <v>4309</v>
      </c>
      <c r="G843" t="inlineStr">
        <is>
          <t>Discharge summary</t>
        </is>
      </c>
      <c r="H843" t="inlineStr">
        <is>
          <t>hospital-course</t>
        </is>
      </c>
      <c r="I843" t="inlineStr">
        <is>
          <t>His blood
pressures remained in the 80s/40s, appears his b/l roughly
around this range, but this limited our ability to increase
nitro.</t>
        </is>
      </c>
    </row>
    <row r="844">
      <c r="A844" t="inlineStr">
        <is>
          <t>4309-hospital-course-1-18</t>
        </is>
      </c>
      <c r="B844" t="inlineStr"/>
      <c r="C844" t="inlineStr"/>
      <c r="D844">
        <f>HYPERLINK("http://nlpdeep.cs.uic.edu:8080/proofing/t5/4309-hospital-course-1-18.pdf","t5/4309-hospital-course-1-18.pdf")</f>
        <v/>
      </c>
      <c r="E844" t="n">
        <v>109181</v>
      </c>
      <c r="F844" t="n">
        <v>4309</v>
      </c>
      <c r="G844" t="inlineStr">
        <is>
          <t>Discharge summary</t>
        </is>
      </c>
      <c r="H844" t="inlineStr">
        <is>
          <t>hospital-course</t>
        </is>
      </c>
      <c r="I844" t="inlineStr">
        <is>
          <t>Imdur was held.</t>
        </is>
      </c>
    </row>
    <row r="845">
      <c r="A845" t="inlineStr">
        <is>
          <t>4309-hospital-course-1-18</t>
        </is>
      </c>
      <c r="B845" t="inlineStr"/>
      <c r="C845" t="inlineStr"/>
      <c r="D845">
        <f>HYPERLINK("http://nlpdeep.cs.uic.edu:8080/proofing/gsii/4309-hospital-course-1-18.pdf","gsii/4309-hospital-course-1-18.pdf")</f>
        <v/>
      </c>
      <c r="E845" t="n">
        <v>109181</v>
      </c>
      <c r="F845" t="n">
        <v>4309</v>
      </c>
      <c r="G845" t="inlineStr">
        <is>
          <t>Discharge summary</t>
        </is>
      </c>
      <c r="H845" t="inlineStr">
        <is>
          <t>hospital-course</t>
        </is>
      </c>
      <c r="I845" t="inlineStr">
        <is>
          <t>Imdur was held.</t>
        </is>
      </c>
    </row>
    <row r="846">
      <c r="A846" t="inlineStr">
        <is>
          <t>4309-hospital-course-2-0</t>
        </is>
      </c>
      <c r="B846" t="inlineStr"/>
      <c r="C846" t="inlineStr"/>
      <c r="D846">
        <f>HYPERLINK("http://nlpdeep.cs.uic.edu:8080/proofing/t5/4309-hospital-course-2-0.pdf","t5/4309-hospital-course-2-0.pdf")</f>
        <v/>
      </c>
      <c r="E846" t="n">
        <v>109181</v>
      </c>
      <c r="F846" t="n">
        <v>4309</v>
      </c>
      <c r="G846" t="inlineStr">
        <is>
          <t>Discharge summary</t>
        </is>
      </c>
      <c r="H846" t="inlineStr">
        <is>
          <t>hospital-course</t>
        </is>
      </c>
      <c r="I846" t="inlineStr">
        <is>
          <t xml:space="preserve">
#PEA ARREST - on the day of arrest [**2167-1-22**] pt had been asx with
hypotension 70s-80s during the morning via NIBP.</t>
        </is>
      </c>
    </row>
    <row r="847">
      <c r="A847" t="inlineStr">
        <is>
          <t>4309-hospital-course-2-0</t>
        </is>
      </c>
      <c r="B847" t="inlineStr"/>
      <c r="C847" t="inlineStr"/>
      <c r="D847">
        <f>HYPERLINK("http://nlpdeep.cs.uic.edu:8080/proofing/gsii/4309-hospital-course-2-0.pdf","gsii/4309-hospital-course-2-0.pdf")</f>
        <v/>
      </c>
      <c r="E847" t="n">
        <v>109181</v>
      </c>
      <c r="F847" t="n">
        <v>4309</v>
      </c>
      <c r="G847" t="inlineStr">
        <is>
          <t>Discharge summary</t>
        </is>
      </c>
      <c r="H847" t="inlineStr">
        <is>
          <t>hospital-course</t>
        </is>
      </c>
      <c r="I847" t="inlineStr">
        <is>
          <t xml:space="preserve">
#PEA ARREST - on the day of arrest [**2167-1-22**] pt had been asx with
hypotension 70s-80s during the morning via NIBP.</t>
        </is>
      </c>
    </row>
    <row r="848">
      <c r="A848" t="inlineStr">
        <is>
          <t>4309-hospital-course-2-1</t>
        </is>
      </c>
      <c r="B848" t="inlineStr"/>
      <c r="C848" t="inlineStr"/>
      <c r="D848">
        <f>HYPERLINK("http://nlpdeep.cs.uic.edu:8080/proofing/t5/4309-hospital-course-2-1.pdf","t5/4309-hospital-course-2-1.pdf")</f>
        <v/>
      </c>
      <c r="E848" t="n">
        <v>109181</v>
      </c>
      <c r="F848" t="n">
        <v>4309</v>
      </c>
      <c r="G848" t="inlineStr">
        <is>
          <t>Discharge summary</t>
        </is>
      </c>
      <c r="H848" t="inlineStr">
        <is>
          <t>hospital-course</t>
        </is>
      </c>
      <c r="I848" t="inlineStr">
        <is>
          <t>Pt continuing
to c/o of recurring dull aching chest pain which was pleuritic
and reproducible with palpation.</t>
        </is>
      </c>
    </row>
    <row r="849">
      <c r="A849" t="inlineStr">
        <is>
          <t>4309-hospital-course-2-1</t>
        </is>
      </c>
      <c r="B849" t="inlineStr"/>
      <c r="C849" t="inlineStr"/>
      <c r="D849">
        <f>HYPERLINK("http://nlpdeep.cs.uic.edu:8080/proofing/gsii/4309-hospital-course-2-1.pdf","gsii/4309-hospital-course-2-1.pdf")</f>
        <v/>
      </c>
      <c r="E849" t="n">
        <v>109181</v>
      </c>
      <c r="F849" t="n">
        <v>4309</v>
      </c>
      <c r="G849" t="inlineStr">
        <is>
          <t>Discharge summary</t>
        </is>
      </c>
      <c r="H849" t="inlineStr">
        <is>
          <t>hospital-course</t>
        </is>
      </c>
      <c r="I849" t="inlineStr">
        <is>
          <t>Pt continuing
to c/o of recurring dull aching chest pain which was pleuritic
and reproducible with palpation.</t>
        </is>
      </c>
    </row>
    <row r="850">
      <c r="A850" t="inlineStr">
        <is>
          <t>4309-hospital-course-2-2</t>
        </is>
      </c>
      <c r="B850" t="inlineStr"/>
      <c r="C850" t="inlineStr"/>
      <c r="D850">
        <f>HYPERLINK("http://nlpdeep.cs.uic.edu:8080/proofing/t5/4309-hospital-course-2-2.pdf","t5/4309-hospital-course-2-2.pdf")</f>
        <v/>
      </c>
      <c r="E850" t="n">
        <v>109181</v>
      </c>
      <c r="F850" t="n">
        <v>4309</v>
      </c>
      <c r="G850" t="inlineStr">
        <is>
          <t>Discharge summary</t>
        </is>
      </c>
      <c r="H850" t="inlineStr">
        <is>
          <t>hospital-course</t>
        </is>
      </c>
      <c r="I850" t="inlineStr">
        <is>
          <t>Pt very anxious when staff not
in room with him.</t>
        </is>
      </c>
    </row>
    <row r="851">
      <c r="A851" t="inlineStr">
        <is>
          <t>4309-hospital-course-2-2</t>
        </is>
      </c>
      <c r="B851" t="inlineStr"/>
      <c r="C851" t="inlineStr"/>
      <c r="D851">
        <f>HYPERLINK("http://nlpdeep.cs.uic.edu:8080/proofing/gsii/4309-hospital-course-2-2.pdf","gsii/4309-hospital-course-2-2.pdf")</f>
        <v/>
      </c>
      <c r="E851" t="n">
        <v>109181</v>
      </c>
      <c r="F851" t="n">
        <v>4309</v>
      </c>
      <c r="G851" t="inlineStr">
        <is>
          <t>Discharge summary</t>
        </is>
      </c>
      <c r="H851" t="inlineStr">
        <is>
          <t>hospital-course</t>
        </is>
      </c>
      <c r="I851" t="inlineStr">
        <is>
          <t>Pt very anxious when staff not
in room with him.</t>
        </is>
      </c>
    </row>
    <row r="852">
      <c r="A852" t="inlineStr">
        <is>
          <t>4309-hospital-course-2-3</t>
        </is>
      </c>
      <c r="B852" t="inlineStr"/>
      <c r="C852" t="inlineStr"/>
      <c r="D852">
        <f>HYPERLINK("http://nlpdeep.cs.uic.edu:8080/proofing/t5/4309-hospital-course-2-3.pdf","t5/4309-hospital-course-2-3.pdf")</f>
        <v/>
      </c>
      <c r="E852" t="n">
        <v>109181</v>
      </c>
      <c r="F852" t="n">
        <v>4309</v>
      </c>
      <c r="G852" t="inlineStr">
        <is>
          <t>Discharge summary</t>
        </is>
      </c>
      <c r="H852" t="inlineStr">
        <is>
          <t>hospital-course</t>
        </is>
      </c>
      <c r="I852" t="inlineStr">
        <is>
          <t>Pt given ativan 0.5mg po x 1 at 0730hrs and
tylenol with slight decrease in anxiety and pain.</t>
        </is>
      </c>
    </row>
    <row r="853">
      <c r="A853" t="inlineStr">
        <is>
          <t>4309-hospital-course-2-3</t>
        </is>
      </c>
      <c r="B853" t="inlineStr"/>
      <c r="C853" t="inlineStr"/>
      <c r="D853">
        <f>HYPERLINK("http://nlpdeep.cs.uic.edu:8080/proofing/gsii/4309-hospital-course-2-3.pdf","gsii/4309-hospital-course-2-3.pdf")</f>
        <v/>
      </c>
      <c r="E853" t="n">
        <v>109181</v>
      </c>
      <c r="F853" t="n">
        <v>4309</v>
      </c>
      <c r="G853" t="inlineStr">
        <is>
          <t>Discharge summary</t>
        </is>
      </c>
      <c r="H853" t="inlineStr">
        <is>
          <t>hospital-course</t>
        </is>
      </c>
      <c r="I853" t="inlineStr">
        <is>
          <t>Pt given ativan 0.5mg po x 1 at 0730hrs and
tylenol with slight decrease in anxiety and pain.</t>
        </is>
      </c>
    </row>
    <row r="854">
      <c r="A854" t="inlineStr">
        <is>
          <t>4309-hospital-course-2-4</t>
        </is>
      </c>
      <c r="B854" t="inlineStr"/>
      <c r="C854" t="inlineStr"/>
      <c r="D854">
        <f>HYPERLINK("http://nlpdeep.cs.uic.edu:8080/proofing/t5/4309-hospital-course-2-4.pdf","t5/4309-hospital-course-2-4.pdf")</f>
        <v/>
      </c>
      <c r="E854" t="n">
        <v>109181</v>
      </c>
      <c r="F854" t="n">
        <v>4309</v>
      </c>
      <c r="G854" t="inlineStr">
        <is>
          <t>Discharge summary</t>
        </is>
      </c>
      <c r="H854" t="inlineStr">
        <is>
          <t>hospital-course</t>
        </is>
      </c>
      <c r="I854" t="inlineStr">
        <is>
          <t>No further c/o
of chest pain since 1100hrs.</t>
        </is>
      </c>
    </row>
    <row r="855">
      <c r="A855" t="inlineStr">
        <is>
          <t>4309-hospital-course-2-4</t>
        </is>
      </c>
      <c r="B855" t="inlineStr"/>
      <c r="C855" t="inlineStr"/>
      <c r="D855">
        <f>HYPERLINK("http://nlpdeep.cs.uic.edu:8080/proofing/gsii/4309-hospital-course-2-4.pdf","gsii/4309-hospital-course-2-4.pdf")</f>
        <v/>
      </c>
      <c r="E855" t="n">
        <v>109181</v>
      </c>
      <c r="F855" t="n">
        <v>4309</v>
      </c>
      <c r="G855" t="inlineStr">
        <is>
          <t>Discharge summary</t>
        </is>
      </c>
      <c r="H855" t="inlineStr">
        <is>
          <t>hospital-course</t>
        </is>
      </c>
      <c r="I855" t="inlineStr">
        <is>
          <t>No further c/o
of chest pain since 1100hrs.</t>
        </is>
      </c>
    </row>
    <row r="856">
      <c r="A856" t="inlineStr">
        <is>
          <t>4309-hospital-course-2-5</t>
        </is>
      </c>
      <c r="B856" t="inlineStr"/>
      <c r="C856" t="inlineStr"/>
      <c r="D856">
        <f>HYPERLINK("http://nlpdeep.cs.uic.edu:8080/proofing/t5/4309-hospital-course-2-5.pdf","t5/4309-hospital-course-2-5.pdf")</f>
        <v/>
      </c>
      <c r="E856" t="n">
        <v>109181</v>
      </c>
      <c r="F856" t="n">
        <v>4309</v>
      </c>
      <c r="G856" t="inlineStr">
        <is>
          <t>Discharge summary</t>
        </is>
      </c>
      <c r="H856" t="inlineStr">
        <is>
          <t>hospital-course</t>
        </is>
      </c>
      <c r="I856" t="inlineStr">
        <is>
          <t xml:space="preserve"> Rt radial Aline placed by team
with ABP initially 90s decreasing to 70-80s.</t>
        </is>
      </c>
    </row>
    <row r="857">
      <c r="A857" t="inlineStr">
        <is>
          <t>4309-hospital-course-2-5</t>
        </is>
      </c>
      <c r="B857" t="inlineStr"/>
      <c r="C857" t="inlineStr"/>
      <c r="D857">
        <f>HYPERLINK("http://nlpdeep.cs.uic.edu:8080/proofing/gsii/4309-hospital-course-2-5.pdf","gsii/4309-hospital-course-2-5.pdf")</f>
        <v/>
      </c>
      <c r="E857" t="n">
        <v>109181</v>
      </c>
      <c r="F857" t="n">
        <v>4309</v>
      </c>
      <c r="G857" t="inlineStr">
        <is>
          <t>Discharge summary</t>
        </is>
      </c>
      <c r="H857" t="inlineStr">
        <is>
          <t>hospital-course</t>
        </is>
      </c>
      <c r="I857" t="inlineStr">
        <is>
          <t xml:space="preserve"> Rt radial Aline placed by team
with ABP initially 90s decreasing to 70-80s.</t>
        </is>
      </c>
    </row>
    <row r="858">
      <c r="A858" t="inlineStr">
        <is>
          <t>4309-hospital-course-2-6</t>
        </is>
      </c>
      <c r="B858" t="inlineStr"/>
      <c r="C858" t="inlineStr"/>
      <c r="D858">
        <f>HYPERLINK("http://nlpdeep.cs.uic.edu:8080/proofing/t5/4309-hospital-course-2-6.pdf","t5/4309-hospital-course-2-6.pdf")</f>
        <v/>
      </c>
      <c r="E858" t="n">
        <v>109181</v>
      </c>
      <c r="F858" t="n">
        <v>4309</v>
      </c>
      <c r="G858" t="inlineStr">
        <is>
          <t>Discharge summary</t>
        </is>
      </c>
      <c r="H858" t="inlineStr">
        <is>
          <t>hospital-course</t>
        </is>
      </c>
      <c r="I858" t="inlineStr">
        <is>
          <t>Obtained double
lumen PICC line Right brachial.</t>
        </is>
      </c>
    </row>
    <row r="859">
      <c r="A859" t="inlineStr">
        <is>
          <t>4309-hospital-course-2-6</t>
        </is>
      </c>
      <c r="B859" t="inlineStr"/>
      <c r="C859" t="inlineStr"/>
      <c r="D859">
        <f>HYPERLINK("http://nlpdeep.cs.uic.edu:8080/proofing/gsii/4309-hospital-course-2-6.pdf","gsii/4309-hospital-course-2-6.pdf")</f>
        <v/>
      </c>
      <c r="E859" t="n">
        <v>109181</v>
      </c>
      <c r="F859" t="n">
        <v>4309</v>
      </c>
      <c r="G859" t="inlineStr">
        <is>
          <t>Discharge summary</t>
        </is>
      </c>
      <c r="H859" t="inlineStr">
        <is>
          <t>hospital-course</t>
        </is>
      </c>
      <c r="I859" t="inlineStr">
        <is>
          <t>Obtained double
lumen PICC line Right brachial.</t>
        </is>
      </c>
    </row>
    <row r="860">
      <c r="A860" t="inlineStr">
        <is>
          <t>4309-hospital-course-2-7</t>
        </is>
      </c>
      <c r="B860" t="inlineStr"/>
      <c r="C860" t="inlineStr"/>
      <c r="D860">
        <f>HYPERLINK("http://nlpdeep.cs.uic.edu:8080/proofing/t5/4309-hospital-course-2-7.pdf","t5/4309-hospital-course-2-7.pdf")</f>
        <v/>
      </c>
      <c r="E860" t="n">
        <v>109181</v>
      </c>
      <c r="F860" t="n">
        <v>4309</v>
      </c>
      <c r="G860" t="inlineStr">
        <is>
          <t>Discharge summary</t>
        </is>
      </c>
      <c r="H860" t="inlineStr">
        <is>
          <t>hospital-course</t>
        </is>
      </c>
      <c r="I860" t="inlineStr">
        <is>
          <t>Started po midodrine for low BP.</t>
        </is>
      </c>
    </row>
    <row r="861">
      <c r="A861" t="inlineStr">
        <is>
          <t>4309-hospital-course-2-7</t>
        </is>
      </c>
      <c r="B861" t="inlineStr"/>
      <c r="C861" t="inlineStr"/>
      <c r="D861">
        <f>HYPERLINK("http://nlpdeep.cs.uic.edu:8080/proofing/gsii/4309-hospital-course-2-7.pdf","gsii/4309-hospital-course-2-7.pdf")</f>
        <v/>
      </c>
      <c r="E861" t="n">
        <v>109181</v>
      </c>
      <c r="F861" t="n">
        <v>4309</v>
      </c>
      <c r="G861" t="inlineStr">
        <is>
          <t>Discharge summary</t>
        </is>
      </c>
      <c r="H861" t="inlineStr">
        <is>
          <t>hospital-course</t>
        </is>
      </c>
      <c r="I861" t="inlineStr">
        <is>
          <t>Started po midodrine for low BP.</t>
        </is>
      </c>
    </row>
    <row r="862">
      <c r="A862" t="inlineStr">
        <is>
          <t>4309-hospital-course-2-8</t>
        </is>
      </c>
      <c r="B862" t="inlineStr"/>
      <c r="C862" t="inlineStr"/>
      <c r="D862">
        <f>HYPERLINK("http://nlpdeep.cs.uic.edu:8080/proofing/t5/4309-hospital-course-2-8.pdf","t5/4309-hospital-course-2-8.pdf")</f>
        <v/>
      </c>
      <c r="E862" t="n">
        <v>109181</v>
      </c>
      <c r="F862" t="n">
        <v>4309</v>
      </c>
      <c r="G862" t="inlineStr">
        <is>
          <t>Discharge summary</t>
        </is>
      </c>
      <c r="H862" t="inlineStr">
        <is>
          <t>hospital-course</t>
        </is>
      </c>
      <c r="I862" t="inlineStr">
        <is>
          <t xml:space="preserve">
Started Neo with little effect on SBP SBP 78 on 3mcg/kg/min.</t>
        </is>
      </c>
    </row>
    <row r="863">
      <c r="A863" t="inlineStr">
        <is>
          <t>4309-hospital-course-2-8</t>
        </is>
      </c>
      <c r="B863" t="inlineStr"/>
      <c r="C863" t="inlineStr"/>
      <c r="D863">
        <f>HYPERLINK("http://nlpdeep.cs.uic.edu:8080/proofing/gsii/4309-hospital-course-2-8.pdf","gsii/4309-hospital-course-2-8.pdf")</f>
        <v/>
      </c>
      <c r="E863" t="n">
        <v>109181</v>
      </c>
      <c r="F863" t="n">
        <v>4309</v>
      </c>
      <c r="G863" t="inlineStr">
        <is>
          <t>Discharge summary</t>
        </is>
      </c>
      <c r="H863" t="inlineStr">
        <is>
          <t>hospital-course</t>
        </is>
      </c>
      <c r="I863" t="inlineStr">
        <is>
          <t xml:space="preserve">
Started Neo with little effect on SBP SBP 78 on 3mcg/kg/min.</t>
        </is>
      </c>
    </row>
    <row r="864">
      <c r="A864" t="inlineStr">
        <is>
          <t>4309-hospital-course-2-9</t>
        </is>
      </c>
      <c r="B864" t="inlineStr"/>
      <c r="C864" t="inlineStr"/>
      <c r="D864">
        <f>HYPERLINK("http://nlpdeep.cs.uic.edu:8080/proofing/t5/4309-hospital-course-2-9.pdf","t5/4309-hospital-course-2-9.pdf")</f>
        <v/>
      </c>
      <c r="E864" t="n">
        <v>109181</v>
      </c>
      <c r="F864" t="n">
        <v>4309</v>
      </c>
      <c r="G864" t="inlineStr">
        <is>
          <t>Discharge summary</t>
        </is>
      </c>
      <c r="H864" t="inlineStr">
        <is>
          <t>hospital-course</t>
        </is>
      </c>
      <c r="I864" t="inlineStr">
        <is>
          <t xml:space="preserve">
Initally attempting to start CRRT at 1330hrs with slight
decrease in SBP but filter malfunctioned and blood returned and
new filter set up re-set up.</t>
        </is>
      </c>
    </row>
    <row r="865">
      <c r="A865" t="inlineStr">
        <is>
          <t>4309-hospital-course-2-9</t>
        </is>
      </c>
      <c r="B865" t="inlineStr"/>
      <c r="C865" t="inlineStr"/>
      <c r="D865">
        <f>HYPERLINK("http://nlpdeep.cs.uic.edu:8080/proofing/gsii/4309-hospital-course-2-9.pdf","gsii/4309-hospital-course-2-9.pdf")</f>
        <v/>
      </c>
      <c r="E865" t="n">
        <v>109181</v>
      </c>
      <c r="F865" t="n">
        <v>4309</v>
      </c>
      <c r="G865" t="inlineStr">
        <is>
          <t>Discharge summary</t>
        </is>
      </c>
      <c r="H865" t="inlineStr">
        <is>
          <t>hospital-course</t>
        </is>
      </c>
      <c r="I865" t="inlineStr">
        <is>
          <t xml:space="preserve">
Initally attempting to start CRRT at 1330hrs with slight
decrease in SBP but filter malfunctioned and blood returned and
new filter set up re-set up.</t>
        </is>
      </c>
    </row>
    <row r="866">
      <c r="A866" t="inlineStr">
        <is>
          <t>4309-hospital-course-2-10</t>
        </is>
      </c>
      <c r="B866" t="inlineStr"/>
      <c r="C866" t="inlineStr"/>
      <c r="D866">
        <f>HYPERLINK("http://nlpdeep.cs.uic.edu:8080/proofing/t5/4309-hospital-course-2-10.pdf","t5/4309-hospital-course-2-10.pdf")</f>
        <v/>
      </c>
      <c r="E866" t="n">
        <v>109181</v>
      </c>
      <c r="F866" t="n">
        <v>4309</v>
      </c>
      <c r="G866" t="inlineStr">
        <is>
          <t>Discharge summary</t>
        </is>
      </c>
      <c r="H866" t="inlineStr">
        <is>
          <t>hospital-course</t>
        </is>
      </c>
      <c r="I866" t="inlineStr">
        <is>
          <t>CRRT re-started with no fluid
removal at 1500hrs ?????? titrated up Neo to 5mcg/kg/min when sBP
started to decreased to low 70s ??????</t>
        </is>
      </c>
    </row>
    <row r="867">
      <c r="A867" t="inlineStr">
        <is>
          <t>4309-hospital-course-2-10</t>
        </is>
      </c>
      <c r="B867" t="inlineStr"/>
      <c r="C867" t="inlineStr"/>
      <c r="D867">
        <f>HYPERLINK("http://nlpdeep.cs.uic.edu:8080/proofing/gsii/4309-hospital-course-2-10.pdf","gsii/4309-hospital-course-2-10.pdf")</f>
        <v/>
      </c>
      <c r="E867" t="n">
        <v>109181</v>
      </c>
      <c r="F867" t="n">
        <v>4309</v>
      </c>
      <c r="G867" t="inlineStr">
        <is>
          <t>Discharge summary</t>
        </is>
      </c>
      <c r="H867" t="inlineStr">
        <is>
          <t>hospital-course</t>
        </is>
      </c>
      <c r="I867" t="inlineStr">
        <is>
          <t>CRRT re-started with no fluid
removal at 1500hrs ?????? titrated up Neo to 5mcg/kg/min when sBP
started to decreased to low 70s ??????</t>
        </is>
      </c>
    </row>
    <row r="868">
      <c r="A868" t="inlineStr">
        <is>
          <t>4309-hospital-course-2-11</t>
        </is>
      </c>
      <c r="B868" t="inlineStr"/>
      <c r="C868" t="inlineStr"/>
      <c r="D868">
        <f>HYPERLINK("http://nlpdeep.cs.uic.edu:8080/proofing/t5/4309-hospital-course-2-11.pdf","t5/4309-hospital-course-2-11.pdf")</f>
        <v/>
      </c>
      <c r="E868" t="n">
        <v>109181</v>
      </c>
      <c r="F868" t="n">
        <v>4309</v>
      </c>
      <c r="G868" t="inlineStr">
        <is>
          <t>Discharge summary</t>
        </is>
      </c>
      <c r="H868" t="inlineStr">
        <is>
          <t>hospital-course</t>
        </is>
      </c>
      <c r="I868" t="inlineStr">
        <is>
          <t>for ~2min had increased fluid
removal rate to remove only IVF that were being given to patient
for CRRT but turned it back down to zero for no fluid removal
when SBP decreasing to low 70s then turned off CRRT when BP
dropped to 60s ?????? pt became unresponsive and CODE called.</t>
        </is>
      </c>
    </row>
    <row r="869">
      <c r="A869" t="inlineStr">
        <is>
          <t>4309-hospital-course-2-11</t>
        </is>
      </c>
      <c r="B869" t="inlineStr"/>
      <c r="C869" t="inlineStr"/>
      <c r="D869">
        <f>HYPERLINK("http://nlpdeep.cs.uic.edu:8080/proofing/gsii/4309-hospital-course-2-11.pdf","gsii/4309-hospital-course-2-11.pdf")</f>
        <v/>
      </c>
      <c r="E869" t="n">
        <v>109181</v>
      </c>
      <c r="F869" t="n">
        <v>4309</v>
      </c>
      <c r="G869" t="inlineStr">
        <is>
          <t>Discharge summary</t>
        </is>
      </c>
      <c r="H869" t="inlineStr">
        <is>
          <t>hospital-course</t>
        </is>
      </c>
      <c r="I869" t="inlineStr">
        <is>
          <t>for ~2min had increased fluid
removal rate to remove only IVF that were being given to patient
for CRRT but turned it back down to zero for no fluid removal
when SBP decreasing to low 70s then turned off CRRT when BP
dropped to 60s ?????? pt became unresponsive and CODE called.</t>
        </is>
      </c>
    </row>
    <row r="870">
      <c r="A870" t="inlineStr">
        <is>
          <t>4309-hospital-course-2-12</t>
        </is>
      </c>
      <c r="B870" t="inlineStr"/>
      <c r="C870" t="inlineStr"/>
      <c r="D870">
        <f>HYPERLINK("http://nlpdeep.cs.uic.edu:8080/proofing/t5/4309-hospital-course-2-12.pdf","t5/4309-hospital-course-2-12.pdf")</f>
        <v/>
      </c>
      <c r="E870" t="n">
        <v>109181</v>
      </c>
      <c r="F870" t="n">
        <v>4309</v>
      </c>
      <c r="G870" t="inlineStr">
        <is>
          <t>Discharge summary</t>
        </is>
      </c>
      <c r="H870" t="inlineStr">
        <is>
          <t>hospital-course</t>
        </is>
      </c>
      <c r="I870" t="inlineStr">
        <is>
          <t>Pt was
in PEA, then junctional, back to PEA then vfib ?????? shocked 6
times, CPR throughout code situation, multiple code meds given
including epi, amio, lido.</t>
        </is>
      </c>
    </row>
    <row r="871">
      <c r="A871" t="inlineStr">
        <is>
          <t>4309-hospital-course-2-12</t>
        </is>
      </c>
      <c r="B871" t="inlineStr"/>
      <c r="C871" t="inlineStr"/>
      <c r="D871">
        <f>HYPERLINK("http://nlpdeep.cs.uic.edu:8080/proofing/gsii/4309-hospital-course-2-12.pdf","gsii/4309-hospital-course-2-12.pdf")</f>
        <v/>
      </c>
      <c r="E871" t="n">
        <v>109181</v>
      </c>
      <c r="F871" t="n">
        <v>4309</v>
      </c>
      <c r="G871" t="inlineStr">
        <is>
          <t>Discharge summary</t>
        </is>
      </c>
      <c r="H871" t="inlineStr">
        <is>
          <t>hospital-course</t>
        </is>
      </c>
      <c r="I871" t="inlineStr">
        <is>
          <t>Pt was
in PEA, then junctional, back to PEA then vfib ?????? shocked 6
times, CPR throughout code situation, multiple code meds given
including epi, amio, lido.</t>
        </is>
      </c>
    </row>
    <row r="872">
      <c r="A872" t="inlineStr">
        <is>
          <t>4309-hospital-course-2-13</t>
        </is>
      </c>
      <c r="B872" t="inlineStr"/>
      <c r="C872" t="inlineStr"/>
      <c r="D872">
        <f>HYPERLINK("http://nlpdeep.cs.uic.edu:8080/proofing/t5/4309-hospital-course-2-13.pdf","t5/4309-hospital-course-2-13.pdf")</f>
        <v/>
      </c>
      <c r="E872" t="n">
        <v>109181</v>
      </c>
      <c r="F872" t="n">
        <v>4309</v>
      </c>
      <c r="G872" t="inlineStr">
        <is>
          <t>Discharge summary</t>
        </is>
      </c>
      <c r="H872" t="inlineStr">
        <is>
          <t>hospital-course</t>
        </is>
      </c>
      <c r="I872" t="inlineStr">
        <is>
          <t>return of blood pressure and pulse
after initiation of 5 pressors.</t>
        </is>
      </c>
    </row>
    <row r="873">
      <c r="A873" t="inlineStr">
        <is>
          <t>4309-hospital-course-2-13</t>
        </is>
      </c>
      <c r="B873" t="inlineStr"/>
      <c r="C873" t="inlineStr"/>
      <c r="D873">
        <f>HYPERLINK("http://nlpdeep.cs.uic.edu:8080/proofing/gsii/4309-hospital-course-2-13.pdf","gsii/4309-hospital-course-2-13.pdf")</f>
        <v/>
      </c>
      <c r="E873" t="n">
        <v>109181</v>
      </c>
      <c r="F873" t="n">
        <v>4309</v>
      </c>
      <c r="G873" t="inlineStr">
        <is>
          <t>Discharge summary</t>
        </is>
      </c>
      <c r="H873" t="inlineStr">
        <is>
          <t>hospital-course</t>
        </is>
      </c>
      <c r="I873" t="inlineStr">
        <is>
          <t>return of blood pressure and pulse
after initiation of 5 pressors.</t>
        </is>
      </c>
    </row>
    <row r="874">
      <c r="A874" t="inlineStr">
        <is>
          <t>4309-hospital-course-2-14</t>
        </is>
      </c>
      <c r="B874" t="inlineStr"/>
      <c r="C874" t="inlineStr"/>
      <c r="D874">
        <f>HYPERLINK("http://nlpdeep.cs.uic.edu:8080/proofing/t5/4309-hospital-course-2-14.pdf","t5/4309-hospital-course-2-14.pdf")</f>
        <v/>
      </c>
      <c r="E874" t="n">
        <v>109181</v>
      </c>
      <c r="F874" t="n">
        <v>4309</v>
      </c>
      <c r="G874" t="inlineStr">
        <is>
          <t>Discharge summary</t>
        </is>
      </c>
      <c r="H874" t="inlineStr">
        <is>
          <t>hospital-course</t>
        </is>
      </c>
      <c r="I874" t="inlineStr">
        <is>
          <t>Family was in contact with CCU
team ?????? code called at 1555hrs after 45 minutes of coding.</t>
        </is>
      </c>
    </row>
    <row r="875">
      <c r="A875" t="inlineStr">
        <is>
          <t>4309-hospital-course-2-14</t>
        </is>
      </c>
      <c r="B875" t="inlineStr"/>
      <c r="C875" t="inlineStr"/>
      <c r="D875">
        <f>HYPERLINK("http://nlpdeep.cs.uic.edu:8080/proofing/gsii/4309-hospital-course-2-14.pdf","gsii/4309-hospital-course-2-14.pdf")</f>
        <v/>
      </c>
      <c r="E875" t="n">
        <v>109181</v>
      </c>
      <c r="F875" t="n">
        <v>4309</v>
      </c>
      <c r="G875" t="inlineStr">
        <is>
          <t>Discharge summary</t>
        </is>
      </c>
      <c r="H875" t="inlineStr">
        <is>
          <t>hospital-course</t>
        </is>
      </c>
      <c r="I875" t="inlineStr">
        <is>
          <t>Family was in contact with CCU
team ?????? code called at 1555hrs after 45 minutes of coding.</t>
        </is>
      </c>
    </row>
    <row r="876">
      <c r="A876" t="inlineStr">
        <is>
          <t>4309-hospital-course-2-15</t>
        </is>
      </c>
      <c r="B876" t="inlineStr"/>
      <c r="C876" t="inlineStr"/>
      <c r="D876">
        <f>HYPERLINK("http://nlpdeep.cs.uic.edu:8080/proofing/t5/4309-hospital-course-2-15.pdf","t5/4309-hospital-course-2-15.pdf")</f>
        <v/>
      </c>
      <c r="E876" t="n">
        <v>109181</v>
      </c>
      <c r="F876" t="n">
        <v>4309</v>
      </c>
      <c r="G876" t="inlineStr">
        <is>
          <t>Discharge summary</t>
        </is>
      </c>
      <c r="H876" t="inlineStr">
        <is>
          <t>hospital-course</t>
        </is>
      </c>
      <c r="I876" t="inlineStr">
        <is>
          <t>Family
stated not to escalate care.</t>
        </is>
      </c>
    </row>
    <row r="877">
      <c r="A877" t="inlineStr">
        <is>
          <t>4309-hospital-course-2-15</t>
        </is>
      </c>
      <c r="B877" t="inlineStr"/>
      <c r="C877" t="inlineStr"/>
      <c r="D877">
        <f>HYPERLINK("http://nlpdeep.cs.uic.edu:8080/proofing/gsii/4309-hospital-course-2-15.pdf","gsii/4309-hospital-course-2-15.pdf")</f>
        <v/>
      </c>
      <c r="E877" t="n">
        <v>109181</v>
      </c>
      <c r="F877" t="n">
        <v>4309</v>
      </c>
      <c r="G877" t="inlineStr">
        <is>
          <t>Discharge summary</t>
        </is>
      </c>
      <c r="H877" t="inlineStr">
        <is>
          <t>hospital-course</t>
        </is>
      </c>
      <c r="I877" t="inlineStr">
        <is>
          <t>Family
stated not to escalate care.</t>
        </is>
      </c>
    </row>
    <row r="878">
      <c r="A878" t="inlineStr">
        <is>
          <t>4309-hospital-course-2-16</t>
        </is>
      </c>
      <c r="B878" t="inlineStr"/>
      <c r="C878" t="inlineStr"/>
      <c r="D878">
        <f>HYPERLINK("http://nlpdeep.cs.uic.edu:8080/proofing/t5/4309-hospital-course-2-16.pdf","t5/4309-hospital-course-2-16.pdf")</f>
        <v/>
      </c>
      <c r="E878" t="n">
        <v>109181</v>
      </c>
      <c r="F878" t="n">
        <v>4309</v>
      </c>
      <c r="G878" t="inlineStr">
        <is>
          <t>Discharge summary</t>
        </is>
      </c>
      <c r="H878" t="inlineStr">
        <is>
          <t>hospital-course</t>
        </is>
      </c>
      <c r="I878" t="inlineStr">
        <is>
          <t>Approximately 2L IVF given during
code.</t>
        </is>
      </c>
    </row>
    <row r="879">
      <c r="A879" t="inlineStr">
        <is>
          <t>4309-hospital-course-2-16</t>
        </is>
      </c>
      <c r="B879" t="inlineStr"/>
      <c r="C879" t="inlineStr"/>
      <c r="D879">
        <f>HYPERLINK("http://nlpdeep.cs.uic.edu:8080/proofing/gsii/4309-hospital-course-2-16.pdf","gsii/4309-hospital-course-2-16.pdf")</f>
        <v/>
      </c>
      <c r="E879" t="n">
        <v>109181</v>
      </c>
      <c r="F879" t="n">
        <v>4309</v>
      </c>
      <c r="G879" t="inlineStr">
        <is>
          <t>Discharge summary</t>
        </is>
      </c>
      <c r="H879" t="inlineStr">
        <is>
          <t>hospital-course</t>
        </is>
      </c>
      <c r="I879" t="inlineStr">
        <is>
          <t>Approximately 2L IVF given during
code.</t>
        </is>
      </c>
    </row>
    <row r="880">
      <c r="A880" t="inlineStr">
        <is>
          <t>4309-hospital-course-2-17</t>
        </is>
      </c>
      <c r="B880" t="inlineStr"/>
      <c r="C880" t="inlineStr"/>
      <c r="D880">
        <f>HYPERLINK("http://nlpdeep.cs.uic.edu:8080/proofing/t5/4309-hospital-course-2-17.pdf","t5/4309-hospital-course-2-17.pdf")</f>
        <v/>
      </c>
      <c r="E880" t="n">
        <v>109181</v>
      </c>
      <c r="F880" t="n">
        <v>4309</v>
      </c>
      <c r="G880" t="inlineStr">
        <is>
          <t>Discharge summary</t>
        </is>
      </c>
      <c r="H880" t="inlineStr">
        <is>
          <t>hospital-course</t>
        </is>
      </c>
      <c r="I880" t="inlineStr">
        <is>
          <t>ABP 70s with a bradycardic rhythm with weak pulse until pt
became hypotensive and asystolic, time of death 1631hrs.</t>
        </is>
      </c>
    </row>
    <row r="881">
      <c r="A881" t="inlineStr">
        <is>
          <t>4309-hospital-course-2-17</t>
        </is>
      </c>
      <c r="B881" t="inlineStr"/>
      <c r="C881" t="inlineStr"/>
      <c r="D881">
        <f>HYPERLINK("http://nlpdeep.cs.uic.edu:8080/proofing/gsii/4309-hospital-course-2-17.pdf","gsii/4309-hospital-course-2-17.pdf")</f>
        <v/>
      </c>
      <c r="E881" t="n">
        <v>109181</v>
      </c>
      <c r="F881" t="n">
        <v>4309</v>
      </c>
      <c r="G881" t="inlineStr">
        <is>
          <t>Discharge summary</t>
        </is>
      </c>
      <c r="H881" t="inlineStr">
        <is>
          <t>hospital-course</t>
        </is>
      </c>
      <c r="I881" t="inlineStr">
        <is>
          <t>ABP 70s with a bradycardic rhythm with weak pulse until pt
became hypotensive and asystolic, time of death 1631hrs.</t>
        </is>
      </c>
    </row>
    <row r="882">
      <c r="A882" t="inlineStr">
        <is>
          <t>4309-hospital-course-2-18</t>
        </is>
      </c>
      <c r="B882" t="inlineStr"/>
      <c r="C882" t="inlineStr"/>
      <c r="D882">
        <f>HYPERLINK("http://nlpdeep.cs.uic.edu:8080/proofing/t5/4309-hospital-course-2-18.pdf","t5/4309-hospital-course-2-18.pdf")</f>
        <v/>
      </c>
      <c r="E882" t="n">
        <v>109181</v>
      </c>
      <c r="F882" t="n">
        <v>4309</v>
      </c>
      <c r="G882" t="inlineStr">
        <is>
          <t>Discharge summary</t>
        </is>
      </c>
      <c r="H882" t="inlineStr">
        <is>
          <t>hospital-course</t>
        </is>
      </c>
      <c r="I882" t="inlineStr">
        <is>
          <t>Family
+ HCP [**Name (NI) 18659**] notified and one Son [**Name (NI) 12239**] and Grandson came in to
visit, rest of family staying home, belongings given to family.</t>
        </is>
      </c>
    </row>
    <row r="883">
      <c r="A883" t="inlineStr">
        <is>
          <t>4309-hospital-course-2-18</t>
        </is>
      </c>
      <c r="B883" t="inlineStr"/>
      <c r="C883" t="inlineStr"/>
      <c r="D883">
        <f>HYPERLINK("http://nlpdeep.cs.uic.edu:8080/proofing/gsii/4309-hospital-course-2-18.pdf","gsii/4309-hospital-course-2-18.pdf")</f>
        <v/>
      </c>
      <c r="E883" t="n">
        <v>109181</v>
      </c>
      <c r="F883" t="n">
        <v>4309</v>
      </c>
      <c r="G883" t="inlineStr">
        <is>
          <t>Discharge summary</t>
        </is>
      </c>
      <c r="H883" t="inlineStr">
        <is>
          <t>hospital-course</t>
        </is>
      </c>
      <c r="I883" t="inlineStr">
        <is>
          <t>Family
+ HCP [**Name (NI) 18659**] notified and one Son [**Name (NI) 12239**] and Grandson came in to
visit, rest of family staying home, belongings given to family.</t>
        </is>
      </c>
    </row>
    <row r="884">
      <c r="A884" t="inlineStr">
        <is>
          <t>4309-hospital-course-3-0</t>
        </is>
      </c>
      <c r="B884" t="inlineStr"/>
      <c r="C884" t="inlineStr"/>
      <c r="D884">
        <f>HYPERLINK("http://nlpdeep.cs.uic.edu:8080/proofing/t5/4309-hospital-course-3-0.pdf","t5/4309-hospital-course-3-0.pdf")</f>
        <v/>
      </c>
      <c r="E884" t="n">
        <v>109181</v>
      </c>
      <c r="F884" t="n">
        <v>4309</v>
      </c>
      <c r="G884" t="inlineStr">
        <is>
          <t>Discharge summary</t>
        </is>
      </c>
      <c r="H884" t="inlineStr">
        <is>
          <t>hospital-course</t>
        </is>
      </c>
      <c r="I884" t="inlineStr">
        <is>
          <t xml:space="preserve">
#CAD: Pt with ACS, cath showed 2 vessel disease see ACS above.</t>
        </is>
      </c>
    </row>
    <row r="885">
      <c r="A885" t="inlineStr">
        <is>
          <t>4309-hospital-course-3-0</t>
        </is>
      </c>
      <c r="B885" t="inlineStr"/>
      <c r="C885" t="inlineStr"/>
      <c r="D885">
        <f>HYPERLINK("http://nlpdeep.cs.uic.edu:8080/proofing/gsii/4309-hospital-course-3-0.pdf","gsii/4309-hospital-course-3-0.pdf")</f>
        <v/>
      </c>
      <c r="E885" t="n">
        <v>109181</v>
      </c>
      <c r="F885" t="n">
        <v>4309</v>
      </c>
      <c r="G885" t="inlineStr">
        <is>
          <t>Discharge summary</t>
        </is>
      </c>
      <c r="H885" t="inlineStr">
        <is>
          <t>hospital-course</t>
        </is>
      </c>
      <c r="I885" t="inlineStr">
        <is>
          <t xml:space="preserve">
#CAD: Pt with ACS, cath showed 2 vessel disease see ACS above.</t>
        </is>
      </c>
    </row>
    <row r="886">
      <c r="A886" t="inlineStr">
        <is>
          <t>4309-hospital-course-3-1</t>
        </is>
      </c>
      <c r="B886" t="inlineStr"/>
      <c r="C886" t="inlineStr"/>
      <c r="D886">
        <f>HYPERLINK("http://nlpdeep.cs.uic.edu:8080/proofing/t5/4309-hospital-course-3-1.pdf","t5/4309-hospital-course-3-1.pdf")</f>
        <v/>
      </c>
      <c r="E886" t="n">
        <v>109181</v>
      </c>
      <c r="F886" t="n">
        <v>4309</v>
      </c>
      <c r="G886" t="inlineStr">
        <is>
          <t>Discharge summary</t>
        </is>
      </c>
      <c r="H886" t="inlineStr">
        <is>
          <t>hospital-course</t>
        </is>
      </c>
      <c r="I886" t="inlineStr">
        <is>
          <t xml:space="preserve">
Echo showed compared with the prior study of [**2166-9-12**], regional
left ventricular systolic dysfunction is more extensive (distal
LAD territory).</t>
        </is>
      </c>
    </row>
    <row r="887">
      <c r="A887" t="inlineStr">
        <is>
          <t>4309-hospital-course-3-1</t>
        </is>
      </c>
      <c r="B887" t="inlineStr"/>
      <c r="C887" t="inlineStr"/>
      <c r="D887">
        <f>HYPERLINK("http://nlpdeep.cs.uic.edu:8080/proofing/gsii/4309-hospital-course-3-1.pdf","gsii/4309-hospital-course-3-1.pdf")</f>
        <v/>
      </c>
      <c r="E887" t="n">
        <v>109181</v>
      </c>
      <c r="F887" t="n">
        <v>4309</v>
      </c>
      <c r="G887" t="inlineStr">
        <is>
          <t>Discharge summary</t>
        </is>
      </c>
      <c r="H887" t="inlineStr">
        <is>
          <t>hospital-course</t>
        </is>
      </c>
      <c r="I887" t="inlineStr">
        <is>
          <t xml:space="preserve">
Echo showed compared with the prior study of [**2166-9-12**], regional
left ventricular systolic dysfunction is more extensive (distal
LAD territory).</t>
        </is>
      </c>
    </row>
    <row r="888">
      <c r="A888" t="inlineStr">
        <is>
          <t>4309-hospital-course-3-2</t>
        </is>
      </c>
      <c r="B888" t="inlineStr"/>
      <c r="C888" t="inlineStr"/>
      <c r="D888">
        <f>HYPERLINK("http://nlpdeep.cs.uic.edu:8080/proofing/t5/4309-hospital-course-3-2.pdf","t5/4309-hospital-course-3-2.pdf")</f>
        <v/>
      </c>
      <c r="E888" t="n">
        <v>109181</v>
      </c>
      <c r="F888" t="n">
        <v>4309</v>
      </c>
      <c r="G888" t="inlineStr">
        <is>
          <t>Discharge summary</t>
        </is>
      </c>
      <c r="H888" t="inlineStr">
        <is>
          <t>hospital-course</t>
        </is>
      </c>
      <c r="I888" t="inlineStr">
        <is>
          <t>The severity of pulmonary hypertension has
increased.</t>
        </is>
      </c>
    </row>
    <row r="889">
      <c r="A889" t="inlineStr">
        <is>
          <t>4309-hospital-course-3-2</t>
        </is>
      </c>
      <c r="B889" t="inlineStr"/>
      <c r="C889" t="inlineStr"/>
      <c r="D889">
        <f>HYPERLINK("http://nlpdeep.cs.uic.edu:8080/proofing/gsii/4309-hospital-course-3-2.pdf","gsii/4309-hospital-course-3-2.pdf")</f>
        <v/>
      </c>
      <c r="E889" t="n">
        <v>109181</v>
      </c>
      <c r="F889" t="n">
        <v>4309</v>
      </c>
      <c r="G889" t="inlineStr">
        <is>
          <t>Discharge summary</t>
        </is>
      </c>
      <c r="H889" t="inlineStr">
        <is>
          <t>hospital-course</t>
        </is>
      </c>
      <c r="I889" t="inlineStr">
        <is>
          <t>The severity of pulmonary hypertension has
increased.</t>
        </is>
      </c>
    </row>
    <row r="890">
      <c r="A890" t="inlineStr">
        <is>
          <t>4309-hospital-course-3-3</t>
        </is>
      </c>
      <c r="B890" t="inlineStr"/>
      <c r="C890" t="inlineStr"/>
      <c r="D890">
        <f>HYPERLINK("http://nlpdeep.cs.uic.edu:8080/proofing/t5/4309-hospital-course-3-3.pdf","t5/4309-hospital-course-3-3.pdf")</f>
        <v/>
      </c>
      <c r="E890" t="n">
        <v>109181</v>
      </c>
      <c r="F890" t="n">
        <v>4309</v>
      </c>
      <c r="G890" t="inlineStr">
        <is>
          <t>Discharge summary</t>
        </is>
      </c>
      <c r="H890" t="inlineStr">
        <is>
          <t>hospital-course</t>
        </is>
      </c>
      <c r="I890" t="inlineStr">
        <is>
          <t>There is right ventricular dysfunction.</t>
        </is>
      </c>
    </row>
    <row r="891">
      <c r="A891" t="inlineStr">
        <is>
          <t>4309-hospital-course-3-3</t>
        </is>
      </c>
      <c r="B891" t="inlineStr"/>
      <c r="C891" t="inlineStr"/>
      <c r="D891">
        <f>HYPERLINK("http://nlpdeep.cs.uic.edu:8080/proofing/gsii/4309-hospital-course-3-3.pdf","gsii/4309-hospital-course-3-3.pdf")</f>
        <v/>
      </c>
      <c r="E891" t="n">
        <v>109181</v>
      </c>
      <c r="F891" t="n">
        <v>4309</v>
      </c>
      <c r="G891" t="inlineStr">
        <is>
          <t>Discharge summary</t>
        </is>
      </c>
      <c r="H891" t="inlineStr">
        <is>
          <t>hospital-course</t>
        </is>
      </c>
      <c r="I891" t="inlineStr">
        <is>
          <t>There is right ventricular dysfunction.</t>
        </is>
      </c>
    </row>
    <row r="892">
      <c r="A892" t="inlineStr">
        <is>
          <t>4309-hospital-course-3-4</t>
        </is>
      </c>
      <c r="B892" t="inlineStr"/>
      <c r="C892" t="inlineStr"/>
      <c r="D892">
        <f>HYPERLINK("http://nlpdeep.cs.uic.edu:8080/proofing/t5/4309-hospital-course-3-4.pdf","t5/4309-hospital-course-3-4.pdf")</f>
        <v/>
      </c>
      <c r="E892" t="n">
        <v>109181</v>
      </c>
      <c r="F892" t="n">
        <v>4309</v>
      </c>
      <c r="G892" t="inlineStr">
        <is>
          <t>Discharge summary</t>
        </is>
      </c>
      <c r="H892" t="inlineStr">
        <is>
          <t>hospital-course</t>
        </is>
      </c>
      <c r="I892" t="inlineStr">
        <is>
          <t>The aortic
valve vegetation appears similar in size.</t>
        </is>
      </c>
    </row>
    <row r="893">
      <c r="A893" t="inlineStr">
        <is>
          <t>4309-hospital-course-3-4</t>
        </is>
      </c>
      <c r="B893" t="inlineStr"/>
      <c r="C893" t="inlineStr"/>
      <c r="D893">
        <f>HYPERLINK("http://nlpdeep.cs.uic.edu:8080/proofing/gsii/4309-hospital-course-3-4.pdf","gsii/4309-hospital-course-3-4.pdf")</f>
        <v/>
      </c>
      <c r="E893" t="n">
        <v>109181</v>
      </c>
      <c r="F893" t="n">
        <v>4309</v>
      </c>
      <c r="G893" t="inlineStr">
        <is>
          <t>Discharge summary</t>
        </is>
      </c>
      <c r="H893" t="inlineStr">
        <is>
          <t>hospital-course</t>
        </is>
      </c>
      <c r="I893" t="inlineStr">
        <is>
          <t>The aortic
valve vegetation appears similar in size.</t>
        </is>
      </c>
    </row>
    <row r="894">
      <c r="A894" t="inlineStr">
        <is>
          <t>4309-hospital-course-3-5</t>
        </is>
      </c>
      <c r="B894" t="inlineStr"/>
      <c r="C894" t="inlineStr"/>
      <c r="D894">
        <f>HYPERLINK("http://nlpdeep.cs.uic.edu:8080/proofing/t5/4309-hospital-course-3-5.pdf","t5/4309-hospital-course-3-5.pdf")</f>
        <v/>
      </c>
      <c r="E894" t="n">
        <v>109181</v>
      </c>
      <c r="F894" t="n">
        <v>4309</v>
      </c>
      <c r="G894" t="inlineStr">
        <is>
          <t>Discharge summary</t>
        </is>
      </c>
      <c r="H894" t="inlineStr">
        <is>
          <t>hospital-course</t>
        </is>
      </c>
      <c r="I894" t="inlineStr">
        <is>
          <t>Started pt on beta
blocker (not part of home regimen).</t>
        </is>
      </c>
    </row>
    <row r="895">
      <c r="A895" t="inlineStr">
        <is>
          <t>4309-hospital-course-3-5</t>
        </is>
      </c>
      <c r="B895" t="inlineStr"/>
      <c r="C895" t="inlineStr"/>
      <c r="D895">
        <f>HYPERLINK("http://nlpdeep.cs.uic.edu:8080/proofing/gsii/4309-hospital-course-3-5.pdf","gsii/4309-hospital-course-3-5.pdf")</f>
        <v/>
      </c>
      <c r="E895" t="n">
        <v>109181</v>
      </c>
      <c r="F895" t="n">
        <v>4309</v>
      </c>
      <c r="G895" t="inlineStr">
        <is>
          <t>Discharge summary</t>
        </is>
      </c>
      <c r="H895" t="inlineStr">
        <is>
          <t>hospital-course</t>
        </is>
      </c>
      <c r="I895" t="inlineStr">
        <is>
          <t>Started pt on beta
blocker (not part of home regimen).</t>
        </is>
      </c>
    </row>
    <row r="896">
      <c r="A896" t="inlineStr">
        <is>
          <t>4309-hospital-course-4-0</t>
        </is>
      </c>
      <c r="B896" t="inlineStr"/>
      <c r="C896" t="inlineStr"/>
      <c r="D896">
        <f>HYPERLINK("http://nlpdeep.cs.uic.edu:8080/proofing/t5/4309-hospital-course-4-0.pdf","t5/4309-hospital-course-4-0.pdf")</f>
        <v/>
      </c>
      <c r="E896" t="n">
        <v>109181</v>
      </c>
      <c r="F896" t="n">
        <v>4309</v>
      </c>
      <c r="G896" t="inlineStr">
        <is>
          <t>Discharge summary</t>
        </is>
      </c>
      <c r="H896" t="inlineStr">
        <is>
          <t>hospital-course</t>
        </is>
      </c>
      <c r="I896" t="inlineStr">
        <is>
          <t xml:space="preserve">
#hypotension - pt with blood pressure in 80s/40s which appears
to be around his baseline.</t>
        </is>
      </c>
    </row>
    <row r="897">
      <c r="A897" t="inlineStr">
        <is>
          <t>4309-hospital-course-4-0</t>
        </is>
      </c>
      <c r="B897" t="inlineStr"/>
      <c r="C897" t="inlineStr"/>
      <c r="D897">
        <f>HYPERLINK("http://nlpdeep.cs.uic.edu:8080/proofing/gsii/4309-hospital-course-4-0.pdf","gsii/4309-hospital-course-4-0.pdf")</f>
        <v/>
      </c>
      <c r="E897" t="n">
        <v>109181</v>
      </c>
      <c r="F897" t="n">
        <v>4309</v>
      </c>
      <c r="G897" t="inlineStr">
        <is>
          <t>Discharge summary</t>
        </is>
      </c>
      <c r="H897" t="inlineStr">
        <is>
          <t>hospital-course</t>
        </is>
      </c>
      <c r="I897" t="inlineStr">
        <is>
          <t xml:space="preserve">
#hypotension - pt with blood pressure in 80s/40s which appears
to be around his baseline.</t>
        </is>
      </c>
    </row>
    <row r="898">
      <c r="A898" t="inlineStr">
        <is>
          <t>4309-hospital-course-4-1</t>
        </is>
      </c>
      <c r="B898" t="inlineStr"/>
      <c r="C898" t="inlineStr"/>
      <c r="D898">
        <f>HYPERLINK("http://nlpdeep.cs.uic.edu:8080/proofing/t5/4309-hospital-course-4-1.pdf","t5/4309-hospital-course-4-1.pdf")</f>
        <v/>
      </c>
      <c r="E898" t="n">
        <v>109181</v>
      </c>
      <c r="F898" t="n">
        <v>4309</v>
      </c>
      <c r="G898" t="inlineStr">
        <is>
          <t>Discharge summary</t>
        </is>
      </c>
      <c r="H898" t="inlineStr">
        <is>
          <t>hospital-course</t>
        </is>
      </c>
      <c r="I898" t="inlineStr">
        <is>
          <t>He receives midodrine at dialysis as
he has a history of hypotension with dialysis.</t>
        </is>
      </c>
    </row>
    <row r="899">
      <c r="A899" t="inlineStr">
        <is>
          <t>4309-hospital-course-4-1</t>
        </is>
      </c>
      <c r="B899" t="inlineStr"/>
      <c r="C899" t="inlineStr"/>
      <c r="D899">
        <f>HYPERLINK("http://nlpdeep.cs.uic.edu:8080/proofing/gsii/4309-hospital-course-4-1.pdf","gsii/4309-hospital-course-4-1.pdf")</f>
        <v/>
      </c>
      <c r="E899" t="n">
        <v>109181</v>
      </c>
      <c r="F899" t="n">
        <v>4309</v>
      </c>
      <c r="G899" t="inlineStr">
        <is>
          <t>Discharge summary</t>
        </is>
      </c>
      <c r="H899" t="inlineStr">
        <is>
          <t>hospital-course</t>
        </is>
      </c>
      <c r="I899" t="inlineStr">
        <is>
          <t>He receives midodrine at dialysis as
he has a history of hypotension with dialysis.</t>
        </is>
      </c>
    </row>
    <row r="900">
      <c r="A900" t="inlineStr">
        <is>
          <t>4309-hospital-course-4-2</t>
        </is>
      </c>
      <c r="B900" t="inlineStr"/>
      <c r="C900" t="inlineStr"/>
      <c r="D900">
        <f>HYPERLINK("http://nlpdeep.cs.uic.edu:8080/proofing/t5/4309-hospital-course-4-2.pdf","t5/4309-hospital-course-4-2.pdf")</f>
        <v/>
      </c>
      <c r="E900" t="n">
        <v>109181</v>
      </c>
      <c r="F900" t="n">
        <v>4309</v>
      </c>
      <c r="G900" t="inlineStr">
        <is>
          <t>Discharge summary</t>
        </is>
      </c>
      <c r="H900" t="inlineStr">
        <is>
          <t>hospital-course</t>
        </is>
      </c>
      <c r="I900" t="inlineStr">
        <is>
          <t>Was placed on
nitro gtt for continued chest pain but eventually weaned and
placed back on home imdur.</t>
        </is>
      </c>
    </row>
    <row r="901">
      <c r="A901" t="inlineStr">
        <is>
          <t>4309-hospital-course-4-2</t>
        </is>
      </c>
      <c r="B901" t="inlineStr"/>
      <c r="C901" t="inlineStr"/>
      <c r="D901">
        <f>HYPERLINK("http://nlpdeep.cs.uic.edu:8080/proofing/gsii/4309-hospital-course-4-2.pdf","gsii/4309-hospital-course-4-2.pdf")</f>
        <v/>
      </c>
      <c r="E901" t="n">
        <v>109181</v>
      </c>
      <c r="F901" t="n">
        <v>4309</v>
      </c>
      <c r="G901" t="inlineStr">
        <is>
          <t>Discharge summary</t>
        </is>
      </c>
      <c r="H901" t="inlineStr">
        <is>
          <t>hospital-course</t>
        </is>
      </c>
      <c r="I901" t="inlineStr">
        <is>
          <t>Was placed on
nitro gtt for continued chest pain but eventually weaned and
placed back on home imdur.</t>
        </is>
      </c>
    </row>
    <row r="902">
      <c r="A902" t="inlineStr">
        <is>
          <t>4309-hospital-course-4-3</t>
        </is>
      </c>
      <c r="B902" t="inlineStr"/>
      <c r="C902" t="inlineStr"/>
      <c r="D902">
        <f>HYPERLINK("http://nlpdeep.cs.uic.edu:8080/proofing/t5/4309-hospital-course-4-3.pdf","t5/4309-hospital-course-4-3.pdf")</f>
        <v/>
      </c>
      <c r="E902" t="n">
        <v>109181</v>
      </c>
      <c r="F902" t="n">
        <v>4309</v>
      </c>
      <c r="G902" t="inlineStr">
        <is>
          <t>Discharge summary</t>
        </is>
      </c>
      <c r="H902" t="inlineStr">
        <is>
          <t>hospital-course</t>
        </is>
      </c>
      <c r="I902" t="inlineStr">
        <is>
          <t>Hypotension was felt most likely [**2-12**]
underlying cardiac dysfunction exacerbated by nitro drip,
although hypotension persisted.</t>
        </is>
      </c>
    </row>
    <row r="903">
      <c r="A903" t="inlineStr">
        <is>
          <t>4309-hospital-course-4-3</t>
        </is>
      </c>
      <c r="B903" t="inlineStr"/>
      <c r="C903" t="inlineStr"/>
      <c r="D903">
        <f>HYPERLINK("http://nlpdeep.cs.uic.edu:8080/proofing/gsii/4309-hospital-course-4-3.pdf","gsii/4309-hospital-course-4-3.pdf")</f>
        <v/>
      </c>
      <c r="E903" t="n">
        <v>109181</v>
      </c>
      <c r="F903" t="n">
        <v>4309</v>
      </c>
      <c r="G903" t="inlineStr">
        <is>
          <t>Discharge summary</t>
        </is>
      </c>
      <c r="H903" t="inlineStr">
        <is>
          <t>hospital-course</t>
        </is>
      </c>
      <c r="I903" t="inlineStr">
        <is>
          <t>Hypotension was felt most likely [**2-12**]
underlying cardiac dysfunction exacerbated by nitro drip,
although hypotension persisted.</t>
        </is>
      </c>
    </row>
    <row r="904">
      <c r="A904" t="inlineStr">
        <is>
          <t>4309-hospital-course-4-4</t>
        </is>
      </c>
      <c r="B904" t="inlineStr"/>
      <c r="C904" t="inlineStr"/>
      <c r="D904">
        <f>HYPERLINK("http://nlpdeep.cs.uic.edu:8080/proofing/t5/4309-hospital-course-4-4.pdf","t5/4309-hospital-course-4-4.pdf")</f>
        <v/>
      </c>
      <c r="E904" t="n">
        <v>109181</v>
      </c>
      <c r="F904" t="n">
        <v>4309</v>
      </c>
      <c r="G904" t="inlineStr">
        <is>
          <t>Discharge summary</t>
        </is>
      </c>
      <c r="H904" t="inlineStr">
        <is>
          <t>hospital-course</t>
        </is>
      </c>
      <c r="I904" t="inlineStr">
        <is>
          <t>Pt was monitored on telemetry.</t>
        </is>
      </c>
    </row>
    <row r="905">
      <c r="A905" t="inlineStr">
        <is>
          <t>4309-hospital-course-4-4</t>
        </is>
      </c>
      <c r="B905" t="inlineStr"/>
      <c r="C905" t="inlineStr"/>
      <c r="D905">
        <f>HYPERLINK("http://nlpdeep.cs.uic.edu:8080/proofing/gsii/4309-hospital-course-4-4.pdf","gsii/4309-hospital-course-4-4.pdf")</f>
        <v/>
      </c>
      <c r="E905" t="n">
        <v>109181</v>
      </c>
      <c r="F905" t="n">
        <v>4309</v>
      </c>
      <c r="G905" t="inlineStr">
        <is>
          <t>Discharge summary</t>
        </is>
      </c>
      <c r="H905" t="inlineStr">
        <is>
          <t>hospital-course</t>
        </is>
      </c>
      <c r="I905" t="inlineStr">
        <is>
          <t>Pt was monitored on telemetry.</t>
        </is>
      </c>
    </row>
    <row r="906">
      <c r="A906" t="inlineStr">
        <is>
          <t>4309-hospital-course-5-0</t>
        </is>
      </c>
      <c r="B906" t="inlineStr"/>
      <c r="C906" t="inlineStr"/>
      <c r="D906">
        <f>HYPERLINK("http://nlpdeep.cs.uic.edu:8080/proofing/t5/4309-hospital-course-5-0.pdf","t5/4309-hospital-course-5-0.pdf")</f>
        <v/>
      </c>
      <c r="E906" t="n">
        <v>109181</v>
      </c>
      <c r="F906" t="n">
        <v>4309</v>
      </c>
      <c r="G906" t="inlineStr">
        <is>
          <t>Discharge summary</t>
        </is>
      </c>
      <c r="H906" t="inlineStr">
        <is>
          <t>hospital-course</t>
        </is>
      </c>
      <c r="I906" t="inlineStr">
        <is>
          <t xml:space="preserve">
#dyspnea - pt with new O2 requirement of 2-3L nasal cannula but
satting high 90s-100 on this regimen.</t>
        </is>
      </c>
    </row>
    <row r="907">
      <c r="A907" t="inlineStr">
        <is>
          <t>4309-hospital-course-5-0</t>
        </is>
      </c>
      <c r="B907" t="inlineStr"/>
      <c r="C907" t="inlineStr"/>
      <c r="D907">
        <f>HYPERLINK("http://nlpdeep.cs.uic.edu:8080/proofing/gsii/4309-hospital-course-5-0.pdf","gsii/4309-hospital-course-5-0.pdf")</f>
        <v/>
      </c>
      <c r="E907" t="n">
        <v>109181</v>
      </c>
      <c r="F907" t="n">
        <v>4309</v>
      </c>
      <c r="G907" t="inlineStr">
        <is>
          <t>Discharge summary</t>
        </is>
      </c>
      <c r="H907" t="inlineStr">
        <is>
          <t>hospital-course</t>
        </is>
      </c>
      <c r="I907" t="inlineStr">
        <is>
          <t xml:space="preserve">
#dyspnea - pt with new O2 requirement of 2-3L nasal cannula but
satting high 90s-100 on this regimen.</t>
        </is>
      </c>
    </row>
    <row r="908">
      <c r="A908" t="inlineStr">
        <is>
          <t>4309-hospital-course-5-1</t>
        </is>
      </c>
      <c r="B908" t="inlineStr"/>
      <c r="C908" t="inlineStr"/>
      <c r="D908">
        <f>HYPERLINK("http://nlpdeep.cs.uic.edu:8080/proofing/t5/4309-hospital-course-5-1.pdf","t5/4309-hospital-course-5-1.pdf")</f>
        <v/>
      </c>
      <c r="E908" t="n">
        <v>109181</v>
      </c>
      <c r="F908" t="n">
        <v>4309</v>
      </c>
      <c r="G908" t="inlineStr">
        <is>
          <t>Discharge summary</t>
        </is>
      </c>
      <c r="H908" t="inlineStr">
        <is>
          <t>hospital-course</t>
        </is>
      </c>
      <c r="I908" t="inlineStr">
        <is>
          <t>Satting well.</t>
        </is>
      </c>
    </row>
    <row r="909">
      <c r="A909" t="inlineStr">
        <is>
          <t>4309-hospital-course-5-1</t>
        </is>
      </c>
      <c r="B909" t="inlineStr"/>
      <c r="C909" t="inlineStr"/>
      <c r="D909">
        <f>HYPERLINK("http://nlpdeep.cs.uic.edu:8080/proofing/gsii/4309-hospital-course-5-1.pdf","gsii/4309-hospital-course-5-1.pdf")</f>
        <v/>
      </c>
      <c r="E909" t="n">
        <v>109181</v>
      </c>
      <c r="F909" t="n">
        <v>4309</v>
      </c>
      <c r="G909" t="inlineStr">
        <is>
          <t>Discharge summary</t>
        </is>
      </c>
      <c r="H909" t="inlineStr">
        <is>
          <t>hospital-course</t>
        </is>
      </c>
      <c r="I909" t="inlineStr">
        <is>
          <t>Satting well.</t>
        </is>
      </c>
    </row>
    <row r="910">
      <c r="A910" t="inlineStr">
        <is>
          <t>4309-hospital-course-5-2</t>
        </is>
      </c>
      <c r="B910" t="inlineStr"/>
      <c r="C910" t="inlineStr"/>
      <c r="D910">
        <f>HYPERLINK("http://nlpdeep.cs.uic.edu:8080/proofing/t5/4309-hospital-course-5-2.pdf","t5/4309-hospital-course-5-2.pdf")</f>
        <v/>
      </c>
      <c r="E910" t="n">
        <v>109181</v>
      </c>
      <c r="F910" t="n">
        <v>4309</v>
      </c>
      <c r="G910" t="inlineStr">
        <is>
          <t>Discharge summary</t>
        </is>
      </c>
      <c r="H910" t="inlineStr">
        <is>
          <t>hospital-course</t>
        </is>
      </c>
      <c r="I910" t="inlineStr">
        <is>
          <t>Seems that
he probably needed to be on O2 at home as he c/o significant
dyspnea prior to admission.</t>
        </is>
      </c>
    </row>
    <row r="911">
      <c r="A911" t="inlineStr">
        <is>
          <t>4309-hospital-course-5-2</t>
        </is>
      </c>
      <c r="B911" t="inlineStr"/>
      <c r="C911" t="inlineStr"/>
      <c r="D911">
        <f>HYPERLINK("http://nlpdeep.cs.uic.edu:8080/proofing/gsii/4309-hospital-course-5-2.pdf","gsii/4309-hospital-course-5-2.pdf")</f>
        <v/>
      </c>
      <c r="E911" t="n">
        <v>109181</v>
      </c>
      <c r="F911" t="n">
        <v>4309</v>
      </c>
      <c r="G911" t="inlineStr">
        <is>
          <t>Discharge summary</t>
        </is>
      </c>
      <c r="H911" t="inlineStr">
        <is>
          <t>hospital-course</t>
        </is>
      </c>
      <c r="I911" t="inlineStr">
        <is>
          <t>Seems that
he probably needed to be on O2 at home as he c/o significant
dyspnea prior to admission.</t>
        </is>
      </c>
    </row>
    <row r="912">
      <c r="A912" t="inlineStr">
        <is>
          <t>4309-hospital-course-5-3</t>
        </is>
      </c>
      <c r="B912" t="inlineStr"/>
      <c r="C912" t="inlineStr"/>
      <c r="D912">
        <f>HYPERLINK("http://nlpdeep.cs.uic.edu:8080/proofing/t5/4309-hospital-course-5-3.pdf","t5/4309-hospital-course-5-3.pdf")</f>
        <v/>
      </c>
      <c r="E912" t="n">
        <v>109181</v>
      </c>
      <c r="F912" t="n">
        <v>4309</v>
      </c>
      <c r="G912" t="inlineStr">
        <is>
          <t>Discharge summary</t>
        </is>
      </c>
      <c r="H912" t="inlineStr">
        <is>
          <t>hospital-course</t>
        </is>
      </c>
      <c r="I912" t="inlineStr">
        <is>
          <t>H/o 50 years of smoking, likely pt
with component of COPD - on advair at home which was continued.</t>
        </is>
      </c>
    </row>
    <row r="913">
      <c r="A913" t="inlineStr">
        <is>
          <t>4309-hospital-course-5-3</t>
        </is>
      </c>
      <c r="B913" t="inlineStr"/>
      <c r="C913" t="inlineStr"/>
      <c r="D913">
        <f>HYPERLINK("http://nlpdeep.cs.uic.edu:8080/proofing/gsii/4309-hospital-course-5-3.pdf","gsii/4309-hospital-course-5-3.pdf")</f>
        <v/>
      </c>
      <c r="E913" t="n">
        <v>109181</v>
      </c>
      <c r="F913" t="n">
        <v>4309</v>
      </c>
      <c r="G913" t="inlineStr">
        <is>
          <t>Discharge summary</t>
        </is>
      </c>
      <c r="H913" t="inlineStr">
        <is>
          <t>hospital-course</t>
        </is>
      </c>
      <c r="I913" t="inlineStr">
        <is>
          <t>H/o 50 years of smoking, likely pt
with component of COPD - on advair at home which was continued.</t>
        </is>
      </c>
    </row>
    <row r="914">
      <c r="A914" t="inlineStr">
        <is>
          <t>4309-hospital-course-5-4</t>
        </is>
      </c>
      <c r="B914" t="inlineStr"/>
      <c r="C914" t="inlineStr"/>
      <c r="D914">
        <f>HYPERLINK("http://nlpdeep.cs.uic.edu:8080/proofing/t5/4309-hospital-course-5-4.pdf","t5/4309-hospital-course-5-4.pdf")</f>
        <v/>
      </c>
      <c r="E914" t="n">
        <v>109181</v>
      </c>
      <c r="F914" t="n">
        <v>4309</v>
      </c>
      <c r="G914" t="inlineStr">
        <is>
          <t>Discharge summary</t>
        </is>
      </c>
      <c r="H914" t="inlineStr">
        <is>
          <t>hospital-course</t>
        </is>
      </c>
      <c r="I914" t="inlineStr">
        <is>
          <t xml:space="preserve">
Pt also given nebulizer treatments with good effect.</t>
        </is>
      </c>
    </row>
    <row r="915">
      <c r="A915" t="inlineStr">
        <is>
          <t>4309-hospital-course-5-4</t>
        </is>
      </c>
      <c r="B915" t="inlineStr"/>
      <c r="C915" t="inlineStr"/>
      <c r="D915">
        <f>HYPERLINK("http://nlpdeep.cs.uic.edu:8080/proofing/gsii/4309-hospital-course-5-4.pdf","gsii/4309-hospital-course-5-4.pdf")</f>
        <v/>
      </c>
      <c r="E915" t="n">
        <v>109181</v>
      </c>
      <c r="F915" t="n">
        <v>4309</v>
      </c>
      <c r="G915" t="inlineStr">
        <is>
          <t>Discharge summary</t>
        </is>
      </c>
      <c r="H915" t="inlineStr">
        <is>
          <t>hospital-course</t>
        </is>
      </c>
      <c r="I915" t="inlineStr">
        <is>
          <t xml:space="preserve">
Pt also given nebulizer treatments with good effect.</t>
        </is>
      </c>
    </row>
    <row r="916">
      <c r="A916" t="inlineStr">
        <is>
          <t>4309-hospital-course-5-5</t>
        </is>
      </c>
      <c r="B916" t="inlineStr"/>
      <c r="C916" t="inlineStr"/>
      <c r="D916">
        <f>HYPERLINK("http://nlpdeep.cs.uic.edu:8080/proofing/t5/4309-hospital-course-5-5.pdf","t5/4309-hospital-course-5-5.pdf")</f>
        <v/>
      </c>
      <c r="E916" t="n">
        <v>109181</v>
      </c>
      <c r="F916" t="n">
        <v>4309</v>
      </c>
      <c r="G916" t="inlineStr">
        <is>
          <t>Discharge summary</t>
        </is>
      </c>
      <c r="H916" t="inlineStr">
        <is>
          <t>hospital-course</t>
        </is>
      </c>
      <c r="I916" t="inlineStr">
        <is>
          <t>O2 sats
consistently monitored and remained in the mid-high 90s.</t>
        </is>
      </c>
    </row>
    <row r="917">
      <c r="A917" t="inlineStr">
        <is>
          <t>4309-hospital-course-5-5</t>
        </is>
      </c>
      <c r="B917" t="inlineStr"/>
      <c r="C917" t="inlineStr"/>
      <c r="D917">
        <f>HYPERLINK("http://nlpdeep.cs.uic.edu:8080/proofing/gsii/4309-hospital-course-5-5.pdf","gsii/4309-hospital-course-5-5.pdf")</f>
        <v/>
      </c>
      <c r="E917" t="n">
        <v>109181</v>
      </c>
      <c r="F917" t="n">
        <v>4309</v>
      </c>
      <c r="G917" t="inlineStr">
        <is>
          <t>Discharge summary</t>
        </is>
      </c>
      <c r="H917" t="inlineStr">
        <is>
          <t>hospital-course</t>
        </is>
      </c>
      <c r="I917" t="inlineStr">
        <is>
          <t>O2 sats
consistently monitored and remained in the mid-high 90s.</t>
        </is>
      </c>
    </row>
    <row r="918">
      <c r="A918" t="inlineStr">
        <is>
          <t>4309-hospital-course-6-0</t>
        </is>
      </c>
      <c r="B918" t="inlineStr"/>
      <c r="C918" t="inlineStr"/>
      <c r="D918">
        <f>HYPERLINK("http://nlpdeep.cs.uic.edu:8080/proofing/t5/4309-hospital-course-6-0.pdf","t5/4309-hospital-course-6-0.pdf")</f>
        <v/>
      </c>
      <c r="E918" t="n">
        <v>109181</v>
      </c>
      <c r="F918" t="n">
        <v>4309</v>
      </c>
      <c r="G918" t="inlineStr">
        <is>
          <t>Discharge summary</t>
        </is>
      </c>
      <c r="H918" t="inlineStr">
        <is>
          <t>hospital-course</t>
        </is>
      </c>
      <c r="I918" t="inlineStr">
        <is>
          <t xml:space="preserve">
# Chronic systolic heart failure
Patient last had dialysis on Monday with CXR suggesting mild
volume overload, now also requiring oxygen.</t>
        </is>
      </c>
    </row>
    <row r="919">
      <c r="A919" t="inlineStr">
        <is>
          <t>4309-hospital-course-6-0</t>
        </is>
      </c>
      <c r="B919" t="inlineStr"/>
      <c r="C919" t="inlineStr"/>
      <c r="D919">
        <f>HYPERLINK("http://nlpdeep.cs.uic.edu:8080/proofing/gsii/4309-hospital-course-6-0.pdf","gsii/4309-hospital-course-6-0.pdf")</f>
        <v/>
      </c>
      <c r="E919" t="n">
        <v>109181</v>
      </c>
      <c r="F919" t="n">
        <v>4309</v>
      </c>
      <c r="G919" t="inlineStr">
        <is>
          <t>Discharge summary</t>
        </is>
      </c>
      <c r="H919" t="inlineStr">
        <is>
          <t>hospital-course</t>
        </is>
      </c>
      <c r="I919" t="inlineStr">
        <is>
          <t xml:space="preserve">
# Chronic systolic heart failure
Patient last had dialysis on Monday with CXR suggesting mild
volume overload, now also requiring oxygen.</t>
        </is>
      </c>
    </row>
    <row r="920">
      <c r="A920" t="inlineStr">
        <is>
          <t>4309-hospital-course-6-1</t>
        </is>
      </c>
      <c r="B920" t="inlineStr"/>
      <c r="C920" t="inlineStr"/>
      <c r="D920">
        <f>HYPERLINK("http://nlpdeep.cs.uic.edu:8080/proofing/t5/4309-hospital-course-6-1.pdf","t5/4309-hospital-course-6-1.pdf")</f>
        <v/>
      </c>
      <c r="E920" t="n">
        <v>109181</v>
      </c>
      <c r="F920" t="n">
        <v>4309</v>
      </c>
      <c r="G920" t="inlineStr">
        <is>
          <t>Discharge summary</t>
        </is>
      </c>
      <c r="H920" t="inlineStr">
        <is>
          <t>hospital-course</t>
        </is>
      </c>
      <c r="I920" t="inlineStr">
        <is>
          <t>Uncertain if pt
presented with true heart failure exacerbation from increased
demand ischemia vs.</t>
        </is>
      </c>
    </row>
    <row r="921">
      <c r="A921" t="inlineStr">
        <is>
          <t>4309-hospital-course-6-1</t>
        </is>
      </c>
      <c r="B921" t="inlineStr"/>
      <c r="C921" t="inlineStr"/>
      <c r="D921">
        <f>HYPERLINK("http://nlpdeep.cs.uic.edu:8080/proofing/gsii/4309-hospital-course-6-1.pdf","gsii/4309-hospital-course-6-1.pdf")</f>
        <v/>
      </c>
      <c r="E921" t="n">
        <v>109181</v>
      </c>
      <c r="F921" t="n">
        <v>4309</v>
      </c>
      <c r="G921" t="inlineStr">
        <is>
          <t>Discharge summary</t>
        </is>
      </c>
      <c r="H921" t="inlineStr">
        <is>
          <t>hospital-course</t>
        </is>
      </c>
      <c r="I921" t="inlineStr">
        <is>
          <t>Uncertain if pt
presented with true heart failure exacerbation from increased
demand ischemia vs.</t>
        </is>
      </c>
    </row>
    <row r="922">
      <c r="A922" t="inlineStr">
        <is>
          <t>4309-hospital-course-6-2</t>
        </is>
      </c>
      <c r="B922" t="inlineStr"/>
      <c r="C922" t="inlineStr"/>
      <c r="D922">
        <f>HYPERLINK("http://nlpdeep.cs.uic.edu:8080/proofing/t5/4309-hospital-course-6-2.pdf","t5/4309-hospital-course-6-2.pdf")</f>
        <v/>
      </c>
      <c r="E922" t="n">
        <v>109181</v>
      </c>
      <c r="F922" t="n">
        <v>4309</v>
      </c>
      <c r="G922" t="inlineStr">
        <is>
          <t>Discharge summary</t>
        </is>
      </c>
      <c r="H922" t="inlineStr">
        <is>
          <t>hospital-course</t>
        </is>
      </c>
      <c r="I922" t="inlineStr">
        <is>
          <t>insufficient HD.</t>
        </is>
      </c>
    </row>
    <row r="923">
      <c r="A923" t="inlineStr">
        <is>
          <t>4309-hospital-course-6-2</t>
        </is>
      </c>
      <c r="B923" t="inlineStr"/>
      <c r="C923" t="inlineStr"/>
      <c r="D923">
        <f>HYPERLINK("http://nlpdeep.cs.uic.edu:8080/proofing/gsii/4309-hospital-course-6-2.pdf","gsii/4309-hospital-course-6-2.pdf")</f>
        <v/>
      </c>
      <c r="E923" t="n">
        <v>109181</v>
      </c>
      <c r="F923" t="n">
        <v>4309</v>
      </c>
      <c r="G923" t="inlineStr">
        <is>
          <t>Discharge summary</t>
        </is>
      </c>
      <c r="H923" t="inlineStr">
        <is>
          <t>hospital-course</t>
        </is>
      </c>
      <c r="I923" t="inlineStr">
        <is>
          <t>insufficient HD.</t>
        </is>
      </c>
    </row>
    <row r="924">
      <c r="A924" t="inlineStr">
        <is>
          <t>4309-hospital-course-6-3</t>
        </is>
      </c>
      <c r="B924" t="inlineStr"/>
      <c r="C924" t="inlineStr"/>
      <c r="D924">
        <f>HYPERLINK("http://nlpdeep.cs.uic.edu:8080/proofing/t5/4309-hospital-course-6-3.pdf","t5/4309-hospital-course-6-3.pdf")</f>
        <v/>
      </c>
      <c r="E924" t="n">
        <v>109181</v>
      </c>
      <c r="F924" t="n">
        <v>4309</v>
      </c>
      <c r="G924" t="inlineStr">
        <is>
          <t>Discharge summary</t>
        </is>
      </c>
      <c r="H924" t="inlineStr">
        <is>
          <t>hospital-course</t>
        </is>
      </c>
      <c r="I924" t="inlineStr">
        <is>
          <t>Echo in [**2166-9-11**] showed
LVEF of 50-55%.</t>
        </is>
      </c>
    </row>
    <row r="925">
      <c r="A925" t="inlineStr">
        <is>
          <t>4309-hospital-course-6-3</t>
        </is>
      </c>
      <c r="B925" t="inlineStr"/>
      <c r="C925" t="inlineStr"/>
      <c r="D925">
        <f>HYPERLINK("http://nlpdeep.cs.uic.edu:8080/proofing/gsii/4309-hospital-course-6-3.pdf","gsii/4309-hospital-course-6-3.pdf")</f>
        <v/>
      </c>
      <c r="E925" t="n">
        <v>109181</v>
      </c>
      <c r="F925" t="n">
        <v>4309</v>
      </c>
      <c r="G925" t="inlineStr">
        <is>
          <t>Discharge summary</t>
        </is>
      </c>
      <c r="H925" t="inlineStr">
        <is>
          <t>hospital-course</t>
        </is>
      </c>
      <c r="I925" t="inlineStr">
        <is>
          <t>Echo in [**2166-9-11**] showed
LVEF of 50-55%.</t>
        </is>
      </c>
    </row>
    <row r="926">
      <c r="A926" t="inlineStr">
        <is>
          <t>4309-hospital-course-6-4</t>
        </is>
      </c>
      <c r="B926" t="inlineStr"/>
      <c r="C926" t="inlineStr"/>
      <c r="D926">
        <f>HYPERLINK("http://nlpdeep.cs.uic.edu:8080/proofing/t5/4309-hospital-course-6-4.pdf","t5/4309-hospital-course-6-4.pdf")</f>
        <v/>
      </c>
      <c r="E926" t="n">
        <v>109181</v>
      </c>
      <c r="F926" t="n">
        <v>4309</v>
      </c>
      <c r="G926" t="inlineStr">
        <is>
          <t>Discharge summary</t>
        </is>
      </c>
      <c r="H926" t="inlineStr">
        <is>
          <t>hospital-course</t>
        </is>
      </c>
      <c r="I926" t="inlineStr">
        <is>
          <t>Volume status closely monitored.</t>
        </is>
      </c>
    </row>
    <row r="927">
      <c r="A927" t="inlineStr">
        <is>
          <t>4309-hospital-course-6-4</t>
        </is>
      </c>
      <c r="B927" t="inlineStr"/>
      <c r="C927" t="inlineStr"/>
      <c r="D927">
        <f>HYPERLINK("http://nlpdeep.cs.uic.edu:8080/proofing/gsii/4309-hospital-course-6-4.pdf","gsii/4309-hospital-course-6-4.pdf")</f>
        <v/>
      </c>
      <c r="E927" t="n">
        <v>109181</v>
      </c>
      <c r="F927" t="n">
        <v>4309</v>
      </c>
      <c r="G927" t="inlineStr">
        <is>
          <t>Discharge summary</t>
        </is>
      </c>
      <c r="H927" t="inlineStr">
        <is>
          <t>hospital-course</t>
        </is>
      </c>
      <c r="I927" t="inlineStr">
        <is>
          <t>Volume status closely monitored.</t>
        </is>
      </c>
    </row>
    <row r="928">
      <c r="A928" t="inlineStr">
        <is>
          <t>4309-hospital-course-6-5</t>
        </is>
      </c>
      <c r="B928" t="inlineStr"/>
      <c r="C928" t="inlineStr"/>
      <c r="D928">
        <f>HYPERLINK("http://nlpdeep.cs.uic.edu:8080/proofing/t5/4309-hospital-course-6-5.pdf","t5/4309-hospital-course-6-5.pdf")</f>
        <v/>
      </c>
      <c r="E928" t="n">
        <v>109181</v>
      </c>
      <c r="F928" t="n">
        <v>4309</v>
      </c>
      <c r="G928" t="inlineStr">
        <is>
          <t>Discharge summary</t>
        </is>
      </c>
      <c r="H928" t="inlineStr">
        <is>
          <t>hospital-course</t>
        </is>
      </c>
      <c r="I928" t="inlineStr">
        <is>
          <t>Pt was putting
out minimal urine and lasix bolus and drip were attempted
without good effect.</t>
        </is>
      </c>
    </row>
    <row r="929">
      <c r="A929" t="inlineStr">
        <is>
          <t>4309-hospital-course-6-5</t>
        </is>
      </c>
      <c r="B929" t="inlineStr"/>
      <c r="C929" t="inlineStr"/>
      <c r="D929">
        <f>HYPERLINK("http://nlpdeep.cs.uic.edu:8080/proofing/gsii/4309-hospital-course-6-5.pdf","gsii/4309-hospital-course-6-5.pdf")</f>
        <v/>
      </c>
      <c r="E929" t="n">
        <v>109181</v>
      </c>
      <c r="F929" t="n">
        <v>4309</v>
      </c>
      <c r="G929" t="inlineStr">
        <is>
          <t>Discharge summary</t>
        </is>
      </c>
      <c r="H929" t="inlineStr">
        <is>
          <t>hospital-course</t>
        </is>
      </c>
      <c r="I929" t="inlineStr">
        <is>
          <t>Pt was putting
out minimal urine and lasix bolus and drip were attempted
without good effect.</t>
        </is>
      </c>
    </row>
    <row r="930">
      <c r="A930" t="inlineStr">
        <is>
          <t>4309-hospital-course-6-6</t>
        </is>
      </c>
      <c r="B930" t="inlineStr"/>
      <c r="C930" t="inlineStr"/>
      <c r="D930">
        <f>HYPERLINK("http://nlpdeep.cs.uic.edu:8080/proofing/t5/4309-hospital-course-6-6.pdf","t5/4309-hospital-course-6-6.pdf")</f>
        <v/>
      </c>
      <c r="E930" t="n">
        <v>109181</v>
      </c>
      <c r="F930" t="n">
        <v>4309</v>
      </c>
      <c r="G930" t="inlineStr">
        <is>
          <t>Discharge summary</t>
        </is>
      </c>
      <c r="H930" t="inlineStr">
        <is>
          <t>hospital-course</t>
        </is>
      </c>
      <c r="I930" t="inlineStr">
        <is>
          <t>See ESRD below.</t>
        </is>
      </c>
    </row>
    <row r="931">
      <c r="A931" t="inlineStr">
        <is>
          <t>4309-hospital-course-6-6</t>
        </is>
      </c>
      <c r="B931" t="inlineStr"/>
      <c r="C931" t="inlineStr"/>
      <c r="D931">
        <f>HYPERLINK("http://nlpdeep.cs.uic.edu:8080/proofing/gsii/4309-hospital-course-6-6.pdf","gsii/4309-hospital-course-6-6.pdf")</f>
        <v/>
      </c>
      <c r="E931" t="n">
        <v>109181</v>
      </c>
      <c r="F931" t="n">
        <v>4309</v>
      </c>
      <c r="G931" t="inlineStr">
        <is>
          <t>Discharge summary</t>
        </is>
      </c>
      <c r="H931" t="inlineStr">
        <is>
          <t>hospital-course</t>
        </is>
      </c>
      <c r="I931" t="inlineStr">
        <is>
          <t>See ESRD below.</t>
        </is>
      </c>
    </row>
    <row r="932">
      <c r="A932" t="inlineStr">
        <is>
          <t>4309-hospital-course-7-0</t>
        </is>
      </c>
      <c r="B932" t="inlineStr"/>
      <c r="C932" t="inlineStr"/>
      <c r="D932">
        <f>HYPERLINK("http://nlpdeep.cs.uic.edu:8080/proofing/t5/4309-hospital-course-7-0.pdf","t5/4309-hospital-course-7-0.pdf")</f>
        <v/>
      </c>
      <c r="E932" t="n">
        <v>109181</v>
      </c>
      <c r="F932" t="n">
        <v>4309</v>
      </c>
      <c r="G932" t="inlineStr">
        <is>
          <t>Discharge summary</t>
        </is>
      </c>
      <c r="H932" t="inlineStr">
        <is>
          <t>hospital-course</t>
        </is>
      </c>
      <c r="I932" t="inlineStr">
        <is>
          <t xml:space="preserve">
# ESRD - pt receiving HD twice weekly.</t>
        </is>
      </c>
    </row>
    <row r="933">
      <c r="A933" t="inlineStr">
        <is>
          <t>4309-hospital-course-7-0</t>
        </is>
      </c>
      <c r="B933" t="inlineStr"/>
      <c r="C933" t="inlineStr"/>
      <c r="D933">
        <f>HYPERLINK("http://nlpdeep.cs.uic.edu:8080/proofing/gsii/4309-hospital-course-7-0.pdf","gsii/4309-hospital-course-7-0.pdf")</f>
        <v/>
      </c>
      <c r="E933" t="n">
        <v>109181</v>
      </c>
      <c r="F933" t="n">
        <v>4309</v>
      </c>
      <c r="G933" t="inlineStr">
        <is>
          <t>Discharge summary</t>
        </is>
      </c>
      <c r="H933" t="inlineStr">
        <is>
          <t>hospital-course</t>
        </is>
      </c>
      <c r="I933" t="inlineStr">
        <is>
          <t xml:space="preserve">
# ESRD - pt receiving HD twice weekly.</t>
        </is>
      </c>
    </row>
    <row r="934">
      <c r="A934" t="inlineStr">
        <is>
          <t>4309-hospital-course-7-1</t>
        </is>
      </c>
      <c r="B934" t="inlineStr"/>
      <c r="C934" t="inlineStr"/>
      <c r="D934">
        <f>HYPERLINK("http://nlpdeep.cs.uic.edu:8080/proofing/t5/4309-hospital-course-7-1.pdf","t5/4309-hospital-course-7-1.pdf")</f>
        <v/>
      </c>
      <c r="E934" t="n">
        <v>109181</v>
      </c>
      <c r="F934" t="n">
        <v>4309</v>
      </c>
      <c r="G934" t="inlineStr">
        <is>
          <t>Discharge summary</t>
        </is>
      </c>
      <c r="H934" t="inlineStr">
        <is>
          <t>hospital-course</t>
        </is>
      </c>
      <c r="I934" t="inlineStr">
        <is>
          <t>Pt gets midodrine prior
to HD to maintain BPs.</t>
        </is>
      </c>
    </row>
    <row r="935">
      <c r="A935" t="inlineStr">
        <is>
          <t>4309-hospital-course-7-1</t>
        </is>
      </c>
      <c r="B935" t="inlineStr"/>
      <c r="C935" t="inlineStr"/>
      <c r="D935">
        <f>HYPERLINK("http://nlpdeep.cs.uic.edu:8080/proofing/gsii/4309-hospital-course-7-1.pdf","gsii/4309-hospital-course-7-1.pdf")</f>
        <v/>
      </c>
      <c r="E935" t="n">
        <v>109181</v>
      </c>
      <c r="F935" t="n">
        <v>4309</v>
      </c>
      <c r="G935" t="inlineStr">
        <is>
          <t>Discharge summary</t>
        </is>
      </c>
      <c r="H935" t="inlineStr">
        <is>
          <t>hospital-course</t>
        </is>
      </c>
      <c r="I935" t="inlineStr">
        <is>
          <t>Pt gets midodrine prior
to HD to maintain BPs.</t>
        </is>
      </c>
    </row>
    <row r="936">
      <c r="A936" t="inlineStr">
        <is>
          <t>4309-hospital-course-7-2</t>
        </is>
      </c>
      <c r="B936" t="inlineStr"/>
      <c r="C936" t="inlineStr"/>
      <c r="D936">
        <f>HYPERLINK("http://nlpdeep.cs.uic.edu:8080/proofing/t5/4309-hospital-course-7-2.pdf","t5/4309-hospital-course-7-2.pdf")</f>
        <v/>
      </c>
      <c r="E936" t="n">
        <v>109181</v>
      </c>
      <c r="F936" t="n">
        <v>4309</v>
      </c>
      <c r="G936" t="inlineStr">
        <is>
          <t>Discharge summary</t>
        </is>
      </c>
      <c r="H936" t="inlineStr">
        <is>
          <t>hospital-course</t>
        </is>
      </c>
      <c r="I936" t="inlineStr">
        <is>
          <t>Medications were renally dosed.</t>
        </is>
      </c>
    </row>
    <row r="937">
      <c r="A937" t="inlineStr">
        <is>
          <t>4309-hospital-course-7-2</t>
        </is>
      </c>
      <c r="B937" t="inlineStr"/>
      <c r="C937" t="inlineStr"/>
      <c r="D937">
        <f>HYPERLINK("http://nlpdeep.cs.uic.edu:8080/proofing/gsii/4309-hospital-course-7-2.pdf","gsii/4309-hospital-course-7-2.pdf")</f>
        <v/>
      </c>
      <c r="E937" t="n">
        <v>109181</v>
      </c>
      <c r="F937" t="n">
        <v>4309</v>
      </c>
      <c r="G937" t="inlineStr">
        <is>
          <t>Discharge summary</t>
        </is>
      </c>
      <c r="H937" t="inlineStr">
        <is>
          <t>hospital-course</t>
        </is>
      </c>
      <c r="I937" t="inlineStr">
        <is>
          <t>Medications were renally dosed.</t>
        </is>
      </c>
    </row>
    <row r="938">
      <c r="A938" t="inlineStr">
        <is>
          <t>4309-hospital-course-7-3</t>
        </is>
      </c>
      <c r="B938" t="inlineStr"/>
      <c r="C938" t="inlineStr"/>
      <c r="D938">
        <f>HYPERLINK("http://nlpdeep.cs.uic.edu:8080/proofing/t5/4309-hospital-course-7-3.pdf","t5/4309-hospital-course-7-3.pdf")</f>
        <v/>
      </c>
      <c r="E938" t="n">
        <v>109181</v>
      </c>
      <c r="F938" t="n">
        <v>4309</v>
      </c>
      <c r="G938" t="inlineStr">
        <is>
          <t>Discharge summary</t>
        </is>
      </c>
      <c r="H938" t="inlineStr">
        <is>
          <t>hospital-course</t>
        </is>
      </c>
      <c r="I938" t="inlineStr">
        <is>
          <t xml:space="preserve">
Renal/dialysis was following the patient.</t>
        </is>
      </c>
    </row>
    <row r="939">
      <c r="A939" t="inlineStr">
        <is>
          <t>4309-hospital-course-7-3</t>
        </is>
      </c>
      <c r="B939" t="inlineStr"/>
      <c r="C939" t="inlineStr"/>
      <c r="D939">
        <f>HYPERLINK("http://nlpdeep.cs.uic.edu:8080/proofing/gsii/4309-hospital-course-7-3.pdf","gsii/4309-hospital-course-7-3.pdf")</f>
        <v/>
      </c>
      <c r="E939" t="n">
        <v>109181</v>
      </c>
      <c r="F939" t="n">
        <v>4309</v>
      </c>
      <c r="G939" t="inlineStr">
        <is>
          <t>Discharge summary</t>
        </is>
      </c>
      <c r="H939" t="inlineStr">
        <is>
          <t>hospital-course</t>
        </is>
      </c>
      <c r="I939" t="inlineStr">
        <is>
          <t xml:space="preserve">
Renal/dialysis was following the patient.</t>
        </is>
      </c>
    </row>
    <row r="940">
      <c r="A940" t="inlineStr">
        <is>
          <t>4309-hospital-course-7-4</t>
        </is>
      </c>
      <c r="B940" t="inlineStr"/>
      <c r="C940" t="inlineStr"/>
      <c r="D940">
        <f>HYPERLINK("http://nlpdeep.cs.uic.edu:8080/proofing/t5/4309-hospital-course-7-4.pdf","t5/4309-hospital-course-7-4.pdf")</f>
        <v/>
      </c>
      <c r="E940" t="n">
        <v>109181</v>
      </c>
      <c r="F940" t="n">
        <v>4309</v>
      </c>
      <c r="G940" t="inlineStr">
        <is>
          <t>Discharge summary</t>
        </is>
      </c>
      <c r="H940" t="inlineStr">
        <is>
          <t>hospital-course</t>
        </is>
      </c>
      <c r="I940" t="inlineStr">
        <is>
          <t>CRRT was initiated on
[**2167-1-22**] around 2pm for worsening renal function as seen via
creatinine and potassium elevations.</t>
        </is>
      </c>
    </row>
    <row r="941">
      <c r="A941" t="inlineStr">
        <is>
          <t>4309-hospital-course-7-4</t>
        </is>
      </c>
      <c r="B941" t="inlineStr"/>
      <c r="C941" t="inlineStr"/>
      <c r="D941">
        <f>HYPERLINK("http://nlpdeep.cs.uic.edu:8080/proofing/gsii/4309-hospital-course-7-4.pdf","gsii/4309-hospital-course-7-4.pdf")</f>
        <v/>
      </c>
      <c r="E941" t="n">
        <v>109181</v>
      </c>
      <c r="F941" t="n">
        <v>4309</v>
      </c>
      <c r="G941" t="inlineStr">
        <is>
          <t>Discharge summary</t>
        </is>
      </c>
      <c r="H941" t="inlineStr">
        <is>
          <t>hospital-course</t>
        </is>
      </c>
      <c r="I941" t="inlineStr">
        <is>
          <t>CRRT was initiated on
[**2167-1-22**] around 2pm for worsening renal function as seen via
creatinine and potassium elevations.</t>
        </is>
      </c>
    </row>
    <row r="942">
      <c r="A942" t="inlineStr">
        <is>
          <t>4309-hospital-course-7-5</t>
        </is>
      </c>
      <c r="B942" t="inlineStr"/>
      <c r="C942" t="inlineStr"/>
      <c r="D942">
        <f>HYPERLINK("http://nlpdeep.cs.uic.edu:8080/proofing/t5/4309-hospital-course-7-5.pdf","t5/4309-hospital-course-7-5.pdf")</f>
        <v/>
      </c>
      <c r="E942" t="n">
        <v>109181</v>
      </c>
      <c r="F942" t="n">
        <v>4309</v>
      </c>
      <c r="G942" t="inlineStr">
        <is>
          <t>Discharge summary</t>
        </is>
      </c>
      <c r="H942" t="inlineStr">
        <is>
          <t>hospital-course</t>
        </is>
      </c>
      <c r="I942" t="inlineStr">
        <is>
          <t>It was also felt that
significant fluid overload could be contributing to pulmonary
edema which would explain his dyspnea.</t>
        </is>
      </c>
    </row>
    <row r="943">
      <c r="A943" t="inlineStr">
        <is>
          <t>4309-hospital-course-7-5</t>
        </is>
      </c>
      <c r="B943" t="inlineStr"/>
      <c r="C943" t="inlineStr"/>
      <c r="D943">
        <f>HYPERLINK("http://nlpdeep.cs.uic.edu:8080/proofing/gsii/4309-hospital-course-7-5.pdf","gsii/4309-hospital-course-7-5.pdf")</f>
        <v/>
      </c>
      <c r="E943" t="n">
        <v>109181</v>
      </c>
      <c r="F943" t="n">
        <v>4309</v>
      </c>
      <c r="G943" t="inlineStr">
        <is>
          <t>Discharge summary</t>
        </is>
      </c>
      <c r="H943" t="inlineStr">
        <is>
          <t>hospital-course</t>
        </is>
      </c>
      <c r="I943" t="inlineStr">
        <is>
          <t>It was also felt that
significant fluid overload could be contributing to pulmonary
edema which would explain his dyspnea.</t>
        </is>
      </c>
    </row>
    <row r="944">
      <c r="A944" t="inlineStr">
        <is>
          <t>4309-hospital-course-8-0</t>
        </is>
      </c>
      <c r="B944" t="inlineStr"/>
      <c r="C944" t="inlineStr"/>
      <c r="D944">
        <f>HYPERLINK("http://nlpdeep.cs.uic.edu:8080/proofing/t5/4309-hospital-course-8-0.pdf","t5/4309-hospital-course-8-0.pdf")</f>
        <v/>
      </c>
      <c r="E944" t="n">
        <v>109181</v>
      </c>
      <c r="F944" t="n">
        <v>4309</v>
      </c>
      <c r="G944" t="inlineStr">
        <is>
          <t>Discharge summary</t>
        </is>
      </c>
      <c r="H944" t="inlineStr">
        <is>
          <t>hospital-course</t>
        </is>
      </c>
      <c r="I944" t="inlineStr">
        <is>
          <t xml:space="preserve">
Pt was maintained as full code throughout the course of this
hospitalization.</t>
        </is>
      </c>
    </row>
    <row r="945">
      <c r="A945" t="inlineStr">
        <is>
          <t>4309-hospital-course-8-0</t>
        </is>
      </c>
      <c r="B945" t="inlineStr"/>
      <c r="C945" t="inlineStr"/>
      <c r="D945">
        <f>HYPERLINK("http://nlpdeep.cs.uic.edu:8080/proofing/gsii/4309-hospital-course-8-0.pdf","gsii/4309-hospital-course-8-0.pdf")</f>
        <v/>
      </c>
      <c r="E945" t="n">
        <v>109181</v>
      </c>
      <c r="F945" t="n">
        <v>4309</v>
      </c>
      <c r="G945" t="inlineStr">
        <is>
          <t>Discharge summary</t>
        </is>
      </c>
      <c r="H945" t="inlineStr">
        <is>
          <t>hospital-course</t>
        </is>
      </c>
      <c r="I945" t="inlineStr">
        <is>
          <t xml:space="preserve">
Pt was maintained as full code throughout the course of this
hospitalization.</t>
        </is>
      </c>
    </row>
    <row r="946">
      <c r="A946" t="inlineStr">
        <is>
          <t>4309-hospital-course-9-0</t>
        </is>
      </c>
      <c r="B946" t="inlineStr"/>
      <c r="C946" t="inlineStr"/>
      <c r="D946">
        <f>HYPERLINK("http://nlpdeep.cs.uic.edu:8080/proofing/t5/4309-hospital-course-9-0.pdf","t5/4309-hospital-course-9-0.pdf")</f>
        <v/>
      </c>
      <c r="E946" t="n">
        <v>109181</v>
      </c>
      <c r="F946" t="n">
        <v>4309</v>
      </c>
      <c r="G946" t="inlineStr">
        <is>
          <t>Discharge summary</t>
        </is>
      </c>
      <c r="H946" t="inlineStr">
        <is>
          <t>hospital-course</t>
        </is>
      </c>
      <c r="I946" t="inlineStr">
        <is>
          <t>contact: son [**Name (NI) 18659**] cell [</t>
        </is>
      </c>
    </row>
    <row r="947">
      <c r="A947" t="inlineStr">
        <is>
          <t>4309-hospital-course-9-0</t>
        </is>
      </c>
      <c r="B947" t="inlineStr"/>
      <c r="C947" t="inlineStr"/>
      <c r="D947">
        <f>HYPERLINK("http://nlpdeep.cs.uic.edu:8080/proofing/gsii/4309-hospital-course-9-0.pdf","gsii/4309-hospital-course-9-0.pdf")</f>
        <v/>
      </c>
      <c r="E947" t="n">
        <v>109181</v>
      </c>
      <c r="F947" t="n">
        <v>4309</v>
      </c>
      <c r="G947" t="inlineStr">
        <is>
          <t>Discharge summary</t>
        </is>
      </c>
      <c r="H947" t="inlineStr">
        <is>
          <t>hospital-course</t>
        </is>
      </c>
      <c r="I947" t="inlineStr">
        <is>
          <t>contact: son [**Name (NI) 18659**] cell [</t>
        </is>
      </c>
    </row>
    <row r="948">
      <c r="A948" t="inlineStr">
        <is>
          <t>4309-medication-history-0-0</t>
        </is>
      </c>
      <c r="B948" t="inlineStr"/>
      <c r="C948" t="inlineStr"/>
      <c r="D948">
        <f>HYPERLINK("http://nlpdeep.cs.uic.edu:8080/proofing/t5/4309-medication-history-0-0.pdf","t5/4309-medication-history-0-0.pdf")</f>
        <v/>
      </c>
      <c r="E948" t="n">
        <v>109181</v>
      </c>
      <c r="F948" t="n">
        <v>4309</v>
      </c>
      <c r="G948" t="inlineStr">
        <is>
          <t>Discharge summary</t>
        </is>
      </c>
      <c r="H948" t="inlineStr">
        <is>
          <t>medication-history</t>
        </is>
      </c>
      <c r="I948" t="inlineStr">
        <is>
          <t>Mucinex 600 mg PO BID
2.</t>
        </is>
      </c>
    </row>
    <row r="949">
      <c r="A949" t="inlineStr">
        <is>
          <t>4309-medication-history-0-0</t>
        </is>
      </c>
      <c r="B949" t="inlineStr"/>
      <c r="C949" t="inlineStr"/>
      <c r="D949">
        <f>HYPERLINK("http://nlpdeep.cs.uic.edu:8080/proofing/gsii/4309-medication-history-0-0.pdf","gsii/4309-medication-history-0-0.pdf")</f>
        <v/>
      </c>
      <c r="E949" t="n">
        <v>109181</v>
      </c>
      <c r="F949" t="n">
        <v>4309</v>
      </c>
      <c r="G949" t="inlineStr">
        <is>
          <t>Discharge summary</t>
        </is>
      </c>
      <c r="H949" t="inlineStr">
        <is>
          <t>medication-history</t>
        </is>
      </c>
      <c r="I949" t="inlineStr">
        <is>
          <t>Mucinex 600 mg PO BID
2.</t>
        </is>
      </c>
    </row>
    <row r="950">
      <c r="A950" t="inlineStr">
        <is>
          <t>4309-medication-history-0-1</t>
        </is>
      </c>
      <c r="B950" t="inlineStr"/>
      <c r="C950" t="inlineStr"/>
      <c r="D950">
        <f>HYPERLINK("http://nlpdeep.cs.uic.edu:8080/proofing/t5/4309-medication-history-0-1.pdf","t5/4309-medication-history-0-1.pdf")</f>
        <v/>
      </c>
      <c r="E950" t="n">
        <v>109181</v>
      </c>
      <c r="F950" t="n">
        <v>4309</v>
      </c>
      <c r="G950" t="inlineStr">
        <is>
          <t>Discharge summary</t>
        </is>
      </c>
      <c r="H950" t="inlineStr">
        <is>
          <t>medication-history</t>
        </is>
      </c>
      <c r="I950" t="inlineStr">
        <is>
          <t>ASA 81 mg PO qAM
3.</t>
        </is>
      </c>
    </row>
    <row r="951">
      <c r="A951" t="inlineStr">
        <is>
          <t>4309-medication-history-0-1</t>
        </is>
      </c>
      <c r="B951" t="inlineStr"/>
      <c r="C951" t="inlineStr"/>
      <c r="D951">
        <f>HYPERLINK("http://nlpdeep.cs.uic.edu:8080/proofing/gsii/4309-medication-history-0-1.pdf","gsii/4309-medication-history-0-1.pdf")</f>
        <v/>
      </c>
      <c r="E951" t="n">
        <v>109181</v>
      </c>
      <c r="F951" t="n">
        <v>4309</v>
      </c>
      <c r="G951" t="inlineStr">
        <is>
          <t>Discharge summary</t>
        </is>
      </c>
      <c r="H951" t="inlineStr">
        <is>
          <t>medication-history</t>
        </is>
      </c>
      <c r="I951" t="inlineStr">
        <is>
          <t>ASA 81 mg PO qAM
3.</t>
        </is>
      </c>
    </row>
    <row r="952">
      <c r="A952" t="inlineStr">
        <is>
          <t>4309-medication-history-0-2</t>
        </is>
      </c>
      <c r="B952" t="inlineStr"/>
      <c r="C952" t="inlineStr"/>
      <c r="D952">
        <f>HYPERLINK("http://nlpdeep.cs.uic.edu:8080/proofing/t5/4309-medication-history-0-2.pdf","t5/4309-medication-history-0-2.pdf")</f>
        <v/>
      </c>
      <c r="E952" t="n">
        <v>109181</v>
      </c>
      <c r="F952" t="n">
        <v>4309</v>
      </c>
      <c r="G952" t="inlineStr">
        <is>
          <t>Discharge summary</t>
        </is>
      </c>
      <c r="H952" t="inlineStr">
        <is>
          <t>medication-history</t>
        </is>
      </c>
      <c r="I952" t="inlineStr">
        <is>
          <t>Renal Caps PO qAM
4.</t>
        </is>
      </c>
    </row>
    <row r="953">
      <c r="A953" t="inlineStr">
        <is>
          <t>4309-medication-history-0-2</t>
        </is>
      </c>
      <c r="B953" t="inlineStr"/>
      <c r="C953" t="inlineStr"/>
      <c r="D953">
        <f>HYPERLINK("http://nlpdeep.cs.uic.edu:8080/proofing/gsii/4309-medication-history-0-2.pdf","gsii/4309-medication-history-0-2.pdf")</f>
        <v/>
      </c>
      <c r="E953" t="n">
        <v>109181</v>
      </c>
      <c r="F953" t="n">
        <v>4309</v>
      </c>
      <c r="G953" t="inlineStr">
        <is>
          <t>Discharge summary</t>
        </is>
      </c>
      <c r="H953" t="inlineStr">
        <is>
          <t>medication-history</t>
        </is>
      </c>
      <c r="I953" t="inlineStr">
        <is>
          <t>Renal Caps PO qAM
4.</t>
        </is>
      </c>
    </row>
    <row r="954">
      <c r="A954" t="inlineStr">
        <is>
          <t>4309-medication-history-0-3</t>
        </is>
      </c>
      <c r="B954" t="inlineStr"/>
      <c r="C954" t="inlineStr"/>
      <c r="D954">
        <f>HYPERLINK("http://nlpdeep.cs.uic.edu:8080/proofing/t5/4309-medication-history-0-3.pdf","t5/4309-medication-history-0-3.pdf")</f>
        <v/>
      </c>
      <c r="E954" t="n">
        <v>109181</v>
      </c>
      <c r="F954" t="n">
        <v>4309</v>
      </c>
      <c r="G954" t="inlineStr">
        <is>
          <t>Discharge summary</t>
        </is>
      </c>
      <c r="H954" t="inlineStr">
        <is>
          <t>medication-history</t>
        </is>
      </c>
      <c r="I954" t="inlineStr">
        <is>
          <t>Trazodone 50 mg PO qHS
5.</t>
        </is>
      </c>
    </row>
    <row r="955">
      <c r="A955" t="inlineStr">
        <is>
          <t>4309-medication-history-0-3</t>
        </is>
      </c>
      <c r="B955" t="inlineStr"/>
      <c r="C955" t="inlineStr"/>
      <c r="D955">
        <f>HYPERLINK("http://nlpdeep.cs.uic.edu:8080/proofing/gsii/4309-medication-history-0-3.pdf","gsii/4309-medication-history-0-3.pdf")</f>
        <v/>
      </c>
      <c r="E955" t="n">
        <v>109181</v>
      </c>
      <c r="F955" t="n">
        <v>4309</v>
      </c>
      <c r="G955" t="inlineStr">
        <is>
          <t>Discharge summary</t>
        </is>
      </c>
      <c r="H955" t="inlineStr">
        <is>
          <t>medication-history</t>
        </is>
      </c>
      <c r="I955" t="inlineStr">
        <is>
          <t>Trazodone 50 mg PO qHS
5.</t>
        </is>
      </c>
    </row>
    <row r="956">
      <c r="A956" t="inlineStr">
        <is>
          <t>4309-medication-history-0-4</t>
        </is>
      </c>
      <c r="B956" t="inlineStr"/>
      <c r="C956" t="inlineStr"/>
      <c r="D956">
        <f>HYPERLINK("http://nlpdeep.cs.uic.edu:8080/proofing/t5/4309-medication-history-0-4.pdf","t5/4309-medication-history-0-4.pdf")</f>
        <v/>
      </c>
      <c r="E956" t="n">
        <v>109181</v>
      </c>
      <c r="F956" t="n">
        <v>4309</v>
      </c>
      <c r="G956" t="inlineStr">
        <is>
          <t>Discharge summary</t>
        </is>
      </c>
      <c r="H956" t="inlineStr">
        <is>
          <t>medication-history</t>
        </is>
      </c>
      <c r="I956" t="inlineStr">
        <is>
          <t>Clonazepam 0.5 mg PO before dialysis and qHS
6.</t>
        </is>
      </c>
    </row>
    <row r="957">
      <c r="A957" t="inlineStr">
        <is>
          <t>4309-medication-history-0-4</t>
        </is>
      </c>
      <c r="B957" t="inlineStr"/>
      <c r="C957" t="inlineStr"/>
      <c r="D957">
        <f>HYPERLINK("http://nlpdeep.cs.uic.edu:8080/proofing/gsii/4309-medication-history-0-4.pdf","gsii/4309-medication-history-0-4.pdf")</f>
        <v/>
      </c>
      <c r="E957" t="n">
        <v>109181</v>
      </c>
      <c r="F957" t="n">
        <v>4309</v>
      </c>
      <c r="G957" t="inlineStr">
        <is>
          <t>Discharge summary</t>
        </is>
      </c>
      <c r="H957" t="inlineStr">
        <is>
          <t>medication-history</t>
        </is>
      </c>
      <c r="I957" t="inlineStr">
        <is>
          <t>Clonazepam 0.5 mg PO before dialysis and qHS
6.</t>
        </is>
      </c>
    </row>
    <row r="958">
      <c r="A958" t="inlineStr">
        <is>
          <t>4309-medication-history-0-5</t>
        </is>
      </c>
      <c r="B958" t="inlineStr"/>
      <c r="C958" t="inlineStr"/>
      <c r="D958">
        <f>HYPERLINK("http://nlpdeep.cs.uic.edu:8080/proofing/t5/4309-medication-history-0-5.pdf","t5/4309-medication-history-0-5.pdf")</f>
        <v/>
      </c>
      <c r="E958" t="n">
        <v>109181</v>
      </c>
      <c r="F958" t="n">
        <v>4309</v>
      </c>
      <c r="G958" t="inlineStr">
        <is>
          <t>Discharge summary</t>
        </is>
      </c>
      <c r="H958" t="inlineStr">
        <is>
          <t>medication-history</t>
        </is>
      </c>
      <c r="I958" t="inlineStr">
        <is>
          <t>Midodrine 5 mg PO before dialysis
7.</t>
        </is>
      </c>
    </row>
    <row r="959">
      <c r="A959" t="inlineStr">
        <is>
          <t>4309-medication-history-0-5</t>
        </is>
      </c>
      <c r="B959" t="inlineStr"/>
      <c r="C959" t="inlineStr"/>
      <c r="D959">
        <f>HYPERLINK("http://nlpdeep.cs.uic.edu:8080/proofing/gsii/4309-medication-history-0-5.pdf","gsii/4309-medication-history-0-5.pdf")</f>
        <v/>
      </c>
      <c r="E959" t="n">
        <v>109181</v>
      </c>
      <c r="F959" t="n">
        <v>4309</v>
      </c>
      <c r="G959" t="inlineStr">
        <is>
          <t>Discharge summary</t>
        </is>
      </c>
      <c r="H959" t="inlineStr">
        <is>
          <t>medication-history</t>
        </is>
      </c>
      <c r="I959" t="inlineStr">
        <is>
          <t>Midodrine 5 mg PO before dialysis
7.</t>
        </is>
      </c>
    </row>
    <row r="960">
      <c r="A960" t="inlineStr">
        <is>
          <t>4309-medication-history-0-6</t>
        </is>
      </c>
      <c r="B960" t="inlineStr"/>
      <c r="C960" t="inlineStr"/>
      <c r="D960">
        <f>HYPERLINK("http://nlpdeep.cs.uic.edu:8080/proofing/t5/4309-medication-history-0-6.pdf","t5/4309-medication-history-0-6.pdf")</f>
        <v/>
      </c>
      <c r="E960" t="n">
        <v>109181</v>
      </c>
      <c r="F960" t="n">
        <v>4309</v>
      </c>
      <c r="G960" t="inlineStr">
        <is>
          <t>Discharge summary</t>
        </is>
      </c>
      <c r="H960" t="inlineStr">
        <is>
          <t>medication-history</t>
        </is>
      </c>
      <c r="I960" t="inlineStr">
        <is>
          <t>Albuterol 2.5 mg ?</t>
        </is>
      </c>
    </row>
    <row r="961">
      <c r="A961" t="inlineStr">
        <is>
          <t>4309-medication-history-0-6</t>
        </is>
      </c>
      <c r="B961" t="inlineStr"/>
      <c r="C961" t="inlineStr"/>
      <c r="D961">
        <f>HYPERLINK("http://nlpdeep.cs.uic.edu:8080/proofing/gsii/4309-medication-history-0-6.pdf","gsii/4309-medication-history-0-6.pdf")</f>
        <v/>
      </c>
      <c r="E961" t="n">
        <v>109181</v>
      </c>
      <c r="F961" t="n">
        <v>4309</v>
      </c>
      <c r="G961" t="inlineStr">
        <is>
          <t>Discharge summary</t>
        </is>
      </c>
      <c r="H961" t="inlineStr">
        <is>
          <t>medication-history</t>
        </is>
      </c>
      <c r="I961" t="inlineStr">
        <is>
          <t>Albuterol 2.5 mg ?</t>
        </is>
      </c>
    </row>
    <row r="962">
      <c r="A962" t="inlineStr">
        <is>
          <t>4309-medication-history-0-7</t>
        </is>
      </c>
      <c r="B962" t="inlineStr"/>
      <c r="C962" t="inlineStr"/>
      <c r="D962">
        <f>HYPERLINK("http://nlpdeep.cs.uic.edu:8080/proofing/t5/4309-medication-history-0-7.pdf","t5/4309-medication-history-0-7.pdf")</f>
        <v/>
      </c>
      <c r="E962" t="n">
        <v>109181</v>
      </c>
      <c r="F962" t="n">
        <v>4309</v>
      </c>
      <c r="G962" t="inlineStr">
        <is>
          <t>Discharge summary</t>
        </is>
      </c>
      <c r="H962" t="inlineStr">
        <is>
          <t>medication-history</t>
        </is>
      </c>
      <c r="I962" t="inlineStr">
        <is>
          <t>INH 2x/day
8.</t>
        </is>
      </c>
    </row>
    <row r="963">
      <c r="A963" t="inlineStr">
        <is>
          <t>4309-medication-history-0-7</t>
        </is>
      </c>
      <c r="B963" t="inlineStr"/>
      <c r="C963" t="inlineStr"/>
      <c r="D963">
        <f>HYPERLINK("http://nlpdeep.cs.uic.edu:8080/proofing/gsii/4309-medication-history-0-7.pdf","gsii/4309-medication-history-0-7.pdf")</f>
        <v/>
      </c>
      <c r="E963" t="n">
        <v>109181</v>
      </c>
      <c r="F963" t="n">
        <v>4309</v>
      </c>
      <c r="G963" t="inlineStr">
        <is>
          <t>Discharge summary</t>
        </is>
      </c>
      <c r="H963" t="inlineStr">
        <is>
          <t>medication-history</t>
        </is>
      </c>
      <c r="I963" t="inlineStr">
        <is>
          <t>INH 2x/day
8.</t>
        </is>
      </c>
    </row>
    <row r="964">
      <c r="A964" t="inlineStr">
        <is>
          <t>4309-medication-history-0-8</t>
        </is>
      </c>
      <c r="B964" t="inlineStr"/>
      <c r="C964" t="inlineStr"/>
      <c r="D964">
        <f>HYPERLINK("http://nlpdeep.cs.uic.edu:8080/proofing/t5/4309-medication-history-0-8.pdf","t5/4309-medication-history-0-8.pdf")</f>
        <v/>
      </c>
      <c r="E964" t="n">
        <v>109181</v>
      </c>
      <c r="F964" t="n">
        <v>4309</v>
      </c>
      <c r="G964" t="inlineStr">
        <is>
          <t>Discharge summary</t>
        </is>
      </c>
      <c r="H964" t="inlineStr">
        <is>
          <t>medication-history</t>
        </is>
      </c>
      <c r="I964" t="inlineStr">
        <is>
          <t>Align PO qD
9.</t>
        </is>
      </c>
    </row>
    <row r="965">
      <c r="A965" t="inlineStr">
        <is>
          <t>4309-medication-history-0-8</t>
        </is>
      </c>
      <c r="B965" t="inlineStr"/>
      <c r="C965" t="inlineStr"/>
      <c r="D965">
        <f>HYPERLINK("http://nlpdeep.cs.uic.edu:8080/proofing/gsii/4309-medication-history-0-8.pdf","gsii/4309-medication-history-0-8.pdf")</f>
        <v/>
      </c>
      <c r="E965" t="n">
        <v>109181</v>
      </c>
      <c r="F965" t="n">
        <v>4309</v>
      </c>
      <c r="G965" t="inlineStr">
        <is>
          <t>Discharge summary</t>
        </is>
      </c>
      <c r="H965" t="inlineStr">
        <is>
          <t>medication-history</t>
        </is>
      </c>
      <c r="I965" t="inlineStr">
        <is>
          <t>Align PO qD
9.</t>
        </is>
      </c>
    </row>
    <row r="966">
      <c r="A966" t="inlineStr">
        <is>
          <t>4309-medication-history-0-9</t>
        </is>
      </c>
      <c r="B966" t="inlineStr"/>
      <c r="C966" t="inlineStr"/>
      <c r="D966">
        <f>HYPERLINK("http://nlpdeep.cs.uic.edu:8080/proofing/t5/4309-medication-history-0-9.pdf","t5/4309-medication-history-0-9.pdf")</f>
        <v/>
      </c>
      <c r="E966" t="n">
        <v>109181</v>
      </c>
      <c r="F966" t="n">
        <v>4309</v>
      </c>
      <c r="G966" t="inlineStr">
        <is>
          <t>Discharge summary</t>
        </is>
      </c>
      <c r="H966" t="inlineStr">
        <is>
          <t>medication-history</t>
        </is>
      </c>
      <c r="I966" t="inlineStr">
        <is>
          <t>Levemir insulin
10.</t>
        </is>
      </c>
    </row>
    <row r="967">
      <c r="A967" t="inlineStr">
        <is>
          <t>4309-medication-history-0-9</t>
        </is>
      </c>
      <c r="B967" t="inlineStr"/>
      <c r="C967" t="inlineStr"/>
      <c r="D967">
        <f>HYPERLINK("http://nlpdeep.cs.uic.edu:8080/proofing/gsii/4309-medication-history-0-9.pdf","gsii/4309-medication-history-0-9.pdf")</f>
        <v/>
      </c>
      <c r="E967" t="n">
        <v>109181</v>
      </c>
      <c r="F967" t="n">
        <v>4309</v>
      </c>
      <c r="G967" t="inlineStr">
        <is>
          <t>Discharge summary</t>
        </is>
      </c>
      <c r="H967" t="inlineStr">
        <is>
          <t>medication-history</t>
        </is>
      </c>
      <c r="I967" t="inlineStr">
        <is>
          <t>Levemir insulin
10.</t>
        </is>
      </c>
    </row>
    <row r="968">
      <c r="A968" t="inlineStr">
        <is>
          <t>4309-medication-history-0-10</t>
        </is>
      </c>
      <c r="B968" t="inlineStr"/>
      <c r="C968" t="inlineStr"/>
      <c r="D968">
        <f>HYPERLINK("http://nlpdeep.cs.uic.edu:8080/proofing/t5/4309-medication-history-0-10.pdf","t5/4309-medication-history-0-10.pdf")</f>
        <v/>
      </c>
      <c r="E968" t="n">
        <v>109181</v>
      </c>
      <c r="F968" t="n">
        <v>4309</v>
      </c>
      <c r="G968" t="inlineStr">
        <is>
          <t>Discharge summary</t>
        </is>
      </c>
      <c r="H968" t="inlineStr">
        <is>
          <t>medication-history</t>
        </is>
      </c>
      <c r="I968" t="inlineStr">
        <is>
          <t>Clobetasol propionate ointment
11.</t>
        </is>
      </c>
    </row>
    <row r="969">
      <c r="A969" t="inlineStr">
        <is>
          <t>4309-medication-history-0-10</t>
        </is>
      </c>
      <c r="B969" t="inlineStr"/>
      <c r="C969" t="inlineStr"/>
      <c r="D969">
        <f>HYPERLINK("http://nlpdeep.cs.uic.edu:8080/proofing/gsii/4309-medication-history-0-10.pdf","gsii/4309-medication-history-0-10.pdf")</f>
        <v/>
      </c>
      <c r="E969" t="n">
        <v>109181</v>
      </c>
      <c r="F969" t="n">
        <v>4309</v>
      </c>
      <c r="G969" t="inlineStr">
        <is>
          <t>Discharge summary</t>
        </is>
      </c>
      <c r="H969" t="inlineStr">
        <is>
          <t>medication-history</t>
        </is>
      </c>
      <c r="I969" t="inlineStr">
        <is>
          <t>Clobetasol propionate ointment
11.</t>
        </is>
      </c>
    </row>
    <row r="970">
      <c r="A970" t="inlineStr">
        <is>
          <t>4309-medication-history-0-11</t>
        </is>
      </c>
      <c r="B970" t="inlineStr"/>
      <c r="C970" t="inlineStr"/>
      <c r="D970">
        <f>HYPERLINK("http://nlpdeep.cs.uic.edu:8080/proofing/t5/4309-medication-history-0-11.pdf","t5/4309-medication-history-0-11.pdf")</f>
        <v/>
      </c>
      <c r="E970" t="n">
        <v>109181</v>
      </c>
      <c r="F970" t="n">
        <v>4309</v>
      </c>
      <c r="G970" t="inlineStr">
        <is>
          <t>Discharge summary</t>
        </is>
      </c>
      <c r="H970" t="inlineStr">
        <is>
          <t>medication-history</t>
        </is>
      </c>
      <c r="I970" t="inlineStr">
        <is>
          <t>Pravastatin 40 mg PO qHS
12.</t>
        </is>
      </c>
    </row>
    <row r="971">
      <c r="A971" t="inlineStr">
        <is>
          <t>4309-medication-history-0-11</t>
        </is>
      </c>
      <c r="B971" t="inlineStr"/>
      <c r="C971" t="inlineStr"/>
      <c r="D971">
        <f>HYPERLINK("http://nlpdeep.cs.uic.edu:8080/proofing/gsii/4309-medication-history-0-11.pdf","gsii/4309-medication-history-0-11.pdf")</f>
        <v/>
      </c>
      <c r="E971" t="n">
        <v>109181</v>
      </c>
      <c r="F971" t="n">
        <v>4309</v>
      </c>
      <c r="G971" t="inlineStr">
        <is>
          <t>Discharge summary</t>
        </is>
      </c>
      <c r="H971" t="inlineStr">
        <is>
          <t>medication-history</t>
        </is>
      </c>
      <c r="I971" t="inlineStr">
        <is>
          <t>Pravastatin 40 mg PO qHS
12.</t>
        </is>
      </c>
    </row>
    <row r="972">
      <c r="A972" t="inlineStr">
        <is>
          <t>4309-medication-history-0-12</t>
        </is>
      </c>
      <c r="B972" t="inlineStr"/>
      <c r="C972" t="inlineStr"/>
      <c r="D972">
        <f>HYPERLINK("http://nlpdeep.cs.uic.edu:8080/proofing/t5/4309-medication-history-0-12.pdf","t5/4309-medication-history-0-12.pdf")</f>
        <v/>
      </c>
      <c r="E972" t="n">
        <v>109181</v>
      </c>
      <c r="F972" t="n">
        <v>4309</v>
      </c>
      <c r="G972" t="inlineStr">
        <is>
          <t>Discharge summary</t>
        </is>
      </c>
      <c r="H972" t="inlineStr">
        <is>
          <t>medication-history</t>
        </is>
      </c>
      <c r="I972" t="inlineStr">
        <is>
          <t>Isosorbide 60 mg PO BID
13.</t>
        </is>
      </c>
    </row>
    <row r="973">
      <c r="A973" t="inlineStr">
        <is>
          <t>4309-medication-history-0-12</t>
        </is>
      </c>
      <c r="B973" t="inlineStr"/>
      <c r="C973" t="inlineStr"/>
      <c r="D973">
        <f>HYPERLINK("http://nlpdeep.cs.uic.edu:8080/proofing/gsii/4309-medication-history-0-12.pdf","gsii/4309-medication-history-0-12.pdf")</f>
        <v/>
      </c>
      <c r="E973" t="n">
        <v>109181</v>
      </c>
      <c r="F973" t="n">
        <v>4309</v>
      </c>
      <c r="G973" t="inlineStr">
        <is>
          <t>Discharge summary</t>
        </is>
      </c>
      <c r="H973" t="inlineStr">
        <is>
          <t>medication-history</t>
        </is>
      </c>
      <c r="I973" t="inlineStr">
        <is>
          <t>Isosorbide 60 mg PO BID
13.</t>
        </is>
      </c>
    </row>
    <row r="974">
      <c r="A974" t="inlineStr">
        <is>
          <t>4309-medication-history-0-13</t>
        </is>
      </c>
      <c r="B974" t="inlineStr"/>
      <c r="C974" t="inlineStr"/>
      <c r="D974">
        <f>HYPERLINK("http://nlpdeep.cs.uic.edu:8080/proofing/t5/4309-medication-history-0-13.pdf","t5/4309-medication-history-0-13.pdf")</f>
        <v/>
      </c>
      <c r="E974" t="n">
        <v>109181</v>
      </c>
      <c r="F974" t="n">
        <v>4309</v>
      </c>
      <c r="G974" t="inlineStr">
        <is>
          <t>Discharge summary</t>
        </is>
      </c>
      <c r="H974" t="inlineStr">
        <is>
          <t>medication-history</t>
        </is>
      </c>
      <c r="I974" t="inlineStr">
        <is>
          <t>Ranexa 1000 mg PO qAM
14.</t>
        </is>
      </c>
    </row>
    <row r="975">
      <c r="A975" t="inlineStr">
        <is>
          <t>4309-medication-history-0-13</t>
        </is>
      </c>
      <c r="B975" t="inlineStr"/>
      <c r="C975" t="inlineStr"/>
      <c r="D975">
        <f>HYPERLINK("http://nlpdeep.cs.uic.edu:8080/proofing/gsii/4309-medication-history-0-13.pdf","gsii/4309-medication-history-0-13.pdf")</f>
        <v/>
      </c>
      <c r="E975" t="n">
        <v>109181</v>
      </c>
      <c r="F975" t="n">
        <v>4309</v>
      </c>
      <c r="G975" t="inlineStr">
        <is>
          <t>Discharge summary</t>
        </is>
      </c>
      <c r="H975" t="inlineStr">
        <is>
          <t>medication-history</t>
        </is>
      </c>
      <c r="I975" t="inlineStr">
        <is>
          <t>Ranexa 1000 mg PO qAM
14.</t>
        </is>
      </c>
    </row>
    <row r="976">
      <c r="A976" t="inlineStr">
        <is>
          <t>4309-medication-history-0-14</t>
        </is>
      </c>
      <c r="B976" t="inlineStr"/>
      <c r="C976" t="inlineStr"/>
      <c r="D976">
        <f>HYPERLINK("http://nlpdeep.cs.uic.edu:8080/proofing/t5/4309-medication-history-0-14.pdf","t5/4309-medication-history-0-14.pdf")</f>
        <v/>
      </c>
      <c r="E976" t="n">
        <v>109181</v>
      </c>
      <c r="F976" t="n">
        <v>4309</v>
      </c>
      <c r="G976" t="inlineStr">
        <is>
          <t>Discharge summary</t>
        </is>
      </c>
      <c r="H976" t="inlineStr">
        <is>
          <t>medication-history</t>
        </is>
      </c>
      <c r="I976" t="inlineStr">
        <is>
          <t>Nitrostat prn chest pain
15.</t>
        </is>
      </c>
    </row>
    <row r="977">
      <c r="A977" t="inlineStr">
        <is>
          <t>4309-medication-history-0-14</t>
        </is>
      </c>
      <c r="B977" t="inlineStr"/>
      <c r="C977" t="inlineStr"/>
      <c r="D977">
        <f>HYPERLINK("http://nlpdeep.cs.uic.edu:8080/proofing/gsii/4309-medication-history-0-14.pdf","gsii/4309-medication-history-0-14.pdf")</f>
        <v/>
      </c>
      <c r="E977" t="n">
        <v>109181</v>
      </c>
      <c r="F977" t="n">
        <v>4309</v>
      </c>
      <c r="G977" t="inlineStr">
        <is>
          <t>Discharge summary</t>
        </is>
      </c>
      <c r="H977" t="inlineStr">
        <is>
          <t>medication-history</t>
        </is>
      </c>
      <c r="I977" t="inlineStr">
        <is>
          <t>Nitrostat prn chest pain
15.</t>
        </is>
      </c>
    </row>
    <row r="978">
      <c r="A978" t="inlineStr">
        <is>
          <t>4309-medication-history-0-15</t>
        </is>
      </c>
      <c r="B978" t="inlineStr"/>
      <c r="C978" t="inlineStr"/>
      <c r="D978">
        <f>HYPERLINK("http://nlpdeep.cs.uic.edu:8080/proofing/t5/4309-medication-history-0-15.pdf","t5/4309-medication-history-0-15.pdf")</f>
        <v/>
      </c>
      <c r="E978" t="n">
        <v>109181</v>
      </c>
      <c r="F978" t="n">
        <v>4309</v>
      </c>
      <c r="G978" t="inlineStr">
        <is>
          <t>Discharge summary</t>
        </is>
      </c>
      <c r="H978" t="inlineStr">
        <is>
          <t>medication-history</t>
        </is>
      </c>
      <c r="I978" t="inlineStr">
        <is>
          <t>Symbicort 4.5 mg
16.</t>
        </is>
      </c>
    </row>
    <row r="979">
      <c r="A979" t="inlineStr">
        <is>
          <t>4309-medication-history-0-15</t>
        </is>
      </c>
      <c r="B979" t="inlineStr"/>
      <c r="C979" t="inlineStr"/>
      <c r="D979">
        <f>HYPERLINK("http://nlpdeep.cs.uic.edu:8080/proofing/gsii/4309-medication-history-0-15.pdf","gsii/4309-medication-history-0-15.pdf")</f>
        <v/>
      </c>
      <c r="E979" t="n">
        <v>109181</v>
      </c>
      <c r="F979" t="n">
        <v>4309</v>
      </c>
      <c r="G979" t="inlineStr">
        <is>
          <t>Discharge summary</t>
        </is>
      </c>
      <c r="H979" t="inlineStr">
        <is>
          <t>medication-history</t>
        </is>
      </c>
      <c r="I979" t="inlineStr">
        <is>
          <t>Symbicort 4.5 mg
16.</t>
        </is>
      </c>
    </row>
    <row r="980">
      <c r="A980" t="inlineStr">
        <is>
          <t>4309-medication-history-0-16</t>
        </is>
      </c>
      <c r="B980" t="inlineStr"/>
      <c r="C980" t="inlineStr"/>
      <c r="D980">
        <f>HYPERLINK("http://nlpdeep.cs.uic.edu:8080/proofing/t5/4309-medication-history-0-16.pdf","t5/4309-medication-history-0-16.pdf")</f>
        <v/>
      </c>
      <c r="E980" t="n">
        <v>109181</v>
      </c>
      <c r="F980" t="n">
        <v>4309</v>
      </c>
      <c r="G980" t="inlineStr">
        <is>
          <t>Discharge summary</t>
        </is>
      </c>
      <c r="H980" t="inlineStr">
        <is>
          <t>medication-history</t>
        </is>
      </c>
      <c r="I980" t="inlineStr">
        <is>
          <t>Diphen/atropine 2-3x/day (per patient)</t>
        </is>
      </c>
    </row>
    <row r="981">
      <c r="A981" t="inlineStr">
        <is>
          <t>4309-medication-history-0-16</t>
        </is>
      </c>
      <c r="B981" t="inlineStr"/>
      <c r="C981" t="inlineStr"/>
      <c r="D981">
        <f>HYPERLINK("http://nlpdeep.cs.uic.edu:8080/proofing/gsii/4309-medication-history-0-16.pdf","gsii/4309-medication-history-0-16.pdf")</f>
        <v/>
      </c>
      <c r="E981" t="n">
        <v>109181</v>
      </c>
      <c r="F981" t="n">
        <v>4309</v>
      </c>
      <c r="G981" t="inlineStr">
        <is>
          <t>Discharge summary</t>
        </is>
      </c>
      <c r="H981" t="inlineStr">
        <is>
          <t>medication-history</t>
        </is>
      </c>
      <c r="I981" t="inlineStr">
        <is>
          <t>Diphen/atropine 2-3x/day (per patient)</t>
        </is>
      </c>
    </row>
    <row r="982">
      <c r="A982" t="inlineStr">
        <is>
          <t>4309-discharge-medications-0-0</t>
        </is>
      </c>
      <c r="B982" t="inlineStr"/>
      <c r="C982" t="inlineStr"/>
      <c r="D982">
        <f>HYPERLINK("http://nlpdeep.cs.uic.edu:8080/proofing/t5/4309-discharge-medications-0-0.pdf","t5/4309-discharge-medications-0-0.pdf")</f>
        <v/>
      </c>
      <c r="E982" t="n">
        <v>109181</v>
      </c>
      <c r="F982" t="n">
        <v>4309</v>
      </c>
      <c r="G982" t="inlineStr">
        <is>
          <t>Discharge summary</t>
        </is>
      </c>
      <c r="H982" t="inlineStr">
        <is>
          <t>discharge-medications</t>
        </is>
      </c>
      <c r="I982" t="inlineStr">
        <is>
          <t>n/a pt e</t>
        </is>
      </c>
    </row>
    <row r="983">
      <c r="A983" t="inlineStr">
        <is>
          <t>4309-discharge-medications-0-0</t>
        </is>
      </c>
      <c r="B983" t="inlineStr"/>
      <c r="C983" t="inlineStr"/>
      <c r="D983">
        <f>HYPERLINK("http://nlpdeep.cs.uic.edu:8080/proofing/gsii/4309-discharge-medications-0-0.pdf","gsii/4309-discharge-medications-0-0.pdf")</f>
        <v/>
      </c>
      <c r="E983" t="n">
        <v>109181</v>
      </c>
      <c r="F983" t="n">
        <v>4309</v>
      </c>
      <c r="G983" t="inlineStr">
        <is>
          <t>Discharge summary</t>
        </is>
      </c>
      <c r="H983" t="inlineStr">
        <is>
          <t>discharge-medications</t>
        </is>
      </c>
      <c r="I983" t="inlineStr">
        <is>
          <t>n/a pt e</t>
        </is>
      </c>
    </row>
    <row r="984">
      <c r="A984" t="inlineStr">
        <is>
          <t>4309-discharge-disposition-0-0</t>
        </is>
      </c>
      <c r="B984" t="inlineStr"/>
      <c r="C984" t="inlineStr"/>
      <c r="D984">
        <f>HYPERLINK("http://nlpdeep.cs.uic.edu:8080/proofing/t5/4309-discharge-disposition-0-0.pdf","t5/4309-discharge-disposition-0-0.pdf")</f>
        <v/>
      </c>
      <c r="E984" t="n">
        <v>109181</v>
      </c>
      <c r="F984" t="n">
        <v>4309</v>
      </c>
      <c r="G984" t="inlineStr">
        <is>
          <t>Discharge summary</t>
        </is>
      </c>
      <c r="H984" t="inlineStr">
        <is>
          <t>discharge-disposition</t>
        </is>
      </c>
      <c r="I984" t="inlineStr">
        <is>
          <t>E</t>
        </is>
      </c>
    </row>
    <row r="985">
      <c r="A985" t="inlineStr">
        <is>
          <t>4309-discharge-disposition-0-0</t>
        </is>
      </c>
      <c r="B985" t="inlineStr"/>
      <c r="C985" t="inlineStr"/>
      <c r="D985">
        <f>HYPERLINK("http://nlpdeep.cs.uic.edu:8080/proofing/gsii/4309-discharge-disposition-0-0.pdf","gsii/4309-discharge-disposition-0-0.pdf")</f>
        <v/>
      </c>
      <c r="E985" t="n">
        <v>109181</v>
      </c>
      <c r="F985" t="n">
        <v>4309</v>
      </c>
      <c r="G985" t="inlineStr">
        <is>
          <t>Discharge summary</t>
        </is>
      </c>
      <c r="H985" t="inlineStr">
        <is>
          <t>discharge-disposition</t>
        </is>
      </c>
      <c r="I985" t="inlineStr">
        <is>
          <t>E</t>
        </is>
      </c>
    </row>
    <row r="986">
      <c r="A986" t="inlineStr">
        <is>
          <t>4309-discharge-diagnosis-0-0</t>
        </is>
      </c>
      <c r="B986" t="inlineStr"/>
      <c r="C986" t="inlineStr"/>
      <c r="D986">
        <f>HYPERLINK("http://nlpdeep.cs.uic.edu:8080/proofing/t5/4309-discharge-diagnosis-0-0.pdf","t5/4309-discharge-diagnosis-0-0.pdf")</f>
        <v/>
      </c>
      <c r="E986" t="n">
        <v>109181</v>
      </c>
      <c r="F986" t="n">
        <v>4309</v>
      </c>
      <c r="G986" t="inlineStr">
        <is>
          <t>Discharge summary</t>
        </is>
      </c>
      <c r="H986" t="inlineStr">
        <is>
          <t>discharge-diagnosis</t>
        </is>
      </c>
      <c r="I986" t="inlineStr">
        <is>
          <t>pt e</t>
        </is>
      </c>
    </row>
    <row r="987">
      <c r="A987" t="inlineStr">
        <is>
          <t>4309-discharge-diagnosis-0-0</t>
        </is>
      </c>
      <c r="B987" t="inlineStr"/>
      <c r="C987" t="inlineStr"/>
      <c r="D987">
        <f>HYPERLINK("http://nlpdeep.cs.uic.edu:8080/proofing/gsii/4309-discharge-diagnosis-0-0.pdf","gsii/4309-discharge-diagnosis-0-0.pdf")</f>
        <v/>
      </c>
      <c r="E987" t="n">
        <v>109181</v>
      </c>
      <c r="F987" t="n">
        <v>4309</v>
      </c>
      <c r="G987" t="inlineStr">
        <is>
          <t>Discharge summary</t>
        </is>
      </c>
      <c r="H987" t="inlineStr">
        <is>
          <t>discharge-diagnosis</t>
        </is>
      </c>
      <c r="I987" t="inlineStr">
        <is>
          <t>pt e</t>
        </is>
      </c>
    </row>
    <row r="988">
      <c r="A988" t="inlineStr">
        <is>
          <t>4309-discharge-condition-0-0</t>
        </is>
      </c>
      <c r="B988" t="inlineStr"/>
      <c r="C988" t="inlineStr"/>
      <c r="D988">
        <f>HYPERLINK("http://nlpdeep.cs.uic.edu:8080/proofing/t5/4309-discharge-condition-0-0.pdf","t5/4309-discharge-condition-0-0.pdf")</f>
        <v/>
      </c>
      <c r="E988" t="n">
        <v>109181</v>
      </c>
      <c r="F988" t="n">
        <v>4309</v>
      </c>
      <c r="G988" t="inlineStr">
        <is>
          <t>Discharge summary</t>
        </is>
      </c>
      <c r="H988" t="inlineStr">
        <is>
          <t>discharge-condition</t>
        </is>
      </c>
      <c r="I988" t="inlineStr">
        <is>
          <t>pt e</t>
        </is>
      </c>
    </row>
    <row r="989">
      <c r="A989" t="inlineStr">
        <is>
          <t>4309-discharge-condition-0-0</t>
        </is>
      </c>
      <c r="B989" t="inlineStr"/>
      <c r="C989" t="inlineStr"/>
      <c r="D989">
        <f>HYPERLINK("http://nlpdeep.cs.uic.edu:8080/proofing/gsii/4309-discharge-condition-0-0.pdf","gsii/4309-discharge-condition-0-0.pdf")</f>
        <v/>
      </c>
      <c r="E989" t="n">
        <v>109181</v>
      </c>
      <c r="F989" t="n">
        <v>4309</v>
      </c>
      <c r="G989" t="inlineStr">
        <is>
          <t>Discharge summary</t>
        </is>
      </c>
      <c r="H989" t="inlineStr">
        <is>
          <t>discharge-condition</t>
        </is>
      </c>
      <c r="I989" t="inlineStr">
        <is>
          <t>pt e</t>
        </is>
      </c>
    </row>
    <row r="990">
      <c r="A990" t="inlineStr">
        <is>
          <t>4309-discharge-instructions-0-0</t>
        </is>
      </c>
      <c r="B990" t="inlineStr"/>
      <c r="C990" t="inlineStr"/>
      <c r="D990">
        <f>HYPERLINK("http://nlpdeep.cs.uic.edu:8080/proofing/t5/4309-discharge-instructions-0-0.pdf","t5/4309-discharge-instructions-0-0.pdf")</f>
        <v/>
      </c>
      <c r="E990" t="n">
        <v>109181</v>
      </c>
      <c r="F990" t="n">
        <v>4309</v>
      </c>
      <c r="G990" t="inlineStr">
        <is>
          <t>Discharge summary</t>
        </is>
      </c>
      <c r="H990" t="inlineStr">
        <is>
          <t>discharge-instructions</t>
        </is>
      </c>
      <c r="I990" t="inlineStr"/>
    </row>
    <row r="991">
      <c r="A991" t="inlineStr">
        <is>
          <t>4309-discharge-instructions-0-0</t>
        </is>
      </c>
      <c r="B991" t="inlineStr"/>
      <c r="C991" t="inlineStr"/>
      <c r="D991">
        <f>HYPERLINK("http://nlpdeep.cs.uic.edu:8080/proofing/gsii/4309-discharge-instructions-0-0.pdf","gsii/4309-discharge-instructions-0-0.pdf")</f>
        <v/>
      </c>
      <c r="E991" t="n">
        <v>109181</v>
      </c>
      <c r="F991" t="n">
        <v>4309</v>
      </c>
      <c r="G991" t="inlineStr">
        <is>
          <t>Discharge summary</t>
        </is>
      </c>
      <c r="H991" t="inlineStr">
        <is>
          <t>discharge-instructions</t>
        </is>
      </c>
      <c r="I991" t="inlineStr"/>
    </row>
    <row r="992">
      <c r="A992" t="inlineStr">
        <is>
          <t>4309-discharge-instructions-1-0</t>
        </is>
      </c>
      <c r="B992" t="inlineStr"/>
      <c r="C992" t="inlineStr"/>
      <c r="D992">
        <f>HYPERLINK("http://nlpdeep.cs.uic.edu:8080/proofing/t5/4309-discharge-instructions-1-0.pdf","t5/4309-discharge-instructions-1-0.pdf")</f>
        <v/>
      </c>
      <c r="E992" t="n">
        <v>109181</v>
      </c>
      <c r="F992" t="n">
        <v>4309</v>
      </c>
      <c r="G992" t="inlineStr">
        <is>
          <t>Discharge summary</t>
        </is>
      </c>
      <c r="H992" t="inlineStr">
        <is>
          <t>discharge-instructions</t>
        </is>
      </c>
      <c r="I992" t="inlineStr"/>
    </row>
    <row r="993">
      <c r="A993" t="inlineStr">
        <is>
          <t>4309-discharge-instructions-1-0</t>
        </is>
      </c>
      <c r="B993" t="inlineStr"/>
      <c r="C993" t="inlineStr"/>
      <c r="D993">
        <f>HYPERLINK("http://nlpdeep.cs.uic.edu:8080/proofing/gsii/4309-discharge-instructions-1-0.pdf","gsii/4309-discharge-instructions-1-0.pdf")</f>
        <v/>
      </c>
      <c r="E993" t="n">
        <v>109181</v>
      </c>
      <c r="F993" t="n">
        <v>4309</v>
      </c>
      <c r="G993" t="inlineStr">
        <is>
          <t>Discharge summary</t>
        </is>
      </c>
      <c r="H993" t="inlineStr">
        <is>
          <t>discharge-instructions</t>
        </is>
      </c>
      <c r="I993" t="inlineStr"/>
    </row>
    <row r="994">
      <c r="A994" t="inlineStr">
        <is>
          <t>64146-patient-test-information-0-0</t>
        </is>
      </c>
      <c r="B994" t="inlineStr"/>
      <c r="C994" t="inlineStr"/>
      <c r="D994">
        <f>HYPERLINK("http://nlpdeep.cs.uic.edu:8080/proofing/t5/64146-patient-test-information-0-0.pdf","t5/64146-patient-test-information-0-0.pdf")</f>
        <v/>
      </c>
      <c r="E994" t="n">
        <v>109181</v>
      </c>
      <c r="F994" t="n">
        <v>64146</v>
      </c>
      <c r="G994" t="inlineStr">
        <is>
          <t>Echo</t>
        </is>
      </c>
      <c r="H994" t="inlineStr">
        <is>
          <t>patient-test-information</t>
        </is>
      </c>
      <c r="I994" t="inlineStr">
        <is>
          <t>Indication: Chest pain.</t>
        </is>
      </c>
    </row>
    <row r="995">
      <c r="A995" t="inlineStr">
        <is>
          <t>64146-patient-test-information-0-0</t>
        </is>
      </c>
      <c r="B995" t="inlineStr"/>
      <c r="C995" t="inlineStr"/>
      <c r="D995">
        <f>HYPERLINK("http://nlpdeep.cs.uic.edu:8080/proofing/gsii/64146-patient-test-information-0-0.pdf","gsii/64146-patient-test-information-0-0.pdf")</f>
        <v/>
      </c>
      <c r="E995" t="n">
        <v>109181</v>
      </c>
      <c r="F995" t="n">
        <v>64146</v>
      </c>
      <c r="G995" t="inlineStr">
        <is>
          <t>Echo</t>
        </is>
      </c>
      <c r="H995" t="inlineStr">
        <is>
          <t>patient-test-information</t>
        </is>
      </c>
      <c r="I995" t="inlineStr">
        <is>
          <t>Indication: Chest pain.</t>
        </is>
      </c>
    </row>
    <row r="996">
      <c r="A996" t="inlineStr">
        <is>
          <t>64146-patient-test-information-0-1</t>
        </is>
      </c>
      <c r="B996" t="inlineStr"/>
      <c r="C996" t="inlineStr"/>
      <c r="D996">
        <f>HYPERLINK("http://nlpdeep.cs.uic.edu:8080/proofing/t5/64146-patient-test-information-0-1.pdf","t5/64146-patient-test-information-0-1.pdf")</f>
        <v/>
      </c>
      <c r="E996" t="n">
        <v>109181</v>
      </c>
      <c r="F996" t="n">
        <v>64146</v>
      </c>
      <c r="G996" t="inlineStr">
        <is>
          <t>Echo</t>
        </is>
      </c>
      <c r="H996" t="inlineStr">
        <is>
          <t>patient-test-information</t>
        </is>
      </c>
      <c r="I996" t="inlineStr">
        <is>
          <t>Left ventricular function.</t>
        </is>
      </c>
    </row>
    <row r="997">
      <c r="A997" t="inlineStr">
        <is>
          <t>64146-patient-test-information-0-1</t>
        </is>
      </c>
      <c r="B997" t="inlineStr"/>
      <c r="C997" t="inlineStr"/>
      <c r="D997">
        <f>HYPERLINK("http://nlpdeep.cs.uic.edu:8080/proofing/gsii/64146-patient-test-information-0-1.pdf","gsii/64146-patient-test-information-0-1.pdf")</f>
        <v/>
      </c>
      <c r="E997" t="n">
        <v>109181</v>
      </c>
      <c r="F997" t="n">
        <v>64146</v>
      </c>
      <c r="G997" t="inlineStr">
        <is>
          <t>Echo</t>
        </is>
      </c>
      <c r="H997" t="inlineStr">
        <is>
          <t>patient-test-information</t>
        </is>
      </c>
      <c r="I997" t="inlineStr">
        <is>
          <t>Left ventricular function.</t>
        </is>
      </c>
    </row>
    <row r="998">
      <c r="A998" t="inlineStr">
        <is>
          <t>64146-patient-test-information-0-2</t>
        </is>
      </c>
      <c r="B998" t="inlineStr"/>
      <c r="C998" t="inlineStr"/>
      <c r="D998">
        <f>HYPERLINK("http://nlpdeep.cs.uic.edu:8080/proofing/t5/64146-patient-test-information-0-2.pdf","t5/64146-patient-test-information-0-2.pdf")</f>
        <v/>
      </c>
      <c r="E998" t="n">
        <v>109181</v>
      </c>
      <c r="F998" t="n">
        <v>64146</v>
      </c>
      <c r="G998" t="inlineStr">
        <is>
          <t>Echo</t>
        </is>
      </c>
      <c r="H998" t="inlineStr">
        <is>
          <t>patient-test-information</t>
        </is>
      </c>
      <c r="I998" t="inlineStr">
        <is>
          <t>ACS.</t>
        </is>
      </c>
    </row>
    <row r="999">
      <c r="A999" t="inlineStr">
        <is>
          <t>64146-patient-test-information-0-2</t>
        </is>
      </c>
      <c r="B999" t="inlineStr"/>
      <c r="C999" t="inlineStr"/>
      <c r="D999">
        <f>HYPERLINK("http://nlpdeep.cs.uic.edu:8080/proofing/gsii/64146-patient-test-information-0-2.pdf","gsii/64146-patient-test-information-0-2.pdf")</f>
        <v/>
      </c>
      <c r="E999" t="n">
        <v>109181</v>
      </c>
      <c r="F999" t="n">
        <v>64146</v>
      </c>
      <c r="G999" t="inlineStr">
        <is>
          <t>Echo</t>
        </is>
      </c>
      <c r="H999" t="inlineStr">
        <is>
          <t>patient-test-information</t>
        </is>
      </c>
      <c r="I999" t="inlineStr">
        <is>
          <t>ACS.</t>
        </is>
      </c>
    </row>
    <row r="1000">
      <c r="A1000" t="inlineStr">
        <is>
          <t>64146-patient-test-information-0-3</t>
        </is>
      </c>
      <c r="B1000" t="inlineStr"/>
      <c r="C1000" t="inlineStr"/>
      <c r="D1000">
        <f>HYPERLINK("http://nlpdeep.cs.uic.edu:8080/proofing/t5/64146-patient-test-information-0-3.pdf","t5/64146-patient-test-information-0-3.pdf")</f>
        <v/>
      </c>
      <c r="E1000" t="n">
        <v>109181</v>
      </c>
      <c r="F1000" t="n">
        <v>64146</v>
      </c>
      <c r="G1000" t="inlineStr">
        <is>
          <t>Echo</t>
        </is>
      </c>
      <c r="H1000" t="inlineStr">
        <is>
          <t>patient-test-information</t>
        </is>
      </c>
      <c r="I1000" t="inlineStr">
        <is>
          <t>Height: (in) 68
Weight (lb): 177
BSA (m2): 1.94 m2
BP (mm Hg): 92/45
HR (bpm): 76
Status: Inpatient
Date/Time: [**2167-1-21**] at 10:31
Test: Portable TTE (Complete)
Doppler: Full Doppler and color Doppler
Contrast: None
Technical Quality: A</t>
        </is>
      </c>
    </row>
    <row r="1001">
      <c r="A1001" t="inlineStr">
        <is>
          <t>64146-patient-test-information-0-3</t>
        </is>
      </c>
      <c r="B1001" t="inlineStr"/>
      <c r="C1001" t="inlineStr"/>
      <c r="D1001">
        <f>HYPERLINK("http://nlpdeep.cs.uic.edu:8080/proofing/gsii/64146-patient-test-information-0-3.pdf","gsii/64146-patient-test-information-0-3.pdf")</f>
        <v/>
      </c>
      <c r="E1001" t="n">
        <v>109181</v>
      </c>
      <c r="F1001" t="n">
        <v>64146</v>
      </c>
      <c r="G1001" t="inlineStr">
        <is>
          <t>Echo</t>
        </is>
      </c>
      <c r="H1001" t="inlineStr">
        <is>
          <t>patient-test-information</t>
        </is>
      </c>
      <c r="I1001" t="inlineStr">
        <is>
          <t>Height: (in) 68
Weight (lb): 177
BSA (m2): 1.94 m2
BP (mm Hg): 92/45
HR (bpm): 76
Status: Inpatient
Date/Time: [**2167-1-21**] at 10:31
Test: Portable TTE (Complete)
Doppler: Full Doppler and color Doppler
Contrast: None
Technical Quality: A</t>
        </is>
      </c>
    </row>
    <row r="1002">
      <c r="A1002" t="inlineStr">
        <is>
          <t>64146-findings-0-0</t>
        </is>
      </c>
      <c r="B1002" t="inlineStr"/>
      <c r="C1002" t="inlineStr"/>
      <c r="D1002">
        <f>HYPERLINK("http://nlpdeep.cs.uic.edu:8080/proofing/t5/64146-findings-0-0.pdf","t5/64146-findings-0-0.pdf")</f>
        <v/>
      </c>
      <c r="E1002" t="n">
        <v>109181</v>
      </c>
      <c r="F1002" t="n">
        <v>64146</v>
      </c>
      <c r="G1002" t="inlineStr">
        <is>
          <t>Echo</t>
        </is>
      </c>
      <c r="H1002" t="inlineStr">
        <is>
          <t>findings</t>
        </is>
      </c>
      <c r="I1002" t="inlineStr">
        <is>
          <t>This study was compared to the prior study of [**2166-9-12**].</t>
        </is>
      </c>
    </row>
    <row r="1003">
      <c r="A1003" t="inlineStr">
        <is>
          <t>64146-findings-0-0</t>
        </is>
      </c>
      <c r="B1003" t="inlineStr"/>
      <c r="C1003" t="inlineStr"/>
      <c r="D1003">
        <f>HYPERLINK("http://nlpdeep.cs.uic.edu:8080/proofing/gsii/64146-findings-0-0.pdf","gsii/64146-findings-0-0.pdf")</f>
        <v/>
      </c>
      <c r="E1003" t="n">
        <v>109181</v>
      </c>
      <c r="F1003" t="n">
        <v>64146</v>
      </c>
      <c r="G1003" t="inlineStr">
        <is>
          <t>Echo</t>
        </is>
      </c>
      <c r="H1003" t="inlineStr">
        <is>
          <t>findings</t>
        </is>
      </c>
      <c r="I1003" t="inlineStr">
        <is>
          <t>This study was compared to the prior study of [**2166-9-12**].</t>
        </is>
      </c>
    </row>
    <row r="1004">
      <c r="A1004" t="inlineStr">
        <is>
          <t>64146-findings-1-0</t>
        </is>
      </c>
      <c r="B1004" t="inlineStr"/>
      <c r="C1004" t="inlineStr"/>
      <c r="D1004">
        <f>HYPERLINK("http://nlpdeep.cs.uic.edu:8080/proofing/t5/64146-findings-1-0.pdf","t5/64146-findings-1-0.pdf")</f>
        <v/>
      </c>
      <c r="E1004" t="n">
        <v>109181</v>
      </c>
      <c r="F1004" t="n">
        <v>64146</v>
      </c>
      <c r="G1004" t="inlineStr">
        <is>
          <t>Echo</t>
        </is>
      </c>
      <c r="H1004" t="inlineStr">
        <is>
          <t>findings</t>
        </is>
      </c>
      <c r="I1004" t="inlineStr">
        <is>
          <t xml:space="preserve">
LEFT ATRIUM: Mild LA enlargement.</t>
        </is>
      </c>
    </row>
    <row r="1005">
      <c r="A1005" t="inlineStr">
        <is>
          <t>64146-findings-1-0</t>
        </is>
      </c>
      <c r="B1005" t="inlineStr"/>
      <c r="C1005" t="inlineStr"/>
      <c r="D1005">
        <f>HYPERLINK("http://nlpdeep.cs.uic.edu:8080/proofing/gsii/64146-findings-1-0.pdf","gsii/64146-findings-1-0.pdf")</f>
        <v/>
      </c>
      <c r="E1005" t="n">
        <v>109181</v>
      </c>
      <c r="F1005" t="n">
        <v>64146</v>
      </c>
      <c r="G1005" t="inlineStr">
        <is>
          <t>Echo</t>
        </is>
      </c>
      <c r="H1005" t="inlineStr">
        <is>
          <t>findings</t>
        </is>
      </c>
      <c r="I1005" t="inlineStr">
        <is>
          <t xml:space="preserve">
LEFT ATRIUM: Mild LA enlargement.</t>
        </is>
      </c>
    </row>
    <row r="1006">
      <c r="A1006" t="inlineStr">
        <is>
          <t>64146-findings-2-0</t>
        </is>
      </c>
      <c r="B1006" t="inlineStr"/>
      <c r="C1006" t="inlineStr"/>
      <c r="D1006">
        <f>HYPERLINK("http://nlpdeep.cs.uic.edu:8080/proofing/t5/64146-findings-2-0.pdf","t5/64146-findings-2-0.pdf")</f>
        <v/>
      </c>
      <c r="E1006" t="n">
        <v>109181</v>
      </c>
      <c r="F1006" t="n">
        <v>64146</v>
      </c>
      <c r="G1006" t="inlineStr">
        <is>
          <t>Echo</t>
        </is>
      </c>
      <c r="H1006" t="inlineStr">
        <is>
          <t>findings</t>
        </is>
      </c>
      <c r="I1006" t="inlineStr">
        <is>
          <t xml:space="preserve">
RIGHT ATRIUM/INTERATRIAL SEPTUM: Normal RA size.</t>
        </is>
      </c>
    </row>
    <row r="1007">
      <c r="A1007" t="inlineStr">
        <is>
          <t>64146-findings-2-0</t>
        </is>
      </c>
      <c r="B1007" t="inlineStr"/>
      <c r="C1007" t="inlineStr"/>
      <c r="D1007">
        <f>HYPERLINK("http://nlpdeep.cs.uic.edu:8080/proofing/gsii/64146-findings-2-0.pdf","gsii/64146-findings-2-0.pdf")</f>
        <v/>
      </c>
      <c r="E1007" t="n">
        <v>109181</v>
      </c>
      <c r="F1007" t="n">
        <v>64146</v>
      </c>
      <c r="G1007" t="inlineStr">
        <is>
          <t>Echo</t>
        </is>
      </c>
      <c r="H1007" t="inlineStr">
        <is>
          <t>findings</t>
        </is>
      </c>
      <c r="I1007" t="inlineStr">
        <is>
          <t xml:space="preserve">
RIGHT ATRIUM/INTERATRIAL SEPTUM: Normal RA size.</t>
        </is>
      </c>
    </row>
    <row r="1008">
      <c r="A1008" t="inlineStr">
        <is>
          <t>64146-findings-3-0</t>
        </is>
      </c>
      <c r="B1008" t="inlineStr"/>
      <c r="C1008" t="inlineStr"/>
      <c r="D1008">
        <f>HYPERLINK("http://nlpdeep.cs.uic.edu:8080/proofing/t5/64146-findings-3-0.pdf","t5/64146-findings-3-0.pdf")</f>
        <v/>
      </c>
      <c r="E1008" t="n">
        <v>109181</v>
      </c>
      <c r="F1008" t="n">
        <v>64146</v>
      </c>
      <c r="G1008" t="inlineStr">
        <is>
          <t>Echo</t>
        </is>
      </c>
      <c r="H1008" t="inlineStr">
        <is>
          <t>findings</t>
        </is>
      </c>
      <c r="I1008" t="inlineStr">
        <is>
          <t xml:space="preserve">
LEFT VENTRICLE: Normal LV wall thickness.</t>
        </is>
      </c>
    </row>
    <row r="1009">
      <c r="A1009" t="inlineStr">
        <is>
          <t>64146-findings-3-0</t>
        </is>
      </c>
      <c r="B1009" t="inlineStr"/>
      <c r="C1009" t="inlineStr"/>
      <c r="D1009">
        <f>HYPERLINK("http://nlpdeep.cs.uic.edu:8080/proofing/gsii/64146-findings-3-0.pdf","gsii/64146-findings-3-0.pdf")</f>
        <v/>
      </c>
      <c r="E1009" t="n">
        <v>109181</v>
      </c>
      <c r="F1009" t="n">
        <v>64146</v>
      </c>
      <c r="G1009" t="inlineStr">
        <is>
          <t>Echo</t>
        </is>
      </c>
      <c r="H1009" t="inlineStr">
        <is>
          <t>findings</t>
        </is>
      </c>
      <c r="I1009" t="inlineStr">
        <is>
          <t xml:space="preserve">
LEFT VENTRICLE: Normal LV wall thickness.</t>
        </is>
      </c>
    </row>
    <row r="1010">
      <c r="A1010" t="inlineStr">
        <is>
          <t>64146-findings-3-1</t>
        </is>
      </c>
      <c r="B1010" t="inlineStr"/>
      <c r="C1010" t="inlineStr"/>
      <c r="D1010">
        <f>HYPERLINK("http://nlpdeep.cs.uic.edu:8080/proofing/t5/64146-findings-3-1.pdf","t5/64146-findings-3-1.pdf")</f>
        <v/>
      </c>
      <c r="E1010" t="n">
        <v>109181</v>
      </c>
      <c r="F1010" t="n">
        <v>64146</v>
      </c>
      <c r="G1010" t="inlineStr">
        <is>
          <t>Echo</t>
        </is>
      </c>
      <c r="H1010" t="inlineStr">
        <is>
          <t>findings</t>
        </is>
      </c>
      <c r="I1010" t="inlineStr">
        <is>
          <t>Moderately dilated LV cavity.</t>
        </is>
      </c>
    </row>
    <row r="1011">
      <c r="A1011" t="inlineStr">
        <is>
          <t>64146-findings-3-1</t>
        </is>
      </c>
      <c r="B1011" t="inlineStr"/>
      <c r="C1011" t="inlineStr"/>
      <c r="D1011">
        <f>HYPERLINK("http://nlpdeep.cs.uic.edu:8080/proofing/gsii/64146-findings-3-1.pdf","gsii/64146-findings-3-1.pdf")</f>
        <v/>
      </c>
      <c r="E1011" t="n">
        <v>109181</v>
      </c>
      <c r="F1011" t="n">
        <v>64146</v>
      </c>
      <c r="G1011" t="inlineStr">
        <is>
          <t>Echo</t>
        </is>
      </c>
      <c r="H1011" t="inlineStr">
        <is>
          <t>findings</t>
        </is>
      </c>
      <c r="I1011" t="inlineStr">
        <is>
          <t>Moderately dilated LV cavity.</t>
        </is>
      </c>
    </row>
    <row r="1012">
      <c r="A1012" t="inlineStr">
        <is>
          <t>64146-findings-3-2</t>
        </is>
      </c>
      <c r="B1012" t="inlineStr"/>
      <c r="C1012" t="inlineStr"/>
      <c r="D1012">
        <f>HYPERLINK("http://nlpdeep.cs.uic.edu:8080/proofing/t5/64146-findings-3-2.pdf","t5/64146-findings-3-2.pdf")</f>
        <v/>
      </c>
      <c r="E1012" t="n">
        <v>109181</v>
      </c>
      <c r="F1012" t="n">
        <v>64146</v>
      </c>
      <c r="G1012" t="inlineStr">
        <is>
          <t>Echo</t>
        </is>
      </c>
      <c r="H1012" t="inlineStr">
        <is>
          <t>findings</t>
        </is>
      </c>
      <c r="I1012" t="inlineStr">
        <is>
          <t xml:space="preserve">
Moderate regional LV systolic dysfunction.</t>
        </is>
      </c>
    </row>
    <row r="1013">
      <c r="A1013" t="inlineStr">
        <is>
          <t>64146-findings-3-2</t>
        </is>
      </c>
      <c r="B1013" t="inlineStr"/>
      <c r="C1013" t="inlineStr"/>
      <c r="D1013">
        <f>HYPERLINK("http://nlpdeep.cs.uic.edu:8080/proofing/gsii/64146-findings-3-2.pdf","gsii/64146-findings-3-2.pdf")</f>
        <v/>
      </c>
      <c r="E1013" t="n">
        <v>109181</v>
      </c>
      <c r="F1013" t="n">
        <v>64146</v>
      </c>
      <c r="G1013" t="inlineStr">
        <is>
          <t>Echo</t>
        </is>
      </c>
      <c r="H1013" t="inlineStr">
        <is>
          <t>findings</t>
        </is>
      </c>
      <c r="I1013" t="inlineStr">
        <is>
          <t xml:space="preserve">
Moderate regional LV systolic dysfunction.</t>
        </is>
      </c>
    </row>
    <row r="1014">
      <c r="A1014" t="inlineStr">
        <is>
          <t>64146-findings-3-3</t>
        </is>
      </c>
      <c r="B1014" t="inlineStr"/>
      <c r="C1014" t="inlineStr"/>
      <c r="D1014">
        <f>HYPERLINK("http://nlpdeep.cs.uic.edu:8080/proofing/t5/64146-findings-3-3.pdf","t5/64146-findings-3-3.pdf")</f>
        <v/>
      </c>
      <c r="E1014" t="n">
        <v>109181</v>
      </c>
      <c r="F1014" t="n">
        <v>64146</v>
      </c>
      <c r="G1014" t="inlineStr">
        <is>
          <t>Echo</t>
        </is>
      </c>
      <c r="H1014" t="inlineStr">
        <is>
          <t>findings</t>
        </is>
      </c>
      <c r="I1014" t="inlineStr">
        <is>
          <t>Mild resting LVOT gradient.</t>
        </is>
      </c>
    </row>
    <row r="1015">
      <c r="A1015" t="inlineStr">
        <is>
          <t>64146-findings-3-3</t>
        </is>
      </c>
      <c r="B1015" t="inlineStr"/>
      <c r="C1015" t="inlineStr"/>
      <c r="D1015">
        <f>HYPERLINK("http://nlpdeep.cs.uic.edu:8080/proofing/gsii/64146-findings-3-3.pdf","gsii/64146-findings-3-3.pdf")</f>
        <v/>
      </c>
      <c r="E1015" t="n">
        <v>109181</v>
      </c>
      <c r="F1015" t="n">
        <v>64146</v>
      </c>
      <c r="G1015" t="inlineStr">
        <is>
          <t>Echo</t>
        </is>
      </c>
      <c r="H1015" t="inlineStr">
        <is>
          <t>findings</t>
        </is>
      </c>
      <c r="I1015" t="inlineStr">
        <is>
          <t>Mild resting LVOT gradient.</t>
        </is>
      </c>
    </row>
    <row r="1016">
      <c r="A1016" t="inlineStr">
        <is>
          <t>64146-findings-4-0</t>
        </is>
      </c>
      <c r="B1016" t="inlineStr"/>
      <c r="C1016" t="inlineStr"/>
      <c r="D1016">
        <f>HYPERLINK("http://nlpdeep.cs.uic.edu:8080/proofing/t5/64146-findings-4-0.pdf","t5/64146-findings-4-0.pdf")</f>
        <v/>
      </c>
      <c r="E1016" t="n">
        <v>109181</v>
      </c>
      <c r="F1016" t="n">
        <v>64146</v>
      </c>
      <c r="G1016" t="inlineStr">
        <is>
          <t>Echo</t>
        </is>
      </c>
      <c r="H1016" t="inlineStr">
        <is>
          <t>findings</t>
        </is>
      </c>
      <c r="I1016" t="inlineStr">
        <is>
          <t>.
AORTIC VALVE: ?# aortic valve leaflets. Moderately thickened aortic valve
leaflets. Small vegetation on aortic valve. Mild AS (area 1.2-1.9cm2).
Moderate (2+) AR.
MITRAL VALVE: Mildly thickened mitral val</t>
        </is>
      </c>
    </row>
    <row r="1017">
      <c r="A1017" t="inlineStr">
        <is>
          <t>64146-findings-4-0</t>
        </is>
      </c>
      <c r="B1017" t="inlineStr"/>
      <c r="C1017" t="inlineStr"/>
      <c r="D1017">
        <f>HYPERLINK("http://nlpdeep.cs.uic.edu:8080/proofing/gsii/64146-findings-4-0.pdf","gsii/64146-findings-4-0.pdf")</f>
        <v/>
      </c>
      <c r="E1017" t="n">
        <v>109181</v>
      </c>
      <c r="F1017" t="n">
        <v>64146</v>
      </c>
      <c r="G1017" t="inlineStr">
        <is>
          <t>Echo</t>
        </is>
      </c>
      <c r="H1017" t="inlineStr">
        <is>
          <t>findings</t>
        </is>
      </c>
      <c r="I1017" t="inlineStr">
        <is>
          <t>.
AORTIC VALVE: ?# aortic valve leaflets. Moderately thickened aortic valve
leaflets. Small vegetation on aortic valve. Mild AS (area 1.2-1.9cm2).
Moderate (2+) AR.
MITRAL VALVE: Mildly thickened mitral val</t>
        </is>
      </c>
    </row>
    <row r="1018">
      <c r="A1018" t="inlineStr">
        <is>
          <t>64146-findings-5-0</t>
        </is>
      </c>
      <c r="B1018" t="inlineStr"/>
      <c r="C1018" t="inlineStr"/>
      <c r="D1018">
        <f>HYPERLINK("http://nlpdeep.cs.uic.edu:8080/proofing/t5/64146-findings-5-0.pdf","t5/64146-findings-5-0.pdf")</f>
        <v/>
      </c>
      <c r="E1018" t="n">
        <v>109181</v>
      </c>
      <c r="F1018" t="n">
        <v>64146</v>
      </c>
      <c r="G1018" t="inlineStr">
        <is>
          <t>Echo</t>
        </is>
      </c>
      <c r="H1018" t="inlineStr">
        <is>
          <t>findings</t>
        </is>
      </c>
      <c r="I1018" t="inlineStr">
        <is>
          <t xml:space="preserve"> leaflets. No MVP. Mild thickening
of mi</t>
        </is>
      </c>
    </row>
    <row r="1019">
      <c r="A1019" t="inlineStr">
        <is>
          <t>64146-findings-5-0</t>
        </is>
      </c>
      <c r="B1019" t="inlineStr"/>
      <c r="C1019" t="inlineStr"/>
      <c r="D1019">
        <f>HYPERLINK("http://nlpdeep.cs.uic.edu:8080/proofing/gsii/64146-findings-5-0.pdf","gsii/64146-findings-5-0.pdf")</f>
        <v/>
      </c>
      <c r="E1019" t="n">
        <v>109181</v>
      </c>
      <c r="F1019" t="n">
        <v>64146</v>
      </c>
      <c r="G1019" t="inlineStr">
        <is>
          <t>Echo</t>
        </is>
      </c>
      <c r="H1019" t="inlineStr">
        <is>
          <t>findings</t>
        </is>
      </c>
      <c r="I1019" t="inlineStr">
        <is>
          <t xml:space="preserve"> leaflets. No MVP. Mild thickening
of mi</t>
        </is>
      </c>
    </row>
    <row r="1020">
      <c r="A1020" t="inlineStr">
        <is>
          <t>64146-findings-5-1</t>
        </is>
      </c>
      <c r="B1020" t="inlineStr"/>
      <c r="C1020" t="inlineStr"/>
      <c r="D1020">
        <f>HYPERLINK("http://nlpdeep.cs.uic.edu:8080/proofing/t5/64146-findings-5-1.pdf","t5/64146-findings-5-1.pdf")</f>
        <v/>
      </c>
      <c r="E1020" t="n">
        <v>109181</v>
      </c>
      <c r="F1020" t="n">
        <v>64146</v>
      </c>
      <c r="G1020" t="inlineStr">
        <is>
          <t>Echo</t>
        </is>
      </c>
      <c r="H1020" t="inlineStr">
        <is>
          <t>findings</t>
        </is>
      </c>
      <c r="I1020" t="inlineStr">
        <is>
          <t>Mild global RV free wall hypokinesis.</t>
        </is>
      </c>
    </row>
    <row r="1021">
      <c r="A1021" t="inlineStr">
        <is>
          <t>64146-findings-5-1</t>
        </is>
      </c>
      <c r="B1021" t="inlineStr"/>
      <c r="C1021" t="inlineStr"/>
      <c r="D1021">
        <f>HYPERLINK("http://nlpdeep.cs.uic.edu:8080/proofing/gsii/64146-findings-5-1.pdf","gsii/64146-findings-5-1.pdf")</f>
        <v/>
      </c>
      <c r="E1021" t="n">
        <v>109181</v>
      </c>
      <c r="F1021" t="n">
        <v>64146</v>
      </c>
      <c r="G1021" t="inlineStr">
        <is>
          <t>Echo</t>
        </is>
      </c>
      <c r="H1021" t="inlineStr">
        <is>
          <t>findings</t>
        </is>
      </c>
      <c r="I1021" t="inlineStr">
        <is>
          <t>Mild global RV free wall hypokinesis.</t>
        </is>
      </c>
    </row>
    <row r="1022">
      <c r="A1022" t="inlineStr">
        <is>
          <t>64146-findings-6-0</t>
        </is>
      </c>
      <c r="B1022" t="inlineStr"/>
      <c r="C1022" t="inlineStr"/>
      <c r="D1022">
        <f>HYPERLINK("http://nlpdeep.cs.uic.edu:8080/proofing/t5/64146-findings-6-0.pdf","t5/64146-findings-6-0.pdf")</f>
        <v/>
      </c>
      <c r="E1022" t="n">
        <v>109181</v>
      </c>
      <c r="F1022" t="n">
        <v>64146</v>
      </c>
      <c r="G1022" t="inlineStr">
        <is>
          <t>Echo</t>
        </is>
      </c>
      <c r="H1022" t="inlineStr">
        <is>
          <t>findings</t>
        </is>
      </c>
      <c r="I1022" t="inlineStr">
        <is>
          <t xml:space="preserve">
AORTA: Normal diameter of aorta at the sinus, ascending and arch levels.</t>
        </is>
      </c>
    </row>
    <row r="1023">
      <c r="A1023" t="inlineStr">
        <is>
          <t>64146-findings-6-0</t>
        </is>
      </c>
      <c r="B1023" t="inlineStr"/>
      <c r="C1023" t="inlineStr"/>
      <c r="D1023">
        <f>HYPERLINK("http://nlpdeep.cs.uic.edu:8080/proofing/gsii/64146-findings-6-0.pdf","gsii/64146-findings-6-0.pdf")</f>
        <v/>
      </c>
      <c r="E1023" t="n">
        <v>109181</v>
      </c>
      <c r="F1023" t="n">
        <v>64146</v>
      </c>
      <c r="G1023" t="inlineStr">
        <is>
          <t>Echo</t>
        </is>
      </c>
      <c r="H1023" t="inlineStr">
        <is>
          <t>findings</t>
        </is>
      </c>
      <c r="I1023" t="inlineStr">
        <is>
          <t xml:space="preserve">
AORTA: Normal diameter of aorta at the sinus, ascending and arch levels.</t>
        </is>
      </c>
    </row>
    <row r="1024">
      <c r="A1024" t="inlineStr">
        <is>
          <t>64146-findings-7-0</t>
        </is>
      </c>
      <c r="B1024" t="inlineStr"/>
      <c r="C1024" t="inlineStr"/>
      <c r="D1024">
        <f>HYPERLINK("http://nlpdeep.cs.uic.edu:8080/proofing/t5/64146-findings-7-0.pdf","t5/64146-findings-7-0.pdf")</f>
        <v/>
      </c>
      <c r="E1024" t="n">
        <v>109181</v>
      </c>
      <c r="F1024" t="n">
        <v>64146</v>
      </c>
      <c r="G1024" t="inlineStr">
        <is>
          <t>Echo</t>
        </is>
      </c>
      <c r="H1024" t="inlineStr">
        <is>
          <t>findings</t>
        </is>
      </c>
      <c r="I1024" t="inlineStr">
        <is>
          <t xml:space="preserve">
AORTIC VALVE: ?# aortic valve leaflets.</t>
        </is>
      </c>
    </row>
    <row r="1025">
      <c r="A1025" t="inlineStr">
        <is>
          <t>64146-findings-7-0</t>
        </is>
      </c>
      <c r="B1025" t="inlineStr"/>
      <c r="C1025" t="inlineStr"/>
      <c r="D1025">
        <f>HYPERLINK("http://nlpdeep.cs.uic.edu:8080/proofing/gsii/64146-findings-7-0.pdf","gsii/64146-findings-7-0.pdf")</f>
        <v/>
      </c>
      <c r="E1025" t="n">
        <v>109181</v>
      </c>
      <c r="F1025" t="n">
        <v>64146</v>
      </c>
      <c r="G1025" t="inlineStr">
        <is>
          <t>Echo</t>
        </is>
      </c>
      <c r="H1025" t="inlineStr">
        <is>
          <t>findings</t>
        </is>
      </c>
      <c r="I1025" t="inlineStr">
        <is>
          <t xml:space="preserve">
AORTIC VALVE: ?# aortic valve leaflets.</t>
        </is>
      </c>
    </row>
    <row r="1026">
      <c r="A1026" t="inlineStr">
        <is>
          <t>64146-findings-7-1</t>
        </is>
      </c>
      <c r="B1026" t="inlineStr"/>
      <c r="C1026" t="inlineStr"/>
      <c r="D1026">
        <f>HYPERLINK("http://nlpdeep.cs.uic.edu:8080/proofing/t5/64146-findings-7-1.pdf","t5/64146-findings-7-1.pdf")</f>
        <v/>
      </c>
      <c r="E1026" t="n">
        <v>109181</v>
      </c>
      <c r="F1026" t="n">
        <v>64146</v>
      </c>
      <c r="G1026" t="inlineStr">
        <is>
          <t>Echo</t>
        </is>
      </c>
      <c r="H1026" t="inlineStr">
        <is>
          <t>findings</t>
        </is>
      </c>
      <c r="I1026" t="inlineStr">
        <is>
          <t>Moderately thickened aortic valve
leaflets.</t>
        </is>
      </c>
    </row>
    <row r="1027">
      <c r="A1027" t="inlineStr">
        <is>
          <t>64146-findings-7-1</t>
        </is>
      </c>
      <c r="B1027" t="inlineStr"/>
      <c r="C1027" t="inlineStr"/>
      <c r="D1027">
        <f>HYPERLINK("http://nlpdeep.cs.uic.edu:8080/proofing/gsii/64146-findings-7-1.pdf","gsii/64146-findings-7-1.pdf")</f>
        <v/>
      </c>
      <c r="E1027" t="n">
        <v>109181</v>
      </c>
      <c r="F1027" t="n">
        <v>64146</v>
      </c>
      <c r="G1027" t="inlineStr">
        <is>
          <t>Echo</t>
        </is>
      </c>
      <c r="H1027" t="inlineStr">
        <is>
          <t>findings</t>
        </is>
      </c>
      <c r="I1027" t="inlineStr">
        <is>
          <t>Moderately thickened aortic valve
leaflets.</t>
        </is>
      </c>
    </row>
    <row r="1028">
      <c r="A1028" t="inlineStr">
        <is>
          <t>64146-findings-7-2</t>
        </is>
      </c>
      <c r="B1028" t="inlineStr"/>
      <c r="C1028" t="inlineStr"/>
      <c r="D1028">
        <f>HYPERLINK("http://nlpdeep.cs.uic.edu:8080/proofing/t5/64146-findings-7-2.pdf","t5/64146-findings-7-2.pdf")</f>
        <v/>
      </c>
      <c r="E1028" t="n">
        <v>109181</v>
      </c>
      <c r="F1028" t="n">
        <v>64146</v>
      </c>
      <c r="G1028" t="inlineStr">
        <is>
          <t>Echo</t>
        </is>
      </c>
      <c r="H1028" t="inlineStr">
        <is>
          <t>findings</t>
        </is>
      </c>
      <c r="I1028" t="inlineStr">
        <is>
          <t>Small vegetation on aortic valve.</t>
        </is>
      </c>
    </row>
    <row r="1029">
      <c r="A1029" t="inlineStr">
        <is>
          <t>64146-findings-7-2</t>
        </is>
      </c>
      <c r="B1029" t="inlineStr"/>
      <c r="C1029" t="inlineStr"/>
      <c r="D1029">
        <f>HYPERLINK("http://nlpdeep.cs.uic.edu:8080/proofing/gsii/64146-findings-7-2.pdf","gsii/64146-findings-7-2.pdf")</f>
        <v/>
      </c>
      <c r="E1029" t="n">
        <v>109181</v>
      </c>
      <c r="F1029" t="n">
        <v>64146</v>
      </c>
      <c r="G1029" t="inlineStr">
        <is>
          <t>Echo</t>
        </is>
      </c>
      <c r="H1029" t="inlineStr">
        <is>
          <t>findings</t>
        </is>
      </c>
      <c r="I1029" t="inlineStr">
        <is>
          <t>Small vegetation on aortic valve.</t>
        </is>
      </c>
    </row>
    <row r="1030">
      <c r="A1030" t="inlineStr">
        <is>
          <t>64146-findings-7-3</t>
        </is>
      </c>
      <c r="B1030" t="inlineStr"/>
      <c r="C1030" t="inlineStr"/>
      <c r="D1030">
        <f>HYPERLINK("http://nlpdeep.cs.uic.edu:8080/proofing/t5/64146-findings-7-3.pdf","t5/64146-findings-7-3.pdf")</f>
        <v/>
      </c>
      <c r="E1030" t="n">
        <v>109181</v>
      </c>
      <c r="F1030" t="n">
        <v>64146</v>
      </c>
      <c r="G1030" t="inlineStr">
        <is>
          <t>Echo</t>
        </is>
      </c>
      <c r="H1030" t="inlineStr">
        <is>
          <t>findings</t>
        </is>
      </c>
      <c r="I1030" t="inlineStr">
        <is>
          <t>Mild AS (area 1.2-1.9cm2).</t>
        </is>
      </c>
    </row>
    <row r="1031">
      <c r="A1031" t="inlineStr">
        <is>
          <t>64146-findings-7-3</t>
        </is>
      </c>
      <c r="B1031" t="inlineStr"/>
      <c r="C1031" t="inlineStr"/>
      <c r="D1031">
        <f>HYPERLINK("http://nlpdeep.cs.uic.edu:8080/proofing/gsii/64146-findings-7-3.pdf","gsii/64146-findings-7-3.pdf")</f>
        <v/>
      </c>
      <c r="E1031" t="n">
        <v>109181</v>
      </c>
      <c r="F1031" t="n">
        <v>64146</v>
      </c>
      <c r="G1031" t="inlineStr">
        <is>
          <t>Echo</t>
        </is>
      </c>
      <c r="H1031" t="inlineStr">
        <is>
          <t>findings</t>
        </is>
      </c>
      <c r="I1031" t="inlineStr">
        <is>
          <t>Mild AS (area 1.2-1.9cm2).</t>
        </is>
      </c>
    </row>
    <row r="1032">
      <c r="A1032" t="inlineStr">
        <is>
          <t>64146-findings-7-4</t>
        </is>
      </c>
      <c r="B1032" t="inlineStr"/>
      <c r="C1032" t="inlineStr"/>
      <c r="D1032">
        <f>HYPERLINK("http://nlpdeep.cs.uic.edu:8080/proofing/t5/64146-findings-7-4.pdf","t5/64146-findings-7-4.pdf")</f>
        <v/>
      </c>
      <c r="E1032" t="n">
        <v>109181</v>
      </c>
      <c r="F1032" t="n">
        <v>64146</v>
      </c>
      <c r="G1032" t="inlineStr">
        <is>
          <t>Echo</t>
        </is>
      </c>
      <c r="H1032" t="inlineStr">
        <is>
          <t>findings</t>
        </is>
      </c>
      <c r="I1032" t="inlineStr">
        <is>
          <t xml:space="preserve">
Moderate (2+) AR.</t>
        </is>
      </c>
    </row>
    <row r="1033">
      <c r="A1033" t="inlineStr">
        <is>
          <t>64146-findings-7-4</t>
        </is>
      </c>
      <c r="B1033" t="inlineStr"/>
      <c r="C1033" t="inlineStr"/>
      <c r="D1033">
        <f>HYPERLINK("http://nlpdeep.cs.uic.edu:8080/proofing/gsii/64146-findings-7-4.pdf","gsii/64146-findings-7-4.pdf")</f>
        <v/>
      </c>
      <c r="E1033" t="n">
        <v>109181</v>
      </c>
      <c r="F1033" t="n">
        <v>64146</v>
      </c>
      <c r="G1033" t="inlineStr">
        <is>
          <t>Echo</t>
        </is>
      </c>
      <c r="H1033" t="inlineStr">
        <is>
          <t>findings</t>
        </is>
      </c>
      <c r="I1033" t="inlineStr">
        <is>
          <t xml:space="preserve">
Moderate (2+) AR.</t>
        </is>
      </c>
    </row>
    <row r="1034">
      <c r="A1034" t="inlineStr">
        <is>
          <t>64146-findings-8-0</t>
        </is>
      </c>
      <c r="B1034" t="inlineStr"/>
      <c r="C1034" t="inlineStr"/>
      <c r="D1034">
        <f>HYPERLINK("http://nlpdeep.cs.uic.edu:8080/proofing/t5/64146-findings-8-0.pdf","t5/64146-findings-8-0.pdf")</f>
        <v/>
      </c>
      <c r="E1034" t="n">
        <v>109181</v>
      </c>
      <c r="F1034" t="n">
        <v>64146</v>
      </c>
      <c r="G1034" t="inlineStr">
        <is>
          <t>Echo</t>
        </is>
      </c>
      <c r="H1034" t="inlineStr">
        <is>
          <t>findings</t>
        </is>
      </c>
      <c r="I1034" t="inlineStr">
        <is>
          <t xml:space="preserve">
MITRAL VALVE: Mildly thickened mitral valve leaflets.</t>
        </is>
      </c>
    </row>
    <row r="1035">
      <c r="A1035" t="inlineStr">
        <is>
          <t>64146-findings-8-0</t>
        </is>
      </c>
      <c r="B1035" t="inlineStr"/>
      <c r="C1035" t="inlineStr"/>
      <c r="D1035">
        <f>HYPERLINK("http://nlpdeep.cs.uic.edu:8080/proofing/gsii/64146-findings-8-0.pdf","gsii/64146-findings-8-0.pdf")</f>
        <v/>
      </c>
      <c r="E1035" t="n">
        <v>109181</v>
      </c>
      <c r="F1035" t="n">
        <v>64146</v>
      </c>
      <c r="G1035" t="inlineStr">
        <is>
          <t>Echo</t>
        </is>
      </c>
      <c r="H1035" t="inlineStr">
        <is>
          <t>findings</t>
        </is>
      </c>
      <c r="I1035" t="inlineStr">
        <is>
          <t xml:space="preserve">
MITRAL VALVE: Mildly thickened mitral valve leaflets.</t>
        </is>
      </c>
    </row>
    <row r="1036">
      <c r="A1036" t="inlineStr">
        <is>
          <t>64146-findings-8-1</t>
        </is>
      </c>
      <c r="B1036" t="inlineStr"/>
      <c r="C1036" t="inlineStr"/>
      <c r="D1036">
        <f>HYPERLINK("http://nlpdeep.cs.uic.edu:8080/proofing/t5/64146-findings-8-1.pdf","t5/64146-findings-8-1.pdf")</f>
        <v/>
      </c>
      <c r="E1036" t="n">
        <v>109181</v>
      </c>
      <c r="F1036" t="n">
        <v>64146</v>
      </c>
      <c r="G1036" t="inlineStr">
        <is>
          <t>Echo</t>
        </is>
      </c>
      <c r="H1036" t="inlineStr">
        <is>
          <t>findings</t>
        </is>
      </c>
      <c r="I1036" t="inlineStr">
        <is>
          <t>No MVP.</t>
        </is>
      </c>
    </row>
    <row r="1037">
      <c r="A1037" t="inlineStr">
        <is>
          <t>64146-findings-8-1</t>
        </is>
      </c>
      <c r="B1037" t="inlineStr"/>
      <c r="C1037" t="inlineStr"/>
      <c r="D1037">
        <f>HYPERLINK("http://nlpdeep.cs.uic.edu:8080/proofing/gsii/64146-findings-8-1.pdf","gsii/64146-findings-8-1.pdf")</f>
        <v/>
      </c>
      <c r="E1037" t="n">
        <v>109181</v>
      </c>
      <c r="F1037" t="n">
        <v>64146</v>
      </c>
      <c r="G1037" t="inlineStr">
        <is>
          <t>Echo</t>
        </is>
      </c>
      <c r="H1037" t="inlineStr">
        <is>
          <t>findings</t>
        </is>
      </c>
      <c r="I1037" t="inlineStr">
        <is>
          <t>No MVP.</t>
        </is>
      </c>
    </row>
    <row r="1038">
      <c r="A1038" t="inlineStr">
        <is>
          <t>64146-findings-8-2</t>
        </is>
      </c>
      <c r="B1038" t="inlineStr"/>
      <c r="C1038" t="inlineStr"/>
      <c r="D1038">
        <f>HYPERLINK("http://nlpdeep.cs.uic.edu:8080/proofing/t5/64146-findings-8-2.pdf","t5/64146-findings-8-2.pdf")</f>
        <v/>
      </c>
      <c r="E1038" t="n">
        <v>109181</v>
      </c>
      <c r="F1038" t="n">
        <v>64146</v>
      </c>
      <c r="G1038" t="inlineStr">
        <is>
          <t>Echo</t>
        </is>
      </c>
      <c r="H1038" t="inlineStr">
        <is>
          <t>findings</t>
        </is>
      </c>
      <c r="I1038" t="inlineStr">
        <is>
          <t>Mild thickening
of mitral valve chordae.</t>
        </is>
      </c>
    </row>
    <row r="1039">
      <c r="A1039" t="inlineStr">
        <is>
          <t>64146-findings-8-2</t>
        </is>
      </c>
      <c r="B1039" t="inlineStr"/>
      <c r="C1039" t="inlineStr"/>
      <c r="D1039">
        <f>HYPERLINK("http://nlpdeep.cs.uic.edu:8080/proofing/gsii/64146-findings-8-2.pdf","gsii/64146-findings-8-2.pdf")</f>
        <v/>
      </c>
      <c r="E1039" t="n">
        <v>109181</v>
      </c>
      <c r="F1039" t="n">
        <v>64146</v>
      </c>
      <c r="G1039" t="inlineStr">
        <is>
          <t>Echo</t>
        </is>
      </c>
      <c r="H1039" t="inlineStr">
        <is>
          <t>findings</t>
        </is>
      </c>
      <c r="I1039" t="inlineStr">
        <is>
          <t>Mild thickening
of mitral valve chordae.</t>
        </is>
      </c>
    </row>
    <row r="1040">
      <c r="A1040" t="inlineStr">
        <is>
          <t>64146-findings-8-3</t>
        </is>
      </c>
      <c r="B1040" t="inlineStr"/>
      <c r="C1040" t="inlineStr"/>
      <c r="D1040">
        <f>HYPERLINK("http://nlpdeep.cs.uic.edu:8080/proofing/t5/64146-findings-8-3.pdf","t5/64146-findings-8-3.pdf")</f>
        <v/>
      </c>
      <c r="E1040" t="n">
        <v>109181</v>
      </c>
      <c r="F1040" t="n">
        <v>64146</v>
      </c>
      <c r="G1040" t="inlineStr">
        <is>
          <t>Echo</t>
        </is>
      </c>
      <c r="H1040" t="inlineStr">
        <is>
          <t>findings</t>
        </is>
      </c>
      <c r="I1040" t="inlineStr">
        <is>
          <t>Moderate (2+) MR.</t>
        </is>
      </c>
    </row>
    <row r="1041">
      <c r="A1041" t="inlineStr">
        <is>
          <t>64146-findings-8-3</t>
        </is>
      </c>
      <c r="B1041" t="inlineStr"/>
      <c r="C1041" t="inlineStr"/>
      <c r="D1041">
        <f>HYPERLINK("http://nlpdeep.cs.uic.edu:8080/proofing/gsii/64146-findings-8-3.pdf","gsii/64146-findings-8-3.pdf")</f>
        <v/>
      </c>
      <c r="E1041" t="n">
        <v>109181</v>
      </c>
      <c r="F1041" t="n">
        <v>64146</v>
      </c>
      <c r="G1041" t="inlineStr">
        <is>
          <t>Echo</t>
        </is>
      </c>
      <c r="H1041" t="inlineStr">
        <is>
          <t>findings</t>
        </is>
      </c>
      <c r="I1041" t="inlineStr">
        <is>
          <t>Moderate (2+) MR.</t>
        </is>
      </c>
    </row>
    <row r="1042">
      <c r="A1042" t="inlineStr">
        <is>
          <t>64146-findings-9-0</t>
        </is>
      </c>
      <c r="B1042" t="inlineStr"/>
      <c r="C1042" t="inlineStr"/>
      <c r="D1042">
        <f>HYPERLINK("http://nlpdeep.cs.uic.edu:8080/proofing/t5/64146-findings-9-0.pdf","t5/64146-findings-9-0.pdf")</f>
        <v/>
      </c>
      <c r="E1042" t="n">
        <v>109181</v>
      </c>
      <c r="F1042" t="n">
        <v>64146</v>
      </c>
      <c r="G1042" t="inlineStr">
        <is>
          <t>Echo</t>
        </is>
      </c>
      <c r="H1042" t="inlineStr">
        <is>
          <t>findings</t>
        </is>
      </c>
      <c r="I1042" t="inlineStr">
        <is>
          <t xml:space="preserve">
TRICUSPID VALVE: Normal tricuspid valve leaflets.</t>
        </is>
      </c>
    </row>
    <row r="1043">
      <c r="A1043" t="inlineStr">
        <is>
          <t>64146-findings-9-0</t>
        </is>
      </c>
      <c r="B1043" t="inlineStr"/>
      <c r="C1043" t="inlineStr"/>
      <c r="D1043">
        <f>HYPERLINK("http://nlpdeep.cs.uic.edu:8080/proofing/gsii/64146-findings-9-0.pdf","gsii/64146-findings-9-0.pdf")</f>
        <v/>
      </c>
      <c r="E1043" t="n">
        <v>109181</v>
      </c>
      <c r="F1043" t="n">
        <v>64146</v>
      </c>
      <c r="G1043" t="inlineStr">
        <is>
          <t>Echo</t>
        </is>
      </c>
      <c r="H1043" t="inlineStr">
        <is>
          <t>findings</t>
        </is>
      </c>
      <c r="I1043" t="inlineStr">
        <is>
          <t xml:space="preserve">
TRICUSPID VALVE: Normal tricuspid valve leaflets.</t>
        </is>
      </c>
    </row>
    <row r="1044">
      <c r="A1044" t="inlineStr">
        <is>
          <t>64146-findings-9-1</t>
        </is>
      </c>
      <c r="B1044" t="inlineStr"/>
      <c r="C1044" t="inlineStr"/>
      <c r="D1044">
        <f>HYPERLINK("http://nlpdeep.cs.uic.edu:8080/proofing/t5/64146-findings-9-1.pdf","t5/64146-findings-9-1.pdf")</f>
        <v/>
      </c>
      <c r="E1044" t="n">
        <v>109181</v>
      </c>
      <c r="F1044" t="n">
        <v>64146</v>
      </c>
      <c r="G1044" t="inlineStr">
        <is>
          <t>Echo</t>
        </is>
      </c>
      <c r="H1044" t="inlineStr">
        <is>
          <t>findings</t>
        </is>
      </c>
      <c r="I1044" t="inlineStr">
        <is>
          <t>Mild [1+] TR. [Due to
acoustic shadowing, the severity of tricuspid regurgitation may be
significantly UNDERestimated.</t>
        </is>
      </c>
    </row>
    <row r="1045">
      <c r="A1045" t="inlineStr">
        <is>
          <t>64146-findings-9-1</t>
        </is>
      </c>
      <c r="B1045" t="inlineStr"/>
      <c r="C1045" t="inlineStr"/>
      <c r="D1045">
        <f>HYPERLINK("http://nlpdeep.cs.uic.edu:8080/proofing/gsii/64146-findings-9-1.pdf","gsii/64146-findings-9-1.pdf")</f>
        <v/>
      </c>
      <c r="E1045" t="n">
        <v>109181</v>
      </c>
      <c r="F1045" t="n">
        <v>64146</v>
      </c>
      <c r="G1045" t="inlineStr">
        <is>
          <t>Echo</t>
        </is>
      </c>
      <c r="H1045" t="inlineStr">
        <is>
          <t>findings</t>
        </is>
      </c>
      <c r="I1045" t="inlineStr">
        <is>
          <t>Mild [1+] TR. [Due to
acoustic shadowing, the severity of tricuspid regurgitation may be
significantly UNDERestimated.</t>
        </is>
      </c>
    </row>
    <row r="1046">
      <c r="A1046" t="inlineStr">
        <is>
          <t>64146-findings-9-2</t>
        </is>
      </c>
      <c r="B1046" t="inlineStr"/>
      <c r="C1046" t="inlineStr"/>
      <c r="D1046">
        <f>HYPERLINK("http://nlpdeep.cs.uic.edu:8080/proofing/t5/64146-findings-9-2.pdf","t5/64146-findings-9-2.pdf")</f>
        <v/>
      </c>
      <c r="E1046" t="n">
        <v>109181</v>
      </c>
      <c r="F1046" t="n">
        <v>64146</v>
      </c>
      <c r="G1046" t="inlineStr">
        <is>
          <t>Echo</t>
        </is>
      </c>
      <c r="H1046" t="inlineStr">
        <is>
          <t>findings</t>
        </is>
      </c>
      <c r="I1046" t="inlineStr">
        <is>
          <t>] Moderate PA systolic hypertension.</t>
        </is>
      </c>
    </row>
    <row r="1047">
      <c r="A1047" t="inlineStr">
        <is>
          <t>64146-findings-9-2</t>
        </is>
      </c>
      <c r="B1047" t="inlineStr"/>
      <c r="C1047" t="inlineStr"/>
      <c r="D1047">
        <f>HYPERLINK("http://nlpdeep.cs.uic.edu:8080/proofing/gsii/64146-findings-9-2.pdf","gsii/64146-findings-9-2.pdf")</f>
        <v/>
      </c>
      <c r="E1047" t="n">
        <v>109181</v>
      </c>
      <c r="F1047" t="n">
        <v>64146</v>
      </c>
      <c r="G1047" t="inlineStr">
        <is>
          <t>Echo</t>
        </is>
      </c>
      <c r="H1047" t="inlineStr">
        <is>
          <t>findings</t>
        </is>
      </c>
      <c r="I1047" t="inlineStr">
        <is>
          <t>] Moderate PA systolic hypertension.</t>
        </is>
      </c>
    </row>
    <row r="1048">
      <c r="A1048" t="inlineStr">
        <is>
          <t>64146-findings-10-0</t>
        </is>
      </c>
      <c r="B1048" t="inlineStr"/>
      <c r="C1048" t="inlineStr"/>
      <c r="D1048">
        <f>HYPERLINK("http://nlpdeep.cs.uic.edu:8080/proofing/t5/64146-findings-10-0.pdf","t5/64146-findings-10-0.pdf")</f>
        <v/>
      </c>
      <c r="E1048" t="n">
        <v>109181</v>
      </c>
      <c r="F1048" t="n">
        <v>64146</v>
      </c>
      <c r="G1048" t="inlineStr">
        <is>
          <t>Echo</t>
        </is>
      </c>
      <c r="H1048" t="inlineStr">
        <is>
          <t>findings</t>
        </is>
      </c>
      <c r="I1048" t="inlineStr">
        <is>
          <t xml:space="preserve">
PULMONIC VALVE/PULMONARY ARTERY: Pulmonic valve not well seen.</t>
        </is>
      </c>
    </row>
    <row r="1049">
      <c r="A1049" t="inlineStr">
        <is>
          <t>64146-findings-10-0</t>
        </is>
      </c>
      <c r="B1049" t="inlineStr"/>
      <c r="C1049" t="inlineStr"/>
      <c r="D1049">
        <f>HYPERLINK("http://nlpdeep.cs.uic.edu:8080/proofing/gsii/64146-findings-10-0.pdf","gsii/64146-findings-10-0.pdf")</f>
        <v/>
      </c>
      <c r="E1049" t="n">
        <v>109181</v>
      </c>
      <c r="F1049" t="n">
        <v>64146</v>
      </c>
      <c r="G1049" t="inlineStr">
        <is>
          <t>Echo</t>
        </is>
      </c>
      <c r="H1049" t="inlineStr">
        <is>
          <t>findings</t>
        </is>
      </c>
      <c r="I1049" t="inlineStr">
        <is>
          <t xml:space="preserve">
PULMONIC VALVE/PULMONARY ARTERY: Pulmonic valve not well seen.</t>
        </is>
      </c>
    </row>
    <row r="1050">
      <c r="A1050" t="inlineStr">
        <is>
          <t>64146-findings-10-1</t>
        </is>
      </c>
      <c r="B1050" t="inlineStr"/>
      <c r="C1050" t="inlineStr"/>
      <c r="D1050">
        <f>HYPERLINK("http://nlpdeep.cs.uic.edu:8080/proofing/t5/64146-findings-10-1.pdf","t5/64146-findings-10-1.pdf")</f>
        <v/>
      </c>
      <c r="E1050" t="n">
        <v>109181</v>
      </c>
      <c r="F1050" t="n">
        <v>64146</v>
      </c>
      <c r="G1050" t="inlineStr">
        <is>
          <t>Echo</t>
        </is>
      </c>
      <c r="H1050" t="inlineStr">
        <is>
          <t>findings</t>
        </is>
      </c>
      <c r="I1050" t="inlineStr">
        <is>
          <t>No PS.</t>
        </is>
      </c>
    </row>
    <row r="1051">
      <c r="A1051" t="inlineStr">
        <is>
          <t>64146-findings-10-1</t>
        </is>
      </c>
      <c r="B1051" t="inlineStr"/>
      <c r="C1051" t="inlineStr"/>
      <c r="D1051">
        <f>HYPERLINK("http://nlpdeep.cs.uic.edu:8080/proofing/gsii/64146-findings-10-1.pdf","gsii/64146-findings-10-1.pdf")</f>
        <v/>
      </c>
      <c r="E1051" t="n">
        <v>109181</v>
      </c>
      <c r="F1051" t="n">
        <v>64146</v>
      </c>
      <c r="G1051" t="inlineStr">
        <is>
          <t>Echo</t>
        </is>
      </c>
      <c r="H1051" t="inlineStr">
        <is>
          <t>findings</t>
        </is>
      </c>
      <c r="I1051" t="inlineStr">
        <is>
          <t>No PS.</t>
        </is>
      </c>
    </row>
    <row r="1052">
      <c r="A1052" t="inlineStr">
        <is>
          <t>64146-findings-10-2</t>
        </is>
      </c>
      <c r="B1052" t="inlineStr"/>
      <c r="C1052" t="inlineStr"/>
      <c r="D1052">
        <f>HYPERLINK("http://nlpdeep.cs.uic.edu:8080/proofing/t5/64146-findings-10-2.pdf","t5/64146-findings-10-2.pdf")</f>
        <v/>
      </c>
      <c r="E1052" t="n">
        <v>109181</v>
      </c>
      <c r="F1052" t="n">
        <v>64146</v>
      </c>
      <c r="G1052" t="inlineStr">
        <is>
          <t>Echo</t>
        </is>
      </c>
      <c r="H1052" t="inlineStr">
        <is>
          <t>findings</t>
        </is>
      </c>
      <c r="I1052" t="inlineStr">
        <is>
          <t xml:space="preserve">
Significant PR.</t>
        </is>
      </c>
    </row>
    <row r="1053">
      <c r="A1053" t="inlineStr">
        <is>
          <t>64146-findings-10-2</t>
        </is>
      </c>
      <c r="B1053" t="inlineStr"/>
      <c r="C1053" t="inlineStr"/>
      <c r="D1053">
        <f>HYPERLINK("http://nlpdeep.cs.uic.edu:8080/proofing/gsii/64146-findings-10-2.pdf","gsii/64146-findings-10-2.pdf")</f>
        <v/>
      </c>
      <c r="E1053" t="n">
        <v>109181</v>
      </c>
      <c r="F1053" t="n">
        <v>64146</v>
      </c>
      <c r="G1053" t="inlineStr">
        <is>
          <t>Echo</t>
        </is>
      </c>
      <c r="H1053" t="inlineStr">
        <is>
          <t>findings</t>
        </is>
      </c>
      <c r="I1053" t="inlineStr">
        <is>
          <t xml:space="preserve">
Significant PR.</t>
        </is>
      </c>
    </row>
    <row r="1054">
      <c r="A1054" t="inlineStr">
        <is>
          <t>64146-findings-11-0</t>
        </is>
      </c>
      <c r="B1054" t="inlineStr"/>
      <c r="C1054" t="inlineStr"/>
      <c r="D1054">
        <f>HYPERLINK("http://nlpdeep.cs.uic.edu:8080/proofing/t5/64146-findings-11-0.pdf","t5/64146-findings-11-0.pdf")</f>
        <v/>
      </c>
      <c r="E1054" t="n">
        <v>109181</v>
      </c>
      <c r="F1054" t="n">
        <v>64146</v>
      </c>
      <c r="G1054" t="inlineStr">
        <is>
          <t>Echo</t>
        </is>
      </c>
      <c r="H1054" t="inlineStr">
        <is>
          <t>findings</t>
        </is>
      </c>
      <c r="I1054" t="inlineStr">
        <is>
          <t xml:space="preserve">
PERICARDIUM: No pericardial effusion.</t>
        </is>
      </c>
    </row>
    <row r="1055">
      <c r="A1055" t="inlineStr">
        <is>
          <t>64146-findings-11-0</t>
        </is>
      </c>
      <c r="B1055" t="inlineStr"/>
      <c r="C1055" t="inlineStr"/>
      <c r="D1055">
        <f>HYPERLINK("http://nlpdeep.cs.uic.edu:8080/proofing/gsii/64146-findings-11-0.pdf","gsii/64146-findings-11-0.pdf")</f>
        <v/>
      </c>
      <c r="E1055" t="n">
        <v>109181</v>
      </c>
      <c r="F1055" t="n">
        <v>64146</v>
      </c>
      <c r="G1055" t="inlineStr">
        <is>
          <t>Echo</t>
        </is>
      </c>
      <c r="H1055" t="inlineStr">
        <is>
          <t>findings</t>
        </is>
      </c>
      <c r="I1055" t="inlineStr">
        <is>
          <t xml:space="preserve">
PERICARDIUM: No pericardial effusion.</t>
        </is>
      </c>
    </row>
    <row r="1056">
      <c r="A1056" t="inlineStr">
        <is>
          <t>64146-findings-12-0</t>
        </is>
      </c>
      <c r="B1056" t="inlineStr"/>
      <c r="C1056" t="inlineStr"/>
      <c r="D1056">
        <f>HYPERLINK("http://nlpdeep.cs.uic.edu:8080/proofing/t5/64146-findings-12-0.pdf","t5/64146-findings-12-0.pdf")</f>
        <v/>
      </c>
      <c r="E1056" t="n">
        <v>109181</v>
      </c>
      <c r="F1056" t="n">
        <v>64146</v>
      </c>
      <c r="G1056" t="inlineStr">
        <is>
          <t>Echo</t>
        </is>
      </c>
      <c r="H1056" t="inlineStr">
        <is>
          <t>findings</t>
        </is>
      </c>
      <c r="I1056" t="inlineStr">
        <is>
          <t xml:space="preserve">
GENERAL COMMENTS: Left pleural effusion.</t>
        </is>
      </c>
    </row>
    <row r="1057">
      <c r="A1057" t="inlineStr">
        <is>
          <t>64146-findings-12-0</t>
        </is>
      </c>
      <c r="B1057" t="inlineStr"/>
      <c r="C1057" t="inlineStr"/>
      <c r="D1057">
        <f>HYPERLINK("http://nlpdeep.cs.uic.edu:8080/proofing/gsii/64146-findings-12-0.pdf","gsii/64146-findings-12-0.pdf")</f>
        <v/>
      </c>
      <c r="E1057" t="n">
        <v>109181</v>
      </c>
      <c r="F1057" t="n">
        <v>64146</v>
      </c>
      <c r="G1057" t="inlineStr">
        <is>
          <t>Echo</t>
        </is>
      </c>
      <c r="H1057" t="inlineStr">
        <is>
          <t>findings</t>
        </is>
      </c>
      <c r="I1057" t="inlineStr">
        <is>
          <t xml:space="preserve">
GENERAL COMMENTS: Left pleural effusion.</t>
        </is>
      </c>
    </row>
    <row r="1058">
      <c r="A1058" t="inlineStr">
        <is>
          <t>64146-conclusions-0-0</t>
        </is>
      </c>
      <c r="B1058" t="inlineStr"/>
      <c r="C1058" t="inlineStr"/>
      <c r="D1058">
        <f>HYPERLINK("http://nlpdeep.cs.uic.edu:8080/proofing/t5/64146-conclusions-0-0.pdf","t5/64146-conclusions-0-0.pdf")</f>
        <v/>
      </c>
      <c r="E1058" t="n">
        <v>109181</v>
      </c>
      <c r="F1058" t="n">
        <v>64146</v>
      </c>
      <c r="G1058" t="inlineStr">
        <is>
          <t>Echo</t>
        </is>
      </c>
      <c r="H1058" t="inlineStr">
        <is>
          <t>conclusions</t>
        </is>
      </c>
      <c r="I1058" t="inlineStr">
        <is>
          <t>The left atrium is mildly dilated.</t>
        </is>
      </c>
    </row>
    <row r="1059">
      <c r="A1059" t="inlineStr">
        <is>
          <t>64146-conclusions-0-0</t>
        </is>
      </c>
      <c r="B1059" t="inlineStr"/>
      <c r="C1059" t="inlineStr"/>
      <c r="D1059">
        <f>HYPERLINK("http://nlpdeep.cs.uic.edu:8080/proofing/gsii/64146-conclusions-0-0.pdf","gsii/64146-conclusions-0-0.pdf")</f>
        <v/>
      </c>
      <c r="E1059" t="n">
        <v>109181</v>
      </c>
      <c r="F1059" t="n">
        <v>64146</v>
      </c>
      <c r="G1059" t="inlineStr">
        <is>
          <t>Echo</t>
        </is>
      </c>
      <c r="H1059" t="inlineStr">
        <is>
          <t>conclusions</t>
        </is>
      </c>
      <c r="I1059" t="inlineStr">
        <is>
          <t>The left atrium is mildly dilated.</t>
        </is>
      </c>
    </row>
    <row r="1060">
      <c r="A1060" t="inlineStr">
        <is>
          <t>64146-conclusions-0-1</t>
        </is>
      </c>
      <c r="B1060" t="inlineStr"/>
      <c r="C1060" t="inlineStr"/>
      <c r="D1060">
        <f>HYPERLINK("http://nlpdeep.cs.uic.edu:8080/proofing/t5/64146-conclusions-0-1.pdf","t5/64146-conclusions-0-1.pdf")</f>
        <v/>
      </c>
      <c r="E1060" t="n">
        <v>109181</v>
      </c>
      <c r="F1060" t="n">
        <v>64146</v>
      </c>
      <c r="G1060" t="inlineStr">
        <is>
          <t>Echo</t>
        </is>
      </c>
      <c r="H1060" t="inlineStr">
        <is>
          <t>conclusions</t>
        </is>
      </c>
      <c r="I1060" t="inlineStr">
        <is>
          <t>Left ventricular wall thicknesses are
normal.</t>
        </is>
      </c>
    </row>
    <row r="1061">
      <c r="A1061" t="inlineStr">
        <is>
          <t>64146-conclusions-0-1</t>
        </is>
      </c>
      <c r="B1061" t="inlineStr"/>
      <c r="C1061" t="inlineStr"/>
      <c r="D1061">
        <f>HYPERLINK("http://nlpdeep.cs.uic.edu:8080/proofing/gsii/64146-conclusions-0-1.pdf","gsii/64146-conclusions-0-1.pdf")</f>
        <v/>
      </c>
      <c r="E1061" t="n">
        <v>109181</v>
      </c>
      <c r="F1061" t="n">
        <v>64146</v>
      </c>
      <c r="G1061" t="inlineStr">
        <is>
          <t>Echo</t>
        </is>
      </c>
      <c r="H1061" t="inlineStr">
        <is>
          <t>conclusions</t>
        </is>
      </c>
      <c r="I1061" t="inlineStr">
        <is>
          <t>Left ventricular wall thicknesses are
normal.</t>
        </is>
      </c>
    </row>
    <row r="1062">
      <c r="A1062" t="inlineStr">
        <is>
          <t>64146-conclusions-0-2</t>
        </is>
      </c>
      <c r="B1062" t="inlineStr"/>
      <c r="C1062" t="inlineStr"/>
      <c r="D1062">
        <f>HYPERLINK("http://nlpdeep.cs.uic.edu:8080/proofing/t5/64146-conclusions-0-2.pdf","t5/64146-conclusions-0-2.pdf")</f>
        <v/>
      </c>
      <c r="E1062" t="n">
        <v>109181</v>
      </c>
      <c r="F1062" t="n">
        <v>64146</v>
      </c>
      <c r="G1062" t="inlineStr">
        <is>
          <t>Echo</t>
        </is>
      </c>
      <c r="H1062" t="inlineStr">
        <is>
          <t>conclusions</t>
        </is>
      </c>
      <c r="I1062" t="inlineStr">
        <is>
          <t>The left ventricular cavity is moderately dilated.</t>
        </is>
      </c>
    </row>
    <row r="1063">
      <c r="A1063" t="inlineStr">
        <is>
          <t>64146-conclusions-0-2</t>
        </is>
      </c>
      <c r="B1063" t="inlineStr"/>
      <c r="C1063" t="inlineStr"/>
      <c r="D1063">
        <f>HYPERLINK("http://nlpdeep.cs.uic.edu:8080/proofing/gsii/64146-conclusions-0-2.pdf","gsii/64146-conclusions-0-2.pdf")</f>
        <v/>
      </c>
      <c r="E1063" t="n">
        <v>109181</v>
      </c>
      <c r="F1063" t="n">
        <v>64146</v>
      </c>
      <c r="G1063" t="inlineStr">
        <is>
          <t>Echo</t>
        </is>
      </c>
      <c r="H1063" t="inlineStr">
        <is>
          <t>conclusions</t>
        </is>
      </c>
      <c r="I1063" t="inlineStr">
        <is>
          <t>The left ventricular cavity is moderately dilated.</t>
        </is>
      </c>
    </row>
    <row r="1064">
      <c r="A1064" t="inlineStr">
        <is>
          <t>64146-conclusions-0-3</t>
        </is>
      </c>
      <c r="B1064" t="inlineStr"/>
      <c r="C1064" t="inlineStr"/>
      <c r="D1064">
        <f>HYPERLINK("http://nlpdeep.cs.uic.edu:8080/proofing/t5/64146-conclusions-0-3.pdf","t5/64146-conclusions-0-3.pdf")</f>
        <v/>
      </c>
      <c r="E1064" t="n">
        <v>109181</v>
      </c>
      <c r="F1064" t="n">
        <v>64146</v>
      </c>
      <c r="G1064" t="inlineStr">
        <is>
          <t>Echo</t>
        </is>
      </c>
      <c r="H1064" t="inlineStr">
        <is>
          <t>conclusions</t>
        </is>
      </c>
      <c r="I1064" t="inlineStr">
        <is>
          <t>There is moderate
regional left ventricular systolic dysfunction with focal hypokinesis of the
basal to apical septum, anterior wall, and distal inferior wall.</t>
        </is>
      </c>
    </row>
    <row r="1065">
      <c r="A1065" t="inlineStr">
        <is>
          <t>64146-conclusions-0-3</t>
        </is>
      </c>
      <c r="B1065" t="inlineStr"/>
      <c r="C1065" t="inlineStr"/>
      <c r="D1065">
        <f>HYPERLINK("http://nlpdeep.cs.uic.edu:8080/proofing/gsii/64146-conclusions-0-3.pdf","gsii/64146-conclusions-0-3.pdf")</f>
        <v/>
      </c>
      <c r="E1065" t="n">
        <v>109181</v>
      </c>
      <c r="F1065" t="n">
        <v>64146</v>
      </c>
      <c r="G1065" t="inlineStr">
        <is>
          <t>Echo</t>
        </is>
      </c>
      <c r="H1065" t="inlineStr">
        <is>
          <t>conclusions</t>
        </is>
      </c>
      <c r="I1065" t="inlineStr">
        <is>
          <t>There is moderate
regional left ventricular systolic dysfunction with focal hypokinesis of the
basal to apical septum, anterior wall, and distal inferior wall.</t>
        </is>
      </c>
    </row>
    <row r="1066">
      <c r="A1066" t="inlineStr">
        <is>
          <t>64146-conclusions-0-4</t>
        </is>
      </c>
      <c r="B1066" t="inlineStr"/>
      <c r="C1066" t="inlineStr"/>
      <c r="D1066">
        <f>HYPERLINK("http://nlpdeep.cs.uic.edu:8080/proofing/t5/64146-conclusions-0-4.pdf","t5/64146-conclusions-0-4.pdf")</f>
        <v/>
      </c>
      <c r="E1066" t="n">
        <v>109181</v>
      </c>
      <c r="F1066" t="n">
        <v>64146</v>
      </c>
      <c r="G1066" t="inlineStr">
        <is>
          <t>Echo</t>
        </is>
      </c>
      <c r="H1066" t="inlineStr">
        <is>
          <t>conclusions</t>
        </is>
      </c>
      <c r="I1066" t="inlineStr">
        <is>
          <t>The remaining
segments contract normally (LVEF = 30-35 %).</t>
        </is>
      </c>
    </row>
    <row r="1067">
      <c r="A1067" t="inlineStr">
        <is>
          <t>64146-conclusions-0-4</t>
        </is>
      </c>
      <c r="B1067" t="inlineStr"/>
      <c r="C1067" t="inlineStr"/>
      <c r="D1067">
        <f>HYPERLINK("http://nlpdeep.cs.uic.edu:8080/proofing/gsii/64146-conclusions-0-4.pdf","gsii/64146-conclusions-0-4.pdf")</f>
        <v/>
      </c>
      <c r="E1067" t="n">
        <v>109181</v>
      </c>
      <c r="F1067" t="n">
        <v>64146</v>
      </c>
      <c r="G1067" t="inlineStr">
        <is>
          <t>Echo</t>
        </is>
      </c>
      <c r="H1067" t="inlineStr">
        <is>
          <t>conclusions</t>
        </is>
      </c>
      <c r="I1067" t="inlineStr">
        <is>
          <t>The remaining
segments contract normally (LVEF = 30-35 %).</t>
        </is>
      </c>
    </row>
    <row r="1068">
      <c r="A1068" t="inlineStr">
        <is>
          <t>64146-conclusions-0-5</t>
        </is>
      </c>
      <c r="B1068" t="inlineStr"/>
      <c r="C1068" t="inlineStr"/>
      <c r="D1068">
        <f>HYPERLINK("http://nlpdeep.cs.uic.edu:8080/proofing/t5/64146-conclusions-0-5.pdf","t5/64146-conclusions-0-5.pdf")</f>
        <v/>
      </c>
      <c r="E1068" t="n">
        <v>109181</v>
      </c>
      <c r="F1068" t="n">
        <v>64146</v>
      </c>
      <c r="G1068" t="inlineStr">
        <is>
          <t>Echo</t>
        </is>
      </c>
      <c r="H1068" t="inlineStr">
        <is>
          <t>conclusions</t>
        </is>
      </c>
      <c r="I1068" t="inlineStr">
        <is>
          <t>There is a mild resting left
ventricular outflow tract obstruction.</t>
        </is>
      </c>
    </row>
    <row r="1069">
      <c r="A1069" t="inlineStr">
        <is>
          <t>64146-conclusions-0-5</t>
        </is>
      </c>
      <c r="B1069" t="inlineStr"/>
      <c r="C1069" t="inlineStr"/>
      <c r="D1069">
        <f>HYPERLINK("http://nlpdeep.cs.uic.edu:8080/proofing/gsii/64146-conclusions-0-5.pdf","gsii/64146-conclusions-0-5.pdf")</f>
        <v/>
      </c>
      <c r="E1069" t="n">
        <v>109181</v>
      </c>
      <c r="F1069" t="n">
        <v>64146</v>
      </c>
      <c r="G1069" t="inlineStr">
        <is>
          <t>Echo</t>
        </is>
      </c>
      <c r="H1069" t="inlineStr">
        <is>
          <t>conclusions</t>
        </is>
      </c>
      <c r="I1069" t="inlineStr">
        <is>
          <t>There is a mild resting left
ventricular outflow tract obstruction.</t>
        </is>
      </c>
    </row>
    <row r="1070">
      <c r="A1070" t="inlineStr">
        <is>
          <t>64146-conclusions-0-6</t>
        </is>
      </c>
      <c r="B1070" t="inlineStr"/>
      <c r="C1070" t="inlineStr"/>
      <c r="D1070">
        <f>HYPERLINK("http://nlpdeep.cs.uic.edu:8080/proofing/t5/64146-conclusions-0-6.pdf","t5/64146-conclusions-0-6.pdf")</f>
        <v/>
      </c>
      <c r="E1070" t="n">
        <v>109181</v>
      </c>
      <c r="F1070" t="n">
        <v>64146</v>
      </c>
      <c r="G1070" t="inlineStr">
        <is>
          <t>Echo</t>
        </is>
      </c>
      <c r="H1070" t="inlineStr">
        <is>
          <t>conclusions</t>
        </is>
      </c>
      <c r="I1070" t="inlineStr">
        <is>
          <t>Right ventricular chamber size is
normal.</t>
        </is>
      </c>
    </row>
    <row r="1071">
      <c r="A1071" t="inlineStr">
        <is>
          <t>64146-conclusions-0-6</t>
        </is>
      </c>
      <c r="B1071" t="inlineStr"/>
      <c r="C1071" t="inlineStr"/>
      <c r="D1071">
        <f>HYPERLINK("http://nlpdeep.cs.uic.edu:8080/proofing/gsii/64146-conclusions-0-6.pdf","gsii/64146-conclusions-0-6.pdf")</f>
        <v/>
      </c>
      <c r="E1071" t="n">
        <v>109181</v>
      </c>
      <c r="F1071" t="n">
        <v>64146</v>
      </c>
      <c r="G1071" t="inlineStr">
        <is>
          <t>Echo</t>
        </is>
      </c>
      <c r="H1071" t="inlineStr">
        <is>
          <t>conclusions</t>
        </is>
      </c>
      <c r="I1071" t="inlineStr">
        <is>
          <t>Right ventricular chamber size is
normal.</t>
        </is>
      </c>
    </row>
    <row r="1072">
      <c r="A1072" t="inlineStr">
        <is>
          <t>64146-conclusions-0-7</t>
        </is>
      </c>
      <c r="B1072" t="inlineStr"/>
      <c r="C1072" t="inlineStr"/>
      <c r="D1072">
        <f>HYPERLINK("http://nlpdeep.cs.uic.edu:8080/proofing/t5/64146-conclusions-0-7.pdf","t5/64146-conclusions-0-7.pdf")</f>
        <v/>
      </c>
      <c r="E1072" t="n">
        <v>109181</v>
      </c>
      <c r="F1072" t="n">
        <v>64146</v>
      </c>
      <c r="G1072" t="inlineStr">
        <is>
          <t>Echo</t>
        </is>
      </c>
      <c r="H1072" t="inlineStr">
        <is>
          <t>conclusions</t>
        </is>
      </c>
      <c r="I1072" t="inlineStr">
        <is>
          <t>with mild global free wall hypokinesis.</t>
        </is>
      </c>
    </row>
    <row r="1073">
      <c r="A1073" t="inlineStr">
        <is>
          <t>64146-conclusions-0-7</t>
        </is>
      </c>
      <c r="B1073" t="inlineStr"/>
      <c r="C1073" t="inlineStr"/>
      <c r="D1073">
        <f>HYPERLINK("http://nlpdeep.cs.uic.edu:8080/proofing/gsii/64146-conclusions-0-7.pdf","gsii/64146-conclusions-0-7.pdf")</f>
        <v/>
      </c>
      <c r="E1073" t="n">
        <v>109181</v>
      </c>
      <c r="F1073" t="n">
        <v>64146</v>
      </c>
      <c r="G1073" t="inlineStr">
        <is>
          <t>Echo</t>
        </is>
      </c>
      <c r="H1073" t="inlineStr">
        <is>
          <t>conclusions</t>
        </is>
      </c>
      <c r="I1073" t="inlineStr">
        <is>
          <t>with mild global free wall hypokinesis.</t>
        </is>
      </c>
    </row>
    <row r="1074">
      <c r="A1074" t="inlineStr">
        <is>
          <t>64146-conclusions-0-8</t>
        </is>
      </c>
      <c r="B1074" t="inlineStr"/>
      <c r="C1074" t="inlineStr"/>
      <c r="D1074">
        <f>HYPERLINK("http://nlpdeep.cs.uic.edu:8080/proofing/t5/64146-conclusions-0-8.pdf","t5/64146-conclusions-0-8.pdf")</f>
        <v/>
      </c>
      <c r="E1074" t="n">
        <v>109181</v>
      </c>
      <c r="F1074" t="n">
        <v>64146</v>
      </c>
      <c r="G1074" t="inlineStr">
        <is>
          <t>Echo</t>
        </is>
      </c>
      <c r="H1074" t="inlineStr">
        <is>
          <t>conclusions</t>
        </is>
      </c>
      <c r="I1074" t="inlineStr">
        <is>
          <t>The diameters of aorta at the
sinus, ascending and arch levels are normal.</t>
        </is>
      </c>
    </row>
    <row r="1075">
      <c r="A1075" t="inlineStr">
        <is>
          <t>64146-conclusions-0-8</t>
        </is>
      </c>
      <c r="B1075" t="inlineStr"/>
      <c r="C1075" t="inlineStr"/>
      <c r="D1075">
        <f>HYPERLINK("http://nlpdeep.cs.uic.edu:8080/proofing/gsii/64146-conclusions-0-8.pdf","gsii/64146-conclusions-0-8.pdf")</f>
        <v/>
      </c>
      <c r="E1075" t="n">
        <v>109181</v>
      </c>
      <c r="F1075" t="n">
        <v>64146</v>
      </c>
      <c r="G1075" t="inlineStr">
        <is>
          <t>Echo</t>
        </is>
      </c>
      <c r="H1075" t="inlineStr">
        <is>
          <t>conclusions</t>
        </is>
      </c>
      <c r="I1075" t="inlineStr">
        <is>
          <t>The diameters of aorta at the
sinus, ascending and arch levels are normal.</t>
        </is>
      </c>
    </row>
    <row r="1076">
      <c r="A1076" t="inlineStr">
        <is>
          <t>64146-conclusions-0-9</t>
        </is>
      </c>
      <c r="B1076" t="inlineStr"/>
      <c r="C1076" t="inlineStr"/>
      <c r="D1076">
        <f>HYPERLINK("http://nlpdeep.cs.uic.edu:8080/proofing/t5/64146-conclusions-0-9.pdf","t5/64146-conclusions-0-9.pdf")</f>
        <v/>
      </c>
      <c r="E1076" t="n">
        <v>109181</v>
      </c>
      <c r="F1076" t="n">
        <v>64146</v>
      </c>
      <c r="G1076" t="inlineStr">
        <is>
          <t>Echo</t>
        </is>
      </c>
      <c r="H1076" t="inlineStr">
        <is>
          <t>conclusions</t>
        </is>
      </c>
      <c r="I1076" t="inlineStr">
        <is>
          <t>The number of aortic valve
leaflets cannot be determined.</t>
        </is>
      </c>
    </row>
    <row r="1077">
      <c r="A1077" t="inlineStr">
        <is>
          <t>64146-conclusions-0-9</t>
        </is>
      </c>
      <c r="B1077" t="inlineStr"/>
      <c r="C1077" t="inlineStr"/>
      <c r="D1077">
        <f>HYPERLINK("http://nlpdeep.cs.uic.edu:8080/proofing/gsii/64146-conclusions-0-9.pdf","gsii/64146-conclusions-0-9.pdf")</f>
        <v/>
      </c>
      <c r="E1077" t="n">
        <v>109181</v>
      </c>
      <c r="F1077" t="n">
        <v>64146</v>
      </c>
      <c r="G1077" t="inlineStr">
        <is>
          <t>Echo</t>
        </is>
      </c>
      <c r="H1077" t="inlineStr">
        <is>
          <t>conclusions</t>
        </is>
      </c>
      <c r="I1077" t="inlineStr">
        <is>
          <t>The number of aortic valve
leaflets cannot be determined.</t>
        </is>
      </c>
    </row>
    <row r="1078">
      <c r="A1078" t="inlineStr">
        <is>
          <t>64146-conclusions-0-10</t>
        </is>
      </c>
      <c r="B1078" t="inlineStr"/>
      <c r="C1078" t="inlineStr"/>
      <c r="D1078">
        <f>HYPERLINK("http://nlpdeep.cs.uic.edu:8080/proofing/t5/64146-conclusions-0-10.pdf","t5/64146-conclusions-0-10.pdf")</f>
        <v/>
      </c>
      <c r="E1078" t="n">
        <v>109181</v>
      </c>
      <c r="F1078" t="n">
        <v>64146</v>
      </c>
      <c r="G1078" t="inlineStr">
        <is>
          <t>Echo</t>
        </is>
      </c>
      <c r="H1078" t="inlineStr">
        <is>
          <t>conclusions</t>
        </is>
      </c>
      <c r="I1078" t="inlineStr">
        <is>
          <t>The aortic valve leaflets are moderately
thickened.</t>
        </is>
      </c>
    </row>
    <row r="1079">
      <c r="A1079" t="inlineStr">
        <is>
          <t>64146-conclusions-0-10</t>
        </is>
      </c>
      <c r="B1079" t="inlineStr"/>
      <c r="C1079" t="inlineStr"/>
      <c r="D1079">
        <f>HYPERLINK("http://nlpdeep.cs.uic.edu:8080/proofing/gsii/64146-conclusions-0-10.pdf","gsii/64146-conclusions-0-10.pdf")</f>
        <v/>
      </c>
      <c r="E1079" t="n">
        <v>109181</v>
      </c>
      <c r="F1079" t="n">
        <v>64146</v>
      </c>
      <c r="G1079" t="inlineStr">
        <is>
          <t>Echo</t>
        </is>
      </c>
      <c r="H1079" t="inlineStr">
        <is>
          <t>conclusions</t>
        </is>
      </c>
      <c r="I1079" t="inlineStr">
        <is>
          <t>The aortic valve leaflets are moderately
thickened.</t>
        </is>
      </c>
    </row>
    <row r="1080">
      <c r="A1080" t="inlineStr">
        <is>
          <t>64146-conclusions-0-11</t>
        </is>
      </c>
      <c r="B1080" t="inlineStr"/>
      <c r="C1080" t="inlineStr"/>
      <c r="D1080">
        <f>HYPERLINK("http://nlpdeep.cs.uic.edu:8080/proofing/t5/64146-conclusions-0-11.pdf","t5/64146-conclusions-0-11.pdf")</f>
        <v/>
      </c>
      <c r="E1080" t="n">
        <v>109181</v>
      </c>
      <c r="F1080" t="n">
        <v>64146</v>
      </c>
      <c r="G1080" t="inlineStr">
        <is>
          <t>Echo</t>
        </is>
      </c>
      <c r="H1080" t="inlineStr">
        <is>
          <t>conclusions</t>
        </is>
      </c>
      <c r="I1080" t="inlineStr">
        <is>
          <t>There is a small vegetation on the aortic valve.</t>
        </is>
      </c>
    </row>
    <row r="1081">
      <c r="A1081" t="inlineStr">
        <is>
          <t>64146-conclusions-0-11</t>
        </is>
      </c>
      <c r="B1081" t="inlineStr"/>
      <c r="C1081" t="inlineStr"/>
      <c r="D1081">
        <f>HYPERLINK("http://nlpdeep.cs.uic.edu:8080/proofing/gsii/64146-conclusions-0-11.pdf","gsii/64146-conclusions-0-11.pdf")</f>
        <v/>
      </c>
      <c r="E1081" t="n">
        <v>109181</v>
      </c>
      <c r="F1081" t="n">
        <v>64146</v>
      </c>
      <c r="G1081" t="inlineStr">
        <is>
          <t>Echo</t>
        </is>
      </c>
      <c r="H1081" t="inlineStr">
        <is>
          <t>conclusions</t>
        </is>
      </c>
      <c r="I1081" t="inlineStr">
        <is>
          <t>There is a small vegetation on the aortic valve.</t>
        </is>
      </c>
    </row>
    <row r="1082">
      <c r="A1082" t="inlineStr">
        <is>
          <t>64146-conclusions-0-12</t>
        </is>
      </c>
      <c r="B1082" t="inlineStr"/>
      <c r="C1082" t="inlineStr"/>
      <c r="D1082">
        <f>HYPERLINK("http://nlpdeep.cs.uic.edu:8080/proofing/t5/64146-conclusions-0-12.pdf","t5/64146-conclusions-0-12.pdf")</f>
        <v/>
      </c>
      <c r="E1082" t="n">
        <v>109181</v>
      </c>
      <c r="F1082" t="n">
        <v>64146</v>
      </c>
      <c r="G1082" t="inlineStr">
        <is>
          <t>Echo</t>
        </is>
      </c>
      <c r="H1082" t="inlineStr">
        <is>
          <t>conclusions</t>
        </is>
      </c>
      <c r="I1082" t="inlineStr">
        <is>
          <t>There is mild
aortic valve stenosis (valve area 1.2-1.9cm2).</t>
        </is>
      </c>
    </row>
    <row r="1083">
      <c r="A1083" t="inlineStr">
        <is>
          <t>64146-conclusions-0-12</t>
        </is>
      </c>
      <c r="B1083" t="inlineStr"/>
      <c r="C1083" t="inlineStr"/>
      <c r="D1083">
        <f>HYPERLINK("http://nlpdeep.cs.uic.edu:8080/proofing/gsii/64146-conclusions-0-12.pdf","gsii/64146-conclusions-0-12.pdf")</f>
        <v/>
      </c>
      <c r="E1083" t="n">
        <v>109181</v>
      </c>
      <c r="F1083" t="n">
        <v>64146</v>
      </c>
      <c r="G1083" t="inlineStr">
        <is>
          <t>Echo</t>
        </is>
      </c>
      <c r="H1083" t="inlineStr">
        <is>
          <t>conclusions</t>
        </is>
      </c>
      <c r="I1083" t="inlineStr">
        <is>
          <t>There is mild
aortic valve stenosis (valve area 1.2-1.9cm2).</t>
        </is>
      </c>
    </row>
    <row r="1084">
      <c r="A1084" t="inlineStr">
        <is>
          <t>64146-conclusions-0-13</t>
        </is>
      </c>
      <c r="B1084" t="inlineStr"/>
      <c r="C1084" t="inlineStr"/>
      <c r="D1084">
        <f>HYPERLINK("http://nlpdeep.cs.uic.edu:8080/proofing/t5/64146-conclusions-0-13.pdf","t5/64146-conclusions-0-13.pdf")</f>
        <v/>
      </c>
      <c r="E1084" t="n">
        <v>109181</v>
      </c>
      <c r="F1084" t="n">
        <v>64146</v>
      </c>
      <c r="G1084" t="inlineStr">
        <is>
          <t>Echo</t>
        </is>
      </c>
      <c r="H1084" t="inlineStr">
        <is>
          <t>conclusions</t>
        </is>
      </c>
      <c r="I1084" t="inlineStr">
        <is>
          <t>Moderate (2+) aortic
regurgitation is seen.</t>
        </is>
      </c>
    </row>
    <row r="1085">
      <c r="A1085" t="inlineStr">
        <is>
          <t>64146-conclusions-0-13</t>
        </is>
      </c>
      <c r="B1085" t="inlineStr"/>
      <c r="C1085" t="inlineStr"/>
      <c r="D1085">
        <f>HYPERLINK("http://nlpdeep.cs.uic.edu:8080/proofing/gsii/64146-conclusions-0-13.pdf","gsii/64146-conclusions-0-13.pdf")</f>
        <v/>
      </c>
      <c r="E1085" t="n">
        <v>109181</v>
      </c>
      <c r="F1085" t="n">
        <v>64146</v>
      </c>
      <c r="G1085" t="inlineStr">
        <is>
          <t>Echo</t>
        </is>
      </c>
      <c r="H1085" t="inlineStr">
        <is>
          <t>conclusions</t>
        </is>
      </c>
      <c r="I1085" t="inlineStr">
        <is>
          <t>Moderate (2+) aortic
regurgitation is seen.</t>
        </is>
      </c>
    </row>
    <row r="1086">
      <c r="A1086" t="inlineStr">
        <is>
          <t>64146-conclusions-0-14</t>
        </is>
      </c>
      <c r="B1086" t="inlineStr"/>
      <c r="C1086" t="inlineStr"/>
      <c r="D1086">
        <f>HYPERLINK("http://nlpdeep.cs.uic.edu:8080/proofing/t5/64146-conclusions-0-14.pdf","t5/64146-conclusions-0-14.pdf")</f>
        <v/>
      </c>
      <c r="E1086" t="n">
        <v>109181</v>
      </c>
      <c r="F1086" t="n">
        <v>64146</v>
      </c>
      <c r="G1086" t="inlineStr">
        <is>
          <t>Echo</t>
        </is>
      </c>
      <c r="H1086" t="inlineStr">
        <is>
          <t>conclusions</t>
        </is>
      </c>
      <c r="I1086" t="inlineStr">
        <is>
          <t>The mitral valve leaflets are mildly thickened.</t>
        </is>
      </c>
    </row>
    <row r="1087">
      <c r="A1087" t="inlineStr">
        <is>
          <t>64146-conclusions-0-14</t>
        </is>
      </c>
      <c r="B1087" t="inlineStr"/>
      <c r="C1087" t="inlineStr"/>
      <c r="D1087">
        <f>HYPERLINK("http://nlpdeep.cs.uic.edu:8080/proofing/gsii/64146-conclusions-0-14.pdf","gsii/64146-conclusions-0-14.pdf")</f>
        <v/>
      </c>
      <c r="E1087" t="n">
        <v>109181</v>
      </c>
      <c r="F1087" t="n">
        <v>64146</v>
      </c>
      <c r="G1087" t="inlineStr">
        <is>
          <t>Echo</t>
        </is>
      </c>
      <c r="H1087" t="inlineStr">
        <is>
          <t>conclusions</t>
        </is>
      </c>
      <c r="I1087" t="inlineStr">
        <is>
          <t>The mitral valve leaflets are mildly thickened.</t>
        </is>
      </c>
    </row>
    <row r="1088">
      <c r="A1088" t="inlineStr">
        <is>
          <t>64146-conclusions-0-15</t>
        </is>
      </c>
      <c r="B1088" t="inlineStr"/>
      <c r="C1088" t="inlineStr"/>
      <c r="D1088">
        <f>HYPERLINK("http://nlpdeep.cs.uic.edu:8080/proofing/t5/64146-conclusions-0-15.pdf","t5/64146-conclusions-0-15.pdf")</f>
        <v/>
      </c>
      <c r="E1088" t="n">
        <v>109181</v>
      </c>
      <c r="F1088" t="n">
        <v>64146</v>
      </c>
      <c r="G1088" t="inlineStr">
        <is>
          <t>Echo</t>
        </is>
      </c>
      <c r="H1088" t="inlineStr">
        <is>
          <t>conclusions</t>
        </is>
      </c>
      <c r="I1088" t="inlineStr">
        <is>
          <t>There
is no mitral valve prolapse.</t>
        </is>
      </c>
    </row>
    <row r="1089">
      <c r="A1089" t="inlineStr">
        <is>
          <t>64146-conclusions-0-15</t>
        </is>
      </c>
      <c r="B1089" t="inlineStr"/>
      <c r="C1089" t="inlineStr"/>
      <c r="D1089">
        <f>HYPERLINK("http://nlpdeep.cs.uic.edu:8080/proofing/gsii/64146-conclusions-0-15.pdf","gsii/64146-conclusions-0-15.pdf")</f>
        <v/>
      </c>
      <c r="E1089" t="n">
        <v>109181</v>
      </c>
      <c r="F1089" t="n">
        <v>64146</v>
      </c>
      <c r="G1089" t="inlineStr">
        <is>
          <t>Echo</t>
        </is>
      </c>
      <c r="H1089" t="inlineStr">
        <is>
          <t>conclusions</t>
        </is>
      </c>
      <c r="I1089" t="inlineStr">
        <is>
          <t>There
is no mitral valve prolapse.</t>
        </is>
      </c>
    </row>
    <row r="1090">
      <c r="A1090" t="inlineStr">
        <is>
          <t>64146-conclusions-0-16</t>
        </is>
      </c>
      <c r="B1090" t="inlineStr"/>
      <c r="C1090" t="inlineStr"/>
      <c r="D1090">
        <f>HYPERLINK("http://nlpdeep.cs.uic.edu:8080/proofing/t5/64146-conclusions-0-16.pdf","t5/64146-conclusions-0-16.pdf")</f>
        <v/>
      </c>
      <c r="E1090" t="n">
        <v>109181</v>
      </c>
      <c r="F1090" t="n">
        <v>64146</v>
      </c>
      <c r="G1090" t="inlineStr">
        <is>
          <t>Echo</t>
        </is>
      </c>
      <c r="H1090" t="inlineStr">
        <is>
          <t>conclusions</t>
        </is>
      </c>
      <c r="I1090" t="inlineStr">
        <is>
          <t>Moderate (2+) mitral regurgitation is seen.</t>
        </is>
      </c>
    </row>
    <row r="1091">
      <c r="A1091" t="inlineStr">
        <is>
          <t>64146-conclusions-0-16</t>
        </is>
      </c>
      <c r="B1091" t="inlineStr"/>
      <c r="C1091" t="inlineStr"/>
      <c r="D1091">
        <f>HYPERLINK("http://nlpdeep.cs.uic.edu:8080/proofing/gsii/64146-conclusions-0-16.pdf","gsii/64146-conclusions-0-16.pdf")</f>
        <v/>
      </c>
      <c r="E1091" t="n">
        <v>109181</v>
      </c>
      <c r="F1091" t="n">
        <v>64146</v>
      </c>
      <c r="G1091" t="inlineStr">
        <is>
          <t>Echo</t>
        </is>
      </c>
      <c r="H1091" t="inlineStr">
        <is>
          <t>conclusions</t>
        </is>
      </c>
      <c r="I1091" t="inlineStr">
        <is>
          <t>Moderate (2+) mitral regurgitation is seen.</t>
        </is>
      </c>
    </row>
    <row r="1092">
      <c r="A1092" t="inlineStr">
        <is>
          <t>64146-conclusions-0-17</t>
        </is>
      </c>
      <c r="B1092" t="inlineStr"/>
      <c r="C1092" t="inlineStr"/>
      <c r="D1092">
        <f>HYPERLINK("http://nlpdeep.cs.uic.edu:8080/proofing/t5/64146-conclusions-0-17.pdf","t5/64146-conclusions-0-17.pdf")</f>
        <v/>
      </c>
      <c r="E1092" t="n">
        <v>109181</v>
      </c>
      <c r="F1092" t="n">
        <v>64146</v>
      </c>
      <c r="G1092" t="inlineStr">
        <is>
          <t>Echo</t>
        </is>
      </c>
      <c r="H1092" t="inlineStr">
        <is>
          <t>conclusions</t>
        </is>
      </c>
      <c r="I1092" t="inlineStr">
        <is>
          <t>There
is moderate pulmonary artery systolic hypertension.</t>
        </is>
      </c>
    </row>
    <row r="1093">
      <c r="A1093" t="inlineStr">
        <is>
          <t>64146-conclusions-0-17</t>
        </is>
      </c>
      <c r="B1093" t="inlineStr"/>
      <c r="C1093" t="inlineStr"/>
      <c r="D1093">
        <f>HYPERLINK("http://nlpdeep.cs.uic.edu:8080/proofing/gsii/64146-conclusions-0-17.pdf","gsii/64146-conclusions-0-17.pdf")</f>
        <v/>
      </c>
      <c r="E1093" t="n">
        <v>109181</v>
      </c>
      <c r="F1093" t="n">
        <v>64146</v>
      </c>
      <c r="G1093" t="inlineStr">
        <is>
          <t>Echo</t>
        </is>
      </c>
      <c r="H1093" t="inlineStr">
        <is>
          <t>conclusions</t>
        </is>
      </c>
      <c r="I1093" t="inlineStr">
        <is>
          <t>There
is moderate pulmonary artery systolic hypertension.</t>
        </is>
      </c>
    </row>
    <row r="1094">
      <c r="A1094" t="inlineStr">
        <is>
          <t>64146-conclusions-0-18</t>
        </is>
      </c>
      <c r="B1094" t="inlineStr"/>
      <c r="C1094" t="inlineStr"/>
      <c r="D1094">
        <f>HYPERLINK("http://nlpdeep.cs.uic.edu:8080/proofing/t5/64146-conclusions-0-18.pdf","t5/64146-conclusions-0-18.pdf")</f>
        <v/>
      </c>
      <c r="E1094" t="n">
        <v>109181</v>
      </c>
      <c r="F1094" t="n">
        <v>64146</v>
      </c>
      <c r="G1094" t="inlineStr">
        <is>
          <t>Echo</t>
        </is>
      </c>
      <c r="H1094" t="inlineStr">
        <is>
          <t>conclusions</t>
        </is>
      </c>
      <c r="I1094" t="inlineStr">
        <is>
          <t>Significant pulmonic
regurgitation is seen.</t>
        </is>
      </c>
    </row>
    <row r="1095">
      <c r="A1095" t="inlineStr">
        <is>
          <t>64146-conclusions-0-18</t>
        </is>
      </c>
      <c r="B1095" t="inlineStr"/>
      <c r="C1095" t="inlineStr"/>
      <c r="D1095">
        <f>HYPERLINK("http://nlpdeep.cs.uic.edu:8080/proofing/gsii/64146-conclusions-0-18.pdf","gsii/64146-conclusions-0-18.pdf")</f>
        <v/>
      </c>
      <c r="E1095" t="n">
        <v>109181</v>
      </c>
      <c r="F1095" t="n">
        <v>64146</v>
      </c>
      <c r="G1095" t="inlineStr">
        <is>
          <t>Echo</t>
        </is>
      </c>
      <c r="H1095" t="inlineStr">
        <is>
          <t>conclusions</t>
        </is>
      </c>
      <c r="I1095" t="inlineStr">
        <is>
          <t>Significant pulmonic
regurgitation is seen.</t>
        </is>
      </c>
    </row>
    <row r="1096">
      <c r="A1096" t="inlineStr">
        <is>
          <t>64146-conclusions-0-19</t>
        </is>
      </c>
      <c r="B1096" t="inlineStr"/>
      <c r="C1096" t="inlineStr"/>
      <c r="D1096">
        <f>HYPERLINK("http://nlpdeep.cs.uic.edu:8080/proofing/t5/64146-conclusions-0-19.pdf","t5/64146-conclusions-0-19.pdf")</f>
        <v/>
      </c>
      <c r="E1096" t="n">
        <v>109181</v>
      </c>
      <c r="F1096" t="n">
        <v>64146</v>
      </c>
      <c r="G1096" t="inlineStr">
        <is>
          <t>Echo</t>
        </is>
      </c>
      <c r="H1096" t="inlineStr">
        <is>
          <t>conclusions</t>
        </is>
      </c>
      <c r="I1096" t="inlineStr">
        <is>
          <t>There is no pericardial effusion.</t>
        </is>
      </c>
    </row>
    <row r="1097">
      <c r="A1097" t="inlineStr">
        <is>
          <t>64146-conclusions-0-19</t>
        </is>
      </c>
      <c r="B1097" t="inlineStr"/>
      <c r="C1097" t="inlineStr"/>
      <c r="D1097">
        <f>HYPERLINK("http://nlpdeep.cs.uic.edu:8080/proofing/gsii/64146-conclusions-0-19.pdf","gsii/64146-conclusions-0-19.pdf")</f>
        <v/>
      </c>
      <c r="E1097" t="n">
        <v>109181</v>
      </c>
      <c r="F1097" t="n">
        <v>64146</v>
      </c>
      <c r="G1097" t="inlineStr">
        <is>
          <t>Echo</t>
        </is>
      </c>
      <c r="H1097" t="inlineStr">
        <is>
          <t>conclusions</t>
        </is>
      </c>
      <c r="I1097" t="inlineStr">
        <is>
          <t>There is no pericardial effusion.</t>
        </is>
      </c>
    </row>
    <row r="1098">
      <c r="A1098" t="inlineStr">
        <is>
          <t>64146-impression-0-0</t>
        </is>
      </c>
      <c r="B1098" t="inlineStr"/>
      <c r="C1098" t="inlineStr"/>
      <c r="D1098">
        <f>HYPERLINK("http://nlpdeep.cs.uic.edu:8080/proofing/t5/64146-impression-0-0.pdf","t5/64146-impression-0-0.pdf")</f>
        <v/>
      </c>
      <c r="E1098" t="n">
        <v>109181</v>
      </c>
      <c r="F1098" t="n">
        <v>64146</v>
      </c>
      <c r="G1098" t="inlineStr">
        <is>
          <t>Echo</t>
        </is>
      </c>
      <c r="H1098" t="inlineStr">
        <is>
          <t>impression</t>
        </is>
      </c>
      <c r="I1098" t="inlineStr">
        <is>
          <t>Moderately dilated left ventricle.</t>
        </is>
      </c>
    </row>
    <row r="1099">
      <c r="A1099" t="inlineStr">
        <is>
          <t>64146-impression-0-0</t>
        </is>
      </c>
      <c r="B1099" t="inlineStr"/>
      <c r="C1099" t="inlineStr"/>
      <c r="D1099">
        <f>HYPERLINK("http://nlpdeep.cs.uic.edu:8080/proofing/gsii/64146-impression-0-0.pdf","gsii/64146-impression-0-0.pdf")</f>
        <v/>
      </c>
      <c r="E1099" t="n">
        <v>109181</v>
      </c>
      <c r="F1099" t="n">
        <v>64146</v>
      </c>
      <c r="G1099" t="inlineStr">
        <is>
          <t>Echo</t>
        </is>
      </c>
      <c r="H1099" t="inlineStr">
        <is>
          <t>impression</t>
        </is>
      </c>
      <c r="I1099" t="inlineStr">
        <is>
          <t>Moderately dilated left ventricle.</t>
        </is>
      </c>
    </row>
    <row r="1100">
      <c r="A1100" t="inlineStr">
        <is>
          <t>64146-impression-0-1</t>
        </is>
      </c>
      <c r="B1100" t="inlineStr"/>
      <c r="C1100" t="inlineStr"/>
      <c r="D1100">
        <f>HYPERLINK("http://nlpdeep.cs.uic.edu:8080/proofing/t5/64146-impression-0-1.pdf","t5/64146-impression-0-1.pdf")</f>
        <v/>
      </c>
      <c r="E1100" t="n">
        <v>109181</v>
      </c>
      <c r="F1100" t="n">
        <v>64146</v>
      </c>
      <c r="G1100" t="inlineStr">
        <is>
          <t>Echo</t>
        </is>
      </c>
      <c r="H1100" t="inlineStr">
        <is>
          <t>impression</t>
        </is>
      </c>
      <c r="I1100" t="inlineStr">
        <is>
          <t>Regional left ventricular
systolic dysfunction c/w CAD.</t>
        </is>
      </c>
    </row>
    <row r="1101">
      <c r="A1101" t="inlineStr">
        <is>
          <t>64146-impression-0-1</t>
        </is>
      </c>
      <c r="B1101" t="inlineStr"/>
      <c r="C1101" t="inlineStr"/>
      <c r="D1101">
        <f>HYPERLINK("http://nlpdeep.cs.uic.edu:8080/proofing/gsii/64146-impression-0-1.pdf","gsii/64146-impression-0-1.pdf")</f>
        <v/>
      </c>
      <c r="E1101" t="n">
        <v>109181</v>
      </c>
      <c r="F1101" t="n">
        <v>64146</v>
      </c>
      <c r="G1101" t="inlineStr">
        <is>
          <t>Echo</t>
        </is>
      </c>
      <c r="H1101" t="inlineStr">
        <is>
          <t>impression</t>
        </is>
      </c>
      <c r="I1101" t="inlineStr">
        <is>
          <t>Regional left ventricular
systolic dysfunction c/w CAD.</t>
        </is>
      </c>
    </row>
    <row r="1102">
      <c r="A1102" t="inlineStr">
        <is>
          <t>64146-impression-0-2</t>
        </is>
      </c>
      <c r="B1102" t="inlineStr"/>
      <c r="C1102" t="inlineStr"/>
      <c r="D1102">
        <f>HYPERLINK("http://nlpdeep.cs.uic.edu:8080/proofing/t5/64146-impression-0-2.pdf","t5/64146-impression-0-2.pdf")</f>
        <v/>
      </c>
      <c r="E1102" t="n">
        <v>109181</v>
      </c>
      <c r="F1102" t="n">
        <v>64146</v>
      </c>
      <c r="G1102" t="inlineStr">
        <is>
          <t>Echo</t>
        </is>
      </c>
      <c r="H1102" t="inlineStr">
        <is>
          <t>impression</t>
        </is>
      </c>
      <c r="I1102" t="inlineStr">
        <is>
          <t>Probable small vegetation on aortic valve, right
coronary cusp.</t>
        </is>
      </c>
    </row>
    <row r="1103">
      <c r="A1103" t="inlineStr">
        <is>
          <t>64146-impression-0-2</t>
        </is>
      </c>
      <c r="B1103" t="inlineStr"/>
      <c r="C1103" t="inlineStr"/>
      <c r="D1103">
        <f>HYPERLINK("http://nlpdeep.cs.uic.edu:8080/proofing/gsii/64146-impression-0-2.pdf","gsii/64146-impression-0-2.pdf")</f>
        <v/>
      </c>
      <c r="E1103" t="n">
        <v>109181</v>
      </c>
      <c r="F1103" t="n">
        <v>64146</v>
      </c>
      <c r="G1103" t="inlineStr">
        <is>
          <t>Echo</t>
        </is>
      </c>
      <c r="H1103" t="inlineStr">
        <is>
          <t>impression</t>
        </is>
      </c>
      <c r="I1103" t="inlineStr">
        <is>
          <t>Probable small vegetation on aortic valve, right
coronary cusp.</t>
        </is>
      </c>
    </row>
    <row r="1104">
      <c r="A1104" t="inlineStr">
        <is>
          <t>64146-impression-0-3</t>
        </is>
      </c>
      <c r="B1104" t="inlineStr"/>
      <c r="C1104" t="inlineStr"/>
      <c r="D1104">
        <f>HYPERLINK("http://nlpdeep.cs.uic.edu:8080/proofing/t5/64146-impression-0-3.pdf","t5/64146-impression-0-3.pdf")</f>
        <v/>
      </c>
      <c r="E1104" t="n">
        <v>109181</v>
      </c>
      <c r="F1104" t="n">
        <v>64146</v>
      </c>
      <c r="G1104" t="inlineStr">
        <is>
          <t>Echo</t>
        </is>
      </c>
      <c r="H1104" t="inlineStr">
        <is>
          <t>impression</t>
        </is>
      </c>
      <c r="I1104" t="inlineStr">
        <is>
          <t>Moderate aortic regurgitation.</t>
        </is>
      </c>
    </row>
    <row r="1105">
      <c r="A1105" t="inlineStr">
        <is>
          <t>64146-impression-0-3</t>
        </is>
      </c>
      <c r="B1105" t="inlineStr"/>
      <c r="C1105" t="inlineStr"/>
      <c r="D1105">
        <f>HYPERLINK("http://nlpdeep.cs.uic.edu:8080/proofing/gsii/64146-impression-0-3.pdf","gsii/64146-impression-0-3.pdf")</f>
        <v/>
      </c>
      <c r="E1105" t="n">
        <v>109181</v>
      </c>
      <c r="F1105" t="n">
        <v>64146</v>
      </c>
      <c r="G1105" t="inlineStr">
        <is>
          <t>Echo</t>
        </is>
      </c>
      <c r="H1105" t="inlineStr">
        <is>
          <t>impression</t>
        </is>
      </c>
      <c r="I1105" t="inlineStr">
        <is>
          <t>Moderate aortic regurgitation.</t>
        </is>
      </c>
    </row>
    <row r="1106">
      <c r="A1106" t="inlineStr">
        <is>
          <t>64146-impression-0-4</t>
        </is>
      </c>
      <c r="B1106" t="inlineStr"/>
      <c r="C1106" t="inlineStr"/>
      <c r="D1106">
        <f>HYPERLINK("http://nlpdeep.cs.uic.edu:8080/proofing/t5/64146-impression-0-4.pdf","t5/64146-impression-0-4.pdf")</f>
        <v/>
      </c>
      <c r="E1106" t="n">
        <v>109181</v>
      </c>
      <c r="F1106" t="n">
        <v>64146</v>
      </c>
      <c r="G1106" t="inlineStr">
        <is>
          <t>Echo</t>
        </is>
      </c>
      <c r="H1106" t="inlineStr">
        <is>
          <t>impression</t>
        </is>
      </c>
      <c r="I1106" t="inlineStr">
        <is>
          <t>Moderate mitral regurgitation.</t>
        </is>
      </c>
    </row>
    <row r="1107">
      <c r="A1107" t="inlineStr">
        <is>
          <t>64146-impression-0-4</t>
        </is>
      </c>
      <c r="B1107" t="inlineStr"/>
      <c r="C1107" t="inlineStr"/>
      <c r="D1107">
        <f>HYPERLINK("http://nlpdeep.cs.uic.edu:8080/proofing/gsii/64146-impression-0-4.pdf","gsii/64146-impression-0-4.pdf")</f>
        <v/>
      </c>
      <c r="E1107" t="n">
        <v>109181</v>
      </c>
      <c r="F1107" t="n">
        <v>64146</v>
      </c>
      <c r="G1107" t="inlineStr">
        <is>
          <t>Echo</t>
        </is>
      </c>
      <c r="H1107" t="inlineStr">
        <is>
          <t>impression</t>
        </is>
      </c>
      <c r="I1107" t="inlineStr">
        <is>
          <t>Moderate mitral regurgitation.</t>
        </is>
      </c>
    </row>
    <row r="1108">
      <c r="A1108" t="inlineStr">
        <is>
          <t>64146-impression-0-5</t>
        </is>
      </c>
      <c r="B1108" t="inlineStr"/>
      <c r="C1108" t="inlineStr"/>
      <c r="D1108">
        <f>HYPERLINK("http://nlpdeep.cs.uic.edu:8080/proofing/t5/64146-impression-0-5.pdf","t5/64146-impression-0-5.pdf")</f>
        <v/>
      </c>
      <c r="E1108" t="n">
        <v>109181</v>
      </c>
      <c r="F1108" t="n">
        <v>64146</v>
      </c>
      <c r="G1108" t="inlineStr">
        <is>
          <t>Echo</t>
        </is>
      </c>
      <c r="H1108" t="inlineStr">
        <is>
          <t>impression</t>
        </is>
      </c>
      <c r="I1108" t="inlineStr">
        <is>
          <t xml:space="preserve">
At least moderate pulmonary hypertension.</t>
        </is>
      </c>
    </row>
    <row r="1109">
      <c r="A1109" t="inlineStr">
        <is>
          <t>64146-impression-0-5</t>
        </is>
      </c>
      <c r="B1109" t="inlineStr"/>
      <c r="C1109" t="inlineStr"/>
      <c r="D1109">
        <f>HYPERLINK("http://nlpdeep.cs.uic.edu:8080/proofing/gsii/64146-impression-0-5.pdf","gsii/64146-impression-0-5.pdf")</f>
        <v/>
      </c>
      <c r="E1109" t="n">
        <v>109181</v>
      </c>
      <c r="F1109" t="n">
        <v>64146</v>
      </c>
      <c r="G1109" t="inlineStr">
        <is>
          <t>Echo</t>
        </is>
      </c>
      <c r="H1109" t="inlineStr">
        <is>
          <t>impression</t>
        </is>
      </c>
      <c r="I1109" t="inlineStr">
        <is>
          <t xml:space="preserve">
At least moderate pulmonary hypertension.</t>
        </is>
      </c>
    </row>
    <row r="1110">
      <c r="A1110" t="inlineStr">
        <is>
          <t>64146-impression-0-6</t>
        </is>
      </c>
      <c r="B1110" t="inlineStr"/>
      <c r="C1110" t="inlineStr"/>
      <c r="D1110">
        <f>HYPERLINK("http://nlpdeep.cs.uic.edu:8080/proofing/t5/64146-impression-0-6.pdf","t5/64146-impression-0-6.pdf")</f>
        <v/>
      </c>
      <c r="E1110" t="n">
        <v>109181</v>
      </c>
      <c r="F1110" t="n">
        <v>64146</v>
      </c>
      <c r="G1110" t="inlineStr">
        <is>
          <t>Echo</t>
        </is>
      </c>
      <c r="H1110" t="inlineStr">
        <is>
          <t>impression</t>
        </is>
      </c>
      <c r="I1110" t="inlineStr">
        <is>
          <t>Mild right ventricular global
hypokinesis.</t>
        </is>
      </c>
    </row>
    <row r="1111">
      <c r="A1111" t="inlineStr">
        <is>
          <t>64146-impression-0-6</t>
        </is>
      </c>
      <c r="B1111" t="inlineStr"/>
      <c r="C1111" t="inlineStr"/>
      <c r="D1111">
        <f>HYPERLINK("http://nlpdeep.cs.uic.edu:8080/proofing/gsii/64146-impression-0-6.pdf","gsii/64146-impression-0-6.pdf")</f>
        <v/>
      </c>
      <c r="E1111" t="n">
        <v>109181</v>
      </c>
      <c r="F1111" t="n">
        <v>64146</v>
      </c>
      <c r="G1111" t="inlineStr">
        <is>
          <t>Echo</t>
        </is>
      </c>
      <c r="H1111" t="inlineStr">
        <is>
          <t>impression</t>
        </is>
      </c>
      <c r="I1111" t="inlineStr">
        <is>
          <t>Mild right ventricular global
hypokinesis.</t>
        </is>
      </c>
    </row>
    <row r="1112">
      <c r="A1112" t="inlineStr">
        <is>
          <t>64146-impression-1-0</t>
        </is>
      </c>
      <c r="B1112" t="inlineStr"/>
      <c r="C1112" t="inlineStr"/>
      <c r="D1112">
        <f>HYPERLINK("http://nlpdeep.cs.uic.edu:8080/proofing/t5/64146-impression-1-0.pdf","t5/64146-impression-1-0.pdf")</f>
        <v/>
      </c>
      <c r="E1112" t="n">
        <v>109181</v>
      </c>
      <c r="F1112" t="n">
        <v>64146</v>
      </c>
      <c r="G1112" t="inlineStr">
        <is>
          <t>Echo</t>
        </is>
      </c>
      <c r="H1112" t="inlineStr">
        <is>
          <t>impression</t>
        </is>
      </c>
      <c r="I1112" t="inlineStr">
        <is>
          <t xml:space="preserve">
Compared with the prior study (images reviewed) of [**2166-9-12**], regional left
ventricular systolic dysfunction is more extensive (distal LAD territory).</t>
        </is>
      </c>
    </row>
    <row r="1113">
      <c r="A1113" t="inlineStr">
        <is>
          <t>64146-impression-1-0</t>
        </is>
      </c>
      <c r="B1113" t="inlineStr"/>
      <c r="C1113" t="inlineStr"/>
      <c r="D1113">
        <f>HYPERLINK("http://nlpdeep.cs.uic.edu:8080/proofing/gsii/64146-impression-1-0.pdf","gsii/64146-impression-1-0.pdf")</f>
        <v/>
      </c>
      <c r="E1113" t="n">
        <v>109181</v>
      </c>
      <c r="F1113" t="n">
        <v>64146</v>
      </c>
      <c r="G1113" t="inlineStr">
        <is>
          <t>Echo</t>
        </is>
      </c>
      <c r="H1113" t="inlineStr">
        <is>
          <t>impression</t>
        </is>
      </c>
      <c r="I1113" t="inlineStr">
        <is>
          <t xml:space="preserve">
Compared with the prior study (images reviewed) of [**2166-9-12**], regional left
ventricular systolic dysfunction is more extensive (distal LAD territory).</t>
        </is>
      </c>
    </row>
    <row r="1114">
      <c r="A1114" t="inlineStr">
        <is>
          <t>64146-impression-1-1</t>
        </is>
      </c>
      <c r="B1114" t="inlineStr"/>
      <c r="C1114" t="inlineStr"/>
      <c r="D1114">
        <f>HYPERLINK("http://nlpdeep.cs.uic.edu:8080/proofing/t5/64146-impression-1-1.pdf","t5/64146-impression-1-1.pdf")</f>
        <v/>
      </c>
      <c r="E1114" t="n">
        <v>109181</v>
      </c>
      <c r="F1114" t="n">
        <v>64146</v>
      </c>
      <c r="G1114" t="inlineStr">
        <is>
          <t>Echo</t>
        </is>
      </c>
      <c r="H1114" t="inlineStr">
        <is>
          <t>impression</t>
        </is>
      </c>
      <c r="I1114" t="inlineStr">
        <is>
          <t>The
severity of pulmonary hypertension has increased.</t>
        </is>
      </c>
    </row>
    <row r="1115">
      <c r="A1115" t="inlineStr">
        <is>
          <t>64146-impression-1-1</t>
        </is>
      </c>
      <c r="B1115" t="inlineStr"/>
      <c r="C1115" t="inlineStr"/>
      <c r="D1115">
        <f>HYPERLINK("http://nlpdeep.cs.uic.edu:8080/proofing/gsii/64146-impression-1-1.pdf","gsii/64146-impression-1-1.pdf")</f>
        <v/>
      </c>
      <c r="E1115" t="n">
        <v>109181</v>
      </c>
      <c r="F1115" t="n">
        <v>64146</v>
      </c>
      <c r="G1115" t="inlineStr">
        <is>
          <t>Echo</t>
        </is>
      </c>
      <c r="H1115" t="inlineStr">
        <is>
          <t>impression</t>
        </is>
      </c>
      <c r="I1115" t="inlineStr">
        <is>
          <t>The
severity of pulmonary hypertension has increased.</t>
        </is>
      </c>
    </row>
    <row r="1116">
      <c r="A1116" t="inlineStr">
        <is>
          <t>64146-impression-1-2</t>
        </is>
      </c>
      <c r="B1116" t="inlineStr"/>
      <c r="C1116" t="inlineStr"/>
      <c r="D1116">
        <f>HYPERLINK("http://nlpdeep.cs.uic.edu:8080/proofing/t5/64146-impression-1-2.pdf","t5/64146-impression-1-2.pdf")</f>
        <v/>
      </c>
      <c r="E1116" t="n">
        <v>109181</v>
      </c>
      <c r="F1116" t="n">
        <v>64146</v>
      </c>
      <c r="G1116" t="inlineStr">
        <is>
          <t>Echo</t>
        </is>
      </c>
      <c r="H1116" t="inlineStr">
        <is>
          <t>impression</t>
        </is>
      </c>
      <c r="I1116" t="inlineStr">
        <is>
          <t>There is right ventricular
dysfunction.</t>
        </is>
      </c>
    </row>
    <row r="1117">
      <c r="A1117" t="inlineStr">
        <is>
          <t>64146-impression-1-2</t>
        </is>
      </c>
      <c r="B1117" t="inlineStr"/>
      <c r="C1117" t="inlineStr"/>
      <c r="D1117">
        <f>HYPERLINK("http://nlpdeep.cs.uic.edu:8080/proofing/gsii/64146-impression-1-2.pdf","gsii/64146-impression-1-2.pdf")</f>
        <v/>
      </c>
      <c r="E1117" t="n">
        <v>109181</v>
      </c>
      <c r="F1117" t="n">
        <v>64146</v>
      </c>
      <c r="G1117" t="inlineStr">
        <is>
          <t>Echo</t>
        </is>
      </c>
      <c r="H1117" t="inlineStr">
        <is>
          <t>impression</t>
        </is>
      </c>
      <c r="I1117" t="inlineStr">
        <is>
          <t>There is right ventricular
dysfunction.</t>
        </is>
      </c>
    </row>
    <row r="1118">
      <c r="A1118" t="inlineStr">
        <is>
          <t>64146-impression-1-3</t>
        </is>
      </c>
      <c r="B1118" t="inlineStr"/>
      <c r="C1118" t="inlineStr"/>
      <c r="D1118">
        <f>HYPERLINK("http://nlpdeep.cs.uic.edu:8080/proofing/t5/64146-impression-1-3.pdf","t5/64146-impression-1-3.pdf")</f>
        <v/>
      </c>
      <c r="E1118" t="n">
        <v>109181</v>
      </c>
      <c r="F1118" t="n">
        <v>64146</v>
      </c>
      <c r="G1118" t="inlineStr">
        <is>
          <t>Echo</t>
        </is>
      </c>
      <c r="H1118" t="inlineStr">
        <is>
          <t>impression</t>
        </is>
      </c>
      <c r="I1118" t="inlineStr">
        <is>
          <t>The aortic valve vegetation appears similar in size.</t>
        </is>
      </c>
    </row>
    <row r="1119">
      <c r="A1119" t="inlineStr">
        <is>
          <t>64146-impression-1-3</t>
        </is>
      </c>
      <c r="B1119" t="inlineStr"/>
      <c r="C1119" t="inlineStr"/>
      <c r="D1119">
        <f>HYPERLINK("http://nlpdeep.cs.uic.edu:8080/proofing/gsii/64146-impression-1-3.pdf","gsii/64146-impression-1-3.pdf")</f>
        <v/>
      </c>
      <c r="E1119" t="n">
        <v>109181</v>
      </c>
      <c r="F1119" t="n">
        <v>64146</v>
      </c>
      <c r="G1119" t="inlineStr">
        <is>
          <t>Echo</t>
        </is>
      </c>
      <c r="H1119" t="inlineStr">
        <is>
          <t>impression</t>
        </is>
      </c>
      <c r="I1119" t="inlineStr">
        <is>
          <t>The aortic valve vegetation appears similar in size.</t>
        </is>
      </c>
    </row>
    <row r="1120">
      <c r="A1120" t="inlineStr">
        <is>
          <t>503162-chief-complaint-0-0</t>
        </is>
      </c>
      <c r="B1120" t="inlineStr"/>
      <c r="C1120" t="inlineStr"/>
      <c r="D1120">
        <f>HYPERLINK("http://nlpdeep.cs.uic.edu:8080/proofing/t5/503162-chief-complaint-0-0.pdf","t5/503162-chief-complaint-0-0.pdf")</f>
        <v/>
      </c>
      <c r="E1120" t="n">
        <v>110002</v>
      </c>
      <c r="F1120" t="n">
        <v>503162</v>
      </c>
      <c r="G1120" t="inlineStr">
        <is>
          <t>Consult</t>
        </is>
      </c>
      <c r="H1120" t="inlineStr">
        <is>
          <t>chief-complaint</t>
        </is>
      </c>
      <c r="I1120" t="inlineStr">
        <is>
          <t>27M with DM admitted with MSSA PNA c/b klebsiella VAP,
   ARF requiring HD, septic shock.</t>
        </is>
      </c>
    </row>
    <row r="1121">
      <c r="A1121" t="inlineStr">
        <is>
          <t>503162-chief-complaint-0-0</t>
        </is>
      </c>
      <c r="B1121" t="inlineStr"/>
      <c r="C1121" t="inlineStr"/>
      <c r="D1121">
        <f>HYPERLINK("http://nlpdeep.cs.uic.edu:8080/proofing/gsii/503162-chief-complaint-0-0.pdf","gsii/503162-chief-complaint-0-0.pdf")</f>
        <v/>
      </c>
      <c r="E1121" t="n">
        <v>110002</v>
      </c>
      <c r="F1121" t="n">
        <v>503162</v>
      </c>
      <c r="G1121" t="inlineStr">
        <is>
          <t>Consult</t>
        </is>
      </c>
      <c r="H1121" t="inlineStr">
        <is>
          <t>chief-complaint</t>
        </is>
      </c>
      <c r="I1121" t="inlineStr">
        <is>
          <t>27M with DM admitted with MSSA PNA c/b klebsiella VAP,
   ARF requiring HD, septic shock.</t>
        </is>
      </c>
    </row>
    <row r="1122">
      <c r="A1122" t="inlineStr">
        <is>
          <t>503162-chief-complaint-0-1</t>
        </is>
      </c>
      <c r="B1122" t="inlineStr"/>
      <c r="C1122" t="inlineStr"/>
      <c r="D1122">
        <f>HYPERLINK("http://nlpdeep.cs.uic.edu:8080/proofing/t5/503162-chief-complaint-0-1.pdf","t5/503162-chief-complaint-0-1.pdf")</f>
        <v/>
      </c>
      <c r="E1122" t="n">
        <v>110002</v>
      </c>
      <c r="F1122" t="n">
        <v>503162</v>
      </c>
      <c r="G1122" t="inlineStr">
        <is>
          <t>Consult</t>
        </is>
      </c>
      <c r="H1122" t="inlineStr">
        <is>
          <t>chief-complaint</t>
        </is>
      </c>
      <c r="I1122" t="inlineStr">
        <is>
          <t>Found to have WCT then narrow complex
   tachcyardia yesterday during HD that resolved with adenosine, likely
   SVT with aberrancy.</t>
        </is>
      </c>
    </row>
    <row r="1123">
      <c r="A1123" t="inlineStr">
        <is>
          <t>503162-chief-complaint-0-1</t>
        </is>
      </c>
      <c r="B1123" t="inlineStr"/>
      <c r="C1123" t="inlineStr"/>
      <c r="D1123">
        <f>HYPERLINK("http://nlpdeep.cs.uic.edu:8080/proofing/gsii/503162-chief-complaint-0-1.pdf","gsii/503162-chief-complaint-0-1.pdf")</f>
        <v/>
      </c>
      <c r="E1123" t="n">
        <v>110002</v>
      </c>
      <c r="F1123" t="n">
        <v>503162</v>
      </c>
      <c r="G1123" t="inlineStr">
        <is>
          <t>Consult</t>
        </is>
      </c>
      <c r="H1123" t="inlineStr">
        <is>
          <t>chief-complaint</t>
        </is>
      </c>
      <c r="I1123" t="inlineStr">
        <is>
          <t>Found to have WCT then narrow complex
   tachcyardia yesterday during HD that resolved with adenosine, likely
   SVT with aberrancy.</t>
        </is>
      </c>
    </row>
    <row r="1124">
      <c r="A1124" t="inlineStr">
        <is>
          <t>503162-24-hour-events-0-0</t>
        </is>
      </c>
      <c r="B1124" t="inlineStr"/>
      <c r="C1124" t="inlineStr"/>
      <c r="D1124">
        <f>HYPERLINK("http://nlpdeep.cs.uic.edu:8080/proofing/t5/503162-24-hour-events-0-0.pdf","t5/503162-24-hour-events-0-0.pdf")</f>
        <v/>
      </c>
      <c r="E1124" t="n">
        <v>110002</v>
      </c>
      <c r="F1124" t="n">
        <v>503162</v>
      </c>
      <c r="G1124" t="inlineStr">
        <is>
          <t>Consult</t>
        </is>
      </c>
      <c r="H1124" t="inlineStr">
        <is>
          <t>24-hour-events</t>
        </is>
      </c>
      <c r="I1124" t="inlineStr">
        <is>
          <t>FEVER - 102.6
F - [**2117-11-1**] 03:00 PM
   -no further episodes of tachycardia since yesterday afternoon
   -started on metoprolol 12.5 [</t>
        </is>
      </c>
    </row>
    <row r="1125">
      <c r="A1125" t="inlineStr">
        <is>
          <t>503162-24-hour-events-0-0</t>
        </is>
      </c>
      <c r="B1125" t="inlineStr"/>
      <c r="C1125" t="inlineStr"/>
      <c r="D1125">
        <f>HYPERLINK("http://nlpdeep.cs.uic.edu:8080/proofing/gsii/503162-24-hour-events-0-0.pdf","gsii/503162-24-hour-events-0-0.pdf")</f>
        <v/>
      </c>
      <c r="E1125" t="n">
        <v>110002</v>
      </c>
      <c r="F1125" t="n">
        <v>503162</v>
      </c>
      <c r="G1125" t="inlineStr">
        <is>
          <t>Consult</t>
        </is>
      </c>
      <c r="H1125" t="inlineStr">
        <is>
          <t>24-hour-events</t>
        </is>
      </c>
      <c r="I1125" t="inlineStr">
        <is>
          <t>FEVER - 102.6
F - [**2117-11-1**] 03:00 PM
   -no further episodes of tachycardia since yesterday afternoon
   -started on metoprolol 12.5 [</t>
        </is>
      </c>
    </row>
    <row r="1126">
      <c r="A1126" t="inlineStr">
        <is>
          <t>503162-current-medications-0-0</t>
        </is>
      </c>
      <c r="B1126" t="inlineStr"/>
      <c r="C1126" t="inlineStr"/>
      <c r="D1126">
        <f>HYPERLINK("http://nlpdeep.cs.uic.edu:8080/proofing/t5/503162-current-medications-0-0.pdf","t5/503162-current-medications-0-0.pdf")</f>
        <v/>
      </c>
      <c r="E1126" t="n">
        <v>110002</v>
      </c>
      <c r="F1126" t="n">
        <v>503162</v>
      </c>
      <c r="G1126" t="inlineStr">
        <is>
          <t>Consult</t>
        </is>
      </c>
      <c r="H1126" t="inlineStr">
        <is>
          <t>current-medications</t>
        </is>
      </c>
      <c r="I1126" t="inlineStr">
        <is>
          <t>Vancomycin - [**2117-10-31**] 12:00 AM
   Cefipime - [**2117-10-31**] 04:00 AM
   Gentamicin - [**2117-11-1**] 03:18 PM
   Meropenem - [**2117-11-1**] 08:00 PM
   Nafcillin - [**2117-11-2**] 06:12 AM
   Infusions:
   Midazolam (Versed) - 3 mg/hour
   Fentanyl - 80 mcg/hour
   Amiodarone - 0.5 mg/min
   Other ICU medications:
   Heparin Sodium (Prophylaxis) - [**2117-11-2**] 12:00 AM
   Famotidine (Pepcid) - [**2117-11-2**] 04:06 AM
   Other medications:
   Metoprolol 12.5mg [**Hospital1 **]
   Changes to medical and family history:
   Review of systems is unchanged from admission except as noted b</t>
        </is>
      </c>
    </row>
    <row r="1127">
      <c r="A1127" t="inlineStr">
        <is>
          <t>503162-current-medications-0-0</t>
        </is>
      </c>
      <c r="B1127" t="inlineStr"/>
      <c r="C1127" t="inlineStr"/>
      <c r="D1127">
        <f>HYPERLINK("http://nlpdeep.cs.uic.edu:8080/proofing/gsii/503162-current-medications-0-0.pdf","gsii/503162-current-medications-0-0.pdf")</f>
        <v/>
      </c>
      <c r="E1127" t="n">
        <v>110002</v>
      </c>
      <c r="F1127" t="n">
        <v>503162</v>
      </c>
      <c r="G1127" t="inlineStr">
        <is>
          <t>Consult</t>
        </is>
      </c>
      <c r="H1127" t="inlineStr">
        <is>
          <t>current-medications</t>
        </is>
      </c>
      <c r="I1127" t="inlineStr">
        <is>
          <t>Vancomycin - [**2117-10-31**] 12:00 AM
   Cefipime - [**2117-10-31**] 04:00 AM
   Gentamicin - [**2117-11-1**] 03:18 PM
   Meropenem - [**2117-11-1**] 08:00 PM
   Nafcillin - [**2117-11-2**] 06:12 AM
   Infusions:
   Midazolam (Versed) - 3 mg/hour
   Fentanyl - 80 mcg/hour
   Amiodarone - 0.5 mg/min
   Other ICU medications:
   Heparin Sodium (Prophylaxis) - [**2117-11-2**] 12:00 AM
   Famotidine (Pepcid) - [**2117-11-2**] 04:06 AM
   Other medications:
   Metoprolol 12.5mg [**Hospital1 **]
   Changes to medical and family history:
   Review of systems is unchanged from admission except as noted b</t>
        </is>
      </c>
    </row>
    <row r="1128">
      <c r="A1128" t="inlineStr">
        <is>
          <t>503162-physical-examination-0-0</t>
        </is>
      </c>
      <c r="B1128" t="inlineStr"/>
      <c r="C1128" t="inlineStr"/>
      <c r="D1128">
        <f>HYPERLINK("http://nlpdeep.cs.uic.edu:8080/proofing/t5/503162-physical-examination-0-0.pdf","t5/503162-physical-examination-0-0.pdf")</f>
        <v/>
      </c>
      <c r="E1128" t="n">
        <v>110002</v>
      </c>
      <c r="F1128" t="n">
        <v>503162</v>
      </c>
      <c r="G1128" t="inlineStr">
        <is>
          <t>Consult</t>
        </is>
      </c>
      <c r="H1128" t="inlineStr">
        <is>
          <t>physical-examination</t>
        </is>
      </c>
      <c r="I1128" t="inlineStr">
        <is>
          <t>Gen: intubated, sedated
   CV: s1/s2, rrr, no mrg
   Chest: CTA anteriorly
   Abd: soft, nt/nd +bs
   Ext: no c/c/e</t>
        </is>
      </c>
    </row>
    <row r="1129">
      <c r="A1129" t="inlineStr">
        <is>
          <t>503162-physical-examination-0-0</t>
        </is>
      </c>
      <c r="B1129" t="inlineStr"/>
      <c r="C1129" t="inlineStr"/>
      <c r="D1129">
        <f>HYPERLINK("http://nlpdeep.cs.uic.edu:8080/proofing/gsii/503162-physical-examination-0-0.pdf","gsii/503162-physical-examination-0-0.pdf")</f>
        <v/>
      </c>
      <c r="E1129" t="n">
        <v>110002</v>
      </c>
      <c r="F1129" t="n">
        <v>503162</v>
      </c>
      <c r="G1129" t="inlineStr">
        <is>
          <t>Consult</t>
        </is>
      </c>
      <c r="H1129" t="inlineStr">
        <is>
          <t>physical-examination</t>
        </is>
      </c>
      <c r="I1129" t="inlineStr">
        <is>
          <t>Gen: intubated, sedated
   CV: s1/s2, rrr, no mrg
   Chest: CTA anteriorly
   Abd: soft, nt/nd +bs
   Ext: no c/c/e</t>
        </is>
      </c>
    </row>
    <row r="1130">
      <c r="A1130" t="inlineStr">
        <is>
          <t>503162-labs-imaging-0-0</t>
        </is>
      </c>
      <c r="B1130" t="inlineStr"/>
      <c r="C1130" t="inlineStr"/>
      <c r="D1130">
        <f>HYPERLINK("http://nlpdeep.cs.uic.edu:8080/proofing/t5/503162-labs-imaging-0-0.pdf","t5/503162-labs-imaging-0-0.pdf")</f>
        <v/>
      </c>
      <c r="E1130" t="n">
        <v>110002</v>
      </c>
      <c r="F1130" t="n">
        <v>503162</v>
      </c>
      <c r="G1130" t="inlineStr">
        <is>
          <t>Consult</t>
        </is>
      </c>
      <c r="H1130" t="inlineStr">
        <is>
          <t>labs-imaging</t>
        </is>
      </c>
      <c r="I1130" t="inlineStr">
        <is>
          <t>261 K/uL
   8.8 g/dL
   172 mg/dL
   8.8 mg/dL
   24 mEq/L
   4.5 mEq/L
   84 mg/dL
   97 mEq/L
   137 mEq/L
   26.5 %
   9.5 K/uL
        [image002.jpg]
                            [**2117-11-1**]  03:49 AM
                            [**2117-11-1**]  03:58 AM
                            [**2117-11-1**]  11:13 AM
                            [**2117-11-1**]  01:50 PM
                            [**2117-11-1**]  01:55 PM
                            [**2117-11-1**]  01:58 PM
                             [**2117-11-2**]  02:16 AM
                             [**2117-11-2**]  02:33 AM
                             [**2117-11-2**]  05:09 AM
                             [**2117-11-2**]  06:15 AM
   WBC
   10.3
   11.2
   9.5
   Hct
   30.0
   27.1
   26.5
   Plt
   292
   286
   261
   Cr
   9.4
   7.5
   8.8
   TCO2
   26
   25
   29
   28
   29
   28
   Glucose
   199
   191
   172
   Other labs: PT / PTT / INR:15.0/33.5/1.3, CK / CKMB /
   Troponin-T:550/2/0.21, ALT / AST:50/85, Alk Phos / T Bili:246/2.4,
   Amylase / Lipase:57/, Differential-Neuts:82.0 %, Band:1.0 %, Lymph:10.0
   %, Mono:6.0 %, Eos:1.0 %, Lactic Acid:1.4 mmol/L, Albumin:1.9 g/dL,
   LDH:321 IU/L, Ca++:7.7 mg/dL, Mg++:2.2 mg/dL, PO4:5.9 mg/d</t>
        </is>
      </c>
    </row>
    <row r="1131">
      <c r="A1131" t="inlineStr">
        <is>
          <t>503162-labs-imaging-0-0</t>
        </is>
      </c>
      <c r="B1131" t="inlineStr"/>
      <c r="C1131" t="inlineStr"/>
      <c r="D1131">
        <f>HYPERLINK("http://nlpdeep.cs.uic.edu:8080/proofing/gsii/503162-labs-imaging-0-0.pdf","gsii/503162-labs-imaging-0-0.pdf")</f>
        <v/>
      </c>
      <c r="E1131" t="n">
        <v>110002</v>
      </c>
      <c r="F1131" t="n">
        <v>503162</v>
      </c>
      <c r="G1131" t="inlineStr">
        <is>
          <t>Consult</t>
        </is>
      </c>
      <c r="H1131" t="inlineStr">
        <is>
          <t>labs-imaging</t>
        </is>
      </c>
      <c r="I1131" t="inlineStr">
        <is>
          <t>261 K/uL
   8.8 g/dL
   172 mg/dL
   8.8 mg/dL
   24 mEq/L
   4.5 mEq/L
   84 mg/dL
   97 mEq/L
   137 mEq/L
   26.5 %
   9.5 K/uL
        [image002.jpg]
                            [**2117-11-1**]  03:49 AM
                            [**2117-11-1**]  03:58 AM
                            [**2117-11-1**]  11:13 AM
                            [**2117-11-1**]  01:50 PM
                            [**2117-11-1**]  01:55 PM
                            [**2117-11-1**]  01:58 PM
                             [**2117-11-2**]  02:16 AM
                             [**2117-11-2**]  02:33 AM
                             [**2117-11-2**]  05:09 AM
                             [**2117-11-2**]  06:15 AM
   WBC
   10.3
   11.2
   9.5
   Hct
   30.0
   27.1
   26.5
   Plt
   292
   286
   261
   Cr
   9.4
   7.5
   8.8
   TCO2
   26
   25
   29
   28
   29
   28
   Glucose
   199
   191
   172
   Other labs: PT / PTT / INR:15.0/33.5/1.3, CK / CKMB /
   Troponin-T:550/2/0.21, ALT / AST:50/85, Alk Phos / T Bili:246/2.4,
   Amylase / Lipase:57/, Differential-Neuts:82.0 %, Band:1.0 %, Lymph:10.0
   %, Mono:6.0 %, Eos:1.0 %, Lactic Acid:1.4 mmol/L, Albumin:1.9 g/dL,
   LDH:321 IU/L, Ca++:7.7 mg/dL, Mg++:2.2 mg/dL, PO4:5.9 mg/d</t>
        </is>
      </c>
    </row>
    <row r="1132">
      <c r="A1132" t="inlineStr">
        <is>
          <t>503162-assessment-and-plan-0-0</t>
        </is>
      </c>
      <c r="B1132" t="inlineStr"/>
      <c r="C1132" t="inlineStr"/>
      <c r="D1132">
        <f>HYPERLINK("http://nlpdeep.cs.uic.edu:8080/proofing/t5/503162-assessment-and-plan-0-0.pdf","t5/503162-assessment-and-plan-0-0.pdf")</f>
        <v/>
      </c>
      <c r="E1132" t="n">
        <v>110002</v>
      </c>
      <c r="F1132" t="n">
        <v>503162</v>
      </c>
      <c r="G1132" t="inlineStr">
        <is>
          <t>Consult</t>
        </is>
      </c>
      <c r="H1132" t="inlineStr">
        <is>
          <t>assessment-and-plan</t>
        </is>
      </c>
      <c r="I1132" t="inlineStr">
        <is>
          <t>37M with DM in MICU with MSSA and Klebsiella PNA and ARF requiring HD,
   who had WCT and narrow-complex tachycardia during HD yesterday that
   appears most consistent with SVT with aberrancy (AVRNT vs AVRT).</t>
        </is>
      </c>
    </row>
    <row r="1133">
      <c r="A1133" t="inlineStr">
        <is>
          <t>503162-assessment-and-plan-0-0</t>
        </is>
      </c>
      <c r="B1133" t="inlineStr"/>
      <c r="C1133" t="inlineStr"/>
      <c r="D1133">
        <f>HYPERLINK("http://nlpdeep.cs.uic.edu:8080/proofing/gsii/503162-assessment-and-plan-0-0.pdf","gsii/503162-assessment-and-plan-0-0.pdf")</f>
        <v/>
      </c>
      <c r="E1133" t="n">
        <v>110002</v>
      </c>
      <c r="F1133" t="n">
        <v>503162</v>
      </c>
      <c r="G1133" t="inlineStr">
        <is>
          <t>Consult</t>
        </is>
      </c>
      <c r="H1133" t="inlineStr">
        <is>
          <t>assessment-and-plan</t>
        </is>
      </c>
      <c r="I1133" t="inlineStr">
        <is>
          <t>37M with DM in MICU with MSSA and Klebsiella PNA and ARF requiring HD,
   who had WCT and narrow-complex tachycardia during HD yesterday that
   appears most consistent with SVT with aberrancy (AVRNT vs AVRT).</t>
        </is>
      </c>
    </row>
    <row r="1134">
      <c r="A1134" t="inlineStr">
        <is>
          <t>503162-assessment-and-plan-0-1</t>
        </is>
      </c>
      <c r="B1134" t="inlineStr"/>
      <c r="C1134" t="inlineStr"/>
      <c r="D1134">
        <f>HYPERLINK("http://nlpdeep.cs.uic.edu:8080/proofing/t5/503162-assessment-and-plan-0-1.pdf","t5/503162-assessment-and-plan-0-1.pdf")</f>
        <v/>
      </c>
      <c r="E1134" t="n">
        <v>110002</v>
      </c>
      <c r="F1134" t="n">
        <v>503162</v>
      </c>
      <c r="G1134" t="inlineStr">
        <is>
          <t>Consult</t>
        </is>
      </c>
      <c r="H1134" t="inlineStr">
        <is>
          <t>assessment-and-plan</t>
        </is>
      </c>
      <c r="I1134" t="inlineStr">
        <is>
          <t>No
   further episodes of tachycardia since yesterday and has tolerated
   metoprolol.</t>
        </is>
      </c>
    </row>
    <row r="1135">
      <c r="A1135" t="inlineStr">
        <is>
          <t>503162-assessment-and-plan-0-1</t>
        </is>
      </c>
      <c r="B1135" t="inlineStr"/>
      <c r="C1135" t="inlineStr"/>
      <c r="D1135">
        <f>HYPERLINK("http://nlpdeep.cs.uic.edu:8080/proofing/gsii/503162-assessment-and-plan-0-1.pdf","gsii/503162-assessment-and-plan-0-1.pdf")</f>
        <v/>
      </c>
      <c r="E1135" t="n">
        <v>110002</v>
      </c>
      <c r="F1135" t="n">
        <v>503162</v>
      </c>
      <c r="G1135" t="inlineStr">
        <is>
          <t>Consult</t>
        </is>
      </c>
      <c r="H1135" t="inlineStr">
        <is>
          <t>assessment-and-plan</t>
        </is>
      </c>
      <c r="I1135" t="inlineStr">
        <is>
          <t>No
   further episodes of tachycardia since yesterday and has tolerated
   metoprolol.</t>
        </is>
      </c>
    </row>
    <row r="1136">
      <c r="A1136" t="inlineStr">
        <is>
          <t>503162-assessment-and-plan-0-2</t>
        </is>
      </c>
      <c r="B1136" t="inlineStr"/>
      <c r="C1136" t="inlineStr"/>
      <c r="D1136">
        <f>HYPERLINK("http://nlpdeep.cs.uic.edu:8080/proofing/t5/503162-assessment-and-plan-0-2.pdf","t5/503162-assessment-and-plan-0-2.pdf")</f>
        <v/>
      </c>
      <c r="E1136" t="n">
        <v>110002</v>
      </c>
      <c r="F1136" t="n">
        <v>503162</v>
      </c>
      <c r="G1136" t="inlineStr">
        <is>
          <t>Consult</t>
        </is>
      </c>
      <c r="H1136" t="inlineStr">
        <is>
          <t>assessment-and-plan</t>
        </is>
      </c>
      <c r="I1136" t="inlineStr">
        <is>
          <t xml:space="preserve">
   -Continue metoprolol, would uptitrate as tolerated by blood pressure
   -No need for further amiodarone once 24hr drip has been completed
   -We will sign off for now but please call with any questions.</t>
        </is>
      </c>
    </row>
    <row r="1137">
      <c r="A1137" t="inlineStr">
        <is>
          <t>503162-assessment-and-plan-0-2</t>
        </is>
      </c>
      <c r="B1137" t="inlineStr"/>
      <c r="C1137" t="inlineStr"/>
      <c r="D1137">
        <f>HYPERLINK("http://nlpdeep.cs.uic.edu:8080/proofing/gsii/503162-assessment-and-plan-0-2.pdf","gsii/503162-assessment-and-plan-0-2.pdf")</f>
        <v/>
      </c>
      <c r="E1137" t="n">
        <v>110002</v>
      </c>
      <c r="F1137" t="n">
        <v>503162</v>
      </c>
      <c r="G1137" t="inlineStr">
        <is>
          <t>Consult</t>
        </is>
      </c>
      <c r="H1137" t="inlineStr">
        <is>
          <t>assessment-and-plan</t>
        </is>
      </c>
      <c r="I1137" t="inlineStr">
        <is>
          <t xml:space="preserve">
   -Continue metoprolol, would uptitrate as tolerated by blood pressure
   -No need for further amiodarone once 24hr drip has been completed
   -We will sign off for now but please call with any questions.</t>
        </is>
      </c>
    </row>
    <row r="1138">
      <c r="A1138" t="inlineStr">
        <is>
          <t>503162-assessment-and-plan-0-3</t>
        </is>
      </c>
      <c r="B1138" t="inlineStr"/>
      <c r="C1138" t="inlineStr"/>
      <c r="D1138">
        <f>HYPERLINK("http://nlpdeep.cs.uic.edu:8080/proofing/t5/503162-assessment-and-plan-0-3.pdf","t5/503162-assessment-and-plan-0-3.pdf")</f>
        <v/>
      </c>
      <c r="E1138" t="n">
        <v>110002</v>
      </c>
      <c r="F1138" t="n">
        <v>503162</v>
      </c>
      <c r="G1138" t="inlineStr">
        <is>
          <t>Consult</t>
        </is>
      </c>
      <c r="H1138" t="inlineStr">
        <is>
          <t>assessment-and-plan</t>
        </is>
      </c>
      <c r="I1138" t="inlineStr">
        <is>
          <t>Thank you
   for this consult.</t>
        </is>
      </c>
    </row>
    <row r="1139">
      <c r="A1139" t="inlineStr">
        <is>
          <t>503162-assessment-and-plan-0-3</t>
        </is>
      </c>
      <c r="B1139" t="inlineStr"/>
      <c r="C1139" t="inlineStr"/>
      <c r="D1139">
        <f>HYPERLINK("http://nlpdeep.cs.uic.edu:8080/proofing/gsii/503162-assessment-and-plan-0-3.pdf","gsii/503162-assessment-and-plan-0-3.pdf")</f>
        <v/>
      </c>
      <c r="E1139" t="n">
        <v>110002</v>
      </c>
      <c r="F1139" t="n">
        <v>503162</v>
      </c>
      <c r="G1139" t="inlineStr">
        <is>
          <t>Consult</t>
        </is>
      </c>
      <c r="H1139" t="inlineStr">
        <is>
          <t>assessment-and-plan</t>
        </is>
      </c>
      <c r="I1139" t="inlineStr">
        <is>
          <t>Thank you
   for this consult.</t>
        </is>
      </c>
    </row>
    <row r="1140">
      <c r="A1140" t="inlineStr">
        <is>
          <t>37337-allergies-0-0</t>
        </is>
      </c>
      <c r="B1140" t="inlineStr"/>
      <c r="C1140" t="inlineStr"/>
      <c r="D1140">
        <f>HYPERLINK("http://nlpdeep.cs.uic.edu:8080/proofing/t5/37337-allergies-0-0.pdf","t5/37337-allergies-0-0.pdf")</f>
        <v/>
      </c>
      <c r="E1140" t="n">
        <v>110002</v>
      </c>
      <c r="F1140" t="n">
        <v>37337</v>
      </c>
      <c r="G1140" t="inlineStr">
        <is>
          <t>Discharge summary</t>
        </is>
      </c>
      <c r="H1140" t="inlineStr">
        <is>
          <t>allergies</t>
        </is>
      </c>
      <c r="I1140" t="inlineStr">
        <is>
          <t>C</t>
        </is>
      </c>
    </row>
    <row r="1141">
      <c r="A1141" t="inlineStr">
        <is>
          <t>37337-allergies-0-0</t>
        </is>
      </c>
      <c r="B1141" t="inlineStr"/>
      <c r="C1141" t="inlineStr"/>
      <c r="D1141">
        <f>HYPERLINK("http://nlpdeep.cs.uic.edu:8080/proofing/gsii/37337-allergies-0-0.pdf","gsii/37337-allergies-0-0.pdf")</f>
        <v/>
      </c>
      <c r="E1141" t="n">
        <v>110002</v>
      </c>
      <c r="F1141" t="n">
        <v>37337</v>
      </c>
      <c r="G1141" t="inlineStr">
        <is>
          <t>Discharge summary</t>
        </is>
      </c>
      <c r="H1141" t="inlineStr">
        <is>
          <t>allergies</t>
        </is>
      </c>
      <c r="I1141" t="inlineStr">
        <is>
          <t>C</t>
        </is>
      </c>
    </row>
    <row r="1142">
      <c r="A1142" t="inlineStr">
        <is>
          <t>37337-chief-complaint-0-0</t>
        </is>
      </c>
      <c r="B1142" t="inlineStr"/>
      <c r="C1142" t="inlineStr"/>
      <c r="D1142">
        <f>HYPERLINK("http://nlpdeep.cs.uic.edu:8080/proofing/t5/37337-chief-complaint-0-0.pdf","t5/37337-chief-complaint-0-0.pdf")</f>
        <v/>
      </c>
      <c r="E1142" t="n">
        <v>110002</v>
      </c>
      <c r="F1142" t="n">
        <v>37337</v>
      </c>
      <c r="G1142" t="inlineStr">
        <is>
          <t>Discharge summary</t>
        </is>
      </c>
      <c r="H1142" t="inlineStr">
        <is>
          <t>chief-complaint</t>
        </is>
      </c>
      <c r="I1142" t="inlineStr">
        <is>
          <t>Sepsis, respiratory failure, p</t>
        </is>
      </c>
    </row>
    <row r="1143">
      <c r="A1143" t="inlineStr">
        <is>
          <t>37337-chief-complaint-0-0</t>
        </is>
      </c>
      <c r="B1143" t="inlineStr"/>
      <c r="C1143" t="inlineStr"/>
      <c r="D1143">
        <f>HYPERLINK("http://nlpdeep.cs.uic.edu:8080/proofing/gsii/37337-chief-complaint-0-0.pdf","gsii/37337-chief-complaint-0-0.pdf")</f>
        <v/>
      </c>
      <c r="E1143" t="n">
        <v>110002</v>
      </c>
      <c r="F1143" t="n">
        <v>37337</v>
      </c>
      <c r="G1143" t="inlineStr">
        <is>
          <t>Discharge summary</t>
        </is>
      </c>
      <c r="H1143" t="inlineStr">
        <is>
          <t>chief-complaint</t>
        </is>
      </c>
      <c r="I1143" t="inlineStr">
        <is>
          <t>Sepsis, respiratory failure, p</t>
        </is>
      </c>
    </row>
    <row r="1144">
      <c r="A1144" t="inlineStr">
        <is>
          <t>37337-major-surgical-or-invasive-procedure-0-0</t>
        </is>
      </c>
      <c r="B1144" t="inlineStr"/>
      <c r="C1144" t="inlineStr"/>
      <c r="D1144">
        <f>HYPERLINK("http://nlpdeep.cs.uic.edu:8080/proofing/t5/37337-major-surgical-or-invasive-procedure-0-0.pdf","t5/37337-major-surgical-or-invasive-procedure-0-0.pdf")</f>
        <v/>
      </c>
      <c r="E1144" t="n">
        <v>110002</v>
      </c>
      <c r="F1144" t="n">
        <v>37337</v>
      </c>
      <c r="G1144" t="inlineStr">
        <is>
          <t>Discharge summary</t>
        </is>
      </c>
      <c r="H1144" t="inlineStr">
        <is>
          <t>major-surgical-or-invasive-procedure</t>
        </is>
      </c>
      <c r="I1144" t="inlineStr">
        <is>
          <t>intubation and mechanical ventilation
electrical and chemical cardioversion
placement of left subclavian central venous HD catheter
placement of right IJ venous catheter
placement of right radial arterial line
h</t>
        </is>
      </c>
    </row>
    <row r="1145">
      <c r="A1145" t="inlineStr">
        <is>
          <t>37337-major-surgical-or-invasive-procedure-0-0</t>
        </is>
      </c>
      <c r="B1145" t="inlineStr"/>
      <c r="C1145" t="inlineStr"/>
      <c r="D1145">
        <f>HYPERLINK("http://nlpdeep.cs.uic.edu:8080/proofing/gsii/37337-major-surgical-or-invasive-procedure-0-0.pdf","gsii/37337-major-surgical-or-invasive-procedure-0-0.pdf")</f>
        <v/>
      </c>
      <c r="E1145" t="n">
        <v>110002</v>
      </c>
      <c r="F1145" t="n">
        <v>37337</v>
      </c>
      <c r="G1145" t="inlineStr">
        <is>
          <t>Discharge summary</t>
        </is>
      </c>
      <c r="H1145" t="inlineStr">
        <is>
          <t>major-surgical-or-invasive-procedure</t>
        </is>
      </c>
      <c r="I1145" t="inlineStr">
        <is>
          <t>intubation and mechanical ventilation
electrical and chemical cardioversion
placement of left subclavian central venous HD catheter
placement of right IJ venous catheter
placement of right radial arterial line
h</t>
        </is>
      </c>
    </row>
    <row r="1146">
      <c r="A1146" t="inlineStr">
        <is>
          <t>37337-history-of-present-illness-0-0</t>
        </is>
      </c>
      <c r="B1146" t="inlineStr"/>
      <c r="C1146" t="inlineStr"/>
      <c r="D1146">
        <f>HYPERLINK("http://nlpdeep.cs.uic.edu:8080/proofing/t5/37337-history-of-present-illness-0-0.pdf","t5/37337-history-of-present-illness-0-0.pdf")</f>
        <v/>
      </c>
      <c r="E1146" t="n">
        <v>110002</v>
      </c>
      <c r="F1146" t="n">
        <v>37337</v>
      </c>
      <c r="G1146" t="inlineStr">
        <is>
          <t>Discharge summary</t>
        </is>
      </c>
      <c r="H1146" t="inlineStr">
        <is>
          <t>history-of-present-illness</t>
        </is>
      </c>
      <c r="I1146" t="inlineStr">
        <is>
          <t>Mr. [**Known lastname 83984**] is 37 year old man, with a history of DM, who
presented to [**Hospital6 **] on [**2117-10-21**] after a
syncopal episode.</t>
        </is>
      </c>
    </row>
    <row r="1147">
      <c r="A1147" t="inlineStr">
        <is>
          <t>37337-history-of-present-illness-0-0</t>
        </is>
      </c>
      <c r="B1147" t="inlineStr"/>
      <c r="C1147" t="inlineStr"/>
      <c r="D1147">
        <f>HYPERLINK("http://nlpdeep.cs.uic.edu:8080/proofing/gsii/37337-history-of-present-illness-0-0.pdf","gsii/37337-history-of-present-illness-0-0.pdf")</f>
        <v/>
      </c>
      <c r="E1147" t="n">
        <v>110002</v>
      </c>
      <c r="F1147" t="n">
        <v>37337</v>
      </c>
      <c r="G1147" t="inlineStr">
        <is>
          <t>Discharge summary</t>
        </is>
      </c>
      <c r="H1147" t="inlineStr">
        <is>
          <t>history-of-present-illness</t>
        </is>
      </c>
      <c r="I1147" t="inlineStr">
        <is>
          <t>Mr. [**Known lastname 83984**] is 37 year old man, with a history of DM, who
presented to [**Hospital6 **] on [**2117-10-21**] after a
syncopal episode.</t>
        </is>
      </c>
    </row>
    <row r="1148">
      <c r="A1148" t="inlineStr">
        <is>
          <t>37337-history-of-present-illness-0-1</t>
        </is>
      </c>
      <c r="B1148" t="inlineStr"/>
      <c r="C1148" t="inlineStr"/>
      <c r="D1148">
        <f>HYPERLINK("http://nlpdeep.cs.uic.edu:8080/proofing/t5/37337-history-of-present-illness-0-1.pdf","t5/37337-history-of-present-illness-0-1.pdf")</f>
        <v/>
      </c>
      <c r="E1148" t="n">
        <v>110002</v>
      </c>
      <c r="F1148" t="n">
        <v>37337</v>
      </c>
      <c r="G1148" t="inlineStr">
        <is>
          <t>Discharge summary</t>
        </is>
      </c>
      <c r="H1148" t="inlineStr">
        <is>
          <t>history-of-present-illness</t>
        </is>
      </c>
      <c r="I1148" t="inlineStr">
        <is>
          <t>There was a question of a seizure in the field
prior to arrival.</t>
        </is>
      </c>
    </row>
    <row r="1149">
      <c r="A1149" t="inlineStr">
        <is>
          <t>37337-history-of-present-illness-0-1</t>
        </is>
      </c>
      <c r="B1149" t="inlineStr"/>
      <c r="C1149" t="inlineStr"/>
      <c r="D1149">
        <f>HYPERLINK("http://nlpdeep.cs.uic.edu:8080/proofing/gsii/37337-history-of-present-illness-0-1.pdf","gsii/37337-history-of-present-illness-0-1.pdf")</f>
        <v/>
      </c>
      <c r="E1149" t="n">
        <v>110002</v>
      </c>
      <c r="F1149" t="n">
        <v>37337</v>
      </c>
      <c r="G1149" t="inlineStr">
        <is>
          <t>Discharge summary</t>
        </is>
      </c>
      <c r="H1149" t="inlineStr">
        <is>
          <t>history-of-present-illness</t>
        </is>
      </c>
      <c r="I1149" t="inlineStr">
        <is>
          <t>There was a question of a seizure in the field
prior to arrival.</t>
        </is>
      </c>
    </row>
    <row r="1150">
      <c r="A1150" t="inlineStr">
        <is>
          <t>37337-history-of-present-illness-0-2</t>
        </is>
      </c>
      <c r="B1150" t="inlineStr"/>
      <c r="C1150" t="inlineStr"/>
      <c r="D1150">
        <f>HYPERLINK("http://nlpdeep.cs.uic.edu:8080/proofing/t5/37337-history-of-present-illness-0-2.pdf","t5/37337-history-of-present-illness-0-2.pdf")</f>
        <v/>
      </c>
      <c r="E1150" t="n">
        <v>110002</v>
      </c>
      <c r="F1150" t="n">
        <v>37337</v>
      </c>
      <c r="G1150" t="inlineStr">
        <is>
          <t>Discharge summary</t>
        </is>
      </c>
      <c r="H1150" t="inlineStr">
        <is>
          <t>history-of-present-illness</t>
        </is>
      </c>
      <c r="I1150" t="inlineStr">
        <is>
          <t>Per his family he had a upper respiratory
illness (starting [**10-12**]) with sneezing, cough  for 7-10 days
with decreased PO intake and general malasie prior to
presentation.</t>
        </is>
      </c>
    </row>
    <row r="1151">
      <c r="A1151" t="inlineStr">
        <is>
          <t>37337-history-of-present-illness-0-2</t>
        </is>
      </c>
      <c r="B1151" t="inlineStr"/>
      <c r="C1151" t="inlineStr"/>
      <c r="D1151">
        <f>HYPERLINK("http://nlpdeep.cs.uic.edu:8080/proofing/gsii/37337-history-of-present-illness-0-2.pdf","gsii/37337-history-of-present-illness-0-2.pdf")</f>
        <v/>
      </c>
      <c r="E1151" t="n">
        <v>110002</v>
      </c>
      <c r="F1151" t="n">
        <v>37337</v>
      </c>
      <c r="G1151" t="inlineStr">
        <is>
          <t>Discharge summary</t>
        </is>
      </c>
      <c r="H1151" t="inlineStr">
        <is>
          <t>history-of-present-illness</t>
        </is>
      </c>
      <c r="I1151" t="inlineStr">
        <is>
          <t>Per his family he had a upper respiratory
illness (starting [**10-12**]) with sneezing, cough  for 7-10 days
with decreased PO intake and general malasie prior to
presentation.</t>
        </is>
      </c>
    </row>
    <row r="1152">
      <c r="A1152" t="inlineStr">
        <is>
          <t>37337-history-of-present-illness-0-3</t>
        </is>
      </c>
      <c r="B1152" t="inlineStr"/>
      <c r="C1152" t="inlineStr"/>
      <c r="D1152">
        <f>HYPERLINK("http://nlpdeep.cs.uic.edu:8080/proofing/t5/37337-history-of-present-illness-0-3.pdf","t5/37337-history-of-present-illness-0-3.pdf")</f>
        <v/>
      </c>
      <c r="E1152" t="n">
        <v>110002</v>
      </c>
      <c r="F1152" t="n">
        <v>37337</v>
      </c>
      <c r="G1152" t="inlineStr">
        <is>
          <t>Discharge summary</t>
        </is>
      </c>
      <c r="H1152" t="inlineStr">
        <is>
          <t>history-of-present-illness</t>
        </is>
      </c>
      <c r="I1152" t="inlineStr">
        <is>
          <t>He was in shock on admission, was intubated and
started on levophed and Tamiflu, Levaquin, and Vancomycin.</t>
        </is>
      </c>
    </row>
    <row r="1153">
      <c r="A1153" t="inlineStr">
        <is>
          <t>37337-history-of-present-illness-0-3</t>
        </is>
      </c>
      <c r="B1153" t="inlineStr"/>
      <c r="C1153" t="inlineStr"/>
      <c r="D1153">
        <f>HYPERLINK("http://nlpdeep.cs.uic.edu:8080/proofing/gsii/37337-history-of-present-illness-0-3.pdf","gsii/37337-history-of-present-illness-0-3.pdf")</f>
        <v/>
      </c>
      <c r="E1153" t="n">
        <v>110002</v>
      </c>
      <c r="F1153" t="n">
        <v>37337</v>
      </c>
      <c r="G1153" t="inlineStr">
        <is>
          <t>Discharge summary</t>
        </is>
      </c>
      <c r="H1153" t="inlineStr">
        <is>
          <t>history-of-present-illness</t>
        </is>
      </c>
      <c r="I1153" t="inlineStr">
        <is>
          <t>He was in shock on admission, was intubated and
started on levophed and Tamiflu, Levaquin, and Vancomycin.</t>
        </is>
      </c>
    </row>
    <row r="1154">
      <c r="A1154" t="inlineStr">
        <is>
          <t>37337-history-of-present-illness-0-4</t>
        </is>
      </c>
      <c r="B1154" t="inlineStr"/>
      <c r="C1154" t="inlineStr"/>
      <c r="D1154">
        <f>HYPERLINK("http://nlpdeep.cs.uic.edu:8080/proofing/t5/37337-history-of-present-illness-0-4.pdf","t5/37337-history-of-present-illness-0-4.pdf")</f>
        <v/>
      </c>
      <c r="E1154" t="n">
        <v>110002</v>
      </c>
      <c r="F1154" t="n">
        <v>37337</v>
      </c>
      <c r="G1154" t="inlineStr">
        <is>
          <t>Discharge summary</t>
        </is>
      </c>
      <c r="H1154" t="inlineStr">
        <is>
          <t>history-of-present-illness</t>
        </is>
      </c>
      <c r="I1154" t="inlineStr">
        <is>
          <t>H1N1
was originally suspected, however Flu swab has remained
negative.</t>
        </is>
      </c>
    </row>
    <row r="1155">
      <c r="A1155" t="inlineStr">
        <is>
          <t>37337-history-of-present-illness-0-4</t>
        </is>
      </c>
      <c r="B1155" t="inlineStr"/>
      <c r="C1155" t="inlineStr"/>
      <c r="D1155">
        <f>HYPERLINK("http://nlpdeep.cs.uic.edu:8080/proofing/gsii/37337-history-of-present-illness-0-4.pdf","gsii/37337-history-of-present-illness-0-4.pdf")</f>
        <v/>
      </c>
      <c r="E1155" t="n">
        <v>110002</v>
      </c>
      <c r="F1155" t="n">
        <v>37337</v>
      </c>
      <c r="G1155" t="inlineStr">
        <is>
          <t>Discharge summary</t>
        </is>
      </c>
      <c r="H1155" t="inlineStr">
        <is>
          <t>history-of-present-illness</t>
        </is>
      </c>
      <c r="I1155" t="inlineStr">
        <is>
          <t>H1N1
was originally suspected, however Flu swab has remained
negative.</t>
        </is>
      </c>
    </row>
    <row r="1156">
      <c r="A1156" t="inlineStr">
        <is>
          <t>37337-history-of-present-illness-0-5</t>
        </is>
      </c>
      <c r="B1156" t="inlineStr"/>
      <c r="C1156" t="inlineStr"/>
      <c r="D1156">
        <f>HYPERLINK("http://nlpdeep.cs.uic.edu:8080/proofing/t5/37337-history-of-present-illness-0-5.pdf","t5/37337-history-of-present-illness-0-5.pdf")</f>
        <v/>
      </c>
      <c r="E1156" t="n">
        <v>110002</v>
      </c>
      <c r="F1156" t="n">
        <v>37337</v>
      </c>
      <c r="G1156" t="inlineStr">
        <is>
          <t>Discharge summary</t>
        </is>
      </c>
      <c r="H1156" t="inlineStr">
        <is>
          <t>history-of-present-illness</t>
        </is>
      </c>
      <c r="I1156" t="inlineStr">
        <is>
          <t>He developed MSSA in the blood cultures and his
antibiotics were narrowed to naficillin.</t>
        </is>
      </c>
    </row>
    <row r="1157">
      <c r="A1157" t="inlineStr">
        <is>
          <t>37337-history-of-present-illness-0-5</t>
        </is>
      </c>
      <c r="B1157" t="inlineStr"/>
      <c r="C1157" t="inlineStr"/>
      <c r="D1157">
        <f>HYPERLINK("http://nlpdeep.cs.uic.edu:8080/proofing/gsii/37337-history-of-present-illness-0-5.pdf","gsii/37337-history-of-present-illness-0-5.pdf")</f>
        <v/>
      </c>
      <c r="E1157" t="n">
        <v>110002</v>
      </c>
      <c r="F1157" t="n">
        <v>37337</v>
      </c>
      <c r="G1157" t="inlineStr">
        <is>
          <t>Discharge summary</t>
        </is>
      </c>
      <c r="H1157" t="inlineStr">
        <is>
          <t>history-of-present-illness</t>
        </is>
      </c>
      <c r="I1157" t="inlineStr">
        <is>
          <t>He developed MSSA in the blood cultures and his
antibiotics were narrowed to naficillin.</t>
        </is>
      </c>
    </row>
    <row r="1158">
      <c r="A1158" t="inlineStr">
        <is>
          <t>37337-history-of-present-illness-0-6</t>
        </is>
      </c>
      <c r="B1158" t="inlineStr"/>
      <c r="C1158" t="inlineStr"/>
      <c r="D1158">
        <f>HYPERLINK("http://nlpdeep.cs.uic.edu:8080/proofing/t5/37337-history-of-present-illness-0-6.pdf","t5/37337-history-of-present-illness-0-6.pdf")</f>
        <v/>
      </c>
      <c r="E1158" t="n">
        <v>110002</v>
      </c>
      <c r="F1158" t="n">
        <v>37337</v>
      </c>
      <c r="G1158" t="inlineStr">
        <is>
          <t>Discharge summary</t>
        </is>
      </c>
      <c r="H1158" t="inlineStr">
        <is>
          <t>history-of-present-illness</t>
        </is>
      </c>
      <c r="I1158" t="inlineStr">
        <is>
          <t>He remained on
vasopressors until [**10-24**].</t>
        </is>
      </c>
    </row>
    <row r="1159">
      <c r="A1159" t="inlineStr">
        <is>
          <t>37337-history-of-present-illness-0-6</t>
        </is>
      </c>
      <c r="B1159" t="inlineStr"/>
      <c r="C1159" t="inlineStr"/>
      <c r="D1159">
        <f>HYPERLINK("http://nlpdeep.cs.uic.edu:8080/proofing/gsii/37337-history-of-present-illness-0-6.pdf","gsii/37337-history-of-present-illness-0-6.pdf")</f>
        <v/>
      </c>
      <c r="E1159" t="n">
        <v>110002</v>
      </c>
      <c r="F1159" t="n">
        <v>37337</v>
      </c>
      <c r="G1159" t="inlineStr">
        <is>
          <t>Discharge summary</t>
        </is>
      </c>
      <c r="H1159" t="inlineStr">
        <is>
          <t>history-of-present-illness</t>
        </is>
      </c>
      <c r="I1159" t="inlineStr">
        <is>
          <t>He remained on
vasopressors until [**10-24**].</t>
        </is>
      </c>
    </row>
    <row r="1160">
      <c r="A1160" t="inlineStr">
        <is>
          <t>37337-history-of-present-illness-1-0</t>
        </is>
      </c>
      <c r="B1160" t="inlineStr"/>
      <c r="C1160" t="inlineStr"/>
      <c r="D1160">
        <f>HYPERLINK("http://nlpdeep.cs.uic.edu:8080/proofing/t5/37337-history-of-present-illness-1-0.pdf","t5/37337-history-of-present-illness-1-0.pdf")</f>
        <v/>
      </c>
      <c r="E1160" t="n">
        <v>110002</v>
      </c>
      <c r="F1160" t="n">
        <v>37337</v>
      </c>
      <c r="G1160" t="inlineStr">
        <is>
          <t>Discharge summary</t>
        </is>
      </c>
      <c r="H1160" t="inlineStr">
        <is>
          <t>history-of-present-illness</t>
        </is>
      </c>
      <c r="I1160" t="inlineStr">
        <is>
          <t xml:space="preserve">
His course was complicated by ARF with Cr of 1.9 worsening to
7.2 thought to be [**1-4**] ATN and requiring HD for hyperkalemia to
6.</t>
        </is>
      </c>
    </row>
    <row r="1161">
      <c r="A1161" t="inlineStr">
        <is>
          <t>37337-history-of-present-illness-1-0</t>
        </is>
      </c>
      <c r="B1161" t="inlineStr"/>
      <c r="C1161" t="inlineStr"/>
      <c r="D1161">
        <f>HYPERLINK("http://nlpdeep.cs.uic.edu:8080/proofing/gsii/37337-history-of-present-illness-1-0.pdf","gsii/37337-history-of-present-illness-1-0.pdf")</f>
        <v/>
      </c>
      <c r="E1161" t="n">
        <v>110002</v>
      </c>
      <c r="F1161" t="n">
        <v>37337</v>
      </c>
      <c r="G1161" t="inlineStr">
        <is>
          <t>Discharge summary</t>
        </is>
      </c>
      <c r="H1161" t="inlineStr">
        <is>
          <t>history-of-present-illness</t>
        </is>
      </c>
      <c r="I1161" t="inlineStr">
        <is>
          <t xml:space="preserve">
His course was complicated by ARF with Cr of 1.9 worsening to
7.2 thought to be [**1-4**] ATN and requiring HD for hyperkalemia to
6.</t>
        </is>
      </c>
    </row>
    <row r="1162">
      <c r="A1162" t="inlineStr">
        <is>
          <t>37337-history-of-present-illness-1-1</t>
        </is>
      </c>
      <c r="B1162" t="inlineStr"/>
      <c r="C1162" t="inlineStr"/>
      <c r="D1162">
        <f>HYPERLINK("http://nlpdeep.cs.uic.edu:8080/proofing/t5/37337-history-of-present-illness-1-1.pdf","t5/37337-history-of-present-illness-1-1.pdf")</f>
        <v/>
      </c>
      <c r="E1162" t="n">
        <v>110002</v>
      </c>
      <c r="F1162" t="n">
        <v>37337</v>
      </c>
      <c r="G1162" t="inlineStr">
        <is>
          <t>Discharge summary</t>
        </is>
      </c>
      <c r="H1162" t="inlineStr">
        <is>
          <t>history-of-present-illness</t>
        </is>
      </c>
      <c r="I1162" t="inlineStr">
        <is>
          <t>He had a HD line placed on [**10-24**].</t>
        </is>
      </c>
    </row>
    <row r="1163">
      <c r="A1163" t="inlineStr">
        <is>
          <t>37337-history-of-present-illness-1-1</t>
        </is>
      </c>
      <c r="B1163" t="inlineStr"/>
      <c r="C1163" t="inlineStr"/>
      <c r="D1163">
        <f>HYPERLINK("http://nlpdeep.cs.uic.edu:8080/proofing/gsii/37337-history-of-present-illness-1-1.pdf","gsii/37337-history-of-present-illness-1-1.pdf")</f>
        <v/>
      </c>
      <c r="E1163" t="n">
        <v>110002</v>
      </c>
      <c r="F1163" t="n">
        <v>37337</v>
      </c>
      <c r="G1163" t="inlineStr">
        <is>
          <t>Discharge summary</t>
        </is>
      </c>
      <c r="H1163" t="inlineStr">
        <is>
          <t>history-of-present-illness</t>
        </is>
      </c>
      <c r="I1163" t="inlineStr">
        <is>
          <t>He had a HD line placed on [**10-24**].</t>
        </is>
      </c>
    </row>
    <row r="1164">
      <c r="A1164" t="inlineStr">
        <is>
          <t>37337-history-of-present-illness-1-2</t>
        </is>
      </c>
      <c r="B1164" t="inlineStr"/>
      <c r="C1164" t="inlineStr"/>
      <c r="D1164">
        <f>HYPERLINK("http://nlpdeep.cs.uic.edu:8080/proofing/t5/37337-history-of-present-illness-1-2.pdf","t5/37337-history-of-present-illness-1-2.pdf")</f>
        <v/>
      </c>
      <c r="E1164" t="n">
        <v>110002</v>
      </c>
      <c r="F1164" t="n">
        <v>37337</v>
      </c>
      <c r="G1164" t="inlineStr">
        <is>
          <t>Discharge summary</t>
        </is>
      </c>
      <c r="H1164" t="inlineStr">
        <is>
          <t>history-of-present-illness</t>
        </is>
      </c>
      <c r="I1164" t="inlineStr">
        <is>
          <t xml:space="preserve"> He also had intermittant
A.</t>
        </is>
      </c>
    </row>
    <row r="1165">
      <c r="A1165" t="inlineStr">
        <is>
          <t>37337-history-of-present-illness-1-2</t>
        </is>
      </c>
      <c r="B1165" t="inlineStr"/>
      <c r="C1165" t="inlineStr"/>
      <c r="D1165">
        <f>HYPERLINK("http://nlpdeep.cs.uic.edu:8080/proofing/gsii/37337-history-of-present-illness-1-2.pdf","gsii/37337-history-of-present-illness-1-2.pdf")</f>
        <v/>
      </c>
      <c r="E1165" t="n">
        <v>110002</v>
      </c>
      <c r="F1165" t="n">
        <v>37337</v>
      </c>
      <c r="G1165" t="inlineStr">
        <is>
          <t>Discharge summary</t>
        </is>
      </c>
      <c r="H1165" t="inlineStr">
        <is>
          <t>history-of-present-illness</t>
        </is>
      </c>
      <c r="I1165" t="inlineStr">
        <is>
          <t xml:space="preserve"> He also had intermittant
A.</t>
        </is>
      </c>
    </row>
    <row r="1166">
      <c r="A1166" t="inlineStr">
        <is>
          <t>37337-history-of-present-illness-1-3</t>
        </is>
      </c>
      <c r="B1166" t="inlineStr"/>
      <c r="C1166" t="inlineStr"/>
      <c r="D1166">
        <f>HYPERLINK("http://nlpdeep.cs.uic.edu:8080/proofing/t5/37337-history-of-present-illness-1-3.pdf","t5/37337-history-of-present-illness-1-3.pdf")</f>
        <v/>
      </c>
      <c r="E1166" t="n">
        <v>110002</v>
      </c>
      <c r="F1166" t="n">
        <v>37337</v>
      </c>
      <c r="G1166" t="inlineStr">
        <is>
          <t>Discharge summary</t>
        </is>
      </c>
      <c r="H1166" t="inlineStr">
        <is>
          <t>history-of-present-illness</t>
        </is>
      </c>
      <c r="I1166" t="inlineStr">
        <is>
          <t>fib treated with Cardizem as well as a wide complex
tachycardia.</t>
        </is>
      </c>
    </row>
    <row r="1167">
      <c r="A1167" t="inlineStr">
        <is>
          <t>37337-history-of-present-illness-1-3</t>
        </is>
      </c>
      <c r="B1167" t="inlineStr"/>
      <c r="C1167" t="inlineStr"/>
      <c r="D1167">
        <f>HYPERLINK("http://nlpdeep.cs.uic.edu:8080/proofing/gsii/37337-history-of-present-illness-1-3.pdf","gsii/37337-history-of-present-illness-1-3.pdf")</f>
        <v/>
      </c>
      <c r="E1167" t="n">
        <v>110002</v>
      </c>
      <c r="F1167" t="n">
        <v>37337</v>
      </c>
      <c r="G1167" t="inlineStr">
        <is>
          <t>Discharge summary</t>
        </is>
      </c>
      <c r="H1167" t="inlineStr">
        <is>
          <t>history-of-present-illness</t>
        </is>
      </c>
      <c r="I1167" t="inlineStr">
        <is>
          <t>fib treated with Cardizem as well as a wide complex
tachycardia.</t>
        </is>
      </c>
    </row>
    <row r="1168">
      <c r="A1168" t="inlineStr">
        <is>
          <t>37337-history-of-present-illness-1-4</t>
        </is>
      </c>
      <c r="B1168" t="inlineStr"/>
      <c r="C1168" t="inlineStr"/>
      <c r="D1168">
        <f>HYPERLINK("http://nlpdeep.cs.uic.edu:8080/proofing/t5/37337-history-of-present-illness-1-4.pdf","t5/37337-history-of-present-illness-1-4.pdf")</f>
        <v/>
      </c>
      <c r="E1168" t="n">
        <v>110002</v>
      </c>
      <c r="F1168" t="n">
        <v>37337</v>
      </c>
      <c r="G1168" t="inlineStr">
        <is>
          <t>Discharge summary</t>
        </is>
      </c>
      <c r="H1168" t="inlineStr">
        <is>
          <t>history-of-present-illness</t>
        </is>
      </c>
      <c r="I1168" t="inlineStr">
        <is>
          <t>Echo showed a preserved EF without evidence of
vegitation.</t>
        </is>
      </c>
    </row>
    <row r="1169">
      <c r="A1169" t="inlineStr">
        <is>
          <t>37337-history-of-present-illness-1-4</t>
        </is>
      </c>
      <c r="B1169" t="inlineStr"/>
      <c r="C1169" t="inlineStr"/>
      <c r="D1169">
        <f>HYPERLINK("http://nlpdeep.cs.uic.edu:8080/proofing/gsii/37337-history-of-present-illness-1-4.pdf","gsii/37337-history-of-present-illness-1-4.pdf")</f>
        <v/>
      </c>
      <c r="E1169" t="n">
        <v>110002</v>
      </c>
      <c r="F1169" t="n">
        <v>37337</v>
      </c>
      <c r="G1169" t="inlineStr">
        <is>
          <t>Discharge summary</t>
        </is>
      </c>
      <c r="H1169" t="inlineStr">
        <is>
          <t>history-of-present-illness</t>
        </is>
      </c>
      <c r="I1169" t="inlineStr">
        <is>
          <t>Echo showed a preserved EF without evidence of
vegitation.</t>
        </is>
      </c>
    </row>
    <row r="1170">
      <c r="A1170" t="inlineStr">
        <is>
          <t>37337-history-of-present-illness-2-0</t>
        </is>
      </c>
      <c r="B1170" t="inlineStr"/>
      <c r="C1170" t="inlineStr"/>
      <c r="D1170">
        <f>HYPERLINK("http://nlpdeep.cs.uic.edu:8080/proofing/t5/37337-history-of-present-illness-2-0.pdf","t5/37337-history-of-present-illness-2-0.pdf")</f>
        <v/>
      </c>
      <c r="E1170" t="n">
        <v>110002</v>
      </c>
      <c r="F1170" t="n">
        <v>37337</v>
      </c>
      <c r="G1170" t="inlineStr">
        <is>
          <t>Discharge summary</t>
        </is>
      </c>
      <c r="H1170" t="inlineStr">
        <is>
          <t>history-of-present-illness</t>
        </is>
      </c>
      <c r="I1170" t="inlineStr">
        <is>
          <t xml:space="preserve">
On transport on [**2117-10-27**] he was paralysized and given boluses of
versed and fentanyl.</t>
        </is>
      </c>
    </row>
    <row r="1171">
      <c r="A1171" t="inlineStr">
        <is>
          <t>37337-history-of-present-illness-2-0</t>
        </is>
      </c>
      <c r="B1171" t="inlineStr"/>
      <c r="C1171" t="inlineStr"/>
      <c r="D1171">
        <f>HYPERLINK("http://nlpdeep.cs.uic.edu:8080/proofing/gsii/37337-history-of-present-illness-2-0.pdf","gsii/37337-history-of-present-illness-2-0.pdf")</f>
        <v/>
      </c>
      <c r="E1171" t="n">
        <v>110002</v>
      </c>
      <c r="F1171" t="n">
        <v>37337</v>
      </c>
      <c r="G1171" t="inlineStr">
        <is>
          <t>Discharge summary</t>
        </is>
      </c>
      <c r="H1171" t="inlineStr">
        <is>
          <t>history-of-present-illness</t>
        </is>
      </c>
      <c r="I1171" t="inlineStr">
        <is>
          <t xml:space="preserve">
On transport on [**2117-10-27**] he was paralysized and given boluses of
versed and fentanyl.</t>
        </is>
      </c>
    </row>
    <row r="1172">
      <c r="A1172" t="inlineStr">
        <is>
          <t>37337-history-of-present-illness-2-1</t>
        </is>
      </c>
      <c r="B1172" t="inlineStr"/>
      <c r="C1172" t="inlineStr"/>
      <c r="D1172">
        <f>HYPERLINK("http://nlpdeep.cs.uic.edu:8080/proofing/t5/37337-history-of-present-illness-2-1.pdf","t5/37337-history-of-present-illness-2-1.pdf")</f>
        <v/>
      </c>
      <c r="E1172" t="n">
        <v>110002</v>
      </c>
      <c r="F1172" t="n">
        <v>37337</v>
      </c>
      <c r="G1172" t="inlineStr">
        <is>
          <t>Discharge summary</t>
        </is>
      </c>
      <c r="H1172" t="inlineStr">
        <is>
          <t>history-of-present-illness</t>
        </is>
      </c>
      <c r="I1172" t="inlineStr">
        <is>
          <t>HR remained tachycardic in the 140s.</t>
        </is>
      </c>
    </row>
    <row r="1173">
      <c r="A1173" t="inlineStr">
        <is>
          <t>37337-history-of-present-illness-2-1</t>
        </is>
      </c>
      <c r="B1173" t="inlineStr"/>
      <c r="C1173" t="inlineStr"/>
      <c r="D1173">
        <f>HYPERLINK("http://nlpdeep.cs.uic.edu:8080/proofing/gsii/37337-history-of-present-illness-2-1.pdf","gsii/37337-history-of-present-illness-2-1.pdf")</f>
        <v/>
      </c>
      <c r="E1173" t="n">
        <v>110002</v>
      </c>
      <c r="F1173" t="n">
        <v>37337</v>
      </c>
      <c r="G1173" t="inlineStr">
        <is>
          <t>Discharge summary</t>
        </is>
      </c>
      <c r="H1173" t="inlineStr">
        <is>
          <t>history-of-present-illness</t>
        </is>
      </c>
      <c r="I1173" t="inlineStr">
        <is>
          <t>HR remained tachycardic in the 140s.</t>
        </is>
      </c>
    </row>
    <row r="1174">
      <c r="A1174" t="inlineStr">
        <is>
          <t>37337-past-medical-history-0-0</t>
        </is>
      </c>
      <c r="B1174" t="inlineStr"/>
      <c r="C1174" t="inlineStr"/>
      <c r="D1174">
        <f>HYPERLINK("http://nlpdeep.cs.uic.edu:8080/proofing/t5/37337-past-medical-history-0-0.pdf","t5/37337-past-medical-history-0-0.pdf")</f>
        <v/>
      </c>
      <c r="E1174" t="n">
        <v>110002</v>
      </c>
      <c r="F1174" t="n">
        <v>37337</v>
      </c>
      <c r="G1174" t="inlineStr">
        <is>
          <t>Discharge summary</t>
        </is>
      </c>
      <c r="H1174" t="inlineStr">
        <is>
          <t>past-medical-history</t>
        </is>
      </c>
      <c r="I1174" t="inlineStr">
        <is>
          <t>DM - diet controlled
H</t>
        </is>
      </c>
    </row>
    <row r="1175">
      <c r="A1175" t="inlineStr">
        <is>
          <t>37337-past-medical-history-0-0</t>
        </is>
      </c>
      <c r="B1175" t="inlineStr"/>
      <c r="C1175" t="inlineStr"/>
      <c r="D1175">
        <f>HYPERLINK("http://nlpdeep.cs.uic.edu:8080/proofing/gsii/37337-past-medical-history-0-0.pdf","gsii/37337-past-medical-history-0-0.pdf")</f>
        <v/>
      </c>
      <c r="E1175" t="n">
        <v>110002</v>
      </c>
      <c r="F1175" t="n">
        <v>37337</v>
      </c>
      <c r="G1175" t="inlineStr">
        <is>
          <t>Discharge summary</t>
        </is>
      </c>
      <c r="H1175" t="inlineStr">
        <is>
          <t>past-medical-history</t>
        </is>
      </c>
      <c r="I1175" t="inlineStr">
        <is>
          <t>DM - diet controlled
H</t>
        </is>
      </c>
    </row>
    <row r="1176">
      <c r="A1176" t="inlineStr">
        <is>
          <t>37337-social-history-0-0</t>
        </is>
      </c>
      <c r="B1176" t="inlineStr"/>
      <c r="C1176" t="inlineStr"/>
      <c r="D1176">
        <f>HYPERLINK("http://nlpdeep.cs.uic.edu:8080/proofing/t5/37337-social-history-0-0.pdf","t5/37337-social-history-0-0.pdf")</f>
        <v/>
      </c>
      <c r="E1176" t="n">
        <v>110002</v>
      </c>
      <c r="F1176" t="n">
        <v>37337</v>
      </c>
      <c r="G1176" t="inlineStr">
        <is>
          <t>Discharge summary</t>
        </is>
      </c>
      <c r="H1176" t="inlineStr">
        <is>
          <t>social-history</t>
        </is>
      </c>
      <c r="I1176" t="inlineStr">
        <is>
          <t>Works as a chef.</t>
        </is>
      </c>
    </row>
    <row r="1177">
      <c r="A1177" t="inlineStr">
        <is>
          <t>37337-social-history-0-0</t>
        </is>
      </c>
      <c r="B1177" t="inlineStr"/>
      <c r="C1177" t="inlineStr"/>
      <c r="D1177">
        <f>HYPERLINK("http://nlpdeep.cs.uic.edu:8080/proofing/gsii/37337-social-history-0-0.pdf","gsii/37337-social-history-0-0.pdf")</f>
        <v/>
      </c>
      <c r="E1177" t="n">
        <v>110002</v>
      </c>
      <c r="F1177" t="n">
        <v>37337</v>
      </c>
      <c r="G1177" t="inlineStr">
        <is>
          <t>Discharge summary</t>
        </is>
      </c>
      <c r="H1177" t="inlineStr">
        <is>
          <t>social-history</t>
        </is>
      </c>
      <c r="I1177" t="inlineStr">
        <is>
          <t>Works as a chef.</t>
        </is>
      </c>
    </row>
    <row r="1178">
      <c r="A1178" t="inlineStr">
        <is>
          <t>37337-social-history-0-1</t>
        </is>
      </c>
      <c r="B1178" t="inlineStr"/>
      <c r="C1178" t="inlineStr"/>
      <c r="D1178">
        <f>HYPERLINK("http://nlpdeep.cs.uic.edu:8080/proofing/t5/37337-social-history-0-1.pdf","t5/37337-social-history-0-1.pdf")</f>
        <v/>
      </c>
      <c r="E1178" t="n">
        <v>110002</v>
      </c>
      <c r="F1178" t="n">
        <v>37337</v>
      </c>
      <c r="G1178" t="inlineStr">
        <is>
          <t>Discharge summary</t>
        </is>
      </c>
      <c r="H1178" t="inlineStr">
        <is>
          <t>social-history</t>
        </is>
      </c>
      <c r="I1178" t="inlineStr">
        <is>
          <t>Lives in [**Location 9583**] with parents.</t>
        </is>
      </c>
    </row>
    <row r="1179">
      <c r="A1179" t="inlineStr">
        <is>
          <t>37337-social-history-0-1</t>
        </is>
      </c>
      <c r="B1179" t="inlineStr"/>
      <c r="C1179" t="inlineStr"/>
      <c r="D1179">
        <f>HYPERLINK("http://nlpdeep.cs.uic.edu:8080/proofing/gsii/37337-social-history-0-1.pdf","gsii/37337-social-history-0-1.pdf")</f>
        <v/>
      </c>
      <c r="E1179" t="n">
        <v>110002</v>
      </c>
      <c r="F1179" t="n">
        <v>37337</v>
      </c>
      <c r="G1179" t="inlineStr">
        <is>
          <t>Discharge summary</t>
        </is>
      </c>
      <c r="H1179" t="inlineStr">
        <is>
          <t>social-history</t>
        </is>
      </c>
      <c r="I1179" t="inlineStr">
        <is>
          <t>Lives in [**Location 9583**] with parents.</t>
        </is>
      </c>
    </row>
    <row r="1180">
      <c r="A1180" t="inlineStr">
        <is>
          <t>37337-social-history-0-2</t>
        </is>
      </c>
      <c r="B1180" t="inlineStr"/>
      <c r="C1180" t="inlineStr"/>
      <c r="D1180">
        <f>HYPERLINK("http://nlpdeep.cs.uic.edu:8080/proofing/t5/37337-social-history-0-2.pdf","t5/37337-social-history-0-2.pdf")</f>
        <v/>
      </c>
      <c r="E1180" t="n">
        <v>110002</v>
      </c>
      <c r="F1180" t="n">
        <v>37337</v>
      </c>
      <c r="G1180" t="inlineStr">
        <is>
          <t>Discharge summary</t>
        </is>
      </c>
      <c r="H1180" t="inlineStr">
        <is>
          <t>social-history</t>
        </is>
      </c>
      <c r="I1180" t="inlineStr">
        <is>
          <t>No tobacco
or illicts.</t>
        </is>
      </c>
    </row>
    <row r="1181">
      <c r="A1181" t="inlineStr">
        <is>
          <t>37337-social-history-0-2</t>
        </is>
      </c>
      <c r="B1181" t="inlineStr"/>
      <c r="C1181" t="inlineStr"/>
      <c r="D1181">
        <f>HYPERLINK("http://nlpdeep.cs.uic.edu:8080/proofing/gsii/37337-social-history-0-2.pdf","gsii/37337-social-history-0-2.pdf")</f>
        <v/>
      </c>
      <c r="E1181" t="n">
        <v>110002</v>
      </c>
      <c r="F1181" t="n">
        <v>37337</v>
      </c>
      <c r="G1181" t="inlineStr">
        <is>
          <t>Discharge summary</t>
        </is>
      </c>
      <c r="H1181" t="inlineStr">
        <is>
          <t>social-history</t>
        </is>
      </c>
      <c r="I1181" t="inlineStr">
        <is>
          <t>No tobacco
or illicts.</t>
        </is>
      </c>
    </row>
    <row r="1182">
      <c r="A1182" t="inlineStr">
        <is>
          <t>37337-social-history-0-3</t>
        </is>
      </c>
      <c r="B1182" t="inlineStr"/>
      <c r="C1182" t="inlineStr"/>
      <c r="D1182">
        <f>HYPERLINK("http://nlpdeep.cs.uic.edu:8080/proofing/t5/37337-social-history-0-3.pdf","t5/37337-social-history-0-3.pdf")</f>
        <v/>
      </c>
      <c r="E1182" t="n">
        <v>110002</v>
      </c>
      <c r="F1182" t="n">
        <v>37337</v>
      </c>
      <c r="G1182" t="inlineStr">
        <is>
          <t>Discharge summary</t>
        </is>
      </c>
      <c r="H1182" t="inlineStr">
        <is>
          <t>social-history</t>
        </is>
      </c>
      <c r="I1182" t="inlineStr">
        <is>
          <t>Heavy drinker.</t>
        </is>
      </c>
    </row>
    <row r="1183">
      <c r="A1183" t="inlineStr">
        <is>
          <t>37337-social-history-0-3</t>
        </is>
      </c>
      <c r="B1183" t="inlineStr"/>
      <c r="C1183" t="inlineStr"/>
      <c r="D1183">
        <f>HYPERLINK("http://nlpdeep.cs.uic.edu:8080/proofing/gsii/37337-social-history-0-3.pdf","gsii/37337-social-history-0-3.pdf")</f>
        <v/>
      </c>
      <c r="E1183" t="n">
        <v>110002</v>
      </c>
      <c r="F1183" t="n">
        <v>37337</v>
      </c>
      <c r="G1183" t="inlineStr">
        <is>
          <t>Discharge summary</t>
        </is>
      </c>
      <c r="H1183" t="inlineStr">
        <is>
          <t>social-history</t>
        </is>
      </c>
      <c r="I1183" t="inlineStr">
        <is>
          <t>Heavy drinker.</t>
        </is>
      </c>
    </row>
    <row r="1184">
      <c r="A1184" t="inlineStr">
        <is>
          <t>37337-family-history-0-0</t>
        </is>
      </c>
      <c r="B1184" t="inlineStr"/>
      <c r="C1184" t="inlineStr"/>
      <c r="D1184">
        <f>HYPERLINK("http://nlpdeep.cs.uic.edu:8080/proofing/t5/37337-family-history-0-0.pdf","t5/37337-family-history-0-0.pdf")</f>
        <v/>
      </c>
      <c r="E1184" t="n">
        <v>110002</v>
      </c>
      <c r="F1184" t="n">
        <v>37337</v>
      </c>
      <c r="G1184" t="inlineStr">
        <is>
          <t>Discharge summary</t>
        </is>
      </c>
      <c r="H1184" t="inlineStr">
        <is>
          <t>family-history</t>
        </is>
      </c>
      <c r="I1184" t="inlineStr">
        <is>
          <t>DMII.</t>
        </is>
      </c>
    </row>
    <row r="1185">
      <c r="A1185" t="inlineStr">
        <is>
          <t>37337-family-history-0-0</t>
        </is>
      </c>
      <c r="B1185" t="inlineStr"/>
      <c r="C1185" t="inlineStr"/>
      <c r="D1185">
        <f>HYPERLINK("http://nlpdeep.cs.uic.edu:8080/proofing/gsii/37337-family-history-0-0.pdf","gsii/37337-family-history-0-0.pdf")</f>
        <v/>
      </c>
      <c r="E1185" t="n">
        <v>110002</v>
      </c>
      <c r="F1185" t="n">
        <v>37337</v>
      </c>
      <c r="G1185" t="inlineStr">
        <is>
          <t>Discharge summary</t>
        </is>
      </c>
      <c r="H1185" t="inlineStr">
        <is>
          <t>family-history</t>
        </is>
      </c>
      <c r="I1185" t="inlineStr">
        <is>
          <t>DMII.</t>
        </is>
      </c>
    </row>
    <row r="1186">
      <c r="A1186" t="inlineStr">
        <is>
          <t>37337-family-history-0-1</t>
        </is>
      </c>
      <c r="B1186" t="inlineStr"/>
      <c r="C1186" t="inlineStr"/>
      <c r="D1186">
        <f>HYPERLINK("http://nlpdeep.cs.uic.edu:8080/proofing/t5/37337-family-history-0-1.pdf","t5/37337-family-history-0-1.pdf")</f>
        <v/>
      </c>
      <c r="E1186" t="n">
        <v>110002</v>
      </c>
      <c r="F1186" t="n">
        <v>37337</v>
      </c>
      <c r="G1186" t="inlineStr">
        <is>
          <t>Discharge summary</t>
        </is>
      </c>
      <c r="H1186" t="inlineStr">
        <is>
          <t>family-history</t>
        </is>
      </c>
      <c r="I1186" t="inlineStr">
        <is>
          <t>Father CAD.</t>
        </is>
      </c>
    </row>
    <row r="1187">
      <c r="A1187" t="inlineStr">
        <is>
          <t>37337-family-history-0-1</t>
        </is>
      </c>
      <c r="B1187" t="inlineStr"/>
      <c r="C1187" t="inlineStr"/>
      <c r="D1187">
        <f>HYPERLINK("http://nlpdeep.cs.uic.edu:8080/proofing/gsii/37337-family-history-0-1.pdf","gsii/37337-family-history-0-1.pdf")</f>
        <v/>
      </c>
      <c r="E1187" t="n">
        <v>110002</v>
      </c>
      <c r="F1187" t="n">
        <v>37337</v>
      </c>
      <c r="G1187" t="inlineStr">
        <is>
          <t>Discharge summary</t>
        </is>
      </c>
      <c r="H1187" t="inlineStr">
        <is>
          <t>family-history</t>
        </is>
      </c>
      <c r="I1187" t="inlineStr">
        <is>
          <t>Father CAD.</t>
        </is>
      </c>
    </row>
    <row r="1188">
      <c r="A1188" t="inlineStr">
        <is>
          <t>37337-family-history-0-2</t>
        </is>
      </c>
      <c r="B1188" t="inlineStr"/>
      <c r="C1188" t="inlineStr"/>
      <c r="D1188">
        <f>HYPERLINK("http://nlpdeep.cs.uic.edu:8080/proofing/t5/37337-family-history-0-2.pdf","t5/37337-family-history-0-2.pdf")</f>
        <v/>
      </c>
      <c r="E1188" t="n">
        <v>110002</v>
      </c>
      <c r="F1188" t="n">
        <v>37337</v>
      </c>
      <c r="G1188" t="inlineStr">
        <is>
          <t>Discharge summary</t>
        </is>
      </c>
      <c r="H1188" t="inlineStr">
        <is>
          <t>family-history</t>
        </is>
      </c>
      <c r="I1188" t="inlineStr">
        <is>
          <t>Mom RA, CVA, DM.</t>
        </is>
      </c>
    </row>
    <row r="1189">
      <c r="A1189" t="inlineStr">
        <is>
          <t>37337-family-history-0-2</t>
        </is>
      </c>
      <c r="B1189" t="inlineStr"/>
      <c r="C1189" t="inlineStr"/>
      <c r="D1189">
        <f>HYPERLINK("http://nlpdeep.cs.uic.edu:8080/proofing/gsii/37337-family-history-0-2.pdf","gsii/37337-family-history-0-2.pdf")</f>
        <v/>
      </c>
      <c r="E1189" t="n">
        <v>110002</v>
      </c>
      <c r="F1189" t="n">
        <v>37337</v>
      </c>
      <c r="G1189" t="inlineStr">
        <is>
          <t>Discharge summary</t>
        </is>
      </c>
      <c r="H1189" t="inlineStr">
        <is>
          <t>family-history</t>
        </is>
      </c>
      <c r="I1189" t="inlineStr">
        <is>
          <t>Mom RA, CVA, DM.</t>
        </is>
      </c>
    </row>
    <row r="1190">
      <c r="A1190" t="inlineStr">
        <is>
          <t>37337-family-history-0-3</t>
        </is>
      </c>
      <c r="B1190" t="inlineStr"/>
      <c r="C1190" t="inlineStr"/>
      <c r="D1190">
        <f>HYPERLINK("http://nlpdeep.cs.uic.edu:8080/proofing/t5/37337-family-history-0-3.pdf","t5/37337-family-history-0-3.pdf")</f>
        <v/>
      </c>
      <c r="E1190" t="n">
        <v>110002</v>
      </c>
      <c r="F1190" t="n">
        <v>37337</v>
      </c>
      <c r="G1190" t="inlineStr">
        <is>
          <t>Discharge summary</t>
        </is>
      </c>
      <c r="H1190" t="inlineStr">
        <is>
          <t>family-history</t>
        </is>
      </c>
      <c r="I1190" t="inlineStr">
        <is>
          <t>Two brothers with CAD.</t>
        </is>
      </c>
    </row>
    <row r="1191">
      <c r="A1191" t="inlineStr">
        <is>
          <t>37337-family-history-0-3</t>
        </is>
      </c>
      <c r="B1191" t="inlineStr"/>
      <c r="C1191" t="inlineStr"/>
      <c r="D1191">
        <f>HYPERLINK("http://nlpdeep.cs.uic.edu:8080/proofing/gsii/37337-family-history-0-3.pdf","gsii/37337-family-history-0-3.pdf")</f>
        <v/>
      </c>
      <c r="E1191" t="n">
        <v>110002</v>
      </c>
      <c r="F1191" t="n">
        <v>37337</v>
      </c>
      <c r="G1191" t="inlineStr">
        <is>
          <t>Discharge summary</t>
        </is>
      </c>
      <c r="H1191" t="inlineStr">
        <is>
          <t>family-history</t>
        </is>
      </c>
      <c r="I1191" t="inlineStr">
        <is>
          <t>Two brothers with CAD.</t>
        </is>
      </c>
    </row>
    <row r="1192">
      <c r="A1192" t="inlineStr">
        <is>
          <t>37337-physical-examination-0-0</t>
        </is>
      </c>
      <c r="B1192" t="inlineStr"/>
      <c r="C1192" t="inlineStr"/>
      <c r="D1192">
        <f>HYPERLINK("http://nlpdeep.cs.uic.edu:8080/proofing/t5/37337-physical-examination-0-0.pdf","t5/37337-physical-examination-0-0.pdf")</f>
        <v/>
      </c>
      <c r="E1192" t="n">
        <v>110002</v>
      </c>
      <c r="F1192" t="n">
        <v>37337</v>
      </c>
      <c r="G1192" t="inlineStr">
        <is>
          <t>Discharge summary</t>
        </is>
      </c>
      <c r="H1192" t="inlineStr">
        <is>
          <t>physical-examination</t>
        </is>
      </c>
      <c r="I1192" t="inlineStr">
        <is>
          <t>On Admission:
Vitals T 100.6 P 147 BP152/90 O2 sat.</t>
        </is>
      </c>
    </row>
    <row r="1193">
      <c r="A1193" t="inlineStr">
        <is>
          <t>37337-physical-examination-0-0</t>
        </is>
      </c>
      <c r="B1193" t="inlineStr"/>
      <c r="C1193" t="inlineStr"/>
      <c r="D1193">
        <f>HYPERLINK("http://nlpdeep.cs.uic.edu:8080/proofing/gsii/37337-physical-examination-0-0.pdf","gsii/37337-physical-examination-0-0.pdf")</f>
        <v/>
      </c>
      <c r="E1193" t="n">
        <v>110002</v>
      </c>
      <c r="F1193" t="n">
        <v>37337</v>
      </c>
      <c r="G1193" t="inlineStr">
        <is>
          <t>Discharge summary</t>
        </is>
      </c>
      <c r="H1193" t="inlineStr">
        <is>
          <t>physical-examination</t>
        </is>
      </c>
      <c r="I1193" t="inlineStr">
        <is>
          <t>On Admission:
Vitals T 100.6 P 147 BP152/90 O2 sat.</t>
        </is>
      </c>
    </row>
    <row r="1194">
      <c r="A1194" t="inlineStr">
        <is>
          <t>37337-physical-examination-0-1</t>
        </is>
      </c>
      <c r="B1194" t="inlineStr"/>
      <c r="C1194" t="inlineStr"/>
      <c r="D1194">
        <f>HYPERLINK("http://nlpdeep.cs.uic.edu:8080/proofing/t5/37337-physical-examination-0-1.pdf","t5/37337-physical-examination-0-1.pdf")</f>
        <v/>
      </c>
      <c r="E1194" t="n">
        <v>110002</v>
      </c>
      <c r="F1194" t="n">
        <v>37337</v>
      </c>
      <c r="G1194" t="inlineStr">
        <is>
          <t>Discharge summary</t>
        </is>
      </c>
      <c r="H1194" t="inlineStr">
        <is>
          <t>physical-examination</t>
        </is>
      </c>
      <c r="I1194" t="inlineStr">
        <is>
          <t>92% on CMV
General: Alert, oriented, no acute distress
HEENT: Sclera anicteric, MMM, oropharynx clear
Neck: supple, JVP not elevated, no LAD
Lungs: Clear to auscultation bilaterally, no wheezes, rales,
ronchi
CV: Regular rate and rhythm, normal S1 + S2, no murmurs, rubs,
gallops
Abdomen:  soft, non-tender, non-distended, bowel sounds present,
no rebound tenderness or guarding, no organomegaly
GU: no foley
Ext: warm, well perfused, 2+ pulses, no clubbing, cyanosis or
e</t>
        </is>
      </c>
    </row>
    <row r="1195">
      <c r="A1195" t="inlineStr">
        <is>
          <t>37337-physical-examination-0-1</t>
        </is>
      </c>
      <c r="B1195" t="inlineStr"/>
      <c r="C1195" t="inlineStr"/>
      <c r="D1195">
        <f>HYPERLINK("http://nlpdeep.cs.uic.edu:8080/proofing/gsii/37337-physical-examination-0-1.pdf","gsii/37337-physical-examination-0-1.pdf")</f>
        <v/>
      </c>
      <c r="E1195" t="n">
        <v>110002</v>
      </c>
      <c r="F1195" t="n">
        <v>37337</v>
      </c>
      <c r="G1195" t="inlineStr">
        <is>
          <t>Discharge summary</t>
        </is>
      </c>
      <c r="H1195" t="inlineStr">
        <is>
          <t>physical-examination</t>
        </is>
      </c>
      <c r="I1195" t="inlineStr">
        <is>
          <t>92% on CMV
General: Alert, oriented, no acute distress
HEENT: Sclera anicteric, MMM, oropharynx clear
Neck: supple, JVP not elevated, no LAD
Lungs: Clear to auscultation bilaterally, no wheezes, rales,
ronchi
CV: Regular rate and rhythm, normal S1 + S2, no murmurs, rubs,
gallops
Abdomen:  soft, non-tender, non-distended, bowel sounds present,
no rebound tenderness or guarding, no organomegaly
GU: no foley
Ext: warm, well perfused, 2+ pulses, no clubbing, cyanosis or
e</t>
        </is>
      </c>
    </row>
    <row r="1196">
      <c r="A1196" t="inlineStr">
        <is>
          <t>37337-labs-imaging-0-0</t>
        </is>
      </c>
      <c r="B1196" t="inlineStr"/>
      <c r="C1196" t="inlineStr"/>
      <c r="D1196">
        <f>HYPERLINK("http://nlpdeep.cs.uic.edu:8080/proofing/t5/37337-labs-imaging-0-0.pdf","t5/37337-labs-imaging-0-0.pdf")</f>
        <v/>
      </c>
      <c r="E1196" t="n">
        <v>110002</v>
      </c>
      <c r="F1196" t="n">
        <v>37337</v>
      </c>
      <c r="G1196" t="inlineStr">
        <is>
          <t>Discharge summary</t>
        </is>
      </c>
      <c r="H1196" t="inlineStr">
        <is>
          <t>labs-imaging</t>
        </is>
      </c>
      <c r="I1196" t="inlineStr">
        <is>
          <t xml:space="preserve">
valve. The mitral valve appears structurally normal with trivial
mitral regurgitation. There is no mitral valve prolapse. No mass
or vegetation is seen on the mitral valve. The pulmonary artery
systolic pressure could not be determined. No vegetation/mass is
seen on the pulmonic valve. There is no pericardial effusion.
.
CHEST (PORTABLE AP) Study Date of [**2117-11-16**]
FINDINGS: In comparison with study of [**11-15**], there is little
overall change in the appearance of the cardiomediastinal
silhouette with extensive right paratracheal thickening.
Extensive left lung consolidation has somewhat decreased since
the previous study</t>
        </is>
      </c>
    </row>
    <row r="1197">
      <c r="A1197" t="inlineStr">
        <is>
          <t>37337-labs-imaging-0-0</t>
        </is>
      </c>
      <c r="B1197" t="inlineStr"/>
      <c r="C1197" t="inlineStr"/>
      <c r="D1197">
        <f>HYPERLINK("http://nlpdeep.cs.uic.edu:8080/proofing/gsii/37337-labs-imaging-0-0.pdf","gsii/37337-labs-imaging-0-0.pdf")</f>
        <v/>
      </c>
      <c r="E1197" t="n">
        <v>110002</v>
      </c>
      <c r="F1197" t="n">
        <v>37337</v>
      </c>
      <c r="G1197" t="inlineStr">
        <is>
          <t>Discharge summary</t>
        </is>
      </c>
      <c r="H1197" t="inlineStr">
        <is>
          <t>labs-imaging</t>
        </is>
      </c>
      <c r="I1197" t="inlineStr">
        <is>
          <t xml:space="preserve">
valve. The mitral valve appears structurally normal with trivial
mitral regurgitation. There is no mitral valve prolapse. No mass
or vegetation is seen on the mitral valve. The pulmonary artery
systolic pressure could not be determined. No vegetation/mass is
seen on the pulmonic valve. There is no pericardial effusion.
.
CHEST (PORTABLE AP) Study Date of [**2117-11-16**]
FINDINGS: In comparison with study of [**11-15**], there is little
overall change in the appearance of the cardiomediastinal
silhouette with extensive right paratracheal thickening.
Extensive left lung consolidation has somewhat decreased since
the previous study</t>
        </is>
      </c>
    </row>
    <row r="1198">
      <c r="A1198" t="inlineStr">
        <is>
          <t>37337-labs-imaging-1-0</t>
        </is>
      </c>
      <c r="B1198" t="inlineStr"/>
      <c r="C1198" t="inlineStr"/>
      <c r="D1198">
        <f>HYPERLINK("http://nlpdeep.cs.uic.edu:8080/proofing/t5/37337-labs-imaging-1-0.pdf","t5/37337-labs-imaging-1-0.pdf")</f>
        <v/>
      </c>
      <c r="E1198" t="n">
        <v>110002</v>
      </c>
      <c r="F1198" t="n">
        <v>37337</v>
      </c>
      <c r="G1198" t="inlineStr">
        <is>
          <t>Discharge summary</t>
        </is>
      </c>
      <c r="H1198" t="inlineStr">
        <is>
          <t>labs-imaging</t>
        </is>
      </c>
      <c r="I1198" t="inlineStr">
        <is>
          <t>lso, the area of opacification in the right
lung has improved.
.
MR HEAD W/O CONTRAST Study Date of [**2117-11-22**</t>
        </is>
      </c>
    </row>
    <row r="1199">
      <c r="A1199" t="inlineStr">
        <is>
          <t>37337-labs-imaging-1-0</t>
        </is>
      </c>
      <c r="B1199" t="inlineStr"/>
      <c r="C1199" t="inlineStr"/>
      <c r="D1199">
        <f>HYPERLINK("http://nlpdeep.cs.uic.edu:8080/proofing/gsii/37337-labs-imaging-1-0.pdf","gsii/37337-labs-imaging-1-0.pdf")</f>
        <v/>
      </c>
      <c r="E1199" t="n">
        <v>110002</v>
      </c>
      <c r="F1199" t="n">
        <v>37337</v>
      </c>
      <c r="G1199" t="inlineStr">
        <is>
          <t>Discharge summary</t>
        </is>
      </c>
      <c r="H1199" t="inlineStr">
        <is>
          <t>labs-imaging</t>
        </is>
      </c>
      <c r="I1199" t="inlineStr">
        <is>
          <t>lso, the area of opacification in the right
lung has improved.
.
MR HEAD W/O CONTRAST Study Date of [**2117-11-22**</t>
        </is>
      </c>
    </row>
    <row r="1200">
      <c r="A1200" t="inlineStr">
        <is>
          <t>37337-labs-imaging-2-0</t>
        </is>
      </c>
      <c r="B1200" t="inlineStr"/>
      <c r="C1200" t="inlineStr"/>
      <c r="D1200">
        <f>HYPERLINK("http://nlpdeep.cs.uic.edu:8080/proofing/t5/37337-labs-imaging-2-0.pdf","t5/37337-labs-imaging-2-0.pdf")</f>
        <v/>
      </c>
      <c r="E1200" t="n">
        <v>110002</v>
      </c>
      <c r="F1200" t="n">
        <v>37337</v>
      </c>
      <c r="G1200" t="inlineStr">
        <is>
          <t>Discharge summary</t>
        </is>
      </c>
      <c r="H1200" t="inlineStr">
        <is>
          <t>labs-imaging</t>
        </is>
      </c>
      <c r="I1200" t="inlineStr">
        <is>
          <t>MPRESSION:
1. Extensive confluent T2 and FLAIR hyperintensities throughout
the ce</t>
        </is>
      </c>
    </row>
    <row r="1201">
      <c r="A1201" t="inlineStr">
        <is>
          <t>37337-labs-imaging-2-0</t>
        </is>
      </c>
      <c r="B1201" t="inlineStr"/>
      <c r="C1201" t="inlineStr"/>
      <c r="D1201">
        <f>HYPERLINK("http://nlpdeep.cs.uic.edu:8080/proofing/gsii/37337-labs-imaging-2-0.pdf","gsii/37337-labs-imaging-2-0.pdf")</f>
        <v/>
      </c>
      <c r="E1201" t="n">
        <v>110002</v>
      </c>
      <c r="F1201" t="n">
        <v>37337</v>
      </c>
      <c r="G1201" t="inlineStr">
        <is>
          <t>Discharge summary</t>
        </is>
      </c>
      <c r="H1201" t="inlineStr">
        <is>
          <t>labs-imaging</t>
        </is>
      </c>
      <c r="I1201" t="inlineStr">
        <is>
          <t>MPRESSION:
1. Extensive confluent T2 and FLAIR hyperintensities throughout
the ce</t>
        </is>
      </c>
    </row>
    <row r="1202">
      <c r="A1202" t="inlineStr">
        <is>
          <t>37337-labs-imaging-3-0</t>
        </is>
      </c>
      <c r="B1202" t="inlineStr"/>
      <c r="C1202" t="inlineStr"/>
      <c r="D1202">
        <f>HYPERLINK("http://nlpdeep.cs.uic.edu:8080/proofing/t5/37337-labs-imaging-3-0.pdf","t5/37337-labs-imaging-3-0.pdf")</f>
        <v/>
      </c>
      <c r="E1202" t="n">
        <v>110002</v>
      </c>
      <c r="F1202" t="n">
        <v>37337</v>
      </c>
      <c r="G1202" t="inlineStr">
        <is>
          <t>Discharge summary</t>
        </is>
      </c>
      <c r="H1202" t="inlineStr">
        <is>
          <t>labs-imaging</t>
        </is>
      </c>
      <c r="I1202" t="inlineStr">
        <is>
          <t>semiovale and peritrigonal regions without
restricted diffusion. The findin</t>
        </is>
      </c>
    </row>
    <row r="1203">
      <c r="A1203" t="inlineStr">
        <is>
          <t>37337-labs-imaging-3-0</t>
        </is>
      </c>
      <c r="B1203" t="inlineStr"/>
      <c r="C1203" t="inlineStr"/>
      <c r="D1203">
        <f>HYPERLINK("http://nlpdeep.cs.uic.edu:8080/proofing/gsii/37337-labs-imaging-3-0.pdf","gsii/37337-labs-imaging-3-0.pdf")</f>
        <v/>
      </c>
      <c r="E1203" t="n">
        <v>110002</v>
      </c>
      <c r="F1203" t="n">
        <v>37337</v>
      </c>
      <c r="G1203" t="inlineStr">
        <is>
          <t>Discharge summary</t>
        </is>
      </c>
      <c r="H1203" t="inlineStr">
        <is>
          <t>labs-imaging</t>
        </is>
      </c>
      <c r="I1203" t="inlineStr">
        <is>
          <t>semiovale and peritrigonal regions without
restricted diffusion. The findin</t>
        </is>
      </c>
    </row>
    <row r="1204">
      <c r="A1204" t="inlineStr">
        <is>
          <t>37337-labs-imaging-3-1</t>
        </is>
      </c>
      <c r="B1204" t="inlineStr"/>
      <c r="C1204" t="inlineStr"/>
      <c r="D1204">
        <f>HYPERLINK("http://nlpdeep.cs.uic.edu:8080/proofing/t5/37337-labs-imaging-3-1.pdf","t5/37337-labs-imaging-3-1.pdf")</f>
        <v/>
      </c>
      <c r="E1204" t="n">
        <v>110002</v>
      </c>
      <c r="F1204" t="n">
        <v>37337</v>
      </c>
      <c r="G1204" t="inlineStr">
        <is>
          <t>Discharge summary</t>
        </is>
      </c>
      <c r="H1204" t="inlineStr">
        <is>
          <t>labs-imaging</t>
        </is>
      </c>
      <c r="I1204" t="inlineStr">
        <is>
          <t>Incomplete right bundle-branch block.</t>
        </is>
      </c>
    </row>
    <row r="1205">
      <c r="A1205" t="inlineStr">
        <is>
          <t>37337-labs-imaging-3-1</t>
        </is>
      </c>
      <c r="B1205" t="inlineStr"/>
      <c r="C1205" t="inlineStr"/>
      <c r="D1205">
        <f>HYPERLINK("http://nlpdeep.cs.uic.edu:8080/proofing/gsii/37337-labs-imaging-3-1.pdf","gsii/37337-labs-imaging-3-1.pdf")</f>
        <v/>
      </c>
      <c r="E1205" t="n">
        <v>110002</v>
      </c>
      <c r="F1205" t="n">
        <v>37337</v>
      </c>
      <c r="G1205" t="inlineStr">
        <is>
          <t>Discharge summary</t>
        </is>
      </c>
      <c r="H1205" t="inlineStr">
        <is>
          <t>labs-imaging</t>
        </is>
      </c>
      <c r="I1205" t="inlineStr">
        <is>
          <t>Incomplete right bundle-branch block.</t>
        </is>
      </c>
    </row>
    <row r="1206">
      <c r="A1206" t="inlineStr">
        <is>
          <t>37337-labs-imaging-3-2</t>
        </is>
      </c>
      <c r="B1206" t="inlineStr"/>
      <c r="C1206" t="inlineStr"/>
      <c r="D1206">
        <f>HYPERLINK("http://nlpdeep.cs.uic.edu:8080/proofing/t5/37337-labs-imaging-3-2.pdf","t5/37337-labs-imaging-3-2.pdf")</f>
        <v/>
      </c>
      <c r="E1206" t="n">
        <v>110002</v>
      </c>
      <c r="F1206" t="n">
        <v>37337</v>
      </c>
      <c r="G1206" t="inlineStr">
        <is>
          <t>Discharge summary</t>
        </is>
      </c>
      <c r="H1206" t="inlineStr">
        <is>
          <t>labs-imaging</t>
        </is>
      </c>
      <c r="I1206" t="inlineStr">
        <is>
          <t xml:space="preserve">
Non-specific
ST-T wave changes.</t>
        </is>
      </c>
    </row>
    <row r="1207">
      <c r="A1207" t="inlineStr">
        <is>
          <t>37337-labs-imaging-3-2</t>
        </is>
      </c>
      <c r="B1207" t="inlineStr"/>
      <c r="C1207" t="inlineStr"/>
      <c r="D1207">
        <f>HYPERLINK("http://nlpdeep.cs.uic.edu:8080/proofing/gsii/37337-labs-imaging-3-2.pdf","gsii/37337-labs-imaging-3-2.pdf")</f>
        <v/>
      </c>
      <c r="E1207" t="n">
        <v>110002</v>
      </c>
      <c r="F1207" t="n">
        <v>37337</v>
      </c>
      <c r="G1207" t="inlineStr">
        <is>
          <t>Discharge summary</t>
        </is>
      </c>
      <c r="H1207" t="inlineStr">
        <is>
          <t>labs-imaging</t>
        </is>
      </c>
      <c r="I1207" t="inlineStr">
        <is>
          <t xml:space="preserve">
Non-specific
ST-T wave changes.</t>
        </is>
      </c>
    </row>
    <row r="1208">
      <c r="A1208" t="inlineStr">
        <is>
          <t>37337-labs-imaging-3-3</t>
        </is>
      </c>
      <c r="B1208" t="inlineStr"/>
      <c r="C1208" t="inlineStr"/>
      <c r="D1208">
        <f>HYPERLINK("http://nlpdeep.cs.uic.edu:8080/proofing/t5/37337-labs-imaging-3-3.pdf","t5/37337-labs-imaging-3-3.pdf")</f>
        <v/>
      </c>
      <c r="E1208" t="n">
        <v>110002</v>
      </c>
      <c r="F1208" t="n">
        <v>37337</v>
      </c>
      <c r="G1208" t="inlineStr">
        <is>
          <t>Discharge summary</t>
        </is>
      </c>
      <c r="H1208" t="inlineStr">
        <is>
          <t>labs-imaging</t>
        </is>
      </c>
      <c r="I1208" t="inlineStr">
        <is>
          <t>The P-R interval is 160 milliseconds.</t>
        </is>
      </c>
    </row>
    <row r="1209">
      <c r="A1209" t="inlineStr">
        <is>
          <t>37337-labs-imaging-3-3</t>
        </is>
      </c>
      <c r="B1209" t="inlineStr"/>
      <c r="C1209" t="inlineStr"/>
      <c r="D1209">
        <f>HYPERLINK("http://nlpdeep.cs.uic.edu:8080/proofing/gsii/37337-labs-imaging-3-3.pdf","gsii/37337-labs-imaging-3-3.pdf")</f>
        <v/>
      </c>
      <c r="E1209" t="n">
        <v>110002</v>
      </c>
      <c r="F1209" t="n">
        <v>37337</v>
      </c>
      <c r="G1209" t="inlineStr">
        <is>
          <t>Discharge summary</t>
        </is>
      </c>
      <c r="H1209" t="inlineStr">
        <is>
          <t>labs-imaging</t>
        </is>
      </c>
      <c r="I1209" t="inlineStr">
        <is>
          <t>The P-R interval is 160 milliseconds.</t>
        </is>
      </c>
    </row>
    <row r="1210">
      <c r="A1210" t="inlineStr">
        <is>
          <t>37337-labs-imaging-3-4</t>
        </is>
      </c>
      <c r="B1210" t="inlineStr"/>
      <c r="C1210" t="inlineStr"/>
      <c r="D1210">
        <f>HYPERLINK("http://nlpdeep.cs.uic.edu:8080/proofing/t5/37337-labs-imaging-3-4.pdf","t5/37337-labs-imaging-3-4.pdf")</f>
        <v/>
      </c>
      <c r="E1210" t="n">
        <v>110002</v>
      </c>
      <c r="F1210" t="n">
        <v>37337</v>
      </c>
      <c r="G1210" t="inlineStr">
        <is>
          <t>Discharge summary</t>
        </is>
      </c>
      <c r="H1210" t="inlineStr">
        <is>
          <t>labs-imaging</t>
        </is>
      </c>
      <c r="I1210" t="inlineStr">
        <is>
          <t>clude infectious or HIV-related processes
such as PML or viral encepha</t>
        </is>
      </c>
    </row>
    <row r="1211">
      <c r="A1211" t="inlineStr">
        <is>
          <t>37337-labs-imaging-3-4</t>
        </is>
      </c>
      <c r="B1211" t="inlineStr"/>
      <c r="C1211" t="inlineStr"/>
      <c r="D1211">
        <f>HYPERLINK("http://nlpdeep.cs.uic.edu:8080/proofing/gsii/37337-labs-imaging-3-4.pdf","gsii/37337-labs-imaging-3-4.pdf")</f>
        <v/>
      </c>
      <c r="E1211" t="n">
        <v>110002</v>
      </c>
      <c r="F1211" t="n">
        <v>37337</v>
      </c>
      <c r="G1211" t="inlineStr">
        <is>
          <t>Discharge summary</t>
        </is>
      </c>
      <c r="H1211" t="inlineStr">
        <is>
          <t>labs-imaging</t>
        </is>
      </c>
      <c r="I1211" t="inlineStr">
        <is>
          <t>clude infectious or HIV-related processes
such as PML or viral encepha</t>
        </is>
      </c>
    </row>
    <row r="1212">
      <c r="A1212" t="inlineStr">
        <is>
          <t>37337-labs-imaging-4-0</t>
        </is>
      </c>
      <c r="B1212" t="inlineStr"/>
      <c r="C1212" t="inlineStr"/>
      <c r="D1212">
        <f>HYPERLINK("http://nlpdeep.cs.uic.edu:8080/proofing/t5/37337-labs-imaging-4-0.pdf","t5/37337-labs-imaging-4-0.pdf")</f>
        <v/>
      </c>
      <c r="E1212" t="n">
        <v>110002</v>
      </c>
      <c r="F1212" t="n">
        <v>37337</v>
      </c>
      <c r="G1212" t="inlineStr">
        <is>
          <t>Discharge summary</t>
        </is>
      </c>
      <c r="H1212" t="inlineStr">
        <is>
          <t>labs-imaging</t>
        </is>
      </c>
      <c r="I1212" t="inlineStr">
        <is>
          <t xml:space="preserve">
ECG Study Date of [**2117-11-4**]  3:16:42 AM
Supraventricular tachycardia most likely representing
atrio-ventricular nodal reentrant tachycardia but cannot exclude
orthodromic atrio-ventricular reciprocating tachycardia.</t>
        </is>
      </c>
    </row>
    <row r="1213">
      <c r="A1213" t="inlineStr">
        <is>
          <t>37337-labs-imaging-4-0</t>
        </is>
      </c>
      <c r="B1213" t="inlineStr"/>
      <c r="C1213" t="inlineStr"/>
      <c r="D1213">
        <f>HYPERLINK("http://nlpdeep.cs.uic.edu:8080/proofing/gsii/37337-labs-imaging-4-0.pdf","gsii/37337-labs-imaging-4-0.pdf")</f>
        <v/>
      </c>
      <c r="E1213" t="n">
        <v>110002</v>
      </c>
      <c r="F1213" t="n">
        <v>37337</v>
      </c>
      <c r="G1213" t="inlineStr">
        <is>
          <t>Discharge summary</t>
        </is>
      </c>
      <c r="H1213" t="inlineStr">
        <is>
          <t>labs-imaging</t>
        </is>
      </c>
      <c r="I1213" t="inlineStr">
        <is>
          <t xml:space="preserve">
ECG Study Date of [**2117-11-4**]  3:16:42 AM
Supraventricular tachycardia most likely representing
atrio-ventricular nodal reentrant tachycardia but cannot exclude
orthodromic atrio-ventricular reciprocating tachycardia.</t>
        </is>
      </c>
    </row>
    <row r="1214">
      <c r="A1214" t="inlineStr">
        <is>
          <t>37337-labs-imaging-4-1</t>
        </is>
      </c>
      <c r="B1214" t="inlineStr"/>
      <c r="C1214" t="inlineStr"/>
      <c r="D1214">
        <f>HYPERLINK("http://nlpdeep.cs.uic.edu:8080/proofing/t5/37337-labs-imaging-4-1.pdf","t5/37337-labs-imaging-4-1.pdf")</f>
        <v/>
      </c>
      <c r="E1214" t="n">
        <v>110002</v>
      </c>
      <c r="F1214" t="n">
        <v>37337</v>
      </c>
      <c r="G1214" t="inlineStr">
        <is>
          <t>Discharge summary</t>
        </is>
      </c>
      <c r="H1214" t="inlineStr">
        <is>
          <t>labs-imaging</t>
        </is>
      </c>
      <c r="I1214" t="inlineStr">
        <is>
          <t>he patient's history and followup examination
with gadolinium admi</t>
        </is>
      </c>
    </row>
    <row r="1215">
      <c r="A1215" t="inlineStr">
        <is>
          <t>37337-labs-imaging-4-1</t>
        </is>
      </c>
      <c r="B1215" t="inlineStr"/>
      <c r="C1215" t="inlineStr"/>
      <c r="D1215">
        <f>HYPERLINK("http://nlpdeep.cs.uic.edu:8080/proofing/gsii/37337-labs-imaging-4-1.pdf","gsii/37337-labs-imaging-4-1.pdf")</f>
        <v/>
      </c>
      <c r="E1215" t="n">
        <v>110002</v>
      </c>
      <c r="F1215" t="n">
        <v>37337</v>
      </c>
      <c r="G1215" t="inlineStr">
        <is>
          <t>Discharge summary</t>
        </is>
      </c>
      <c r="H1215" t="inlineStr">
        <is>
          <t>labs-imaging</t>
        </is>
      </c>
      <c r="I1215" t="inlineStr">
        <is>
          <t>he patient's history and followup examination
with gadolinium admi</t>
        </is>
      </c>
    </row>
    <row r="1216">
      <c r="A1216" t="inlineStr">
        <is>
          <t>37337-labs-imaging-5-0</t>
        </is>
      </c>
      <c r="B1216" t="inlineStr"/>
      <c r="C1216" t="inlineStr"/>
      <c r="D1216">
        <f>HYPERLINK("http://nlpdeep.cs.uic.edu:8080/proofing/t5/37337-labs-imaging-5-0.pdf","t5/37337-labs-imaging-5-0.pdf")</f>
        <v/>
      </c>
      <c r="E1216" t="n">
        <v>110002</v>
      </c>
      <c r="F1216" t="n">
        <v>37337</v>
      </c>
      <c r="G1216" t="inlineStr">
        <is>
          <t>Discharge summary</t>
        </is>
      </c>
      <c r="H1216" t="inlineStr">
        <is>
          <t>labs-imaging</t>
        </is>
      </c>
      <c r="I1216" t="inlineStr">
        <is>
          <t xml:space="preserve">
CT HEAD W/O CONTRAST Study Date of [**2117-10-28**]
IMPRESSION: No acute intracranial process.</t>
        </is>
      </c>
    </row>
    <row r="1217">
      <c r="A1217" t="inlineStr">
        <is>
          <t>37337-labs-imaging-5-0</t>
        </is>
      </c>
      <c r="B1217" t="inlineStr"/>
      <c r="C1217" t="inlineStr"/>
      <c r="D1217">
        <f>HYPERLINK("http://nlpdeep.cs.uic.edu:8080/proofing/gsii/37337-labs-imaging-5-0.pdf","gsii/37337-labs-imaging-5-0.pdf")</f>
        <v/>
      </c>
      <c r="E1217" t="n">
        <v>110002</v>
      </c>
      <c r="F1217" t="n">
        <v>37337</v>
      </c>
      <c r="G1217" t="inlineStr">
        <is>
          <t>Discharge summary</t>
        </is>
      </c>
      <c r="H1217" t="inlineStr">
        <is>
          <t>labs-imaging</t>
        </is>
      </c>
      <c r="I1217" t="inlineStr">
        <is>
          <t xml:space="preserve">
CT HEAD W/O CONTRAST Study Date of [**2117-10-28**]
IMPRESSION: No acute intracranial process.</t>
        </is>
      </c>
    </row>
    <row r="1218">
      <c r="A1218" t="inlineStr">
        <is>
          <t>37337-labs-imaging-5-1</t>
        </is>
      </c>
      <c r="B1218" t="inlineStr"/>
      <c r="C1218" t="inlineStr"/>
      <c r="D1218">
        <f>HYPERLINK("http://nlpdeep.cs.uic.edu:8080/proofing/t5/37337-labs-imaging-5-1.pdf","t5/37337-labs-imaging-5-1.pdf")</f>
        <v/>
      </c>
      <c r="E1218" t="n">
        <v>110002</v>
      </c>
      <c r="F1218" t="n">
        <v>37337</v>
      </c>
      <c r="G1218" t="inlineStr">
        <is>
          <t>Discharge summary</t>
        </is>
      </c>
      <c r="H1218" t="inlineStr">
        <is>
          <t>labs-imaging</t>
        </is>
      </c>
      <c r="I1218" t="inlineStr">
        <is>
          <t>Evaluation for
infection is
limited on CT.</t>
        </is>
      </c>
    </row>
    <row r="1219">
      <c r="A1219" t="inlineStr">
        <is>
          <t>37337-labs-imaging-5-1</t>
        </is>
      </c>
      <c r="B1219" t="inlineStr"/>
      <c r="C1219" t="inlineStr"/>
      <c r="D1219">
        <f>HYPERLINK("http://nlpdeep.cs.uic.edu:8080/proofing/gsii/37337-labs-imaging-5-1.pdf","gsii/37337-labs-imaging-5-1.pdf")</f>
        <v/>
      </c>
      <c r="E1219" t="n">
        <v>110002</v>
      </c>
      <c r="F1219" t="n">
        <v>37337</v>
      </c>
      <c r="G1219" t="inlineStr">
        <is>
          <t>Discharge summary</t>
        </is>
      </c>
      <c r="H1219" t="inlineStr">
        <is>
          <t>labs-imaging</t>
        </is>
      </c>
      <c r="I1219" t="inlineStr">
        <is>
          <t>Evaluation for
infection is
limited on CT.</t>
        </is>
      </c>
    </row>
    <row r="1220">
      <c r="A1220" t="inlineStr">
        <is>
          <t>37337-labs-imaging-5-2</t>
        </is>
      </c>
      <c r="B1220" t="inlineStr"/>
      <c r="C1220" t="inlineStr"/>
      <c r="D1220">
        <f>HYPERLINK("http://nlpdeep.cs.uic.edu:8080/proofing/t5/37337-labs-imaging-5-2.pdf","t5/37337-labs-imaging-5-2.pdf")</f>
        <v/>
      </c>
      <c r="E1220" t="n">
        <v>110002</v>
      </c>
      <c r="F1220" t="n">
        <v>37337</v>
      </c>
      <c r="G1220" t="inlineStr">
        <is>
          <t>Discharge summary</t>
        </is>
      </c>
      <c r="H1220" t="inlineStr">
        <is>
          <t>labs-imaging</t>
        </is>
      </c>
      <c r="I1220" t="inlineStr">
        <is>
          <t>Sinus disease.</t>
        </is>
      </c>
    </row>
    <row r="1221">
      <c r="A1221" t="inlineStr">
        <is>
          <t>37337-labs-imaging-5-2</t>
        </is>
      </c>
      <c r="B1221" t="inlineStr"/>
      <c r="C1221" t="inlineStr"/>
      <c r="D1221">
        <f>HYPERLINK("http://nlpdeep.cs.uic.edu:8080/proofing/gsii/37337-labs-imaging-5-2.pdf","gsii/37337-labs-imaging-5-2.pdf")</f>
        <v/>
      </c>
      <c r="E1221" t="n">
        <v>110002</v>
      </c>
      <c r="F1221" t="n">
        <v>37337</v>
      </c>
      <c r="G1221" t="inlineStr">
        <is>
          <t>Discharge summary</t>
        </is>
      </c>
      <c r="H1221" t="inlineStr">
        <is>
          <t>labs-imaging</t>
        </is>
      </c>
      <c r="I1221" t="inlineStr">
        <is>
          <t>Sinus disease.</t>
        </is>
      </c>
    </row>
    <row r="1222">
      <c r="A1222" t="inlineStr">
        <is>
          <t>37337-labs-imaging-5-3</t>
        </is>
      </c>
      <c r="B1222" t="inlineStr"/>
      <c r="C1222" t="inlineStr"/>
      <c r="D1222">
        <f>HYPERLINK("http://nlpdeep.cs.uic.edu:8080/proofing/t5/37337-labs-imaging-5-3.pdf","t5/37337-labs-imaging-5-3.pdf")</f>
        <v/>
      </c>
      <c r="E1222" t="n">
        <v>110002</v>
      </c>
      <c r="F1222" t="n">
        <v>37337</v>
      </c>
      <c r="G1222" t="inlineStr">
        <is>
          <t>Discharge summary</t>
        </is>
      </c>
      <c r="H1222" t="inlineStr">
        <is>
          <t>labs-imaging</t>
        </is>
      </c>
      <c r="I1222" t="inlineStr">
        <is>
          <t>e related to recent
intubation</t>
        </is>
      </c>
    </row>
    <row r="1223">
      <c r="A1223" t="inlineStr">
        <is>
          <t>37337-labs-imaging-5-3</t>
        </is>
      </c>
      <c r="B1223" t="inlineStr"/>
      <c r="C1223" t="inlineStr"/>
      <c r="D1223">
        <f>HYPERLINK("http://nlpdeep.cs.uic.edu:8080/proofing/gsii/37337-labs-imaging-5-3.pdf","gsii/37337-labs-imaging-5-3.pdf")</f>
        <v/>
      </c>
      <c r="E1223" t="n">
        <v>110002</v>
      </c>
      <c r="F1223" t="n">
        <v>37337</v>
      </c>
      <c r="G1223" t="inlineStr">
        <is>
          <t>Discharge summary</t>
        </is>
      </c>
      <c r="H1223" t="inlineStr">
        <is>
          <t>labs-imaging</t>
        </is>
      </c>
      <c r="I1223" t="inlineStr">
        <is>
          <t>e related to recent
intubation</t>
        </is>
      </c>
    </row>
    <row r="1224">
      <c r="A1224" t="inlineStr">
        <is>
          <t>37337-labs-imaging-6-0</t>
        </is>
      </c>
      <c r="B1224" t="inlineStr"/>
      <c r="C1224" t="inlineStr"/>
      <c r="D1224">
        <f>HYPERLINK("http://nlpdeep.cs.uic.edu:8080/proofing/t5/37337-labs-imaging-6-0.pdf","t5/37337-labs-imaging-6-0.pdf")</f>
        <v/>
      </c>
      <c r="E1224" t="n">
        <v>110002</v>
      </c>
      <c r="F1224" t="n">
        <v>37337</v>
      </c>
      <c r="G1224" t="inlineStr">
        <is>
          <t>Discharge summary</t>
        </is>
      </c>
      <c r="H1224" t="inlineStr">
        <is>
          <t>labs-imaging</t>
        </is>
      </c>
      <c r="I1224" t="inlineStr">
        <is>
          <t xml:space="preserve"> HEAD W/ CON</t>
        </is>
      </c>
    </row>
    <row r="1225">
      <c r="A1225" t="inlineStr">
        <is>
          <t>37337-labs-imaging-6-0</t>
        </is>
      </c>
      <c r="B1225" t="inlineStr"/>
      <c r="C1225" t="inlineStr"/>
      <c r="D1225">
        <f>HYPERLINK("http://nlpdeep.cs.uic.edu:8080/proofing/gsii/37337-labs-imaging-6-0.pdf","gsii/37337-labs-imaging-6-0.pdf")</f>
        <v/>
      </c>
      <c r="E1225" t="n">
        <v>110002</v>
      </c>
      <c r="F1225" t="n">
        <v>37337</v>
      </c>
      <c r="G1225" t="inlineStr">
        <is>
          <t>Discharge summary</t>
        </is>
      </c>
      <c r="H1225" t="inlineStr">
        <is>
          <t>labs-imaging</t>
        </is>
      </c>
      <c r="I1225" t="inlineStr">
        <is>
          <t xml:space="preserve"> HEAD W/ CON</t>
        </is>
      </c>
    </row>
    <row r="1226">
      <c r="A1226" t="inlineStr">
        <is>
          <t>37337-labs-imaging-7-0</t>
        </is>
      </c>
      <c r="B1226" t="inlineStr"/>
      <c r="C1226" t="inlineStr"/>
      <c r="D1226">
        <f>HYPERLINK("http://nlpdeep.cs.uic.edu:8080/proofing/t5/37337-labs-imaging-7-0.pdf","t5/37337-labs-imaging-7-0.pdf")</f>
        <v/>
      </c>
      <c r="E1226" t="n">
        <v>110002</v>
      </c>
      <c r="F1226" t="n">
        <v>37337</v>
      </c>
      <c r="G1226" t="inlineStr">
        <is>
          <t>Discharge summary</t>
        </is>
      </c>
      <c r="H1226" t="inlineStr">
        <is>
          <t>labs-imaging</t>
        </is>
      </c>
      <c r="I1226" t="inlineStr">
        <is>
          <t xml:space="preserve">
CT TORSO W/O CONTRAST Study Date of [**2117-10-28**]
IMPRESSION:
1.</t>
        </is>
      </c>
    </row>
    <row r="1227">
      <c r="A1227" t="inlineStr">
        <is>
          <t>37337-labs-imaging-7-0</t>
        </is>
      </c>
      <c r="B1227" t="inlineStr"/>
      <c r="C1227" t="inlineStr"/>
      <c r="D1227">
        <f>HYPERLINK("http://nlpdeep.cs.uic.edu:8080/proofing/gsii/37337-labs-imaging-7-0.pdf","gsii/37337-labs-imaging-7-0.pdf")</f>
        <v/>
      </c>
      <c r="E1227" t="n">
        <v>110002</v>
      </c>
      <c r="F1227" t="n">
        <v>37337</v>
      </c>
      <c r="G1227" t="inlineStr">
        <is>
          <t>Discharge summary</t>
        </is>
      </c>
      <c r="H1227" t="inlineStr">
        <is>
          <t>labs-imaging</t>
        </is>
      </c>
      <c r="I1227" t="inlineStr">
        <is>
          <t xml:space="preserve">
CT TORSO W/O CONTRAST Study Date of [**2117-10-28**]
IMPRESSION:
1.</t>
        </is>
      </c>
    </row>
    <row r="1228">
      <c r="A1228" t="inlineStr">
        <is>
          <t>37337-labs-imaging-7-1</t>
        </is>
      </c>
      <c r="B1228" t="inlineStr"/>
      <c r="C1228" t="inlineStr"/>
      <c r="D1228">
        <f>HYPERLINK("http://nlpdeep.cs.uic.edu:8080/proofing/t5/37337-labs-imaging-7-1.pdf","t5/37337-labs-imaging-7-1.pdf")</f>
        <v/>
      </c>
      <c r="E1228" t="n">
        <v>110002</v>
      </c>
      <c r="F1228" t="n">
        <v>37337</v>
      </c>
      <c r="G1228" t="inlineStr">
        <is>
          <t>Discharge summary</t>
        </is>
      </c>
      <c r="H1228" t="inlineStr">
        <is>
          <t>labs-imaging</t>
        </is>
      </c>
      <c r="I1228" t="inlineStr">
        <is>
          <t>Evaluation limited due to lack of IV contrast and streak
artifact from
overlying arms.</t>
        </is>
      </c>
    </row>
    <row r="1229">
      <c r="A1229" t="inlineStr">
        <is>
          <t>37337-labs-imaging-7-1</t>
        </is>
      </c>
      <c r="B1229" t="inlineStr"/>
      <c r="C1229" t="inlineStr"/>
      <c r="D1229">
        <f>HYPERLINK("http://nlpdeep.cs.uic.edu:8080/proofing/gsii/37337-labs-imaging-7-1.pdf","gsii/37337-labs-imaging-7-1.pdf")</f>
        <v/>
      </c>
      <c r="E1229" t="n">
        <v>110002</v>
      </c>
      <c r="F1229" t="n">
        <v>37337</v>
      </c>
      <c r="G1229" t="inlineStr">
        <is>
          <t>Discharge summary</t>
        </is>
      </c>
      <c r="H1229" t="inlineStr">
        <is>
          <t>labs-imaging</t>
        </is>
      </c>
      <c r="I1229" t="inlineStr">
        <is>
          <t>Evaluation limited due to lack of IV contrast and streak
artifact from
overlying arms.</t>
        </is>
      </c>
    </row>
    <row r="1230">
      <c r="A1230" t="inlineStr">
        <is>
          <t>37337-labs-imaging-7-2</t>
        </is>
      </c>
      <c r="B1230" t="inlineStr"/>
      <c r="C1230" t="inlineStr"/>
      <c r="D1230">
        <f>HYPERLINK("http://nlpdeep.cs.uic.edu:8080/proofing/t5/37337-labs-imaging-7-2.pdf","t5/37337-labs-imaging-7-2.pdf")</f>
        <v/>
      </c>
      <c r="E1230" t="n">
        <v>110002</v>
      </c>
      <c r="F1230" t="n">
        <v>37337</v>
      </c>
      <c r="G1230" t="inlineStr">
        <is>
          <t>Discharge summary</t>
        </is>
      </c>
      <c r="H1230" t="inlineStr">
        <is>
          <t>labs-imaging</t>
        </is>
      </c>
      <c r="I1230" t="inlineStr">
        <is>
          <t>Multifocal pneumonia as seen on recent chest
x-ray.</t>
        </is>
      </c>
    </row>
    <row r="1231">
      <c r="A1231" t="inlineStr">
        <is>
          <t>37337-labs-imaging-7-2</t>
        </is>
      </c>
      <c r="B1231" t="inlineStr"/>
      <c r="C1231" t="inlineStr"/>
      <c r="D1231">
        <f>HYPERLINK("http://nlpdeep.cs.uic.edu:8080/proofing/gsii/37337-labs-imaging-7-2.pdf","gsii/37337-labs-imaging-7-2.pdf")</f>
        <v/>
      </c>
      <c r="E1231" t="n">
        <v>110002</v>
      </c>
      <c r="F1231" t="n">
        <v>37337</v>
      </c>
      <c r="G1231" t="inlineStr">
        <is>
          <t>Discharge summary</t>
        </is>
      </c>
      <c r="H1231" t="inlineStr">
        <is>
          <t>labs-imaging</t>
        </is>
      </c>
      <c r="I1231" t="inlineStr">
        <is>
          <t>Multifocal pneumonia as seen on recent chest
x-ray.</t>
        </is>
      </c>
    </row>
    <row r="1232">
      <c r="A1232" t="inlineStr">
        <is>
          <t>37337-labs-imaging-7-3</t>
        </is>
      </c>
      <c r="B1232" t="inlineStr"/>
      <c r="C1232" t="inlineStr"/>
      <c r="D1232">
        <f>HYPERLINK("http://nlpdeep.cs.uic.edu:8080/proofing/t5/37337-labs-imaging-7-3.pdf","t5/37337-labs-imaging-7-3.pdf")</f>
        <v/>
      </c>
      <c r="E1232" t="n">
        <v>110002</v>
      </c>
      <c r="F1232" t="n">
        <v>37337</v>
      </c>
      <c r="G1232" t="inlineStr">
        <is>
          <t>Discharge summary</t>
        </is>
      </c>
      <c r="H1232" t="inlineStr">
        <is>
          <t>labs-imaging</t>
        </is>
      </c>
      <c r="I1232" t="inlineStr">
        <is>
          <t>Fatty liver.</t>
        </is>
      </c>
    </row>
    <row r="1233">
      <c r="A1233" t="inlineStr">
        <is>
          <t>37337-labs-imaging-7-3</t>
        </is>
      </c>
      <c r="B1233" t="inlineStr"/>
      <c r="C1233" t="inlineStr"/>
      <c r="D1233">
        <f>HYPERLINK("http://nlpdeep.cs.uic.edu:8080/proofing/gsii/37337-labs-imaging-7-3.pdf","gsii/37337-labs-imaging-7-3.pdf")</f>
        <v/>
      </c>
      <c r="E1233" t="n">
        <v>110002</v>
      </c>
      <c r="F1233" t="n">
        <v>37337</v>
      </c>
      <c r="G1233" t="inlineStr">
        <is>
          <t>Discharge summary</t>
        </is>
      </c>
      <c r="H1233" t="inlineStr">
        <is>
          <t>labs-imaging</t>
        </is>
      </c>
      <c r="I1233" t="inlineStr">
        <is>
          <t>Fatty liver.</t>
        </is>
      </c>
    </row>
    <row r="1234">
      <c r="A1234" t="inlineStr">
        <is>
          <t>37337-labs-imaging-7-4</t>
        </is>
      </c>
      <c r="B1234" t="inlineStr"/>
      <c r="C1234" t="inlineStr"/>
      <c r="D1234">
        <f>HYPERLINK("http://nlpdeep.cs.uic.edu:8080/proofing/t5/37337-labs-imaging-7-4.pdf","t5/37337-labs-imaging-7-4.pdf")</f>
        <v/>
      </c>
      <c r="E1234" t="n">
        <v>110002</v>
      </c>
      <c r="F1234" t="n">
        <v>37337</v>
      </c>
      <c r="G1234" t="inlineStr">
        <is>
          <t>Discharge summary</t>
        </is>
      </c>
      <c r="H1234" t="inlineStr">
        <is>
          <t>labs-imaging</t>
        </is>
      </c>
      <c r="I1234" t="inlineStr">
        <is>
          <t>Otherwise, non-contrast appearance of the
abdomen and pelvis is unremarkable except for small amount of
free fluid.</t>
        </is>
      </c>
    </row>
    <row r="1235">
      <c r="A1235" t="inlineStr">
        <is>
          <t>37337-labs-imaging-7-4</t>
        </is>
      </c>
      <c r="B1235" t="inlineStr"/>
      <c r="C1235" t="inlineStr"/>
      <c r="D1235">
        <f>HYPERLINK("http://nlpdeep.cs.uic.edu:8080/proofing/gsii/37337-labs-imaging-7-4.pdf","gsii/37337-labs-imaging-7-4.pdf")</f>
        <v/>
      </c>
      <c r="E1235" t="n">
        <v>110002</v>
      </c>
      <c r="F1235" t="n">
        <v>37337</v>
      </c>
      <c r="G1235" t="inlineStr">
        <is>
          <t>Discharge summary</t>
        </is>
      </c>
      <c r="H1235" t="inlineStr">
        <is>
          <t>labs-imaging</t>
        </is>
      </c>
      <c r="I1235" t="inlineStr">
        <is>
          <t>Otherwise, non-contrast appearance of the
abdomen and pelvis is unremarkable except for small amount of
free fluid.</t>
        </is>
      </c>
    </row>
    <row r="1236">
      <c r="A1236" t="inlineStr">
        <is>
          <t>37337-labs-imaging-8-0</t>
        </is>
      </c>
      <c r="B1236" t="inlineStr"/>
      <c r="C1236" t="inlineStr"/>
      <c r="D1236">
        <f>HYPERLINK("http://nlpdeep.cs.uic.edu:8080/proofing/t5/37337-labs-imaging-8-0.pdf","t5/37337-labs-imaging-8-0.pdf")</f>
        <v/>
      </c>
      <c r="E1236" t="n">
        <v>110002</v>
      </c>
      <c r="F1236" t="n">
        <v>37337</v>
      </c>
      <c r="G1236" t="inlineStr">
        <is>
          <t>Discharge summary</t>
        </is>
      </c>
      <c r="H1236" t="inlineStr">
        <is>
          <t>labs-imaging</t>
        </is>
      </c>
      <c r="I1236" t="inlineStr">
        <is>
          <t xml:space="preserve">
ECHOCARDIOGRAPHY [**2117-11-1**]
The left atrium is normal in size.</t>
        </is>
      </c>
    </row>
    <row r="1237">
      <c r="A1237" t="inlineStr">
        <is>
          <t>37337-labs-imaging-8-0</t>
        </is>
      </c>
      <c r="B1237" t="inlineStr"/>
      <c r="C1237" t="inlineStr"/>
      <c r="D1237">
        <f>HYPERLINK("http://nlpdeep.cs.uic.edu:8080/proofing/gsii/37337-labs-imaging-8-0.pdf","gsii/37337-labs-imaging-8-0.pdf")</f>
        <v/>
      </c>
      <c r="E1237" t="n">
        <v>110002</v>
      </c>
      <c r="F1237" t="n">
        <v>37337</v>
      </c>
      <c r="G1237" t="inlineStr">
        <is>
          <t>Discharge summary</t>
        </is>
      </c>
      <c r="H1237" t="inlineStr">
        <is>
          <t>labs-imaging</t>
        </is>
      </c>
      <c r="I1237" t="inlineStr">
        <is>
          <t xml:space="preserve">
ECHOCARDIOGRAPHY [**2117-11-1**]
The left atrium is normal in size.</t>
        </is>
      </c>
    </row>
    <row r="1238">
      <c r="A1238" t="inlineStr">
        <is>
          <t>37337-labs-imaging-8-1</t>
        </is>
      </c>
      <c r="B1238" t="inlineStr"/>
      <c r="C1238" t="inlineStr"/>
      <c r="D1238">
        <f>HYPERLINK("http://nlpdeep.cs.uic.edu:8080/proofing/t5/37337-labs-imaging-8-1.pdf","t5/37337-labs-imaging-8-1.pdf")</f>
        <v/>
      </c>
      <c r="E1238" t="n">
        <v>110002</v>
      </c>
      <c r="F1238" t="n">
        <v>37337</v>
      </c>
      <c r="G1238" t="inlineStr">
        <is>
          <t>Discharge summary</t>
        </is>
      </c>
      <c r="H1238" t="inlineStr">
        <is>
          <t>labs-imaging</t>
        </is>
      </c>
      <c r="I1238" t="inlineStr">
        <is>
          <t>No atrial septal defect is
seen by 2D or color Doppler.</t>
        </is>
      </c>
    </row>
    <row r="1239">
      <c r="A1239" t="inlineStr">
        <is>
          <t>37337-labs-imaging-8-1</t>
        </is>
      </c>
      <c r="B1239" t="inlineStr"/>
      <c r="C1239" t="inlineStr"/>
      <c r="D1239">
        <f>HYPERLINK("http://nlpdeep.cs.uic.edu:8080/proofing/gsii/37337-labs-imaging-8-1.pdf","gsii/37337-labs-imaging-8-1.pdf")</f>
        <v/>
      </c>
      <c r="E1239" t="n">
        <v>110002</v>
      </c>
      <c r="F1239" t="n">
        <v>37337</v>
      </c>
      <c r="G1239" t="inlineStr">
        <is>
          <t>Discharge summary</t>
        </is>
      </c>
      <c r="H1239" t="inlineStr">
        <is>
          <t>labs-imaging</t>
        </is>
      </c>
      <c r="I1239" t="inlineStr">
        <is>
          <t>No atrial septal defect is
seen by 2D or color Doppler.</t>
        </is>
      </c>
    </row>
    <row r="1240">
      <c r="A1240" t="inlineStr">
        <is>
          <t>37337-labs-imaging-8-2</t>
        </is>
      </c>
      <c r="B1240" t="inlineStr"/>
      <c r="C1240" t="inlineStr"/>
      <c r="D1240">
        <f>HYPERLINK("http://nlpdeep.cs.uic.edu:8080/proofing/t5/37337-labs-imaging-8-2.pdf","t5/37337-labs-imaging-8-2.pdf")</f>
        <v/>
      </c>
      <c r="E1240" t="n">
        <v>110002</v>
      </c>
      <c r="F1240" t="n">
        <v>37337</v>
      </c>
      <c r="G1240" t="inlineStr">
        <is>
          <t>Discharge summary</t>
        </is>
      </c>
      <c r="H1240" t="inlineStr">
        <is>
          <t>labs-imaging</t>
        </is>
      </c>
      <c r="I1240" t="inlineStr">
        <is>
          <t>Left ventricular wall thickness,
cavity size and regional/global systolic function are normal
(LVEF &gt;55%).</t>
        </is>
      </c>
    </row>
    <row r="1241">
      <c r="A1241" t="inlineStr">
        <is>
          <t>37337-labs-imaging-8-2</t>
        </is>
      </c>
      <c r="B1241" t="inlineStr"/>
      <c r="C1241" t="inlineStr"/>
      <c r="D1241">
        <f>HYPERLINK("http://nlpdeep.cs.uic.edu:8080/proofing/gsii/37337-labs-imaging-8-2.pdf","gsii/37337-labs-imaging-8-2.pdf")</f>
        <v/>
      </c>
      <c r="E1241" t="n">
        <v>110002</v>
      </c>
      <c r="F1241" t="n">
        <v>37337</v>
      </c>
      <c r="G1241" t="inlineStr">
        <is>
          <t>Discharge summary</t>
        </is>
      </c>
      <c r="H1241" t="inlineStr">
        <is>
          <t>labs-imaging</t>
        </is>
      </c>
      <c r="I1241" t="inlineStr">
        <is>
          <t>Left ventricular wall thickness,
cavity size and regional/global systolic function are normal
(LVEF &gt;55%).</t>
        </is>
      </c>
    </row>
    <row r="1242">
      <c r="A1242" t="inlineStr">
        <is>
          <t>37337-labs-imaging-8-3</t>
        </is>
      </c>
      <c r="B1242" t="inlineStr"/>
      <c r="C1242" t="inlineStr"/>
      <c r="D1242">
        <f>HYPERLINK("http://nlpdeep.cs.uic.edu:8080/proofing/t5/37337-labs-imaging-8-3.pdf","t5/37337-labs-imaging-8-3.pdf")</f>
        <v/>
      </c>
      <c r="E1242" t="n">
        <v>110002</v>
      </c>
      <c r="F1242" t="n">
        <v>37337</v>
      </c>
      <c r="G1242" t="inlineStr">
        <is>
          <t>Discharge summary</t>
        </is>
      </c>
      <c r="H1242" t="inlineStr">
        <is>
          <t>labs-imaging</t>
        </is>
      </c>
      <c r="I1242" t="inlineStr">
        <is>
          <t>There is no ventricular septal defect.</t>
        </is>
      </c>
    </row>
    <row r="1243">
      <c r="A1243" t="inlineStr">
        <is>
          <t>37337-labs-imaging-8-3</t>
        </is>
      </c>
      <c r="B1243" t="inlineStr"/>
      <c r="C1243" t="inlineStr"/>
      <c r="D1243">
        <f>HYPERLINK("http://nlpdeep.cs.uic.edu:8080/proofing/gsii/37337-labs-imaging-8-3.pdf","gsii/37337-labs-imaging-8-3.pdf")</f>
        <v/>
      </c>
      <c r="E1243" t="n">
        <v>110002</v>
      </c>
      <c r="F1243" t="n">
        <v>37337</v>
      </c>
      <c r="G1243" t="inlineStr">
        <is>
          <t>Discharge summary</t>
        </is>
      </c>
      <c r="H1243" t="inlineStr">
        <is>
          <t>labs-imaging</t>
        </is>
      </c>
      <c r="I1243" t="inlineStr">
        <is>
          <t>There is no ventricular septal defect.</t>
        </is>
      </c>
    </row>
    <row r="1244">
      <c r="A1244" t="inlineStr">
        <is>
          <t>37337-labs-imaging-8-4</t>
        </is>
      </c>
      <c r="B1244" t="inlineStr"/>
      <c r="C1244" t="inlineStr"/>
      <c r="D1244">
        <f>HYPERLINK("http://nlpdeep.cs.uic.edu:8080/proofing/t5/37337-labs-imaging-8-4.pdf","t5/37337-labs-imaging-8-4.pdf")</f>
        <v/>
      </c>
      <c r="E1244" t="n">
        <v>110002</v>
      </c>
      <c r="F1244" t="n">
        <v>37337</v>
      </c>
      <c r="G1244" t="inlineStr">
        <is>
          <t>Discharge summary</t>
        </is>
      </c>
      <c r="H1244" t="inlineStr">
        <is>
          <t>labs-imaging</t>
        </is>
      </c>
      <c r="I1244" t="inlineStr">
        <is>
          <t>The right
ventricular cavity is mildly dilated with borderline normal free
wall function.</t>
        </is>
      </c>
    </row>
    <row r="1245">
      <c r="A1245" t="inlineStr">
        <is>
          <t>37337-labs-imaging-8-4</t>
        </is>
      </c>
      <c r="B1245" t="inlineStr"/>
      <c r="C1245" t="inlineStr"/>
      <c r="D1245">
        <f>HYPERLINK("http://nlpdeep.cs.uic.edu:8080/proofing/gsii/37337-labs-imaging-8-4.pdf","gsii/37337-labs-imaging-8-4.pdf")</f>
        <v/>
      </c>
      <c r="E1245" t="n">
        <v>110002</v>
      </c>
      <c r="F1245" t="n">
        <v>37337</v>
      </c>
      <c r="G1245" t="inlineStr">
        <is>
          <t>Discharge summary</t>
        </is>
      </c>
      <c r="H1245" t="inlineStr">
        <is>
          <t>labs-imaging</t>
        </is>
      </c>
      <c r="I1245" t="inlineStr">
        <is>
          <t>The right
ventricular cavity is mildly dilated with borderline normal free
wall function.</t>
        </is>
      </c>
    </row>
    <row r="1246">
      <c r="A1246" t="inlineStr">
        <is>
          <t>37337-labs-imaging-8-5</t>
        </is>
      </c>
      <c r="B1246" t="inlineStr"/>
      <c r="C1246" t="inlineStr"/>
      <c r="D1246">
        <f>HYPERLINK("http://nlpdeep.cs.uic.edu:8080/proofing/t5/37337-labs-imaging-8-5.pdf","t5/37337-labs-imaging-8-5.pdf")</f>
        <v/>
      </c>
      <c r="E1246" t="n">
        <v>110002</v>
      </c>
      <c r="F1246" t="n">
        <v>37337</v>
      </c>
      <c r="G1246" t="inlineStr">
        <is>
          <t>Discharge summary</t>
        </is>
      </c>
      <c r="H1246" t="inlineStr">
        <is>
          <t>labs-imaging</t>
        </is>
      </c>
      <c r="I1246" t="inlineStr">
        <is>
          <t>The diameters of aorta at the sinus, ascending
and arch levels are normal.</t>
        </is>
      </c>
    </row>
    <row r="1247">
      <c r="A1247" t="inlineStr">
        <is>
          <t>37337-labs-imaging-8-5</t>
        </is>
      </c>
      <c r="B1247" t="inlineStr"/>
      <c r="C1247" t="inlineStr"/>
      <c r="D1247">
        <f>HYPERLINK("http://nlpdeep.cs.uic.edu:8080/proofing/gsii/37337-labs-imaging-8-5.pdf","gsii/37337-labs-imaging-8-5.pdf")</f>
        <v/>
      </c>
      <c r="E1247" t="n">
        <v>110002</v>
      </c>
      <c r="F1247" t="n">
        <v>37337</v>
      </c>
      <c r="G1247" t="inlineStr">
        <is>
          <t>Discharge summary</t>
        </is>
      </c>
      <c r="H1247" t="inlineStr">
        <is>
          <t>labs-imaging</t>
        </is>
      </c>
      <c r="I1247" t="inlineStr">
        <is>
          <t>The diameters of aorta at the sinus, ascending
and arch levels are normal.</t>
        </is>
      </c>
    </row>
    <row r="1248">
      <c r="A1248" t="inlineStr">
        <is>
          <t>37337-labs-imaging-8-6</t>
        </is>
      </c>
      <c r="B1248" t="inlineStr"/>
      <c r="C1248" t="inlineStr"/>
      <c r="D1248">
        <f>HYPERLINK("http://nlpdeep.cs.uic.edu:8080/proofing/t5/37337-labs-imaging-8-6.pdf","t5/37337-labs-imaging-8-6.pdf")</f>
        <v/>
      </c>
      <c r="E1248" t="n">
        <v>110002</v>
      </c>
      <c r="F1248" t="n">
        <v>37337</v>
      </c>
      <c r="G1248" t="inlineStr">
        <is>
          <t>Discharge summary</t>
        </is>
      </c>
      <c r="H1248" t="inlineStr">
        <is>
          <t>labs-imaging</t>
        </is>
      </c>
      <c r="I1248" t="inlineStr">
        <is>
          <t>The aortic valve leaflets (3) appear
structurally normal with good leaflet excursion and no aortic
regurgitation.</t>
        </is>
      </c>
    </row>
    <row r="1249">
      <c r="A1249" t="inlineStr">
        <is>
          <t>37337-labs-imaging-8-6</t>
        </is>
      </c>
      <c r="B1249" t="inlineStr"/>
      <c r="C1249" t="inlineStr"/>
      <c r="D1249">
        <f>HYPERLINK("http://nlpdeep.cs.uic.edu:8080/proofing/gsii/37337-labs-imaging-8-6.pdf","gsii/37337-labs-imaging-8-6.pdf")</f>
        <v/>
      </c>
      <c r="E1249" t="n">
        <v>110002</v>
      </c>
      <c r="F1249" t="n">
        <v>37337</v>
      </c>
      <c r="G1249" t="inlineStr">
        <is>
          <t>Discharge summary</t>
        </is>
      </c>
      <c r="H1249" t="inlineStr">
        <is>
          <t>labs-imaging</t>
        </is>
      </c>
      <c r="I1249" t="inlineStr">
        <is>
          <t>The aortic valve leaflets (3) appear
structurally normal with good leaflet excursion and no aortic
regurgitation.</t>
        </is>
      </c>
    </row>
    <row r="1250">
      <c r="A1250" t="inlineStr">
        <is>
          <t>37337-labs-imaging-8-7</t>
        </is>
      </c>
      <c r="B1250" t="inlineStr"/>
      <c r="C1250" t="inlineStr"/>
      <c r="D1250">
        <f>HYPERLINK("http://nlpdeep.cs.uic.edu:8080/proofing/t5/37337-labs-imaging-8-7.pdf","t5/37337-labs-imaging-8-7.pdf")</f>
        <v/>
      </c>
      <c r="E1250" t="n">
        <v>110002</v>
      </c>
      <c r="F1250" t="n">
        <v>37337</v>
      </c>
      <c r="G1250" t="inlineStr">
        <is>
          <t>Discharge summary</t>
        </is>
      </c>
      <c r="H1250" t="inlineStr">
        <is>
          <t>labs-imaging</t>
        </is>
      </c>
      <c r="I1250" t="inlineStr">
        <is>
          <t>No masses or vegetations are seen on the aortic
valve.</t>
        </is>
      </c>
    </row>
    <row r="1251">
      <c r="A1251" t="inlineStr">
        <is>
          <t>37337-labs-imaging-8-7</t>
        </is>
      </c>
      <c r="B1251" t="inlineStr"/>
      <c r="C1251" t="inlineStr"/>
      <c r="D1251">
        <f>HYPERLINK("http://nlpdeep.cs.uic.edu:8080/proofing/gsii/37337-labs-imaging-8-7.pdf","gsii/37337-labs-imaging-8-7.pdf")</f>
        <v/>
      </c>
      <c r="E1251" t="n">
        <v>110002</v>
      </c>
      <c r="F1251" t="n">
        <v>37337</v>
      </c>
      <c r="G1251" t="inlineStr">
        <is>
          <t>Discharge summary</t>
        </is>
      </c>
      <c r="H1251" t="inlineStr">
        <is>
          <t>labs-imaging</t>
        </is>
      </c>
      <c r="I1251" t="inlineStr">
        <is>
          <t>No masses or vegetations are seen on the aortic
valve.</t>
        </is>
      </c>
    </row>
    <row r="1252">
      <c r="A1252" t="inlineStr">
        <is>
          <t>37337-labs-imaging-8-8</t>
        </is>
      </c>
      <c r="B1252" t="inlineStr"/>
      <c r="C1252" t="inlineStr"/>
      <c r="D1252">
        <f>HYPERLINK("http://nlpdeep.cs.uic.edu:8080/proofing/t5/37337-labs-imaging-8-8.pdf","t5/37337-labs-imaging-8-8.pdf")</f>
        <v/>
      </c>
      <c r="E1252" t="n">
        <v>110002</v>
      </c>
      <c r="F1252" t="n">
        <v>37337</v>
      </c>
      <c r="G1252" t="inlineStr">
        <is>
          <t>Discharge summary</t>
        </is>
      </c>
      <c r="H1252" t="inlineStr">
        <is>
          <t>labs-imaging</t>
        </is>
      </c>
      <c r="I1252" t="inlineStr">
        <is>
          <t>The mitral valve appears structurally normal with trivial
mitral regurgitation.</t>
        </is>
      </c>
    </row>
    <row r="1253">
      <c r="A1253" t="inlineStr">
        <is>
          <t>37337-labs-imaging-8-8</t>
        </is>
      </c>
      <c r="B1253" t="inlineStr"/>
      <c r="C1253" t="inlineStr"/>
      <c r="D1253">
        <f>HYPERLINK("http://nlpdeep.cs.uic.edu:8080/proofing/gsii/37337-labs-imaging-8-8.pdf","gsii/37337-labs-imaging-8-8.pdf")</f>
        <v/>
      </c>
      <c r="E1253" t="n">
        <v>110002</v>
      </c>
      <c r="F1253" t="n">
        <v>37337</v>
      </c>
      <c r="G1253" t="inlineStr">
        <is>
          <t>Discharge summary</t>
        </is>
      </c>
      <c r="H1253" t="inlineStr">
        <is>
          <t>labs-imaging</t>
        </is>
      </c>
      <c r="I1253" t="inlineStr">
        <is>
          <t>The mitral valve appears structurally normal with trivial
mitral regurgitation.</t>
        </is>
      </c>
    </row>
    <row r="1254">
      <c r="A1254" t="inlineStr">
        <is>
          <t>37337-labs-imaging-8-9</t>
        </is>
      </c>
      <c r="B1254" t="inlineStr"/>
      <c r="C1254" t="inlineStr"/>
      <c r="D1254">
        <f>HYPERLINK("http://nlpdeep.cs.uic.edu:8080/proofing/t5/37337-labs-imaging-8-9.pdf","t5/37337-labs-imaging-8-9.pdf")</f>
        <v/>
      </c>
      <c r="E1254" t="n">
        <v>110002</v>
      </c>
      <c r="F1254" t="n">
        <v>37337</v>
      </c>
      <c r="G1254" t="inlineStr">
        <is>
          <t>Discharge summary</t>
        </is>
      </c>
      <c r="H1254" t="inlineStr">
        <is>
          <t>labs-imaging</t>
        </is>
      </c>
      <c r="I1254" t="inlineStr">
        <is>
          <t>There is no mitral valve prolapse.</t>
        </is>
      </c>
    </row>
    <row r="1255">
      <c r="A1255" t="inlineStr">
        <is>
          <t>37337-labs-imaging-8-9</t>
        </is>
      </c>
      <c r="B1255" t="inlineStr"/>
      <c r="C1255" t="inlineStr"/>
      <c r="D1255">
        <f>HYPERLINK("http://nlpdeep.cs.uic.edu:8080/proofing/gsii/37337-labs-imaging-8-9.pdf","gsii/37337-labs-imaging-8-9.pdf")</f>
        <v/>
      </c>
      <c r="E1255" t="n">
        <v>110002</v>
      </c>
      <c r="F1255" t="n">
        <v>37337</v>
      </c>
      <c r="G1255" t="inlineStr">
        <is>
          <t>Discharge summary</t>
        </is>
      </c>
      <c r="H1255" t="inlineStr">
        <is>
          <t>labs-imaging</t>
        </is>
      </c>
      <c r="I1255" t="inlineStr">
        <is>
          <t>There is no mitral valve prolapse.</t>
        </is>
      </c>
    </row>
    <row r="1256">
      <c r="A1256" t="inlineStr">
        <is>
          <t>37337-labs-imaging-8-10</t>
        </is>
      </c>
      <c r="B1256" t="inlineStr"/>
      <c r="C1256" t="inlineStr"/>
      <c r="D1256">
        <f>HYPERLINK("http://nlpdeep.cs.uic.edu:8080/proofing/t5/37337-labs-imaging-8-10.pdf","t5/37337-labs-imaging-8-10.pdf")</f>
        <v/>
      </c>
      <c r="E1256" t="n">
        <v>110002</v>
      </c>
      <c r="F1256" t="n">
        <v>37337</v>
      </c>
      <c r="G1256" t="inlineStr">
        <is>
          <t>Discharge summary</t>
        </is>
      </c>
      <c r="H1256" t="inlineStr">
        <is>
          <t>labs-imaging</t>
        </is>
      </c>
      <c r="I1256" t="inlineStr">
        <is>
          <t>No mass
or vegetation is seen on the mitral valve.</t>
        </is>
      </c>
    </row>
    <row r="1257">
      <c r="A1257" t="inlineStr">
        <is>
          <t>37337-labs-imaging-8-10</t>
        </is>
      </c>
      <c r="B1257" t="inlineStr"/>
      <c r="C1257" t="inlineStr"/>
      <c r="D1257">
        <f>HYPERLINK("http://nlpdeep.cs.uic.edu:8080/proofing/gsii/37337-labs-imaging-8-10.pdf","gsii/37337-labs-imaging-8-10.pdf")</f>
        <v/>
      </c>
      <c r="E1257" t="n">
        <v>110002</v>
      </c>
      <c r="F1257" t="n">
        <v>37337</v>
      </c>
      <c r="G1257" t="inlineStr">
        <is>
          <t>Discharge summary</t>
        </is>
      </c>
      <c r="H1257" t="inlineStr">
        <is>
          <t>labs-imaging</t>
        </is>
      </c>
      <c r="I1257" t="inlineStr">
        <is>
          <t>No mass
or vegetation is seen on the mitral valve.</t>
        </is>
      </c>
    </row>
    <row r="1258">
      <c r="A1258" t="inlineStr">
        <is>
          <t>37337-labs-imaging-8-11</t>
        </is>
      </c>
      <c r="B1258" t="inlineStr"/>
      <c r="C1258" t="inlineStr"/>
      <c r="D1258">
        <f>HYPERLINK("http://nlpdeep.cs.uic.edu:8080/proofing/t5/37337-labs-imaging-8-11.pdf","t5/37337-labs-imaging-8-11.pdf")</f>
        <v/>
      </c>
      <c r="E1258" t="n">
        <v>110002</v>
      </c>
      <c r="F1258" t="n">
        <v>37337</v>
      </c>
      <c r="G1258" t="inlineStr">
        <is>
          <t>Discharge summary</t>
        </is>
      </c>
      <c r="H1258" t="inlineStr">
        <is>
          <t>labs-imaging</t>
        </is>
      </c>
      <c r="I1258" t="inlineStr">
        <is>
          <t>The pulmonary artery
systolic pressure could not be determined.</t>
        </is>
      </c>
    </row>
    <row r="1259">
      <c r="A1259" t="inlineStr">
        <is>
          <t>37337-labs-imaging-8-11</t>
        </is>
      </c>
      <c r="B1259" t="inlineStr"/>
      <c r="C1259" t="inlineStr"/>
      <c r="D1259">
        <f>HYPERLINK("http://nlpdeep.cs.uic.edu:8080/proofing/gsii/37337-labs-imaging-8-11.pdf","gsii/37337-labs-imaging-8-11.pdf")</f>
        <v/>
      </c>
      <c r="E1259" t="n">
        <v>110002</v>
      </c>
      <c r="F1259" t="n">
        <v>37337</v>
      </c>
      <c r="G1259" t="inlineStr">
        <is>
          <t>Discharge summary</t>
        </is>
      </c>
      <c r="H1259" t="inlineStr">
        <is>
          <t>labs-imaging</t>
        </is>
      </c>
      <c r="I1259" t="inlineStr">
        <is>
          <t>The pulmonary artery
systolic pressure could not be determined.</t>
        </is>
      </c>
    </row>
    <row r="1260">
      <c r="A1260" t="inlineStr">
        <is>
          <t>37337-labs-imaging-8-12</t>
        </is>
      </c>
      <c r="B1260" t="inlineStr"/>
      <c r="C1260" t="inlineStr"/>
      <c r="D1260">
        <f>HYPERLINK("http://nlpdeep.cs.uic.edu:8080/proofing/t5/37337-labs-imaging-8-12.pdf","t5/37337-labs-imaging-8-12.pdf")</f>
        <v/>
      </c>
      <c r="E1260" t="n">
        <v>110002</v>
      </c>
      <c r="F1260" t="n">
        <v>37337</v>
      </c>
      <c r="G1260" t="inlineStr">
        <is>
          <t>Discharge summary</t>
        </is>
      </c>
      <c r="H1260" t="inlineStr">
        <is>
          <t>labs-imaging</t>
        </is>
      </c>
      <c r="I1260" t="inlineStr">
        <is>
          <t>No vegetation/mass is
seen on the pulmonic valve.</t>
        </is>
      </c>
    </row>
    <row r="1261">
      <c r="A1261" t="inlineStr">
        <is>
          <t>37337-labs-imaging-8-12</t>
        </is>
      </c>
      <c r="B1261" t="inlineStr"/>
      <c r="C1261" t="inlineStr"/>
      <c r="D1261">
        <f>HYPERLINK("http://nlpdeep.cs.uic.edu:8080/proofing/gsii/37337-labs-imaging-8-12.pdf","gsii/37337-labs-imaging-8-12.pdf")</f>
        <v/>
      </c>
      <c r="E1261" t="n">
        <v>110002</v>
      </c>
      <c r="F1261" t="n">
        <v>37337</v>
      </c>
      <c r="G1261" t="inlineStr">
        <is>
          <t>Discharge summary</t>
        </is>
      </c>
      <c r="H1261" t="inlineStr">
        <is>
          <t>labs-imaging</t>
        </is>
      </c>
      <c r="I1261" t="inlineStr">
        <is>
          <t>No vegetation/mass is
seen on the pulmonic valve.</t>
        </is>
      </c>
    </row>
    <row r="1262">
      <c r="A1262" t="inlineStr">
        <is>
          <t>37337-labs-imaging-8-13</t>
        </is>
      </c>
      <c r="B1262" t="inlineStr"/>
      <c r="C1262" t="inlineStr"/>
      <c r="D1262">
        <f>HYPERLINK("http://nlpdeep.cs.uic.edu:8080/proofing/t5/37337-labs-imaging-8-13.pdf","t5/37337-labs-imaging-8-13.pdf")</f>
        <v/>
      </c>
      <c r="E1262" t="n">
        <v>110002</v>
      </c>
      <c r="F1262" t="n">
        <v>37337</v>
      </c>
      <c r="G1262" t="inlineStr">
        <is>
          <t>Discharge summary</t>
        </is>
      </c>
      <c r="H1262" t="inlineStr">
        <is>
          <t>labs-imaging</t>
        </is>
      </c>
      <c r="I1262" t="inlineStr">
        <is>
          <t>There is no pericardial effusion.</t>
        </is>
      </c>
    </row>
    <row r="1263">
      <c r="A1263" t="inlineStr">
        <is>
          <t>37337-labs-imaging-8-13</t>
        </is>
      </c>
      <c r="B1263" t="inlineStr"/>
      <c r="C1263" t="inlineStr"/>
      <c r="D1263">
        <f>HYPERLINK("http://nlpdeep.cs.uic.edu:8080/proofing/gsii/37337-labs-imaging-8-13.pdf","gsii/37337-labs-imaging-8-13.pdf")</f>
        <v/>
      </c>
      <c r="E1263" t="n">
        <v>110002</v>
      </c>
      <c r="F1263" t="n">
        <v>37337</v>
      </c>
      <c r="G1263" t="inlineStr">
        <is>
          <t>Discharge summary</t>
        </is>
      </c>
      <c r="H1263" t="inlineStr">
        <is>
          <t>labs-imaging</t>
        </is>
      </c>
      <c r="I1263" t="inlineStr">
        <is>
          <t>There is no pericardial effusion.</t>
        </is>
      </c>
    </row>
    <row r="1264">
      <c r="A1264" t="inlineStr">
        <is>
          <t>37337-labs-imaging-9-0</t>
        </is>
      </c>
      <c r="B1264" t="inlineStr"/>
      <c r="C1264" t="inlineStr"/>
      <c r="D1264">
        <f>HYPERLINK("http://nlpdeep.cs.uic.edu:8080/proofing/t5/37337-labs-imaging-9-0.pdf","t5/37337-labs-imaging-9-0.pdf")</f>
        <v/>
      </c>
      <c r="E1264" t="n">
        <v>110002</v>
      </c>
      <c r="F1264" t="n">
        <v>37337</v>
      </c>
      <c r="G1264" t="inlineStr">
        <is>
          <t>Discharge summary</t>
        </is>
      </c>
      <c r="H1264" t="inlineStr">
        <is>
          <t>labs-imaging</t>
        </is>
      </c>
      <c r="I1264" t="inlineStr">
        <is>
          <t xml:space="preserve">
CHEST (PORTABLE AP) Study Date of [**2117-11-16**]
FINDINGS: In comparison with study of [**11-15**], there is little
overall change in the appearance of the cardiomediastinal
silhouette with extensive right paratracheal thickening.</t>
        </is>
      </c>
    </row>
    <row r="1265">
      <c r="A1265" t="inlineStr">
        <is>
          <t>37337-labs-imaging-9-0</t>
        </is>
      </c>
      <c r="B1265" t="inlineStr"/>
      <c r="C1265" t="inlineStr"/>
      <c r="D1265">
        <f>HYPERLINK("http://nlpdeep.cs.uic.edu:8080/proofing/gsii/37337-labs-imaging-9-0.pdf","gsii/37337-labs-imaging-9-0.pdf")</f>
        <v/>
      </c>
      <c r="E1265" t="n">
        <v>110002</v>
      </c>
      <c r="F1265" t="n">
        <v>37337</v>
      </c>
      <c r="G1265" t="inlineStr">
        <is>
          <t>Discharge summary</t>
        </is>
      </c>
      <c r="H1265" t="inlineStr">
        <is>
          <t>labs-imaging</t>
        </is>
      </c>
      <c r="I1265" t="inlineStr">
        <is>
          <t xml:space="preserve">
CHEST (PORTABLE AP) Study Date of [**2117-11-16**]
FINDINGS: In comparison with study of [**11-15**], there is little
overall change in the appearance of the cardiomediastinal
silhouette with extensive right paratracheal thickening.</t>
        </is>
      </c>
    </row>
    <row r="1266">
      <c r="A1266" t="inlineStr">
        <is>
          <t>37337-labs-imaging-9-1</t>
        </is>
      </c>
      <c r="B1266" t="inlineStr"/>
      <c r="C1266" t="inlineStr"/>
      <c r="D1266">
        <f>HYPERLINK("http://nlpdeep.cs.uic.edu:8080/proofing/t5/37337-labs-imaging-9-1.pdf","t5/37337-labs-imaging-9-1.pdf")</f>
        <v/>
      </c>
      <c r="E1266" t="n">
        <v>110002</v>
      </c>
      <c r="F1266" t="n">
        <v>37337</v>
      </c>
      <c r="G1266" t="inlineStr">
        <is>
          <t>Discharge summary</t>
        </is>
      </c>
      <c r="H1266" t="inlineStr">
        <is>
          <t>labs-imaging</t>
        </is>
      </c>
      <c r="I1266" t="inlineStr">
        <is>
          <t xml:space="preserve">
Extensive left lung consolidation has somewhat decreased since
the previous study.</t>
        </is>
      </c>
    </row>
    <row r="1267">
      <c r="A1267" t="inlineStr">
        <is>
          <t>37337-labs-imaging-9-1</t>
        </is>
      </c>
      <c r="B1267" t="inlineStr"/>
      <c r="C1267" t="inlineStr"/>
      <c r="D1267">
        <f>HYPERLINK("http://nlpdeep.cs.uic.edu:8080/proofing/gsii/37337-labs-imaging-9-1.pdf","gsii/37337-labs-imaging-9-1.pdf")</f>
        <v/>
      </c>
      <c r="E1267" t="n">
        <v>110002</v>
      </c>
      <c r="F1267" t="n">
        <v>37337</v>
      </c>
      <c r="G1267" t="inlineStr">
        <is>
          <t>Discharge summary</t>
        </is>
      </c>
      <c r="H1267" t="inlineStr">
        <is>
          <t>labs-imaging</t>
        </is>
      </c>
      <c r="I1267" t="inlineStr">
        <is>
          <t xml:space="preserve">
Extensive left lung consolidation has somewhat decreased since
the previous study.</t>
        </is>
      </c>
    </row>
    <row r="1268">
      <c r="A1268" t="inlineStr">
        <is>
          <t>37337-labs-imaging-9-2</t>
        </is>
      </c>
      <c r="B1268" t="inlineStr"/>
      <c r="C1268" t="inlineStr"/>
      <c r="D1268">
        <f>HYPERLINK("http://nlpdeep.cs.uic.edu:8080/proofing/t5/37337-labs-imaging-9-2.pdf","t5/37337-labs-imaging-9-2.pdf")</f>
        <v/>
      </c>
      <c r="E1268" t="n">
        <v>110002</v>
      </c>
      <c r="F1268" t="n">
        <v>37337</v>
      </c>
      <c r="G1268" t="inlineStr">
        <is>
          <t>Discharge summary</t>
        </is>
      </c>
      <c r="H1268" t="inlineStr">
        <is>
          <t>labs-imaging</t>
        </is>
      </c>
      <c r="I1268" t="inlineStr">
        <is>
          <t>Also, the area of opacification in the right
lung has improved.</t>
        </is>
      </c>
    </row>
    <row r="1269">
      <c r="A1269" t="inlineStr">
        <is>
          <t>37337-labs-imaging-9-2</t>
        </is>
      </c>
      <c r="B1269" t="inlineStr"/>
      <c r="C1269" t="inlineStr"/>
      <c r="D1269">
        <f>HYPERLINK("http://nlpdeep.cs.uic.edu:8080/proofing/gsii/37337-labs-imaging-9-2.pdf","gsii/37337-labs-imaging-9-2.pdf")</f>
        <v/>
      </c>
      <c r="E1269" t="n">
        <v>110002</v>
      </c>
      <c r="F1269" t="n">
        <v>37337</v>
      </c>
      <c r="G1269" t="inlineStr">
        <is>
          <t>Discharge summary</t>
        </is>
      </c>
      <c r="H1269" t="inlineStr">
        <is>
          <t>labs-imaging</t>
        </is>
      </c>
      <c r="I1269" t="inlineStr">
        <is>
          <t>Also, the area of opacification in the right
lung has improved.</t>
        </is>
      </c>
    </row>
    <row r="1270">
      <c r="A1270" t="inlineStr">
        <is>
          <t>37337-labs-imaging-10-0</t>
        </is>
      </c>
      <c r="B1270" t="inlineStr"/>
      <c r="C1270" t="inlineStr"/>
      <c r="D1270">
        <f>HYPERLINK("http://nlpdeep.cs.uic.edu:8080/proofing/t5/37337-labs-imaging-10-0.pdf","t5/37337-labs-imaging-10-0.pdf")</f>
        <v/>
      </c>
      <c r="E1270" t="n">
        <v>110002</v>
      </c>
      <c r="F1270" t="n">
        <v>37337</v>
      </c>
      <c r="G1270" t="inlineStr">
        <is>
          <t>Discharge summary</t>
        </is>
      </c>
      <c r="H1270" t="inlineStr">
        <is>
          <t>labs-imaging</t>
        </is>
      </c>
      <c r="I1270" t="inlineStr">
        <is>
          <t xml:space="preserve">
MR HEAD W/O CONTRAST Study Date of [**2117-11-22**]
IMPRESSION:
1.</t>
        </is>
      </c>
    </row>
    <row r="1271">
      <c r="A1271" t="inlineStr">
        <is>
          <t>37337-labs-imaging-10-0</t>
        </is>
      </c>
      <c r="B1271" t="inlineStr"/>
      <c r="C1271" t="inlineStr"/>
      <c r="D1271">
        <f>HYPERLINK("http://nlpdeep.cs.uic.edu:8080/proofing/gsii/37337-labs-imaging-10-0.pdf","gsii/37337-labs-imaging-10-0.pdf")</f>
        <v/>
      </c>
      <c r="E1271" t="n">
        <v>110002</v>
      </c>
      <c r="F1271" t="n">
        <v>37337</v>
      </c>
      <c r="G1271" t="inlineStr">
        <is>
          <t>Discharge summary</t>
        </is>
      </c>
      <c r="H1271" t="inlineStr">
        <is>
          <t>labs-imaging</t>
        </is>
      </c>
      <c r="I1271" t="inlineStr">
        <is>
          <t xml:space="preserve">
MR HEAD W/O CONTRAST Study Date of [**2117-11-22**]
IMPRESSION:
1.</t>
        </is>
      </c>
    </row>
    <row r="1272">
      <c r="A1272" t="inlineStr">
        <is>
          <t>37337-labs-imaging-10-1</t>
        </is>
      </c>
      <c r="B1272" t="inlineStr"/>
      <c r="C1272" t="inlineStr"/>
      <c r="D1272">
        <f>HYPERLINK("http://nlpdeep.cs.uic.edu:8080/proofing/t5/37337-labs-imaging-10-1.pdf","t5/37337-labs-imaging-10-1.pdf")</f>
        <v/>
      </c>
      <c r="E1272" t="n">
        <v>110002</v>
      </c>
      <c r="F1272" t="n">
        <v>37337</v>
      </c>
      <c r="G1272" t="inlineStr">
        <is>
          <t>Discharge summary</t>
        </is>
      </c>
      <c r="H1272" t="inlineStr">
        <is>
          <t>labs-imaging</t>
        </is>
      </c>
      <c r="I1272" t="inlineStr">
        <is>
          <t>Extensive confluent T2 and FLAIR hyperintensities throughout
the centrum semiovale and peritrigonal regions without
restricted diffusion.</t>
        </is>
      </c>
    </row>
    <row r="1273">
      <c r="A1273" t="inlineStr">
        <is>
          <t>37337-labs-imaging-10-1</t>
        </is>
      </c>
      <c r="B1273" t="inlineStr"/>
      <c r="C1273" t="inlineStr"/>
      <c r="D1273">
        <f>HYPERLINK("http://nlpdeep.cs.uic.edu:8080/proofing/gsii/37337-labs-imaging-10-1.pdf","gsii/37337-labs-imaging-10-1.pdf")</f>
        <v/>
      </c>
      <c r="E1273" t="n">
        <v>110002</v>
      </c>
      <c r="F1273" t="n">
        <v>37337</v>
      </c>
      <c r="G1273" t="inlineStr">
        <is>
          <t>Discharge summary</t>
        </is>
      </c>
      <c r="H1273" t="inlineStr">
        <is>
          <t>labs-imaging</t>
        </is>
      </c>
      <c r="I1273" t="inlineStr">
        <is>
          <t>Extensive confluent T2 and FLAIR hyperintensities throughout
the centrum semiovale and peritrigonal regions without
restricted diffusion.</t>
        </is>
      </c>
    </row>
    <row r="1274">
      <c r="A1274" t="inlineStr">
        <is>
          <t>37337-labs-imaging-10-2</t>
        </is>
      </c>
      <c r="B1274" t="inlineStr"/>
      <c r="C1274" t="inlineStr"/>
      <c r="D1274">
        <f>HYPERLINK("http://nlpdeep.cs.uic.edu:8080/proofing/t5/37337-labs-imaging-10-2.pdf","t5/37337-labs-imaging-10-2.pdf")</f>
        <v/>
      </c>
      <c r="E1274" t="n">
        <v>110002</v>
      </c>
      <c r="F1274" t="n">
        <v>37337</v>
      </c>
      <c r="G1274" t="inlineStr">
        <is>
          <t>Discharge summary</t>
        </is>
      </c>
      <c r="H1274" t="inlineStr">
        <is>
          <t>labs-imaging</t>
        </is>
      </c>
      <c r="I1274" t="inlineStr">
        <is>
          <t>The findings most likely represent
sequelae of a systemic metabolic/hypoxic insult with additional
considerations to include infectious or HIV-related processes
such as PML or viral encephalopathy.</t>
        </is>
      </c>
    </row>
    <row r="1275">
      <c r="A1275" t="inlineStr">
        <is>
          <t>37337-labs-imaging-10-2</t>
        </is>
      </c>
      <c r="B1275" t="inlineStr"/>
      <c r="C1275" t="inlineStr"/>
      <c r="D1275">
        <f>HYPERLINK("http://nlpdeep.cs.uic.edu:8080/proofing/gsii/37337-labs-imaging-10-2.pdf","gsii/37337-labs-imaging-10-2.pdf")</f>
        <v/>
      </c>
      <c r="E1275" t="n">
        <v>110002</v>
      </c>
      <c r="F1275" t="n">
        <v>37337</v>
      </c>
      <c r="G1275" t="inlineStr">
        <is>
          <t>Discharge summary</t>
        </is>
      </c>
      <c r="H1275" t="inlineStr">
        <is>
          <t>labs-imaging</t>
        </is>
      </c>
      <c r="I1275" t="inlineStr">
        <is>
          <t>The findings most likely represent
sequelae of a systemic metabolic/hypoxic insult with additional
considerations to include infectious or HIV-related processes
such as PML or viral encephalopathy.</t>
        </is>
      </c>
    </row>
    <row r="1276">
      <c r="A1276" t="inlineStr">
        <is>
          <t>37337-labs-imaging-10-3</t>
        </is>
      </c>
      <c r="B1276" t="inlineStr"/>
      <c r="C1276" t="inlineStr"/>
      <c r="D1276">
        <f>HYPERLINK("http://nlpdeep.cs.uic.edu:8080/proofing/t5/37337-labs-imaging-10-3.pdf","t5/37337-labs-imaging-10-3.pdf")</f>
        <v/>
      </c>
      <c r="E1276" t="n">
        <v>110002</v>
      </c>
      <c r="F1276" t="n">
        <v>37337</v>
      </c>
      <c r="G1276" t="inlineStr">
        <is>
          <t>Discharge summary</t>
        </is>
      </c>
      <c r="H1276" t="inlineStr">
        <is>
          <t>labs-imaging</t>
        </is>
      </c>
      <c r="I1276" t="inlineStr">
        <is>
          <t>Given the marked
hypotension 3 weeks prior, the findings could represent evolving
watershed infarcts with pseudonormalization of the ADC map or
even osmotic demyelination in the appropriate context.</t>
        </is>
      </c>
    </row>
    <row r="1277">
      <c r="A1277" t="inlineStr">
        <is>
          <t>37337-labs-imaging-10-3</t>
        </is>
      </c>
      <c r="B1277" t="inlineStr"/>
      <c r="C1277" t="inlineStr"/>
      <c r="D1277">
        <f>HYPERLINK("http://nlpdeep.cs.uic.edu:8080/proofing/gsii/37337-labs-imaging-10-3.pdf","gsii/37337-labs-imaging-10-3.pdf")</f>
        <v/>
      </c>
      <c r="E1277" t="n">
        <v>110002</v>
      </c>
      <c r="F1277" t="n">
        <v>37337</v>
      </c>
      <c r="G1277" t="inlineStr">
        <is>
          <t>Discharge summary</t>
        </is>
      </c>
      <c r="H1277" t="inlineStr">
        <is>
          <t>labs-imaging</t>
        </is>
      </c>
      <c r="I1277" t="inlineStr">
        <is>
          <t>Given the marked
hypotension 3 weeks prior, the findings could represent evolving
watershed infarcts with pseudonormalization of the ADC map or
even osmotic demyelination in the appropriate context.</t>
        </is>
      </c>
    </row>
    <row r="1278">
      <c r="A1278" t="inlineStr">
        <is>
          <t>37337-labs-imaging-10-4</t>
        </is>
      </c>
      <c r="B1278" t="inlineStr"/>
      <c r="C1278" t="inlineStr"/>
      <c r="D1278">
        <f>HYPERLINK("http://nlpdeep.cs.uic.edu:8080/proofing/t5/37337-labs-imaging-10-4.pdf","t5/37337-labs-imaging-10-4.pdf")</f>
        <v/>
      </c>
      <c r="E1278" t="n">
        <v>110002</v>
      </c>
      <c r="F1278" t="n">
        <v>37337</v>
      </c>
      <c r="G1278" t="inlineStr">
        <is>
          <t>Discharge summary</t>
        </is>
      </c>
      <c r="H1278" t="inlineStr">
        <is>
          <t>labs-imaging</t>
        </is>
      </c>
      <c r="I1278" t="inlineStr">
        <is>
          <t xml:space="preserve">
Correlation with the patient's history and followup examination
with gadolinium administration is recommended in further
evaluation.</t>
        </is>
      </c>
    </row>
    <row r="1279">
      <c r="A1279" t="inlineStr">
        <is>
          <t>37337-labs-imaging-10-4</t>
        </is>
      </c>
      <c r="B1279" t="inlineStr"/>
      <c r="C1279" t="inlineStr"/>
      <c r="D1279">
        <f>HYPERLINK("http://nlpdeep.cs.uic.edu:8080/proofing/gsii/37337-labs-imaging-10-4.pdf","gsii/37337-labs-imaging-10-4.pdf")</f>
        <v/>
      </c>
      <c r="E1279" t="n">
        <v>110002</v>
      </c>
      <c r="F1279" t="n">
        <v>37337</v>
      </c>
      <c r="G1279" t="inlineStr">
        <is>
          <t>Discharge summary</t>
        </is>
      </c>
      <c r="H1279" t="inlineStr">
        <is>
          <t>labs-imaging</t>
        </is>
      </c>
      <c r="I1279" t="inlineStr">
        <is>
          <t xml:space="preserve">
Correlation with the patient's history and followup examination
with gadolinium administration is recommended in further
evaluation.</t>
        </is>
      </c>
    </row>
    <row r="1280">
      <c r="A1280" t="inlineStr">
        <is>
          <t>37337-labs-imaging-10-5</t>
        </is>
      </c>
      <c r="B1280" t="inlineStr"/>
      <c r="C1280" t="inlineStr"/>
      <c r="D1280">
        <f>HYPERLINK("http://nlpdeep.cs.uic.edu:8080/proofing/t5/37337-labs-imaging-10-5.pdf","t5/37337-labs-imaging-10-5.pdf")</f>
        <v/>
      </c>
      <c r="E1280" t="n">
        <v>110002</v>
      </c>
      <c r="F1280" t="n">
        <v>37337</v>
      </c>
      <c r="G1280" t="inlineStr">
        <is>
          <t>Discharge summary</t>
        </is>
      </c>
      <c r="H1280" t="inlineStr">
        <is>
          <t>labs-imaging</t>
        </is>
      </c>
      <c r="I1280" t="inlineStr">
        <is>
          <t>Bilateral mastoid air cell effusions as well as maxillary and
sphenoid
sinus disease, which may in part be related to recent
intubation.</t>
        </is>
      </c>
    </row>
    <row r="1281">
      <c r="A1281" t="inlineStr">
        <is>
          <t>37337-labs-imaging-10-5</t>
        </is>
      </c>
      <c r="B1281" t="inlineStr"/>
      <c r="C1281" t="inlineStr"/>
      <c r="D1281">
        <f>HYPERLINK("http://nlpdeep.cs.uic.edu:8080/proofing/gsii/37337-labs-imaging-10-5.pdf","gsii/37337-labs-imaging-10-5.pdf")</f>
        <v/>
      </c>
      <c r="E1281" t="n">
        <v>110002</v>
      </c>
      <c r="F1281" t="n">
        <v>37337</v>
      </c>
      <c r="G1281" t="inlineStr">
        <is>
          <t>Discharge summary</t>
        </is>
      </c>
      <c r="H1281" t="inlineStr">
        <is>
          <t>labs-imaging</t>
        </is>
      </c>
      <c r="I1281" t="inlineStr">
        <is>
          <t>Bilateral mastoid air cell effusions as well as maxillary and
sphenoid
sinus disease, which may in part be related to recent
intubation.</t>
        </is>
      </c>
    </row>
    <row r="1282">
      <c r="A1282" t="inlineStr">
        <is>
          <t>37337-labs-imaging-11-0</t>
        </is>
      </c>
      <c r="B1282" t="inlineStr"/>
      <c r="C1282" t="inlineStr"/>
      <c r="D1282">
        <f>HYPERLINK("http://nlpdeep.cs.uic.edu:8080/proofing/t5/37337-labs-imaging-11-0.pdf","t5/37337-labs-imaging-11-0.pdf")</f>
        <v/>
      </c>
      <c r="E1282" t="n">
        <v>110002</v>
      </c>
      <c r="F1282" t="n">
        <v>37337</v>
      </c>
      <c r="G1282" t="inlineStr">
        <is>
          <t>Discharge summary</t>
        </is>
      </c>
      <c r="H1282" t="inlineStr">
        <is>
          <t>labs-imaging</t>
        </is>
      </c>
      <c r="I1282" t="inlineStr">
        <is>
          <t xml:space="preserve">
MR HEAD W/ CONTRAST Study Date of [**2117-11-22**]
IMPRESSION: Patchy foci of enhancement throughout the signal
abnormality
within the centrum semiovale with primary differential
considerations again including metabolic/hypoxic processes.</t>
        </is>
      </c>
    </row>
    <row r="1283">
      <c r="A1283" t="inlineStr">
        <is>
          <t>37337-labs-imaging-11-0</t>
        </is>
      </c>
      <c r="B1283" t="inlineStr"/>
      <c r="C1283" t="inlineStr"/>
      <c r="D1283">
        <f>HYPERLINK("http://nlpdeep.cs.uic.edu:8080/proofing/gsii/37337-labs-imaging-11-0.pdf","gsii/37337-labs-imaging-11-0.pdf")</f>
        <v/>
      </c>
      <c r="E1283" t="n">
        <v>110002</v>
      </c>
      <c r="F1283" t="n">
        <v>37337</v>
      </c>
      <c r="G1283" t="inlineStr">
        <is>
          <t>Discharge summary</t>
        </is>
      </c>
      <c r="H1283" t="inlineStr">
        <is>
          <t>labs-imaging</t>
        </is>
      </c>
      <c r="I1283" t="inlineStr">
        <is>
          <t xml:space="preserve">
MR HEAD W/ CONTRAST Study Date of [**2117-11-22**]
IMPRESSION: Patchy foci of enhancement throughout the signal
abnormality
within the centrum semiovale with primary differential
considerations again including metabolic/hypoxic processes.</t>
        </is>
      </c>
    </row>
    <row r="1284">
      <c r="A1284" t="inlineStr">
        <is>
          <t>37337-labs-imaging-11-1</t>
        </is>
      </c>
      <c r="B1284" t="inlineStr"/>
      <c r="C1284" t="inlineStr"/>
      <c r="D1284">
        <f>HYPERLINK("http://nlpdeep.cs.uic.edu:8080/proofing/t5/37337-labs-imaging-11-1.pdf","t5/37337-labs-imaging-11-1.pdf")</f>
        <v/>
      </c>
      <c r="E1284" t="n">
        <v>110002</v>
      </c>
      <c r="F1284" t="n">
        <v>37337</v>
      </c>
      <c r="G1284" t="inlineStr">
        <is>
          <t>Discharge summary</t>
        </is>
      </c>
      <c r="H1284" t="inlineStr">
        <is>
          <t>labs-imaging</t>
        </is>
      </c>
      <c r="I1284" t="inlineStr">
        <is>
          <t>The
findings could relate to subacute infarcts relating to prior
watershed event or osmotic demyelination.</t>
        </is>
      </c>
    </row>
    <row r="1285">
      <c r="A1285" t="inlineStr">
        <is>
          <t>37337-labs-imaging-11-1</t>
        </is>
      </c>
      <c r="B1285" t="inlineStr"/>
      <c r="C1285" t="inlineStr"/>
      <c r="D1285">
        <f>HYPERLINK("http://nlpdeep.cs.uic.edu:8080/proofing/gsii/37337-labs-imaging-11-1.pdf","gsii/37337-labs-imaging-11-1.pdf")</f>
        <v/>
      </c>
      <c r="E1285" t="n">
        <v>110002</v>
      </c>
      <c r="F1285" t="n">
        <v>37337</v>
      </c>
      <c r="G1285" t="inlineStr">
        <is>
          <t>Discharge summary</t>
        </is>
      </c>
      <c r="H1285" t="inlineStr">
        <is>
          <t>labs-imaging</t>
        </is>
      </c>
      <c r="I1285" t="inlineStr">
        <is>
          <t>The
findings could relate to subacute infarcts relating to prior
watershed event or osmotic demyelination.</t>
        </is>
      </c>
    </row>
    <row r="1286">
      <c r="A1286" t="inlineStr">
        <is>
          <t>37337-labs-imaging-11-2</t>
        </is>
      </c>
      <c r="B1286" t="inlineStr"/>
      <c r="C1286" t="inlineStr"/>
      <c r="D1286">
        <f>HYPERLINK("http://nlpdeep.cs.uic.edu:8080/proofing/t5/37337-labs-imaging-11-2.pdf","t5/37337-labs-imaging-11-2.pdf")</f>
        <v/>
      </c>
      <c r="E1286" t="n">
        <v>110002</v>
      </c>
      <c r="F1286" t="n">
        <v>37337</v>
      </c>
      <c r="G1286" t="inlineStr">
        <is>
          <t>Discharge summary</t>
        </is>
      </c>
      <c r="H1286" t="inlineStr">
        <is>
          <t>labs-imaging</t>
        </is>
      </c>
      <c r="I1286" t="inlineStr">
        <is>
          <t>Correlation with CSF
sampling is recommended.</t>
        </is>
      </c>
    </row>
    <row r="1287">
      <c r="A1287" t="inlineStr">
        <is>
          <t>37337-labs-imaging-11-2</t>
        </is>
      </c>
      <c r="B1287" t="inlineStr"/>
      <c r="C1287" t="inlineStr"/>
      <c r="D1287">
        <f>HYPERLINK("http://nlpdeep.cs.uic.edu:8080/proofing/gsii/37337-labs-imaging-11-2.pdf","gsii/37337-labs-imaging-11-2.pdf")</f>
        <v/>
      </c>
      <c r="E1287" t="n">
        <v>110002</v>
      </c>
      <c r="F1287" t="n">
        <v>37337</v>
      </c>
      <c r="G1287" t="inlineStr">
        <is>
          <t>Discharge summary</t>
        </is>
      </c>
      <c r="H1287" t="inlineStr">
        <is>
          <t>labs-imaging</t>
        </is>
      </c>
      <c r="I1287" t="inlineStr">
        <is>
          <t>Correlation with CSF
sampling is recommended.</t>
        </is>
      </c>
    </row>
    <row r="1288">
      <c r="A1288" t="inlineStr">
        <is>
          <t>37337-labs-imaging-12-0</t>
        </is>
      </c>
      <c r="B1288" t="inlineStr"/>
      <c r="C1288" t="inlineStr"/>
      <c r="D1288">
        <f>HYPERLINK("http://nlpdeep.cs.uic.edu:8080/proofing/t5/37337-labs-imaging-12-0.pdf","t5/37337-labs-imaging-12-0.pdf")</f>
        <v/>
      </c>
      <c r="E1288" t="n">
        <v>110002</v>
      </c>
      <c r="F1288" t="n">
        <v>37337</v>
      </c>
      <c r="G1288" t="inlineStr">
        <is>
          <t>Discharge summary</t>
        </is>
      </c>
      <c r="H1288" t="inlineStr">
        <is>
          <t>labs-imaging</t>
        </is>
      </c>
      <c r="I1288" t="inlineStr">
        <is>
          <t xml:space="preserve">
EMG Study Date of [**2117-11-24**]
Clinical Interpretation: Complex abnormal study.</t>
        </is>
      </c>
    </row>
    <row r="1289">
      <c r="A1289" t="inlineStr">
        <is>
          <t>37337-labs-imaging-12-0</t>
        </is>
      </c>
      <c r="B1289" t="inlineStr"/>
      <c r="C1289" t="inlineStr"/>
      <c r="D1289">
        <f>HYPERLINK("http://nlpdeep.cs.uic.edu:8080/proofing/gsii/37337-labs-imaging-12-0.pdf","gsii/37337-labs-imaging-12-0.pdf")</f>
        <v/>
      </c>
      <c r="E1289" t="n">
        <v>110002</v>
      </c>
      <c r="F1289" t="n">
        <v>37337</v>
      </c>
      <c r="G1289" t="inlineStr">
        <is>
          <t>Discharge summary</t>
        </is>
      </c>
      <c r="H1289" t="inlineStr">
        <is>
          <t>labs-imaging</t>
        </is>
      </c>
      <c r="I1289" t="inlineStr">
        <is>
          <t xml:space="preserve">
EMG Study Date of [**2117-11-24**]
Clinical Interpretation: Complex abnormal study.</t>
        </is>
      </c>
    </row>
    <row r="1290">
      <c r="A1290" t="inlineStr">
        <is>
          <t>37337-labs-imaging-12-1</t>
        </is>
      </c>
      <c r="B1290" t="inlineStr"/>
      <c r="C1290" t="inlineStr"/>
      <c r="D1290">
        <f>HYPERLINK("http://nlpdeep.cs.uic.edu:8080/proofing/t5/37337-labs-imaging-12-1.pdf","t5/37337-labs-imaging-12-1.pdf")</f>
        <v/>
      </c>
      <c r="E1290" t="n">
        <v>110002</v>
      </c>
      <c r="F1290" t="n">
        <v>37337</v>
      </c>
      <c r="G1290" t="inlineStr">
        <is>
          <t>Discharge summary</t>
        </is>
      </c>
      <c r="H1290" t="inlineStr">
        <is>
          <t>labs-imaging</t>
        </is>
      </c>
      <c r="I1290" t="inlineStr">
        <is>
          <t>There is
electrophysiologic evidence for a mild sensorimotor neuropathy
with demyelinating and axonal features.</t>
        </is>
      </c>
    </row>
    <row r="1291">
      <c r="A1291" t="inlineStr">
        <is>
          <t>37337-labs-imaging-12-1</t>
        </is>
      </c>
      <c r="B1291" t="inlineStr"/>
      <c r="C1291" t="inlineStr"/>
      <c r="D1291">
        <f>HYPERLINK("http://nlpdeep.cs.uic.edu:8080/proofing/gsii/37337-labs-imaging-12-1.pdf","gsii/37337-labs-imaging-12-1.pdf")</f>
        <v/>
      </c>
      <c r="E1291" t="n">
        <v>110002</v>
      </c>
      <c r="F1291" t="n">
        <v>37337</v>
      </c>
      <c r="G1291" t="inlineStr">
        <is>
          <t>Discharge summary</t>
        </is>
      </c>
      <c r="H1291" t="inlineStr">
        <is>
          <t>labs-imaging</t>
        </is>
      </c>
      <c r="I1291" t="inlineStr">
        <is>
          <t>There is
electrophysiologic evidence for a mild sensorimotor neuropathy
with demyelinating and axonal features.</t>
        </is>
      </c>
    </row>
    <row r="1292">
      <c r="A1292" t="inlineStr">
        <is>
          <t>37337-labs-imaging-12-2</t>
        </is>
      </c>
      <c r="B1292" t="inlineStr"/>
      <c r="C1292" t="inlineStr"/>
      <c r="D1292">
        <f>HYPERLINK("http://nlpdeep.cs.uic.edu:8080/proofing/t5/37337-labs-imaging-12-2.pdf","t5/37337-labs-imaging-12-2.pdf")</f>
        <v/>
      </c>
      <c r="E1292" t="n">
        <v>110002</v>
      </c>
      <c r="F1292" t="n">
        <v>37337</v>
      </c>
      <c r="G1292" t="inlineStr">
        <is>
          <t>Discharge summary</t>
        </is>
      </c>
      <c r="H1292" t="inlineStr">
        <is>
          <t>labs-imaging</t>
        </is>
      </c>
      <c r="I1292" t="inlineStr">
        <is>
          <t>Although this can be
seen in diabetes, the EMG reveals ongoing denervation and
chronic reinnervation in the upper and lower extremities,
suggesting a subacute process.</t>
        </is>
      </c>
    </row>
    <row r="1293">
      <c r="A1293" t="inlineStr">
        <is>
          <t>37337-labs-imaging-12-2</t>
        </is>
      </c>
      <c r="B1293" t="inlineStr"/>
      <c r="C1293" t="inlineStr"/>
      <c r="D1293">
        <f>HYPERLINK("http://nlpdeep.cs.uic.edu:8080/proofing/gsii/37337-labs-imaging-12-2.pdf","gsii/37337-labs-imaging-12-2.pdf")</f>
        <v/>
      </c>
      <c r="E1293" t="n">
        <v>110002</v>
      </c>
      <c r="F1293" t="n">
        <v>37337</v>
      </c>
      <c r="G1293" t="inlineStr">
        <is>
          <t>Discharge summary</t>
        </is>
      </c>
      <c r="H1293" t="inlineStr">
        <is>
          <t>labs-imaging</t>
        </is>
      </c>
      <c r="I1293" t="inlineStr">
        <is>
          <t>Although this can be
seen in diabetes, the EMG reveals ongoing denervation and
chronic reinnervation in the upper and lower extremities,
suggesting a subacute process.</t>
        </is>
      </c>
    </row>
    <row r="1294">
      <c r="A1294" t="inlineStr">
        <is>
          <t>37337-labs-imaging-12-3</t>
        </is>
      </c>
      <c r="B1294" t="inlineStr"/>
      <c r="C1294" t="inlineStr"/>
      <c r="D1294">
        <f>HYPERLINK("http://nlpdeep.cs.uic.edu:8080/proofing/t5/37337-labs-imaging-12-3.pdf","t5/37337-labs-imaging-12-3.pdf")</f>
        <v/>
      </c>
      <c r="E1294" t="n">
        <v>110002</v>
      </c>
      <c r="F1294" t="n">
        <v>37337</v>
      </c>
      <c r="G1294" t="inlineStr">
        <is>
          <t>Discharge summary</t>
        </is>
      </c>
      <c r="H1294" t="inlineStr">
        <is>
          <t>labs-imaging</t>
        </is>
      </c>
      <c r="I1294" t="inlineStr">
        <is>
          <t>The differential diagnosis
includes critical illness polyneuropathy and axonal variant of
[**First Name9 (NamePattern2) 7816**] [**Location (un) **] syndrome.</t>
        </is>
      </c>
    </row>
    <row r="1295">
      <c r="A1295" t="inlineStr">
        <is>
          <t>37337-labs-imaging-12-3</t>
        </is>
      </c>
      <c r="B1295" t="inlineStr"/>
      <c r="C1295" t="inlineStr"/>
      <c r="D1295">
        <f>HYPERLINK("http://nlpdeep.cs.uic.edu:8080/proofing/gsii/37337-labs-imaging-12-3.pdf","gsii/37337-labs-imaging-12-3.pdf")</f>
        <v/>
      </c>
      <c r="E1295" t="n">
        <v>110002</v>
      </c>
      <c r="F1295" t="n">
        <v>37337</v>
      </c>
      <c r="G1295" t="inlineStr">
        <is>
          <t>Discharge summary</t>
        </is>
      </c>
      <c r="H1295" t="inlineStr">
        <is>
          <t>labs-imaging</t>
        </is>
      </c>
      <c r="I1295" t="inlineStr">
        <is>
          <t>The differential diagnosis
includes critical illness polyneuropathy and axonal variant of
[**First Name9 (NamePattern2) 7816**] [**Location (un) **] syndrome.</t>
        </is>
      </c>
    </row>
    <row r="1296">
      <c r="A1296" t="inlineStr">
        <is>
          <t>37337-labs-imaging-12-4</t>
        </is>
      </c>
      <c r="B1296" t="inlineStr"/>
      <c r="C1296" t="inlineStr"/>
      <c r="D1296">
        <f>HYPERLINK("http://nlpdeep.cs.uic.edu:8080/proofing/t5/37337-labs-imaging-12-4.pdf","t5/37337-labs-imaging-12-4.pdf")</f>
        <v/>
      </c>
      <c r="E1296" t="n">
        <v>110002</v>
      </c>
      <c r="F1296" t="n">
        <v>37337</v>
      </c>
      <c r="G1296" t="inlineStr">
        <is>
          <t>Discharge summary</t>
        </is>
      </c>
      <c r="H1296" t="inlineStr">
        <is>
          <t>labs-imaging</t>
        </is>
      </c>
      <c r="I1296" t="inlineStr">
        <is>
          <t>An incidental moderate median
neuropathy at the left wrist is noted (as in carpal tunnel
syndrome).</t>
        </is>
      </c>
    </row>
    <row r="1297">
      <c r="A1297" t="inlineStr">
        <is>
          <t>37337-labs-imaging-12-4</t>
        </is>
      </c>
      <c r="B1297" t="inlineStr"/>
      <c r="C1297" t="inlineStr"/>
      <c r="D1297">
        <f>HYPERLINK("http://nlpdeep.cs.uic.edu:8080/proofing/gsii/37337-labs-imaging-12-4.pdf","gsii/37337-labs-imaging-12-4.pdf")</f>
        <v/>
      </c>
      <c r="E1297" t="n">
        <v>110002</v>
      </c>
      <c r="F1297" t="n">
        <v>37337</v>
      </c>
      <c r="G1297" t="inlineStr">
        <is>
          <t>Discharge summary</t>
        </is>
      </c>
      <c r="H1297" t="inlineStr">
        <is>
          <t>labs-imaging</t>
        </is>
      </c>
      <c r="I1297" t="inlineStr">
        <is>
          <t>An incidental moderate median
neuropathy at the left wrist is noted (as in carpal tunnel
syndrome).</t>
        </is>
      </c>
    </row>
    <row r="1298">
      <c r="A1298" t="inlineStr">
        <is>
          <t>37337-labs-imaging-13-0</t>
        </is>
      </c>
      <c r="B1298" t="inlineStr"/>
      <c r="C1298" t="inlineStr"/>
      <c r="D1298">
        <f>HYPERLINK("http://nlpdeep.cs.uic.edu:8080/proofing/t5/37337-labs-imaging-13-0.pdf","t5/37337-labs-imaging-13-0.pdf")</f>
        <v/>
      </c>
      <c r="E1298" t="n">
        <v>110002</v>
      </c>
      <c r="F1298" t="n">
        <v>37337</v>
      </c>
      <c r="G1298" t="inlineStr">
        <is>
          <t>Discharge summary</t>
        </is>
      </c>
      <c r="H1298" t="inlineStr">
        <is>
          <t>labs-imaging</t>
        </is>
      </c>
      <c r="I1298">
        <f>&gt;4 R
GENTAMI</f>
        <v/>
      </c>
    </row>
    <row r="1299">
      <c r="A1299" t="inlineStr">
        <is>
          <t>37337-labs-imaging-13-0</t>
        </is>
      </c>
      <c r="B1299" t="inlineStr"/>
      <c r="C1299" t="inlineStr"/>
      <c r="D1299">
        <f>HYPERLINK("http://nlpdeep.cs.uic.edu:8080/proofing/gsii/37337-labs-imaging-13-0.pdf","gsii/37337-labs-imaging-13-0.pdf")</f>
        <v/>
      </c>
      <c r="E1299" t="n">
        <v>110002</v>
      </c>
      <c r="F1299" t="n">
        <v>37337</v>
      </c>
      <c r="G1299" t="inlineStr">
        <is>
          <t>Discharge summary</t>
        </is>
      </c>
      <c r="H1299" t="inlineStr">
        <is>
          <t>labs-imaging</t>
        </is>
      </c>
      <c r="I1299">
        <f>&gt;4 R
GENTAMI</f>
        <v/>
      </c>
    </row>
    <row r="1300">
      <c r="A1300" t="inlineStr">
        <is>
          <t>37337-labs-imaging-14-0</t>
        </is>
      </c>
      <c r="B1300" t="inlineStr"/>
      <c r="C1300" t="inlineStr"/>
      <c r="D1300">
        <f>HYPERLINK("http://nlpdeep.cs.uic.edu:8080/proofing/t5/37337-labs-imaging-14-0.pdf","t5/37337-labs-imaging-14-0.pdf")</f>
        <v/>
      </c>
      <c r="E1300" t="n">
        <v>110002</v>
      </c>
      <c r="F1300" t="n">
        <v>37337</v>
      </c>
      <c r="G1300" t="inlineStr">
        <is>
          <t>Discharge summary</t>
        </is>
      </c>
      <c r="H1300" t="inlineStr">
        <is>
          <t>labs-imaging</t>
        </is>
      </c>
      <c r="I1300" t="inlineStr">
        <is>
          <t>N------------  =&gt;16 R
MEROPENEM-------------     1 S
PIPERACI</t>
        </is>
      </c>
    </row>
    <row r="1301">
      <c r="A1301" t="inlineStr">
        <is>
          <t>37337-labs-imaging-14-0</t>
        </is>
      </c>
      <c r="B1301" t="inlineStr"/>
      <c r="C1301" t="inlineStr"/>
      <c r="D1301">
        <f>HYPERLINK("http://nlpdeep.cs.uic.edu:8080/proofing/gsii/37337-labs-imaging-14-0.pdf","gsii/37337-labs-imaging-14-0.pdf")</f>
        <v/>
      </c>
      <c r="E1301" t="n">
        <v>110002</v>
      </c>
      <c r="F1301" t="n">
        <v>37337</v>
      </c>
      <c r="G1301" t="inlineStr">
        <is>
          <t>Discharge summary</t>
        </is>
      </c>
      <c r="H1301" t="inlineStr">
        <is>
          <t>labs-imaging</t>
        </is>
      </c>
      <c r="I1301" t="inlineStr">
        <is>
          <t>N------------  =&gt;16 R
MEROPENEM-------------     1 S
PIPERACI</t>
        </is>
      </c>
    </row>
    <row r="1302">
      <c r="A1302" t="inlineStr">
        <is>
          <t>37337-labs-imaging-15-0</t>
        </is>
      </c>
      <c r="B1302" t="inlineStr"/>
      <c r="C1302" t="inlineStr"/>
      <c r="D1302">
        <f>HYPERLINK("http://nlpdeep.cs.uic.edu:8080/proofing/t5/37337-labs-imaging-15-0.pdf","t5/37337-labs-imaging-15-0.pdf")</f>
        <v/>
      </c>
      <c r="E1302" t="n">
        <v>110002</v>
      </c>
      <c r="F1302" t="n">
        <v>37337</v>
      </c>
      <c r="G1302" t="inlineStr">
        <is>
          <t>Discharge summary</t>
        </is>
      </c>
      <c r="H1302" t="inlineStr">
        <is>
          <t>labs-imaging</t>
        </is>
      </c>
      <c r="I1302" t="inlineStr">
        <is>
          <t xml:space="preserve">CIN------------  =&gt;16 R
</t>
        </is>
      </c>
    </row>
    <row r="1303">
      <c r="A1303" t="inlineStr">
        <is>
          <t>37337-labs-imaging-15-0</t>
        </is>
      </c>
      <c r="B1303" t="inlineStr"/>
      <c r="C1303" t="inlineStr"/>
      <c r="D1303">
        <f>HYPERLINK("http://nlpdeep.cs.uic.edu:8080/proofing/gsii/37337-labs-imaging-15-0.pdf","gsii/37337-labs-imaging-15-0.pdf")</f>
        <v/>
      </c>
      <c r="E1303" t="n">
        <v>110002</v>
      </c>
      <c r="F1303" t="n">
        <v>37337</v>
      </c>
      <c r="G1303" t="inlineStr">
        <is>
          <t>Discharge summary</t>
        </is>
      </c>
      <c r="H1303" t="inlineStr">
        <is>
          <t>labs-imaging</t>
        </is>
      </c>
      <c r="I1303" t="inlineStr">
        <is>
          <t xml:space="preserve">CIN------------  =&gt;16 R
</t>
        </is>
      </c>
    </row>
    <row r="1304">
      <c r="A1304" t="inlineStr">
        <is>
          <t>37337-labs-imaging-16-0</t>
        </is>
      </c>
      <c r="B1304" t="inlineStr"/>
      <c r="C1304" t="inlineStr"/>
      <c r="D1304">
        <f>HYPERLINK("http://nlpdeep.cs.uic.edu:8080/proofing/t5/37337-labs-imaging-16-0.pdf","t5/37337-labs-imaging-16-0.pdf")</f>
        <v/>
      </c>
      <c r="E1304" t="n">
        <v>110002</v>
      </c>
      <c r="F1304" t="n">
        <v>37337</v>
      </c>
      <c r="G1304" t="inlineStr">
        <is>
          <t>Discharge summary</t>
        </is>
      </c>
      <c r="H1304" t="inlineStr">
        <is>
          <t>labs-imaging</t>
        </is>
      </c>
      <c r="I1304" t="inlineStr"/>
    </row>
    <row r="1305">
      <c r="A1305" t="inlineStr">
        <is>
          <t>37337-labs-imaging-16-0</t>
        </is>
      </c>
      <c r="B1305" t="inlineStr"/>
      <c r="C1305" t="inlineStr"/>
      <c r="D1305">
        <f>HYPERLINK("http://nlpdeep.cs.uic.edu:8080/proofing/gsii/37337-labs-imaging-16-0.pdf","gsii/37337-labs-imaging-16-0.pdf")</f>
        <v/>
      </c>
      <c r="E1305" t="n">
        <v>110002</v>
      </c>
      <c r="F1305" t="n">
        <v>37337</v>
      </c>
      <c r="G1305" t="inlineStr">
        <is>
          <t>Discharge summary</t>
        </is>
      </c>
      <c r="H1305" t="inlineStr">
        <is>
          <t>labs-imaging</t>
        </is>
      </c>
      <c r="I1305" t="inlineStr"/>
    </row>
    <row r="1306">
      <c r="A1306" t="inlineStr">
        <is>
          <t>37337-labs-imaging-16-1</t>
        </is>
      </c>
      <c r="B1306" t="inlineStr"/>
      <c r="C1306" t="inlineStr"/>
      <c r="D1306">
        <f>HYPERLINK("http://nlpdeep.cs.uic.edu:8080/proofing/t5/37337-labs-imaging-16-1.pdf","t5/37337-labs-imaging-16-1.pdf")</f>
        <v/>
      </c>
      <c r="E1306" t="n">
        <v>110002</v>
      </c>
      <c r="F1306" t="n">
        <v>37337</v>
      </c>
      <c r="G1306" t="inlineStr">
        <is>
          <t>Discharge summary</t>
        </is>
      </c>
      <c r="H1306" t="inlineStr">
        <is>
          <t>labs-imaging</t>
        </is>
      </c>
      <c r="I1306" t="inlineStr">
        <is>
          <t xml:space="preserve">
         WARNING! This isolate is an extended-spectrum
beta-lactamase
         (ESBL) producer and should be considered resistant to
all
         penicillins, cephalosporins, and aztreonam.</t>
        </is>
      </c>
    </row>
    <row r="1307">
      <c r="A1307" t="inlineStr">
        <is>
          <t>37337-labs-imaging-16-1</t>
        </is>
      </c>
      <c r="B1307" t="inlineStr"/>
      <c r="C1307" t="inlineStr"/>
      <c r="D1307">
        <f>HYPERLINK("http://nlpdeep.cs.uic.edu:8080/proofing/gsii/37337-labs-imaging-16-1.pdf","gsii/37337-labs-imaging-16-1.pdf")</f>
        <v/>
      </c>
      <c r="E1307" t="n">
        <v>110002</v>
      </c>
      <c r="F1307" t="n">
        <v>37337</v>
      </c>
      <c r="G1307" t="inlineStr">
        <is>
          <t>Discharge summary</t>
        </is>
      </c>
      <c r="H1307" t="inlineStr">
        <is>
          <t>labs-imaging</t>
        </is>
      </c>
      <c r="I1307" t="inlineStr">
        <is>
          <t xml:space="preserve">
         WARNING! This isolate is an extended-spectrum
beta-lactamase
         (ESBL) producer and should be considered resistant to
all
         penicillins, cephalosporins, and aztreonam.</t>
        </is>
      </c>
    </row>
    <row r="1308">
      <c r="A1308" t="inlineStr">
        <is>
          <t>37337-labs-imaging-16-2</t>
        </is>
      </c>
      <c r="B1308" t="inlineStr"/>
      <c r="C1308" t="inlineStr"/>
      <c r="D1308">
        <f>HYPERLINK("http://nlpdeep.cs.uic.edu:8080/proofing/t5/37337-labs-imaging-16-2.pdf","t5/37337-labs-imaging-16-2.pdf")</f>
        <v/>
      </c>
      <c r="E1308" t="n">
        <v>110002</v>
      </c>
      <c r="F1308" t="n">
        <v>37337</v>
      </c>
      <c r="G1308" t="inlineStr">
        <is>
          <t>Discharge summary</t>
        </is>
      </c>
      <c r="H1308" t="inlineStr">
        <is>
          <t>labs-imaging</t>
        </is>
      </c>
      <c r="I1308" t="inlineStr">
        <is>
          <t>Consider
Infectious
         Disease consultation for serious infections caused by
         ESBL-producing species.</t>
        </is>
      </c>
    </row>
    <row r="1309">
      <c r="A1309" t="inlineStr">
        <is>
          <t>37337-labs-imaging-16-2</t>
        </is>
      </c>
      <c r="B1309" t="inlineStr"/>
      <c r="C1309" t="inlineStr"/>
      <c r="D1309">
        <f>HYPERLINK("http://nlpdeep.cs.uic.edu:8080/proofing/gsii/37337-labs-imaging-16-2.pdf","gsii/37337-labs-imaging-16-2.pdf")</f>
        <v/>
      </c>
      <c r="E1309" t="n">
        <v>110002</v>
      </c>
      <c r="F1309" t="n">
        <v>37337</v>
      </c>
      <c r="G1309" t="inlineStr">
        <is>
          <t>Discharge summary</t>
        </is>
      </c>
      <c r="H1309" t="inlineStr">
        <is>
          <t>labs-imaging</t>
        </is>
      </c>
      <c r="I1309" t="inlineStr">
        <is>
          <t>Consider
Infectious
         Disease consultation for serious infections caused by
         ESBL-producing species.</t>
        </is>
      </c>
    </row>
    <row r="1310">
      <c r="A1310" t="inlineStr">
        <is>
          <t>37337-labs-imaging-16-3</t>
        </is>
      </c>
      <c r="B1310" t="inlineStr"/>
      <c r="C1310" t="inlineStr"/>
      <c r="D1310">
        <f>HYPERLINK("http://nlpdeep.cs.uic.edu:8080/proofing/t5/37337-labs-imaging-16-3.pdf","t5/37337-labs-imaging-16-3.pdf")</f>
        <v/>
      </c>
      <c r="E1310" t="n">
        <v>110002</v>
      </c>
      <c r="F1310" t="n">
        <v>37337</v>
      </c>
      <c r="G1310" t="inlineStr">
        <is>
          <t>Discharge summary</t>
        </is>
      </c>
      <c r="H1310" t="inlineStr">
        <is>
          <t>labs-imaging</t>
        </is>
      </c>
      <c r="I1310" t="inlineStr">
        <is>
          <t xml:space="preserve"> FINAL SENSITIVITIES.</t>
        </is>
      </c>
    </row>
    <row r="1311">
      <c r="A1311" t="inlineStr">
        <is>
          <t>37337-labs-imaging-16-3</t>
        </is>
      </c>
      <c r="B1311" t="inlineStr"/>
      <c r="C1311" t="inlineStr"/>
      <c r="D1311">
        <f>HYPERLINK("http://nlpdeep.cs.uic.edu:8080/proofing/gsii/37337-labs-imaging-16-3.pdf","gsii/37337-labs-imaging-16-3.pdf")</f>
        <v/>
      </c>
      <c r="E1311" t="n">
        <v>110002</v>
      </c>
      <c r="F1311" t="n">
        <v>37337</v>
      </c>
      <c r="G1311" t="inlineStr">
        <is>
          <t>Discharge summary</t>
        </is>
      </c>
      <c r="H1311" t="inlineStr">
        <is>
          <t>labs-imaging</t>
        </is>
      </c>
      <c r="I1311" t="inlineStr">
        <is>
          <t xml:space="preserve"> FINAL SENSITIVITIES.</t>
        </is>
      </c>
    </row>
    <row r="1312">
      <c r="A1312" t="inlineStr">
        <is>
          <t>37337-labs-imaging-16-4</t>
        </is>
      </c>
      <c r="B1312" t="inlineStr"/>
      <c r="C1312" t="inlineStr"/>
      <c r="D1312">
        <f>HYPERLINK("http://nlpdeep.cs.uic.edu:8080/proofing/t5/37337-labs-imaging-16-4.pdf","t5/37337-labs-imaging-16-4.pdf")</f>
        <v/>
      </c>
      <c r="E1312" t="n">
        <v>110002</v>
      </c>
      <c r="F1312" t="n">
        <v>37337</v>
      </c>
      <c r="G1312" t="inlineStr">
        <is>
          <t>Discharge summary</t>
        </is>
      </c>
      <c r="H1312" t="inlineStr">
        <is>
          <t>labs-imaging</t>
        </is>
      </c>
      <c r="I1312" t="inlineStr">
        <is>
          <t xml:space="preserve">
         sensitivity testing performed by Microscan.</t>
        </is>
      </c>
    </row>
    <row r="1313">
      <c r="A1313" t="inlineStr">
        <is>
          <t>37337-labs-imaging-16-4</t>
        </is>
      </c>
      <c r="B1313" t="inlineStr"/>
      <c r="C1313" t="inlineStr"/>
      <c r="D1313">
        <f>HYPERLINK("http://nlpdeep.cs.uic.edu:8080/proofing/gsii/37337-labs-imaging-16-4.pdf","gsii/37337-labs-imaging-16-4.pdf")</f>
        <v/>
      </c>
      <c r="E1313" t="n">
        <v>110002</v>
      </c>
      <c r="F1313" t="n">
        <v>37337</v>
      </c>
      <c r="G1313" t="inlineStr">
        <is>
          <t>Discharge summary</t>
        </is>
      </c>
      <c r="H1313" t="inlineStr">
        <is>
          <t>labs-imaging</t>
        </is>
      </c>
      <c r="I1313" t="inlineStr">
        <is>
          <t xml:space="preserve">
         sensitivity testing performed by Microscan.</t>
        </is>
      </c>
    </row>
    <row r="1314">
      <c r="A1314" t="inlineStr">
        <is>
          <t>37337-labs-imaging-16-5</t>
        </is>
      </c>
      <c r="B1314" t="inlineStr"/>
      <c r="C1314" t="inlineStr"/>
      <c r="D1314">
        <f>HYPERLINK("http://nlpdeep.cs.uic.edu:8080/proofing/t5/37337-labs-imaging-16-5.pdf","t5/37337-labs-imaging-16-5.pdf")</f>
        <v/>
      </c>
      <c r="E1314" t="n">
        <v>110002</v>
      </c>
      <c r="F1314" t="n">
        <v>37337</v>
      </c>
      <c r="G1314" t="inlineStr">
        <is>
          <t>Discharge summary</t>
        </is>
      </c>
      <c r="H1314" t="inlineStr">
        <is>
          <t>labs-imaging</t>
        </is>
      </c>
      <c r="I1314" t="inlineStr">
        <is>
          <t xml:space="preserve">
         MEROPENEM = SENSITIVE ( &lt;=1 MCG/ML ).</t>
        </is>
      </c>
    </row>
    <row r="1315">
      <c r="A1315" t="inlineStr">
        <is>
          <t>37337-labs-imaging-16-5</t>
        </is>
      </c>
      <c r="B1315" t="inlineStr"/>
      <c r="C1315" t="inlineStr"/>
      <c r="D1315">
        <f>HYPERLINK("http://nlpdeep.cs.uic.edu:8080/proofing/gsii/37337-labs-imaging-16-5.pdf","gsii/37337-labs-imaging-16-5.pdf")</f>
        <v/>
      </c>
      <c r="E1315" t="n">
        <v>110002</v>
      </c>
      <c r="F1315" t="n">
        <v>37337</v>
      </c>
      <c r="G1315" t="inlineStr">
        <is>
          <t>Discharge summary</t>
        </is>
      </c>
      <c r="H1315" t="inlineStr">
        <is>
          <t>labs-imaging</t>
        </is>
      </c>
      <c r="I1315" t="inlineStr">
        <is>
          <t xml:space="preserve">
         MEROPENEM = SENSITIVE ( &lt;=1 MCG/ML ).</t>
        </is>
      </c>
    </row>
    <row r="1316">
      <c r="A1316" t="inlineStr">
        <is>
          <t>37337-labs-imaging-16-6</t>
        </is>
      </c>
      <c r="B1316" t="inlineStr"/>
      <c r="C1316" t="inlineStr"/>
      <c r="D1316">
        <f>HYPERLINK("http://nlpdeep.cs.uic.edu:8080/proofing/t5/37337-labs-imaging-16-6.pdf","t5/37337-labs-imaging-16-6.pdf")</f>
        <v/>
      </c>
      <c r="E1316" t="n">
        <v>110002</v>
      </c>
      <c r="F1316" t="n">
        <v>37337</v>
      </c>
      <c r="G1316" t="inlineStr">
        <is>
          <t>Discharge summary</t>
        </is>
      </c>
      <c r="H1316" t="inlineStr">
        <is>
          <t>labs-imaging</t>
        </is>
      </c>
      <c r="I1316" t="inlineStr">
        <is>
          <t xml:space="preserve">
         CEFEPIME = RESISTANT ( &gt;=16 MCG/ML ).</t>
        </is>
      </c>
    </row>
    <row r="1317">
      <c r="A1317" t="inlineStr">
        <is>
          <t>37337-labs-imaging-16-6</t>
        </is>
      </c>
      <c r="B1317" t="inlineStr"/>
      <c r="C1317" t="inlineStr"/>
      <c r="D1317">
        <f>HYPERLINK("http://nlpdeep.cs.uic.edu:8080/proofing/gsii/37337-labs-imaging-16-6.pdf","gsii/37337-labs-imaging-16-6.pdf")</f>
        <v/>
      </c>
      <c r="E1317" t="n">
        <v>110002</v>
      </c>
      <c r="F1317" t="n">
        <v>37337</v>
      </c>
      <c r="G1317" t="inlineStr">
        <is>
          <t>Discharge summary</t>
        </is>
      </c>
      <c r="H1317" t="inlineStr">
        <is>
          <t>labs-imaging</t>
        </is>
      </c>
      <c r="I1317" t="inlineStr">
        <is>
          <t xml:space="preserve">
         CEFEPIME = RESISTANT ( &gt;=16 MCG/ML ).</t>
        </is>
      </c>
    </row>
    <row r="1318">
      <c r="A1318" t="inlineStr">
        <is>
          <t>37337-labs-imaging-16-7</t>
        </is>
      </c>
      <c r="B1318" t="inlineStr"/>
      <c r="C1318" t="inlineStr"/>
      <c r="D1318">
        <f>HYPERLINK("http://nlpdeep.cs.uic.edu:8080/proofing/t5/37337-labs-imaging-16-7.pdf","t5/37337-labs-imaging-16-7.pdf")</f>
        <v/>
      </c>
      <c r="E1318" t="n">
        <v>110002</v>
      </c>
      <c r="F1318" t="n">
        <v>37337</v>
      </c>
      <c r="G1318" t="inlineStr">
        <is>
          <t>Discharge summary</t>
        </is>
      </c>
      <c r="H1318" t="inlineStr">
        <is>
          <t>labs-imaging</t>
        </is>
      </c>
      <c r="I1318" t="inlineStr">
        <is>
          <t xml:space="preserve">
         UNASYN (AMPICILLIN/SULBACTAM) = RESISTANT ( &gt;=16 MCG/ML
).</t>
        </is>
      </c>
    </row>
    <row r="1319">
      <c r="A1319" t="inlineStr">
        <is>
          <t>37337-labs-imaging-16-7</t>
        </is>
      </c>
      <c r="B1319" t="inlineStr"/>
      <c r="C1319" t="inlineStr"/>
      <c r="D1319">
        <f>HYPERLINK("http://nlpdeep.cs.uic.edu:8080/proofing/gsii/37337-labs-imaging-16-7.pdf","gsii/37337-labs-imaging-16-7.pdf")</f>
        <v/>
      </c>
      <c r="E1319" t="n">
        <v>110002</v>
      </c>
      <c r="F1319" t="n">
        <v>37337</v>
      </c>
      <c r="G1319" t="inlineStr">
        <is>
          <t>Discharge summary</t>
        </is>
      </c>
      <c r="H1319" t="inlineStr">
        <is>
          <t>labs-imaging</t>
        </is>
      </c>
      <c r="I1319" t="inlineStr">
        <is>
          <t xml:space="preserve">
         UNASYN (AMPICILLIN/SULBACTAM) = RESISTANT ( &gt;=16 MCG/ML
).</t>
        </is>
      </c>
    </row>
    <row r="1320">
      <c r="A1320" t="inlineStr">
        <is>
          <t>37337-labs-imaging-17-0</t>
        </is>
      </c>
      <c r="B1320" t="inlineStr"/>
      <c r="C1320" t="inlineStr"/>
      <c r="D1320">
        <f>HYPERLINK("http://nlpdeep.cs.uic.edu:8080/proofing/t5/37337-labs-imaging-17-0.pdf","t5/37337-labs-imaging-17-0.pdf")</f>
        <v/>
      </c>
      <c r="E1320" t="n">
        <v>110002</v>
      </c>
      <c r="F1320" t="n">
        <v>37337</v>
      </c>
      <c r="G1320" t="inlineStr">
        <is>
          <t>Discharge summary</t>
        </is>
      </c>
      <c r="H1320" t="inlineStr">
        <is>
          <t>labs-imaging</t>
        </is>
      </c>
      <c r="I1320" t="inlineStr"/>
    </row>
    <row r="1321">
      <c r="A1321" t="inlineStr">
        <is>
          <t>37337-labs-imaging-17-0</t>
        </is>
      </c>
      <c r="B1321" t="inlineStr"/>
      <c r="C1321" t="inlineStr"/>
      <c r="D1321">
        <f>HYPERLINK("http://nlpdeep.cs.uic.edu:8080/proofing/gsii/37337-labs-imaging-17-0.pdf","gsii/37337-labs-imaging-17-0.pdf")</f>
        <v/>
      </c>
      <c r="E1321" t="n">
        <v>110002</v>
      </c>
      <c r="F1321" t="n">
        <v>37337</v>
      </c>
      <c r="G1321" t="inlineStr">
        <is>
          <t>Discharge summary</t>
        </is>
      </c>
      <c r="H1321" t="inlineStr">
        <is>
          <t>labs-imaging</t>
        </is>
      </c>
      <c r="I1321" t="inlineStr"/>
    </row>
    <row r="1322">
      <c r="A1322" t="inlineStr">
        <is>
          <t>37337-labs-imaging-18-0</t>
        </is>
      </c>
      <c r="B1322" t="inlineStr"/>
      <c r="C1322" t="inlineStr"/>
      <c r="D1322">
        <f>HYPERLINK("http://nlpdeep.cs.uic.edu:8080/proofing/t5/37337-labs-imaging-18-0.pdf","t5/37337-labs-imaging-18-0.pdf")</f>
        <v/>
      </c>
      <c r="E1322" t="n">
        <v>110002</v>
      </c>
      <c r="F1322" t="n">
        <v>37337</v>
      </c>
      <c r="G1322" t="inlineStr">
        <is>
          <t>Discharge summary</t>
        </is>
      </c>
      <c r="H1322" t="inlineStr">
        <is>
          <t>labs-imaging</t>
        </is>
      </c>
      <c r="I1322" t="inlineStr"/>
    </row>
    <row r="1323">
      <c r="A1323" t="inlineStr">
        <is>
          <t>37337-labs-imaging-18-0</t>
        </is>
      </c>
      <c r="B1323" t="inlineStr"/>
      <c r="C1323" t="inlineStr"/>
      <c r="D1323">
        <f>HYPERLINK("http://nlpdeep.cs.uic.edu:8080/proofing/gsii/37337-labs-imaging-18-0.pdf","gsii/37337-labs-imaging-18-0.pdf")</f>
        <v/>
      </c>
      <c r="E1323" t="n">
        <v>110002</v>
      </c>
      <c r="F1323" t="n">
        <v>37337</v>
      </c>
      <c r="G1323" t="inlineStr">
        <is>
          <t>Discharge summary</t>
        </is>
      </c>
      <c r="H1323" t="inlineStr">
        <is>
          <t>labs-imaging</t>
        </is>
      </c>
      <c r="I1323" t="inlineStr"/>
    </row>
    <row r="1324">
      <c r="A1324" t="inlineStr">
        <is>
          <t>37337-labs-imaging-19-0</t>
        </is>
      </c>
      <c r="B1324" t="inlineStr"/>
      <c r="C1324" t="inlineStr"/>
      <c r="D1324">
        <f>HYPERLINK("http://nlpdeep.cs.uic.edu:8080/proofing/t5/37337-labs-imaging-19-0.pdf","t5/37337-labs-imaging-19-0.pdf")</f>
        <v/>
      </c>
      <c r="E1324" t="n">
        <v>110002</v>
      </c>
      <c r="F1324" t="n">
        <v>37337</v>
      </c>
      <c r="G1324" t="inlineStr">
        <is>
          <t>Discharge summary</t>
        </is>
      </c>
      <c r="H1324" t="inlineStr">
        <is>
          <t>labs-imaging</t>
        </is>
      </c>
      <c r="I1324" t="inlineStr"/>
    </row>
    <row r="1325">
      <c r="A1325" t="inlineStr">
        <is>
          <t>37337-labs-imaging-19-0</t>
        </is>
      </c>
      <c r="B1325" t="inlineStr"/>
      <c r="C1325" t="inlineStr"/>
      <c r="D1325">
        <f>HYPERLINK("http://nlpdeep.cs.uic.edu:8080/proofing/gsii/37337-labs-imaging-19-0.pdf","gsii/37337-labs-imaging-19-0.pdf")</f>
        <v/>
      </c>
      <c r="E1325" t="n">
        <v>110002</v>
      </c>
      <c r="F1325" t="n">
        <v>37337</v>
      </c>
      <c r="G1325" t="inlineStr">
        <is>
          <t>Discharge summary</t>
        </is>
      </c>
      <c r="H1325" t="inlineStr">
        <is>
          <t>labs-imaging</t>
        </is>
      </c>
      <c r="I1325" t="inlineStr"/>
    </row>
    <row r="1326">
      <c r="A1326" t="inlineStr">
        <is>
          <t>37337-labs-imaging-19-1</t>
        </is>
      </c>
      <c r="B1326" t="inlineStr"/>
      <c r="C1326" t="inlineStr"/>
      <c r="D1326">
        <f>HYPERLINK("http://nlpdeep.cs.uic.edu:8080/proofing/t5/37337-labs-imaging-19-1.pdf","t5/37337-labs-imaging-19-1.pdf")</f>
        <v/>
      </c>
      <c r="E1326" t="n">
        <v>110002</v>
      </c>
      <c r="F1326" t="n">
        <v>37337</v>
      </c>
      <c r="G1326" t="inlineStr">
        <is>
          <t>Discharge summary</t>
        </is>
      </c>
      <c r="H1326" t="inlineStr">
        <is>
          <t>labs-imaging</t>
        </is>
      </c>
      <c r="I1326" t="inlineStr">
        <is>
          <t xml:space="preserve">
      GRAM NEGATIVE ROD(S).</t>
        </is>
      </c>
    </row>
    <row r="1327">
      <c r="A1327" t="inlineStr">
        <is>
          <t>37337-labs-imaging-19-1</t>
        </is>
      </c>
      <c r="B1327" t="inlineStr"/>
      <c r="C1327" t="inlineStr"/>
      <c r="D1327">
        <f>HYPERLINK("http://nlpdeep.cs.uic.edu:8080/proofing/gsii/37337-labs-imaging-19-1.pdf","gsii/37337-labs-imaging-19-1.pdf")</f>
        <v/>
      </c>
      <c r="E1327" t="n">
        <v>110002</v>
      </c>
      <c r="F1327" t="n">
        <v>37337</v>
      </c>
      <c r="G1327" t="inlineStr">
        <is>
          <t>Discharge summary</t>
        </is>
      </c>
      <c r="H1327" t="inlineStr">
        <is>
          <t>labs-imaging</t>
        </is>
      </c>
      <c r="I1327" t="inlineStr">
        <is>
          <t xml:space="preserve">
      GRAM NEGATIVE ROD(S).</t>
        </is>
      </c>
    </row>
    <row r="1328">
      <c r="A1328" t="inlineStr">
        <is>
          <t>37337-labs-imaging-20-0</t>
        </is>
      </c>
      <c r="B1328" t="inlineStr"/>
      <c r="C1328" t="inlineStr"/>
      <c r="D1328">
        <f>HYPERLINK("http://nlpdeep.cs.uic.edu:8080/proofing/t5/37337-labs-imaging-20-0.pdf","t5/37337-labs-imaging-20-0.pdf")</f>
        <v/>
      </c>
      <c r="E1328" t="n">
        <v>110002</v>
      </c>
      <c r="F1328" t="n">
        <v>37337</v>
      </c>
      <c r="G1328" t="inlineStr">
        <is>
          <t>Discharge summary</t>
        </is>
      </c>
      <c r="H1328" t="inlineStr">
        <is>
          <t>labs-imaging</t>
        </is>
      </c>
      <c r="I1328" t="inlineStr">
        <is>
          <t xml:space="preserve">
   Aerobic Bottle Gram Stain (Final [**2117-11-1**]):    GRAM NEGATIVE
ROD(S).</t>
        </is>
      </c>
    </row>
    <row r="1329">
      <c r="A1329" t="inlineStr">
        <is>
          <t>37337-labs-imaging-20-0</t>
        </is>
      </c>
      <c r="B1329" t="inlineStr"/>
      <c r="C1329" t="inlineStr"/>
      <c r="D1329">
        <f>HYPERLINK("http://nlpdeep.cs.uic.edu:8080/proofing/gsii/37337-labs-imaging-20-0.pdf","gsii/37337-labs-imaging-20-0.pdf")</f>
        <v/>
      </c>
      <c r="E1329" t="n">
        <v>110002</v>
      </c>
      <c r="F1329" t="n">
        <v>37337</v>
      </c>
      <c r="G1329" t="inlineStr">
        <is>
          <t>Discharge summary</t>
        </is>
      </c>
      <c r="H1329" t="inlineStr">
        <is>
          <t>labs-imaging</t>
        </is>
      </c>
      <c r="I1329" t="inlineStr">
        <is>
          <t xml:space="preserve">
   Aerobic Bottle Gram Stain (Final [**2117-11-1**]):    GRAM NEGATIVE
ROD(S).</t>
        </is>
      </c>
    </row>
    <row r="1330">
      <c r="A1330" t="inlineStr">
        <is>
          <t>37337-labs-imaging-21-0</t>
        </is>
      </c>
      <c r="B1330" t="inlineStr"/>
      <c r="C1330" t="inlineStr"/>
      <c r="D1330">
        <f>HYPERLINK("http://nlpdeep.cs.uic.edu:8080/proofing/t5/37337-labs-imaging-21-0.pdf","t5/37337-labs-imaging-21-0.pdf")</f>
        <v/>
      </c>
      <c r="E1330" t="n">
        <v>110002</v>
      </c>
      <c r="F1330" t="n">
        <v>37337</v>
      </c>
      <c r="G1330" t="inlineStr">
        <is>
          <t>Discharge summary</t>
        </is>
      </c>
      <c r="H1330" t="inlineStr">
        <is>
          <t>labs-imaging</t>
        </is>
      </c>
      <c r="I1330" t="inlineStr"/>
    </row>
    <row r="1331">
      <c r="A1331" t="inlineStr">
        <is>
          <t>37337-labs-imaging-21-0</t>
        </is>
      </c>
      <c r="B1331" t="inlineStr"/>
      <c r="C1331" t="inlineStr"/>
      <c r="D1331">
        <f>HYPERLINK("http://nlpdeep.cs.uic.edu:8080/proofing/gsii/37337-labs-imaging-21-0.pdf","gsii/37337-labs-imaging-21-0.pdf")</f>
        <v/>
      </c>
      <c r="E1331" t="n">
        <v>110002</v>
      </c>
      <c r="F1331" t="n">
        <v>37337</v>
      </c>
      <c r="G1331" t="inlineStr">
        <is>
          <t>Discharge summary</t>
        </is>
      </c>
      <c r="H1331" t="inlineStr">
        <is>
          <t>labs-imaging</t>
        </is>
      </c>
      <c r="I1331" t="inlineStr"/>
    </row>
    <row r="1332">
      <c r="A1332" t="inlineStr">
        <is>
          <t>37337-labs-imaging-22-0</t>
        </is>
      </c>
      <c r="B1332" t="inlineStr"/>
      <c r="C1332" t="inlineStr"/>
      <c r="D1332">
        <f>HYPERLINK("http://nlpdeep.cs.uic.edu:8080/proofing/t5/37337-labs-imaging-22-0.pdf","t5/37337-labs-imaging-22-0.pdf")</f>
        <v/>
      </c>
      <c r="E1332" t="n">
        <v>110002</v>
      </c>
      <c r="F1332" t="n">
        <v>37337</v>
      </c>
      <c r="G1332" t="inlineStr">
        <is>
          <t>Discharge summary</t>
        </is>
      </c>
      <c r="H1332" t="inlineStr">
        <is>
          <t>labs-imaging</t>
        </is>
      </c>
      <c r="I1332" t="inlineStr"/>
    </row>
    <row r="1333">
      <c r="A1333" t="inlineStr">
        <is>
          <t>37337-labs-imaging-22-0</t>
        </is>
      </c>
      <c r="B1333" t="inlineStr"/>
      <c r="C1333" t="inlineStr"/>
      <c r="D1333">
        <f>HYPERLINK("http://nlpdeep.cs.uic.edu:8080/proofing/gsii/37337-labs-imaging-22-0.pdf","gsii/37337-labs-imaging-22-0.pdf")</f>
        <v/>
      </c>
      <c r="E1333" t="n">
        <v>110002</v>
      </c>
      <c r="F1333" t="n">
        <v>37337</v>
      </c>
      <c r="G1333" t="inlineStr">
        <is>
          <t>Discharge summary</t>
        </is>
      </c>
      <c r="H1333" t="inlineStr">
        <is>
          <t>labs-imaging</t>
        </is>
      </c>
      <c r="I1333" t="inlineStr"/>
    </row>
    <row r="1334">
      <c r="A1334" t="inlineStr">
        <is>
          <t>37337-labs-imaging-23-0</t>
        </is>
      </c>
      <c r="B1334" t="inlineStr"/>
      <c r="C1334" t="inlineStr"/>
      <c r="D1334">
        <f>HYPERLINK("http://nlpdeep.cs.uic.edu:8080/proofing/t5/37337-labs-imaging-23-0.pdf","t5/37337-labs-imaging-23-0.pdf")</f>
        <v/>
      </c>
      <c r="E1334" t="n">
        <v>110002</v>
      </c>
      <c r="F1334" t="n">
        <v>37337</v>
      </c>
      <c r="G1334" t="inlineStr">
        <is>
          <t>Discharge summary</t>
        </is>
      </c>
      <c r="H1334" t="inlineStr">
        <is>
          <t>labs-imaging</t>
        </is>
      </c>
      <c r="I1334" t="inlineStr"/>
    </row>
    <row r="1335">
      <c r="A1335" t="inlineStr">
        <is>
          <t>37337-labs-imaging-23-0</t>
        </is>
      </c>
      <c r="B1335" t="inlineStr"/>
      <c r="C1335" t="inlineStr"/>
      <c r="D1335">
        <f>HYPERLINK("http://nlpdeep.cs.uic.edu:8080/proofing/gsii/37337-labs-imaging-23-0.pdf","gsii/37337-labs-imaging-23-0.pdf")</f>
        <v/>
      </c>
      <c r="E1335" t="n">
        <v>110002</v>
      </c>
      <c r="F1335" t="n">
        <v>37337</v>
      </c>
      <c r="G1335" t="inlineStr">
        <is>
          <t>Discharge summary</t>
        </is>
      </c>
      <c r="H1335" t="inlineStr">
        <is>
          <t>labs-imaging</t>
        </is>
      </c>
      <c r="I1335" t="inlineStr"/>
    </row>
    <row r="1336">
      <c r="A1336" t="inlineStr">
        <is>
          <t>37337-labs-imaging-24-0</t>
        </is>
      </c>
      <c r="B1336" t="inlineStr"/>
      <c r="C1336" t="inlineStr"/>
      <c r="D1336">
        <f>HYPERLINK("http://nlpdeep.cs.uic.edu:8080/proofing/t5/37337-labs-imaging-24-0.pdf","t5/37337-labs-imaging-24-0.pdf")</f>
        <v/>
      </c>
      <c r="E1336" t="n">
        <v>110002</v>
      </c>
      <c r="F1336" t="n">
        <v>37337</v>
      </c>
      <c r="G1336" t="inlineStr">
        <is>
          <t>Discharge summary</t>
        </is>
      </c>
      <c r="H1336" t="inlineStr">
        <is>
          <t>labs-imaging</t>
        </is>
      </c>
      <c r="I1336" t="inlineStr"/>
    </row>
    <row r="1337">
      <c r="A1337" t="inlineStr">
        <is>
          <t>37337-labs-imaging-24-0</t>
        </is>
      </c>
      <c r="B1337" t="inlineStr"/>
      <c r="C1337" t="inlineStr"/>
      <c r="D1337">
        <f>HYPERLINK("http://nlpdeep.cs.uic.edu:8080/proofing/gsii/37337-labs-imaging-24-0.pdf","gsii/37337-labs-imaging-24-0.pdf")</f>
        <v/>
      </c>
      <c r="E1337" t="n">
        <v>110002</v>
      </c>
      <c r="F1337" t="n">
        <v>37337</v>
      </c>
      <c r="G1337" t="inlineStr">
        <is>
          <t>Discharge summary</t>
        </is>
      </c>
      <c r="H1337" t="inlineStr">
        <is>
          <t>labs-imaging</t>
        </is>
      </c>
      <c r="I1337" t="inlineStr"/>
    </row>
    <row r="1338">
      <c r="A1338" t="inlineStr">
        <is>
          <t>37337-labs-imaging-24-1</t>
        </is>
      </c>
      <c r="B1338" t="inlineStr"/>
      <c r="C1338" t="inlineStr"/>
      <c r="D1338">
        <f>HYPERLINK("http://nlpdeep.cs.uic.edu:8080/proofing/t5/37337-labs-imaging-24-1.pdf","t5/37337-labs-imaging-24-1.pdf")</f>
        <v/>
      </c>
      <c r="E1338" t="n">
        <v>110002</v>
      </c>
      <c r="F1338" t="n">
        <v>37337</v>
      </c>
      <c r="G1338" t="inlineStr">
        <is>
          <t>Discharge summary</t>
        </is>
      </c>
      <c r="H1338" t="inlineStr">
        <is>
          <t>labs-imaging</t>
        </is>
      </c>
      <c r="I1338" t="inlineStr">
        <is>
          <t xml:space="preserve">
      2+   (1-5 per 1000X FIELD):   GRAM NEGATIVE ROD(S).</t>
        </is>
      </c>
    </row>
    <row r="1339">
      <c r="A1339" t="inlineStr">
        <is>
          <t>37337-labs-imaging-24-1</t>
        </is>
      </c>
      <c r="B1339" t="inlineStr"/>
      <c r="C1339" t="inlineStr"/>
      <c r="D1339">
        <f>HYPERLINK("http://nlpdeep.cs.uic.edu:8080/proofing/gsii/37337-labs-imaging-24-1.pdf","gsii/37337-labs-imaging-24-1.pdf")</f>
        <v/>
      </c>
      <c r="E1339" t="n">
        <v>110002</v>
      </c>
      <c r="F1339" t="n">
        <v>37337</v>
      </c>
      <c r="G1339" t="inlineStr">
        <is>
          <t>Discharge summary</t>
        </is>
      </c>
      <c r="H1339" t="inlineStr">
        <is>
          <t>labs-imaging</t>
        </is>
      </c>
      <c r="I1339" t="inlineStr">
        <is>
          <t xml:space="preserve">
      2+   (1-5 per 1000X FIELD):   GRAM NEGATIVE ROD(S).</t>
        </is>
      </c>
    </row>
    <row r="1340">
      <c r="A1340" t="inlineStr">
        <is>
          <t>37337-labs-imaging-25-0</t>
        </is>
      </c>
      <c r="B1340" t="inlineStr"/>
      <c r="C1340" t="inlineStr"/>
      <c r="D1340">
        <f>HYPERLINK("http://nlpdeep.cs.uic.edu:8080/proofing/t5/37337-labs-imaging-25-0.pdf","t5/37337-labs-imaging-25-0.pdf")</f>
        <v/>
      </c>
      <c r="E1340" t="n">
        <v>110002</v>
      </c>
      <c r="F1340" t="n">
        <v>37337</v>
      </c>
      <c r="G1340" t="inlineStr">
        <is>
          <t>Discharge summary</t>
        </is>
      </c>
      <c r="H1340" t="inlineStr">
        <is>
          <t>labs-imaging</t>
        </is>
      </c>
      <c r="I1340" t="inlineStr">
        <is>
          <t xml:space="preserve">
   RESPIRATORY CULTURE (Final [**2117-11-3**]):
      Commensal Respiratory Flora Absent.</t>
        </is>
      </c>
    </row>
    <row r="1341">
      <c r="A1341" t="inlineStr">
        <is>
          <t>37337-labs-imaging-25-0</t>
        </is>
      </c>
      <c r="B1341" t="inlineStr"/>
      <c r="C1341" t="inlineStr"/>
      <c r="D1341">
        <f>HYPERLINK("http://nlpdeep.cs.uic.edu:8080/proofing/gsii/37337-labs-imaging-25-0.pdf","gsii/37337-labs-imaging-25-0.pdf")</f>
        <v/>
      </c>
      <c r="E1341" t="n">
        <v>110002</v>
      </c>
      <c r="F1341" t="n">
        <v>37337</v>
      </c>
      <c r="G1341" t="inlineStr">
        <is>
          <t>Discharge summary</t>
        </is>
      </c>
      <c r="H1341" t="inlineStr">
        <is>
          <t>labs-imaging</t>
        </is>
      </c>
      <c r="I1341" t="inlineStr">
        <is>
          <t xml:space="preserve">
   RESPIRATORY CULTURE (Final [**2117-11-3**]):
      Commensal Respiratory Flora Absent.</t>
        </is>
      </c>
    </row>
    <row r="1342">
      <c r="A1342" t="inlineStr">
        <is>
          <t>37337-labs-imaging-25-1</t>
        </is>
      </c>
      <c r="B1342" t="inlineStr"/>
      <c r="C1342" t="inlineStr"/>
      <c r="D1342">
        <f>HYPERLINK("http://nlpdeep.cs.uic.edu:8080/proofing/t5/37337-labs-imaging-25-1.pdf","t5/37337-labs-imaging-25-1.pdf")</f>
        <v/>
      </c>
      <c r="E1342" t="n">
        <v>110002</v>
      </c>
      <c r="F1342" t="n">
        <v>37337</v>
      </c>
      <c r="G1342" t="inlineStr">
        <is>
          <t>Discharge summary</t>
        </is>
      </c>
      <c r="H1342" t="inlineStr">
        <is>
          <t>labs-imaging</t>
        </is>
      </c>
      <c r="I1342" t="inlineStr">
        <is>
          <t xml:space="preserve">
      KLEBSIELLA PNEUMONIAE.</t>
        </is>
      </c>
    </row>
    <row r="1343">
      <c r="A1343" t="inlineStr">
        <is>
          <t>37337-labs-imaging-25-1</t>
        </is>
      </c>
      <c r="B1343" t="inlineStr"/>
      <c r="C1343" t="inlineStr"/>
      <c r="D1343">
        <f>HYPERLINK("http://nlpdeep.cs.uic.edu:8080/proofing/gsii/37337-labs-imaging-25-1.pdf","gsii/37337-labs-imaging-25-1.pdf")</f>
        <v/>
      </c>
      <c r="E1343" t="n">
        <v>110002</v>
      </c>
      <c r="F1343" t="n">
        <v>37337</v>
      </c>
      <c r="G1343" t="inlineStr">
        <is>
          <t>Discharge summary</t>
        </is>
      </c>
      <c r="H1343" t="inlineStr">
        <is>
          <t>labs-imaging</t>
        </is>
      </c>
      <c r="I1343" t="inlineStr">
        <is>
          <t xml:space="preserve">
      KLEBSIELLA PNEUMONIAE.</t>
        </is>
      </c>
    </row>
    <row r="1344">
      <c r="A1344" t="inlineStr">
        <is>
          <t>37337-labs-imaging-25-2</t>
        </is>
      </c>
      <c r="B1344" t="inlineStr"/>
      <c r="C1344" t="inlineStr"/>
      <c r="D1344">
        <f>HYPERLINK("http://nlpdeep.cs.uic.edu:8080/proofing/t5/37337-labs-imaging-25-2.pdf","t5/37337-labs-imaging-25-2.pdf")</f>
        <v/>
      </c>
      <c r="E1344" t="n">
        <v>110002</v>
      </c>
      <c r="F1344" t="n">
        <v>37337</v>
      </c>
      <c r="G1344" t="inlineStr">
        <is>
          <t>Discharge summary</t>
        </is>
      </c>
      <c r="H1344" t="inlineStr">
        <is>
          <t>labs-imaging</t>
        </is>
      </c>
      <c r="I1344" t="inlineStr">
        <is>
          <t xml:space="preserve">   MODERATE GROWTH.</t>
        </is>
      </c>
    </row>
    <row r="1345">
      <c r="A1345" t="inlineStr">
        <is>
          <t>37337-labs-imaging-25-2</t>
        </is>
      </c>
      <c r="B1345" t="inlineStr"/>
      <c r="C1345" t="inlineStr"/>
      <c r="D1345">
        <f>HYPERLINK("http://nlpdeep.cs.uic.edu:8080/proofing/gsii/37337-labs-imaging-25-2.pdf","gsii/37337-labs-imaging-25-2.pdf")</f>
        <v/>
      </c>
      <c r="E1345" t="n">
        <v>110002</v>
      </c>
      <c r="F1345" t="n">
        <v>37337</v>
      </c>
      <c r="G1345" t="inlineStr">
        <is>
          <t>Discharge summary</t>
        </is>
      </c>
      <c r="H1345" t="inlineStr">
        <is>
          <t>labs-imaging</t>
        </is>
      </c>
      <c r="I1345" t="inlineStr">
        <is>
          <t xml:space="preserve">   MODERATE GROWTH.</t>
        </is>
      </c>
    </row>
    <row r="1346">
      <c r="A1346" t="inlineStr">
        <is>
          <t>37337-labs-imaging-25-3</t>
        </is>
      </c>
      <c r="B1346" t="inlineStr"/>
      <c r="C1346" t="inlineStr"/>
      <c r="D1346">
        <f>HYPERLINK("http://nlpdeep.cs.uic.edu:8080/proofing/t5/37337-labs-imaging-25-3.pdf","t5/37337-labs-imaging-25-3.pdf")</f>
        <v/>
      </c>
      <c r="E1346" t="n">
        <v>110002</v>
      </c>
      <c r="F1346" t="n">
        <v>37337</v>
      </c>
      <c r="G1346" t="inlineStr">
        <is>
          <t>Discharge summary</t>
        </is>
      </c>
      <c r="H1346" t="inlineStr">
        <is>
          <t>labs-imaging</t>
        </is>
      </c>
      <c r="I1346" t="inlineStr">
        <is>
          <t xml:space="preserve">
         IDENTIFICATION AND SENSITIVITIES PERFORMED ON CULTURE #
286-2926K
         [**2117-10-28**].</t>
        </is>
      </c>
    </row>
    <row r="1347">
      <c r="A1347" t="inlineStr">
        <is>
          <t>37337-labs-imaging-25-3</t>
        </is>
      </c>
      <c r="B1347" t="inlineStr"/>
      <c r="C1347" t="inlineStr"/>
      <c r="D1347">
        <f>HYPERLINK("http://nlpdeep.cs.uic.edu:8080/proofing/gsii/37337-labs-imaging-25-3.pdf","gsii/37337-labs-imaging-25-3.pdf")</f>
        <v/>
      </c>
      <c r="E1347" t="n">
        <v>110002</v>
      </c>
      <c r="F1347" t="n">
        <v>37337</v>
      </c>
      <c r="G1347" t="inlineStr">
        <is>
          <t>Discharge summary</t>
        </is>
      </c>
      <c r="H1347" t="inlineStr">
        <is>
          <t>labs-imaging</t>
        </is>
      </c>
      <c r="I1347" t="inlineStr">
        <is>
          <t xml:space="preserve">
         IDENTIFICATION AND SENSITIVITIES PERFORMED ON CULTURE #
286-2926K
         [**2117-10-28**].</t>
        </is>
      </c>
    </row>
    <row r="1348">
      <c r="A1348" t="inlineStr">
        <is>
          <t>37337-labs-imaging-25-4</t>
        </is>
      </c>
      <c r="B1348" t="inlineStr"/>
      <c r="C1348" t="inlineStr"/>
      <c r="D1348">
        <f>HYPERLINK("http://nlpdeep.cs.uic.edu:8080/proofing/t5/37337-labs-imaging-25-4.pdf","t5/37337-labs-imaging-25-4.pdf")</f>
        <v/>
      </c>
      <c r="E1348" t="n">
        <v>110002</v>
      </c>
      <c r="F1348" t="n">
        <v>37337</v>
      </c>
      <c r="G1348" t="inlineStr">
        <is>
          <t>Discharge summary</t>
        </is>
      </c>
      <c r="H1348" t="inlineStr">
        <is>
          <t>labs-imaging</t>
        </is>
      </c>
      <c r="I1348" t="inlineStr">
        <is>
          <t xml:space="preserve">
      PSEUDOMONAS AERUGINOSA.</t>
        </is>
      </c>
    </row>
    <row r="1349">
      <c r="A1349" t="inlineStr">
        <is>
          <t>37337-labs-imaging-25-4</t>
        </is>
      </c>
      <c r="B1349" t="inlineStr"/>
      <c r="C1349" t="inlineStr"/>
      <c r="D1349">
        <f>HYPERLINK("http://nlpdeep.cs.uic.edu:8080/proofing/gsii/37337-labs-imaging-25-4.pdf","gsii/37337-labs-imaging-25-4.pdf")</f>
        <v/>
      </c>
      <c r="E1349" t="n">
        <v>110002</v>
      </c>
      <c r="F1349" t="n">
        <v>37337</v>
      </c>
      <c r="G1349" t="inlineStr">
        <is>
          <t>Discharge summary</t>
        </is>
      </c>
      <c r="H1349" t="inlineStr">
        <is>
          <t>labs-imaging</t>
        </is>
      </c>
      <c r="I1349" t="inlineStr">
        <is>
          <t xml:space="preserve">
      PSEUDOMONAS AERUGINOSA.</t>
        </is>
      </c>
    </row>
    <row r="1350">
      <c r="A1350" t="inlineStr">
        <is>
          <t>37337-labs-imaging-25-5</t>
        </is>
      </c>
      <c r="B1350" t="inlineStr"/>
      <c r="C1350" t="inlineStr"/>
      <c r="D1350">
        <f>HYPERLINK("http://nlpdeep.cs.uic.edu:8080/proofing/t5/37337-labs-imaging-25-5.pdf","t5/37337-labs-imaging-25-5.pdf")</f>
        <v/>
      </c>
      <c r="E1350" t="n">
        <v>110002</v>
      </c>
      <c r="F1350" t="n">
        <v>37337</v>
      </c>
      <c r="G1350" t="inlineStr">
        <is>
          <t>Discharge summary</t>
        </is>
      </c>
      <c r="H1350" t="inlineStr">
        <is>
          <t>labs-imaging</t>
        </is>
      </c>
      <c r="I1350" t="inlineStr">
        <is>
          <t xml:space="preserve">   SPARSE GROWTH.</t>
        </is>
      </c>
    </row>
    <row r="1351">
      <c r="A1351" t="inlineStr">
        <is>
          <t>37337-labs-imaging-25-5</t>
        </is>
      </c>
      <c r="B1351" t="inlineStr"/>
      <c r="C1351" t="inlineStr"/>
      <c r="D1351">
        <f>HYPERLINK("http://nlpdeep.cs.uic.edu:8080/proofing/gsii/37337-labs-imaging-25-5.pdf","gsii/37337-labs-imaging-25-5.pdf")</f>
        <v/>
      </c>
      <c r="E1351" t="n">
        <v>110002</v>
      </c>
      <c r="F1351" t="n">
        <v>37337</v>
      </c>
      <c r="G1351" t="inlineStr">
        <is>
          <t>Discharge summary</t>
        </is>
      </c>
      <c r="H1351" t="inlineStr">
        <is>
          <t>labs-imaging</t>
        </is>
      </c>
      <c r="I1351" t="inlineStr">
        <is>
          <t xml:space="preserve">   SPARSE GROWTH.</t>
        </is>
      </c>
    </row>
    <row r="1352">
      <c r="A1352" t="inlineStr">
        <is>
          <t>37337-labs-imaging-26-0</t>
        </is>
      </c>
      <c r="B1352" t="inlineStr"/>
      <c r="C1352" t="inlineStr"/>
      <c r="D1352">
        <f>HYPERLINK("http://nlpdeep.cs.uic.edu:8080/proofing/t5/37337-labs-imaging-26-0.pdf","t5/37337-labs-imaging-26-0.pdf")</f>
        <v/>
      </c>
      <c r="E1352" t="n">
        <v>110002</v>
      </c>
      <c r="F1352" t="n">
        <v>37337</v>
      </c>
      <c r="G1352" t="inlineStr">
        <is>
          <t>Discharge summary</t>
        </is>
      </c>
      <c r="H1352" t="inlineStr">
        <is>
          <t>labs-imaging</t>
        </is>
      </c>
      <c r="I1352" t="inlineStr"/>
    </row>
    <row r="1353">
      <c r="A1353" t="inlineStr">
        <is>
          <t>37337-labs-imaging-26-0</t>
        </is>
      </c>
      <c r="B1353" t="inlineStr"/>
      <c r="C1353" t="inlineStr"/>
      <c r="D1353">
        <f>HYPERLINK("http://nlpdeep.cs.uic.edu:8080/proofing/gsii/37337-labs-imaging-26-0.pdf","gsii/37337-labs-imaging-26-0.pdf")</f>
        <v/>
      </c>
      <c r="E1353" t="n">
        <v>110002</v>
      </c>
      <c r="F1353" t="n">
        <v>37337</v>
      </c>
      <c r="G1353" t="inlineStr">
        <is>
          <t>Discharge summary</t>
        </is>
      </c>
      <c r="H1353" t="inlineStr">
        <is>
          <t>labs-imaging</t>
        </is>
      </c>
      <c r="I1353" t="inlineStr"/>
    </row>
    <row r="1354">
      <c r="A1354" t="inlineStr">
        <is>
          <t>37337-labs-imaging-27-0</t>
        </is>
      </c>
      <c r="B1354" t="inlineStr"/>
      <c r="C1354" t="inlineStr"/>
      <c r="D1354">
        <f>HYPERLINK("http://nlpdeep.cs.uic.edu:8080/proofing/t5/37337-labs-imaging-27-0.pdf","t5/37337-labs-imaging-27-0.pdf")</f>
        <v/>
      </c>
      <c r="E1354" t="n">
        <v>110002</v>
      </c>
      <c r="F1354" t="n">
        <v>37337</v>
      </c>
      <c r="G1354" t="inlineStr">
        <is>
          <t>Discharge summary</t>
        </is>
      </c>
      <c r="H1354" t="inlineStr">
        <is>
          <t>labs-imaging</t>
        </is>
      </c>
      <c r="I1354" t="inlineStr"/>
    </row>
    <row r="1355">
      <c r="A1355" t="inlineStr">
        <is>
          <t>37337-labs-imaging-27-0</t>
        </is>
      </c>
      <c r="B1355" t="inlineStr"/>
      <c r="C1355" t="inlineStr"/>
      <c r="D1355">
        <f>HYPERLINK("http://nlpdeep.cs.uic.edu:8080/proofing/gsii/37337-labs-imaging-27-0.pdf","gsii/37337-labs-imaging-27-0.pdf")</f>
        <v/>
      </c>
      <c r="E1355" t="n">
        <v>110002</v>
      </c>
      <c r="F1355" t="n">
        <v>37337</v>
      </c>
      <c r="G1355" t="inlineStr">
        <is>
          <t>Discharge summary</t>
        </is>
      </c>
      <c r="H1355" t="inlineStr">
        <is>
          <t>labs-imaging</t>
        </is>
      </c>
      <c r="I1355" t="inlineStr"/>
    </row>
    <row r="1356">
      <c r="A1356" t="inlineStr">
        <is>
          <t>37337-hospital-course-0-0</t>
        </is>
      </c>
      <c r="B1356" t="inlineStr"/>
      <c r="C1356" t="inlineStr"/>
      <c r="D1356">
        <f>HYPERLINK("http://nlpdeep.cs.uic.edu:8080/proofing/t5/37337-hospital-course-0-0.pdf","t5/37337-hospital-course-0-0.pdf")</f>
        <v/>
      </c>
      <c r="E1356" t="n">
        <v>110002</v>
      </c>
      <c r="F1356" t="n">
        <v>37337</v>
      </c>
      <c r="G1356" t="inlineStr">
        <is>
          <t>Discharge summary</t>
        </is>
      </c>
      <c r="H1356" t="inlineStr">
        <is>
          <t>hospital-course</t>
        </is>
      </c>
      <c r="I1356" t="inlineStr">
        <is>
          <t>This is a 37 y/o male with [**Hospital **] transfered from an OSH after
presenting in septic shock with Staph pneumonia / bacteremia
with a course complicated by ARF and tachycardia.</t>
        </is>
      </c>
    </row>
    <row r="1357">
      <c r="A1357" t="inlineStr">
        <is>
          <t>37337-hospital-course-0-0</t>
        </is>
      </c>
      <c r="B1357" t="inlineStr"/>
      <c r="C1357" t="inlineStr"/>
      <c r="D1357">
        <f>HYPERLINK("http://nlpdeep.cs.uic.edu:8080/proofing/gsii/37337-hospital-course-0-0.pdf","gsii/37337-hospital-course-0-0.pdf")</f>
        <v/>
      </c>
      <c r="E1357" t="n">
        <v>110002</v>
      </c>
      <c r="F1357" t="n">
        <v>37337</v>
      </c>
      <c r="G1357" t="inlineStr">
        <is>
          <t>Discharge summary</t>
        </is>
      </c>
      <c r="H1357" t="inlineStr">
        <is>
          <t>hospital-course</t>
        </is>
      </c>
      <c r="I1357" t="inlineStr">
        <is>
          <t>This is a 37 y/o male with [**Hospital **] transfered from an OSH after
presenting in septic shock with Staph pneumonia / bacteremia
with a course complicated by ARF and tachycardia.</t>
        </is>
      </c>
    </row>
    <row r="1358">
      <c r="A1358" t="inlineStr">
        <is>
          <t>37337-hospital-course-0-1</t>
        </is>
      </c>
      <c r="B1358" t="inlineStr"/>
      <c r="C1358" t="inlineStr"/>
      <c r="D1358">
        <f>HYPERLINK("http://nlpdeep.cs.uic.edu:8080/proofing/t5/37337-hospital-course-0-1.pdf","t5/37337-hospital-course-0-1.pdf")</f>
        <v/>
      </c>
      <c r="E1358" t="n">
        <v>110002</v>
      </c>
      <c r="F1358" t="n">
        <v>37337</v>
      </c>
      <c r="G1358" t="inlineStr">
        <is>
          <t>Discharge summary</t>
        </is>
      </c>
      <c r="H1358" t="inlineStr">
        <is>
          <t>hospital-course</t>
        </is>
      </c>
      <c r="I1358" t="inlineStr">
        <is>
          <t>He grew MSSA
in blood/sputum (at the OSH), Klebsiella in his blood and
klebsiella and pseudomonas in sputum at [**Hospital1 18**].</t>
        </is>
      </c>
    </row>
    <row r="1359">
      <c r="A1359" t="inlineStr">
        <is>
          <t>37337-hospital-course-0-1</t>
        </is>
      </c>
      <c r="B1359" t="inlineStr"/>
      <c r="C1359" t="inlineStr"/>
      <c r="D1359">
        <f>HYPERLINK("http://nlpdeep.cs.uic.edu:8080/proofing/gsii/37337-hospital-course-0-1.pdf","gsii/37337-hospital-course-0-1.pdf")</f>
        <v/>
      </c>
      <c r="E1359" t="n">
        <v>110002</v>
      </c>
      <c r="F1359" t="n">
        <v>37337</v>
      </c>
      <c r="G1359" t="inlineStr">
        <is>
          <t>Discharge summary</t>
        </is>
      </c>
      <c r="H1359" t="inlineStr">
        <is>
          <t>hospital-course</t>
        </is>
      </c>
      <c r="I1359" t="inlineStr">
        <is>
          <t>He grew MSSA
in blood/sputum (at the OSH), Klebsiella in his blood and
klebsiella and pseudomonas in sputum at [**Hospital1 18**].</t>
        </is>
      </c>
    </row>
    <row r="1360">
      <c r="A1360" t="inlineStr">
        <is>
          <t>37337-hospital-course-1-0</t>
        </is>
      </c>
      <c r="B1360" t="inlineStr"/>
      <c r="C1360" t="inlineStr"/>
      <c r="D1360">
        <f>HYPERLINK("http://nlpdeep.cs.uic.edu:8080/proofing/t5/37337-hospital-course-1-0.pdf","t5/37337-hospital-course-1-0.pdf")</f>
        <v/>
      </c>
      <c r="E1360" t="n">
        <v>110002</v>
      </c>
      <c r="F1360" t="n">
        <v>37337</v>
      </c>
      <c r="G1360" t="inlineStr">
        <is>
          <t>Discharge summary</t>
        </is>
      </c>
      <c r="H1360" t="inlineStr">
        <is>
          <t>hospital-course</t>
        </is>
      </c>
      <c r="I1360" t="inlineStr">
        <is>
          <t xml:space="preserve">
# Severe septic shock: The patient had known bacteremia,
pneumonia and sinus disease by CT scan at admission to OSH.</t>
        </is>
      </c>
    </row>
    <row r="1361">
      <c r="A1361" t="inlineStr">
        <is>
          <t>37337-hospital-course-1-0</t>
        </is>
      </c>
      <c r="B1361" t="inlineStr"/>
      <c r="C1361" t="inlineStr"/>
      <c r="D1361">
        <f>HYPERLINK("http://nlpdeep.cs.uic.edu:8080/proofing/gsii/37337-hospital-course-1-0.pdf","gsii/37337-hospital-course-1-0.pdf")</f>
        <v/>
      </c>
      <c r="E1361" t="n">
        <v>110002</v>
      </c>
      <c r="F1361" t="n">
        <v>37337</v>
      </c>
      <c r="G1361" t="inlineStr">
        <is>
          <t>Discharge summary</t>
        </is>
      </c>
      <c r="H1361" t="inlineStr">
        <is>
          <t>hospital-course</t>
        </is>
      </c>
      <c r="I1361" t="inlineStr">
        <is>
          <t xml:space="preserve">
# Severe septic shock: The patient had known bacteremia,
pneumonia and sinus disease by CT scan at admission to OSH.</t>
        </is>
      </c>
    </row>
    <row r="1362">
      <c r="A1362" t="inlineStr">
        <is>
          <t>37337-hospital-course-1-1</t>
        </is>
      </c>
      <c r="B1362" t="inlineStr"/>
      <c r="C1362" t="inlineStr"/>
      <c r="D1362">
        <f>HYPERLINK("http://nlpdeep.cs.uic.edu:8080/proofing/t5/37337-hospital-course-1-1.pdf","t5/37337-hospital-course-1-1.pdf")</f>
        <v/>
      </c>
      <c r="E1362" t="n">
        <v>110002</v>
      </c>
      <c r="F1362" t="n">
        <v>37337</v>
      </c>
      <c r="G1362" t="inlineStr">
        <is>
          <t>Discharge summary</t>
        </is>
      </c>
      <c r="H1362" t="inlineStr">
        <is>
          <t>hospital-course</t>
        </is>
      </c>
      <c r="I1362" t="inlineStr">
        <is>
          <t xml:space="preserve">
These findings, in addition to elevated mixed venous O2Sat of
84% and his mottled appearance suggested a septic etiology.</t>
        </is>
      </c>
    </row>
    <row r="1363">
      <c r="A1363" t="inlineStr">
        <is>
          <t>37337-hospital-course-1-1</t>
        </is>
      </c>
      <c r="B1363" t="inlineStr"/>
      <c r="C1363" t="inlineStr"/>
      <c r="D1363">
        <f>HYPERLINK("http://nlpdeep.cs.uic.edu:8080/proofing/gsii/37337-hospital-course-1-1.pdf","gsii/37337-hospital-course-1-1.pdf")</f>
        <v/>
      </c>
      <c r="E1363" t="n">
        <v>110002</v>
      </c>
      <c r="F1363" t="n">
        <v>37337</v>
      </c>
      <c r="G1363" t="inlineStr">
        <is>
          <t>Discharge summary</t>
        </is>
      </c>
      <c r="H1363" t="inlineStr">
        <is>
          <t>hospital-course</t>
        </is>
      </c>
      <c r="I1363" t="inlineStr">
        <is>
          <t xml:space="preserve">
These findings, in addition to elevated mixed venous O2Sat of
84% and his mottled appearance suggested a septic etiology.</t>
        </is>
      </c>
    </row>
    <row r="1364">
      <c r="A1364" t="inlineStr">
        <is>
          <t>37337-hospital-course-1-2</t>
        </is>
      </c>
      <c r="B1364" t="inlineStr"/>
      <c r="C1364" t="inlineStr"/>
      <c r="D1364">
        <f>HYPERLINK("http://nlpdeep.cs.uic.edu:8080/proofing/t5/37337-hospital-course-1-2.pdf","t5/37337-hospital-course-1-2.pdf")</f>
        <v/>
      </c>
      <c r="E1364" t="n">
        <v>110002</v>
      </c>
      <c r="F1364" t="n">
        <v>37337</v>
      </c>
      <c r="G1364" t="inlineStr">
        <is>
          <t>Discharge summary</t>
        </is>
      </c>
      <c r="H1364" t="inlineStr">
        <is>
          <t>hospital-course</t>
        </is>
      </c>
      <c r="I1364" t="inlineStr">
        <is>
          <t xml:space="preserve">
Cardiogenic shock was deemed unlikely, given the pt's robust BP
despite tachycardia to the 170s, high mixed venous O2sat, and
preserved LVEF on ECHO.</t>
        </is>
      </c>
    </row>
    <row r="1365">
      <c r="A1365" t="inlineStr">
        <is>
          <t>37337-hospital-course-1-2</t>
        </is>
      </c>
      <c r="B1365" t="inlineStr"/>
      <c r="C1365" t="inlineStr"/>
      <c r="D1365">
        <f>HYPERLINK("http://nlpdeep.cs.uic.edu:8080/proofing/gsii/37337-hospital-course-1-2.pdf","gsii/37337-hospital-course-1-2.pdf")</f>
        <v/>
      </c>
      <c r="E1365" t="n">
        <v>110002</v>
      </c>
      <c r="F1365" t="n">
        <v>37337</v>
      </c>
      <c r="G1365" t="inlineStr">
        <is>
          <t>Discharge summary</t>
        </is>
      </c>
      <c r="H1365" t="inlineStr">
        <is>
          <t>hospital-course</t>
        </is>
      </c>
      <c r="I1365" t="inlineStr">
        <is>
          <t xml:space="preserve">
Cardiogenic shock was deemed unlikely, given the pt's robust BP
despite tachycardia to the 170s, high mixed venous O2sat, and
preserved LVEF on ECHO.</t>
        </is>
      </c>
    </row>
    <row r="1366">
      <c r="A1366" t="inlineStr">
        <is>
          <t>37337-hospital-course-2-0</t>
        </is>
      </c>
      <c r="B1366" t="inlineStr"/>
      <c r="C1366" t="inlineStr"/>
      <c r="D1366">
        <f>HYPERLINK("http://nlpdeep.cs.uic.edu:8080/proofing/t5/37337-hospital-course-2-0.pdf","t5/37337-hospital-course-2-0.pdf")</f>
        <v/>
      </c>
      <c r="E1366" t="n">
        <v>110002</v>
      </c>
      <c r="F1366" t="n">
        <v>37337</v>
      </c>
      <c r="G1366" t="inlineStr">
        <is>
          <t>Discharge summary</t>
        </is>
      </c>
      <c r="H1366" t="inlineStr">
        <is>
          <t>hospital-course</t>
        </is>
      </c>
      <c r="I1366" t="inlineStr">
        <is>
          <t xml:space="preserve">
# Community Acquired Pneumonia: At presentation, the patient's
blood pressure was stable, off pressors.</t>
        </is>
      </c>
    </row>
    <row r="1367">
      <c r="A1367" t="inlineStr">
        <is>
          <t>37337-hospital-course-2-0</t>
        </is>
      </c>
      <c r="B1367" t="inlineStr"/>
      <c r="C1367" t="inlineStr"/>
      <c r="D1367">
        <f>HYPERLINK("http://nlpdeep.cs.uic.edu:8080/proofing/gsii/37337-hospital-course-2-0.pdf","gsii/37337-hospital-course-2-0.pdf")</f>
        <v/>
      </c>
      <c r="E1367" t="n">
        <v>110002</v>
      </c>
      <c r="F1367" t="n">
        <v>37337</v>
      </c>
      <c r="G1367" t="inlineStr">
        <is>
          <t>Discharge summary</t>
        </is>
      </c>
      <c r="H1367" t="inlineStr">
        <is>
          <t>hospital-course</t>
        </is>
      </c>
      <c r="I1367" t="inlineStr">
        <is>
          <t xml:space="preserve">
# Community Acquired Pneumonia: At presentation, the patient's
blood pressure was stable, off pressors.</t>
        </is>
      </c>
    </row>
    <row r="1368">
      <c r="A1368" t="inlineStr">
        <is>
          <t>37337-hospital-course-2-1</t>
        </is>
      </c>
      <c r="B1368" t="inlineStr"/>
      <c r="C1368" t="inlineStr"/>
      <c r="D1368">
        <f>HYPERLINK("http://nlpdeep.cs.uic.edu:8080/proofing/t5/37337-hospital-course-2-1.pdf","t5/37337-hospital-course-2-1.pdf")</f>
        <v/>
      </c>
      <c r="E1368" t="n">
        <v>110002</v>
      </c>
      <c r="F1368" t="n">
        <v>37337</v>
      </c>
      <c r="G1368" t="inlineStr">
        <is>
          <t>Discharge summary</t>
        </is>
      </c>
      <c r="H1368" t="inlineStr">
        <is>
          <t>hospital-course</t>
        </is>
      </c>
      <c r="I1368" t="inlineStr">
        <is>
          <t>Culture data was
positive for MSSA in the sputum and blood early in OSH course.</t>
        </is>
      </c>
    </row>
    <row r="1369">
      <c r="A1369" t="inlineStr">
        <is>
          <t>37337-hospital-course-2-1</t>
        </is>
      </c>
      <c r="B1369" t="inlineStr"/>
      <c r="C1369" t="inlineStr"/>
      <c r="D1369">
        <f>HYPERLINK("http://nlpdeep.cs.uic.edu:8080/proofing/gsii/37337-hospital-course-2-1.pdf","gsii/37337-hospital-course-2-1.pdf")</f>
        <v/>
      </c>
      <c r="E1369" t="n">
        <v>110002</v>
      </c>
      <c r="F1369" t="n">
        <v>37337</v>
      </c>
      <c r="G1369" t="inlineStr">
        <is>
          <t>Discharge summary</t>
        </is>
      </c>
      <c r="H1369" t="inlineStr">
        <is>
          <t>hospital-course</t>
        </is>
      </c>
      <c r="I1369" t="inlineStr">
        <is>
          <t>Culture data was
positive for MSSA in the sputum and blood early in OSH course.</t>
        </is>
      </c>
    </row>
    <row r="1370">
      <c r="A1370" t="inlineStr">
        <is>
          <t>37337-hospital-course-2-2</t>
        </is>
      </c>
      <c r="B1370" t="inlineStr"/>
      <c r="C1370" t="inlineStr"/>
      <c r="D1370">
        <f>HYPERLINK("http://nlpdeep.cs.uic.edu:8080/proofing/t5/37337-hospital-course-2-2.pdf","t5/37337-hospital-course-2-2.pdf")</f>
        <v/>
      </c>
      <c r="E1370" t="n">
        <v>110002</v>
      </c>
      <c r="F1370" t="n">
        <v>37337</v>
      </c>
      <c r="G1370" t="inlineStr">
        <is>
          <t>Discharge summary</t>
        </is>
      </c>
      <c r="H1370" t="inlineStr">
        <is>
          <t>hospital-course</t>
        </is>
      </c>
      <c r="I1370" t="inlineStr">
        <is>
          <t xml:space="preserve">
CT scan showed a multi-focal pneumonia, with L &gt; R infiltrates,
but no sign of empyema.</t>
        </is>
      </c>
    </row>
    <row r="1371">
      <c r="A1371" t="inlineStr">
        <is>
          <t>37337-hospital-course-2-2</t>
        </is>
      </c>
      <c r="B1371" t="inlineStr"/>
      <c r="C1371" t="inlineStr"/>
      <c r="D1371">
        <f>HYPERLINK("http://nlpdeep.cs.uic.edu:8080/proofing/gsii/37337-hospital-course-2-2.pdf","gsii/37337-hospital-course-2-2.pdf")</f>
        <v/>
      </c>
      <c r="E1371" t="n">
        <v>110002</v>
      </c>
      <c r="F1371" t="n">
        <v>37337</v>
      </c>
      <c r="G1371" t="inlineStr">
        <is>
          <t>Discharge summary</t>
        </is>
      </c>
      <c r="H1371" t="inlineStr">
        <is>
          <t>hospital-course</t>
        </is>
      </c>
      <c r="I1371" t="inlineStr">
        <is>
          <t xml:space="preserve">
CT scan showed a multi-focal pneumonia, with L &gt; R infiltrates,
but no sign of empyema.</t>
        </is>
      </c>
    </row>
    <row r="1372">
      <c r="A1372" t="inlineStr">
        <is>
          <t>37337-hospital-course-2-3</t>
        </is>
      </c>
      <c r="B1372" t="inlineStr"/>
      <c r="C1372" t="inlineStr"/>
      <c r="D1372">
        <f>HYPERLINK("http://nlpdeep.cs.uic.edu:8080/proofing/t5/37337-hospital-course-2-3.pdf","t5/37337-hospital-course-2-3.pdf")</f>
        <v/>
      </c>
      <c r="E1372" t="n">
        <v>110002</v>
      </c>
      <c r="F1372" t="n">
        <v>37337</v>
      </c>
      <c r="G1372" t="inlineStr">
        <is>
          <t>Discharge summary</t>
        </is>
      </c>
      <c r="H1372" t="inlineStr">
        <is>
          <t>hospital-course</t>
        </is>
      </c>
      <c r="I1372" t="inlineStr">
        <is>
          <t>TTE showed no vegetations.</t>
        </is>
      </c>
    </row>
    <row r="1373">
      <c r="A1373" t="inlineStr">
        <is>
          <t>37337-hospital-course-2-3</t>
        </is>
      </c>
      <c r="B1373" t="inlineStr"/>
      <c r="C1373" t="inlineStr"/>
      <c r="D1373">
        <f>HYPERLINK("http://nlpdeep.cs.uic.edu:8080/proofing/gsii/37337-hospital-course-2-3.pdf","gsii/37337-hospital-course-2-3.pdf")</f>
        <v/>
      </c>
      <c r="E1373" t="n">
        <v>110002</v>
      </c>
      <c r="F1373" t="n">
        <v>37337</v>
      </c>
      <c r="G1373" t="inlineStr">
        <is>
          <t>Discharge summary</t>
        </is>
      </c>
      <c r="H1373" t="inlineStr">
        <is>
          <t>hospital-course</t>
        </is>
      </c>
      <c r="I1373" t="inlineStr">
        <is>
          <t>TTE showed no vegetations.</t>
        </is>
      </c>
    </row>
    <row r="1374">
      <c r="A1374" t="inlineStr">
        <is>
          <t>37337-hospital-course-2-4</t>
        </is>
      </c>
      <c r="B1374" t="inlineStr"/>
      <c r="C1374" t="inlineStr"/>
      <c r="D1374">
        <f>HYPERLINK("http://nlpdeep.cs.uic.edu:8080/proofing/t5/37337-hospital-course-2-4.pdf","t5/37337-hospital-course-2-4.pdf")</f>
        <v/>
      </c>
      <c r="E1374" t="n">
        <v>110002</v>
      </c>
      <c r="F1374" t="n">
        <v>37337</v>
      </c>
      <c r="G1374" t="inlineStr">
        <is>
          <t>Discharge summary</t>
        </is>
      </c>
      <c r="H1374" t="inlineStr">
        <is>
          <t>hospital-course</t>
        </is>
      </c>
      <c r="I1374" t="inlineStr">
        <is>
          <t>H1N1 was a
consideration, and the pt was initially treated for flu with
Tamiflu; however, after negative influenza DFA x 2 at the OSH
and another negative DFA at [**Hospital1 18**], Tamiflu was stopped.</t>
        </is>
      </c>
    </row>
    <row r="1375">
      <c r="A1375" t="inlineStr">
        <is>
          <t>37337-hospital-course-2-4</t>
        </is>
      </c>
      <c r="B1375" t="inlineStr"/>
      <c r="C1375" t="inlineStr"/>
      <c r="D1375">
        <f>HYPERLINK("http://nlpdeep.cs.uic.edu:8080/proofing/gsii/37337-hospital-course-2-4.pdf","gsii/37337-hospital-course-2-4.pdf")</f>
        <v/>
      </c>
      <c r="E1375" t="n">
        <v>110002</v>
      </c>
      <c r="F1375" t="n">
        <v>37337</v>
      </c>
      <c r="G1375" t="inlineStr">
        <is>
          <t>Discharge summary</t>
        </is>
      </c>
      <c r="H1375" t="inlineStr">
        <is>
          <t>hospital-course</t>
        </is>
      </c>
      <c r="I1375" t="inlineStr">
        <is>
          <t>H1N1 was a
consideration, and the pt was initially treated for flu with
Tamiflu; however, after negative influenza DFA x 2 at the OSH
and another negative DFA at [**Hospital1 18**], Tamiflu was stopped.</t>
        </is>
      </c>
    </row>
    <row r="1376">
      <c r="A1376" t="inlineStr">
        <is>
          <t>37337-hospital-course-2-5</t>
        </is>
      </c>
      <c r="B1376" t="inlineStr"/>
      <c r="C1376" t="inlineStr"/>
      <c r="D1376">
        <f>HYPERLINK("http://nlpdeep.cs.uic.edu:8080/proofing/t5/37337-hospital-course-2-5.pdf","t5/37337-hospital-course-2-5.pdf")</f>
        <v/>
      </c>
      <c r="E1376" t="n">
        <v>110002</v>
      </c>
      <c r="F1376" t="n">
        <v>37337</v>
      </c>
      <c r="G1376" t="inlineStr">
        <is>
          <t>Discharge summary</t>
        </is>
      </c>
      <c r="H1376" t="inlineStr">
        <is>
          <t>hospital-course</t>
        </is>
      </c>
      <c r="I1376" t="inlineStr">
        <is>
          <t>Patient
completed a 14 day course of Meropenem (inititially
nafcillin/meropenem/gentamicin narrowed to Meropenem).</t>
        </is>
      </c>
    </row>
    <row r="1377">
      <c r="A1377" t="inlineStr">
        <is>
          <t>37337-hospital-course-2-5</t>
        </is>
      </c>
      <c r="B1377" t="inlineStr"/>
      <c r="C1377" t="inlineStr"/>
      <c r="D1377">
        <f>HYPERLINK("http://nlpdeep.cs.uic.edu:8080/proofing/gsii/37337-hospital-course-2-5.pdf","gsii/37337-hospital-course-2-5.pdf")</f>
        <v/>
      </c>
      <c r="E1377" t="n">
        <v>110002</v>
      </c>
      <c r="F1377" t="n">
        <v>37337</v>
      </c>
      <c r="G1377" t="inlineStr">
        <is>
          <t>Discharge summary</t>
        </is>
      </c>
      <c r="H1377" t="inlineStr">
        <is>
          <t>hospital-course</t>
        </is>
      </c>
      <c r="I1377" t="inlineStr">
        <is>
          <t>Patient
completed a 14 day course of Meropenem (inititially
nafcillin/meropenem/gentamicin narrowed to Meropenem).</t>
        </is>
      </c>
    </row>
    <row r="1378">
      <c r="A1378" t="inlineStr">
        <is>
          <t>37337-hospital-course-3-0</t>
        </is>
      </c>
      <c r="B1378" t="inlineStr"/>
      <c r="C1378" t="inlineStr"/>
      <c r="D1378">
        <f>HYPERLINK("http://nlpdeep.cs.uic.edu:8080/proofing/t5/37337-hospital-course-3-0.pdf","t5/37337-hospital-course-3-0.pdf")</f>
        <v/>
      </c>
      <c r="E1378" t="n">
        <v>110002</v>
      </c>
      <c r="F1378" t="n">
        <v>37337</v>
      </c>
      <c r="G1378" t="inlineStr">
        <is>
          <t>Discharge summary</t>
        </is>
      </c>
      <c r="H1378" t="inlineStr">
        <is>
          <t>hospital-course</t>
        </is>
      </c>
      <c r="I1378" t="inlineStr">
        <is>
          <t xml:space="preserve">
# Ventilator-Associated Pneumonia:  After intubation at the OSH,
his sputum cultures at BIDCMC grew Klebsiella pneumoniae and
pseudomonas in the sputum, and Klebsiella in the blood.</t>
        </is>
      </c>
    </row>
    <row r="1379">
      <c r="A1379" t="inlineStr">
        <is>
          <t>37337-hospital-course-3-0</t>
        </is>
      </c>
      <c r="B1379" t="inlineStr"/>
      <c r="C1379" t="inlineStr"/>
      <c r="D1379">
        <f>HYPERLINK("http://nlpdeep.cs.uic.edu:8080/proofing/gsii/37337-hospital-course-3-0.pdf","gsii/37337-hospital-course-3-0.pdf")</f>
        <v/>
      </c>
      <c r="E1379" t="n">
        <v>110002</v>
      </c>
      <c r="F1379" t="n">
        <v>37337</v>
      </c>
      <c r="G1379" t="inlineStr">
        <is>
          <t>Discharge summary</t>
        </is>
      </c>
      <c r="H1379" t="inlineStr">
        <is>
          <t>hospital-course</t>
        </is>
      </c>
      <c r="I1379" t="inlineStr">
        <is>
          <t xml:space="preserve">
# Ventilator-Associated Pneumonia:  After intubation at the OSH,
his sputum cultures at BIDCMC grew Klebsiella pneumoniae and
pseudomonas in the sputum, and Klebsiella in the blood.</t>
        </is>
      </c>
    </row>
    <row r="1380">
      <c r="A1380" t="inlineStr">
        <is>
          <t>37337-hospital-course-3-1</t>
        </is>
      </c>
      <c r="B1380" t="inlineStr"/>
      <c r="C1380" t="inlineStr"/>
      <c r="D1380">
        <f>HYPERLINK("http://nlpdeep.cs.uic.edu:8080/proofing/t5/37337-hospital-course-3-1.pdf","t5/37337-hospital-course-3-1.pdf")</f>
        <v/>
      </c>
      <c r="E1380" t="n">
        <v>110002</v>
      </c>
      <c r="F1380" t="n">
        <v>37337</v>
      </c>
      <c r="G1380" t="inlineStr">
        <is>
          <t>Discharge summary</t>
        </is>
      </c>
      <c r="H1380" t="inlineStr">
        <is>
          <t>hospital-course</t>
        </is>
      </c>
      <c r="I1380" t="inlineStr">
        <is>
          <t xml:space="preserve"> Per ID
consult, patient's antiobitic regimen was changed from
nafcillin/meropenem/gent to: solely Meropenem--with a course
from [**11-5**] (the last negative blood culture) to [**11-19**], for a
total of 14 days.</t>
        </is>
      </c>
    </row>
    <row r="1381">
      <c r="A1381" t="inlineStr">
        <is>
          <t>37337-hospital-course-3-1</t>
        </is>
      </c>
      <c r="B1381" t="inlineStr"/>
      <c r="C1381" t="inlineStr"/>
      <c r="D1381">
        <f>HYPERLINK("http://nlpdeep.cs.uic.edu:8080/proofing/gsii/37337-hospital-course-3-1.pdf","gsii/37337-hospital-course-3-1.pdf")</f>
        <v/>
      </c>
      <c r="E1381" t="n">
        <v>110002</v>
      </c>
      <c r="F1381" t="n">
        <v>37337</v>
      </c>
      <c r="G1381" t="inlineStr">
        <is>
          <t>Discharge summary</t>
        </is>
      </c>
      <c r="H1381" t="inlineStr">
        <is>
          <t>hospital-course</t>
        </is>
      </c>
      <c r="I1381" t="inlineStr">
        <is>
          <t xml:space="preserve"> Per ID
consult, patient's antiobitic regimen was changed from
nafcillin/meropenem/gent to: solely Meropenem--with a course
from [**11-5**] (the last negative blood culture) to [**11-19**], for a
total of 14 days.</t>
        </is>
      </c>
    </row>
    <row r="1382">
      <c r="A1382" t="inlineStr">
        <is>
          <t>37337-hospital-course-4-0</t>
        </is>
      </c>
      <c r="B1382" t="inlineStr"/>
      <c r="C1382" t="inlineStr"/>
      <c r="D1382">
        <f>HYPERLINK("http://nlpdeep.cs.uic.edu:8080/proofing/t5/37337-hospital-course-4-0.pdf","t5/37337-hospital-course-4-0.pdf")</f>
        <v/>
      </c>
      <c r="E1382" t="n">
        <v>110002</v>
      </c>
      <c r="F1382" t="n">
        <v>37337</v>
      </c>
      <c r="G1382" t="inlineStr">
        <is>
          <t>Discharge summary</t>
        </is>
      </c>
      <c r="H1382" t="inlineStr">
        <is>
          <t>hospital-course</t>
        </is>
      </c>
      <c r="I1382" t="inlineStr">
        <is>
          <t xml:space="preserve">
# Klebsiella Bacteremia:  Patient was treated with a 14 day
course of meropenam.</t>
        </is>
      </c>
    </row>
    <row r="1383">
      <c r="A1383" t="inlineStr">
        <is>
          <t>37337-hospital-course-4-0</t>
        </is>
      </c>
      <c r="B1383" t="inlineStr"/>
      <c r="C1383" t="inlineStr"/>
      <c r="D1383">
        <f>HYPERLINK("http://nlpdeep.cs.uic.edu:8080/proofing/gsii/37337-hospital-course-4-0.pdf","gsii/37337-hospital-course-4-0.pdf")</f>
        <v/>
      </c>
      <c r="E1383" t="n">
        <v>110002</v>
      </c>
      <c r="F1383" t="n">
        <v>37337</v>
      </c>
      <c r="G1383" t="inlineStr">
        <is>
          <t>Discharge summary</t>
        </is>
      </c>
      <c r="H1383" t="inlineStr">
        <is>
          <t>hospital-course</t>
        </is>
      </c>
      <c r="I1383" t="inlineStr">
        <is>
          <t xml:space="preserve">
# Klebsiella Bacteremia:  Patient was treated with a 14 day
course of meropenam.</t>
        </is>
      </c>
    </row>
    <row r="1384">
      <c r="A1384" t="inlineStr">
        <is>
          <t>37337-hospital-course-5-0</t>
        </is>
      </c>
      <c r="B1384" t="inlineStr"/>
      <c r="C1384" t="inlineStr"/>
      <c r="D1384">
        <f>HYPERLINK("http://nlpdeep.cs.uic.edu:8080/proofing/t5/37337-hospital-course-5-0.pdf","t5/37337-hospital-course-5-0.pdf")</f>
        <v/>
      </c>
      <c r="E1384" t="n">
        <v>110002</v>
      </c>
      <c r="F1384" t="n">
        <v>37337</v>
      </c>
      <c r="G1384" t="inlineStr">
        <is>
          <t>Discharge summary</t>
        </is>
      </c>
      <c r="H1384" t="inlineStr">
        <is>
          <t>hospital-course</t>
        </is>
      </c>
      <c r="I1384" t="inlineStr">
        <is>
          <t xml:space="preserve">
# Coagulase-negative Staphylococcus Bacteremia:  This was felt
to be line-related.</t>
        </is>
      </c>
    </row>
    <row r="1385">
      <c r="A1385" t="inlineStr">
        <is>
          <t>37337-hospital-course-5-0</t>
        </is>
      </c>
      <c r="B1385" t="inlineStr"/>
      <c r="C1385" t="inlineStr"/>
      <c r="D1385">
        <f>HYPERLINK("http://nlpdeep.cs.uic.edu:8080/proofing/gsii/37337-hospital-course-5-0.pdf","gsii/37337-hospital-course-5-0.pdf")</f>
        <v/>
      </c>
      <c r="E1385" t="n">
        <v>110002</v>
      </c>
      <c r="F1385" t="n">
        <v>37337</v>
      </c>
      <c r="G1385" t="inlineStr">
        <is>
          <t>Discharge summary</t>
        </is>
      </c>
      <c r="H1385" t="inlineStr">
        <is>
          <t>hospital-course</t>
        </is>
      </c>
      <c r="I1385" t="inlineStr">
        <is>
          <t xml:space="preserve">
# Coagulase-negative Staphylococcus Bacteremia:  This was felt
to be line-related.</t>
        </is>
      </c>
    </row>
    <row r="1386">
      <c r="A1386" t="inlineStr">
        <is>
          <t>37337-hospital-course-5-1</t>
        </is>
      </c>
      <c r="B1386" t="inlineStr"/>
      <c r="C1386" t="inlineStr"/>
      <c r="D1386">
        <f>HYPERLINK("http://nlpdeep.cs.uic.edu:8080/proofing/t5/37337-hospital-course-5-1.pdf","t5/37337-hospital-course-5-1.pdf")</f>
        <v/>
      </c>
      <c r="E1386" t="n">
        <v>110002</v>
      </c>
      <c r="F1386" t="n">
        <v>37337</v>
      </c>
      <c r="G1386" t="inlineStr">
        <is>
          <t>Discharge summary</t>
        </is>
      </c>
      <c r="H1386" t="inlineStr">
        <is>
          <t>hospital-course</t>
        </is>
      </c>
      <c r="I1386" t="inlineStr">
        <is>
          <t xml:space="preserve"> Pt was treated with 7 day course of
Vancomycin.</t>
        </is>
      </c>
    </row>
    <row r="1387">
      <c r="A1387" t="inlineStr">
        <is>
          <t>37337-hospital-course-5-1</t>
        </is>
      </c>
      <c r="B1387" t="inlineStr"/>
      <c r="C1387" t="inlineStr"/>
      <c r="D1387">
        <f>HYPERLINK("http://nlpdeep.cs.uic.edu:8080/proofing/gsii/37337-hospital-course-5-1.pdf","gsii/37337-hospital-course-5-1.pdf")</f>
        <v/>
      </c>
      <c r="E1387" t="n">
        <v>110002</v>
      </c>
      <c r="F1387" t="n">
        <v>37337</v>
      </c>
      <c r="G1387" t="inlineStr">
        <is>
          <t>Discharge summary</t>
        </is>
      </c>
      <c r="H1387" t="inlineStr">
        <is>
          <t>hospital-course</t>
        </is>
      </c>
      <c r="I1387" t="inlineStr">
        <is>
          <t xml:space="preserve"> Pt was treated with 7 day course of
Vancomycin.</t>
        </is>
      </c>
    </row>
    <row r="1388">
      <c r="A1388" t="inlineStr">
        <is>
          <t>37337-hospital-course-6-0</t>
        </is>
      </c>
      <c r="B1388" t="inlineStr"/>
      <c r="C1388" t="inlineStr"/>
      <c r="D1388">
        <f>HYPERLINK("http://nlpdeep.cs.uic.edu:8080/proofing/t5/37337-hospital-course-6-0.pdf","t5/37337-hospital-course-6-0.pdf")</f>
        <v/>
      </c>
      <c r="E1388" t="n">
        <v>110002</v>
      </c>
      <c r="F1388" t="n">
        <v>37337</v>
      </c>
      <c r="G1388" t="inlineStr">
        <is>
          <t>Discharge summary</t>
        </is>
      </c>
      <c r="H1388" t="inlineStr">
        <is>
          <t>hospital-course</t>
        </is>
      </c>
      <c r="I1388" t="inlineStr">
        <is>
          <t xml:space="preserve">
# Acute Respiratory Distress: The patient had bilateral
infiltrates on CXR and CT chest and high oxygen requirement.</t>
        </is>
      </c>
    </row>
    <row r="1389">
      <c r="A1389" t="inlineStr">
        <is>
          <t>37337-hospital-course-6-0</t>
        </is>
      </c>
      <c r="B1389" t="inlineStr"/>
      <c r="C1389" t="inlineStr"/>
      <c r="D1389">
        <f>HYPERLINK("http://nlpdeep.cs.uic.edu:8080/proofing/gsii/37337-hospital-course-6-0.pdf","gsii/37337-hospital-course-6-0.pdf")</f>
        <v/>
      </c>
      <c r="E1389" t="n">
        <v>110002</v>
      </c>
      <c r="F1389" t="n">
        <v>37337</v>
      </c>
      <c r="G1389" t="inlineStr">
        <is>
          <t>Discharge summary</t>
        </is>
      </c>
      <c r="H1389" t="inlineStr">
        <is>
          <t>hospital-course</t>
        </is>
      </c>
      <c r="I1389" t="inlineStr">
        <is>
          <t xml:space="preserve">
# Acute Respiratory Distress: The patient had bilateral
infiltrates on CXR and CT chest and high oxygen requirement.</t>
        </is>
      </c>
    </row>
    <row r="1390">
      <c r="A1390" t="inlineStr">
        <is>
          <t>37337-hospital-course-6-1</t>
        </is>
      </c>
      <c r="B1390" t="inlineStr"/>
      <c r="C1390" t="inlineStr"/>
      <c r="D1390">
        <f>HYPERLINK("http://nlpdeep.cs.uic.edu:8080/proofing/t5/37337-hospital-course-6-1.pdf","t5/37337-hospital-course-6-1.pdf")</f>
        <v/>
      </c>
      <c r="E1390" t="n">
        <v>110002</v>
      </c>
      <c r="F1390" t="n">
        <v>37337</v>
      </c>
      <c r="G1390" t="inlineStr">
        <is>
          <t>Discharge summary</t>
        </is>
      </c>
      <c r="H1390" t="inlineStr">
        <is>
          <t>hospital-course</t>
        </is>
      </c>
      <c r="I1390" t="inlineStr">
        <is>
          <t xml:space="preserve"> He
had a long course of intubation (18 days), extubated on [**11-10**]
following precedex treatment.</t>
        </is>
      </c>
    </row>
    <row r="1391">
      <c r="A1391" t="inlineStr">
        <is>
          <t>37337-hospital-course-6-1</t>
        </is>
      </c>
      <c r="B1391" t="inlineStr"/>
      <c r="C1391" t="inlineStr"/>
      <c r="D1391">
        <f>HYPERLINK("http://nlpdeep.cs.uic.edu:8080/proofing/gsii/37337-hospital-course-6-1.pdf","gsii/37337-hospital-course-6-1.pdf")</f>
        <v/>
      </c>
      <c r="E1391" t="n">
        <v>110002</v>
      </c>
      <c r="F1391" t="n">
        <v>37337</v>
      </c>
      <c r="G1391" t="inlineStr">
        <is>
          <t>Discharge summary</t>
        </is>
      </c>
      <c r="H1391" t="inlineStr">
        <is>
          <t>hospital-course</t>
        </is>
      </c>
      <c r="I1391" t="inlineStr">
        <is>
          <t xml:space="preserve"> He
had a long course of intubation (18 days), extubated on [**11-10**]
following precedex treatment.</t>
        </is>
      </c>
    </row>
    <row r="1392">
      <c r="A1392" t="inlineStr">
        <is>
          <t>37337-hospital-course-6-2</t>
        </is>
      </c>
      <c r="B1392" t="inlineStr"/>
      <c r="C1392" t="inlineStr"/>
      <c r="D1392">
        <f>HYPERLINK("http://nlpdeep.cs.uic.edu:8080/proofing/t5/37337-hospital-course-6-2.pdf","t5/37337-hospital-course-6-2.pdf")</f>
        <v/>
      </c>
      <c r="E1392" t="n">
        <v>110002</v>
      </c>
      <c r="F1392" t="n">
        <v>37337</v>
      </c>
      <c r="G1392" t="inlineStr">
        <is>
          <t>Discharge summary</t>
        </is>
      </c>
      <c r="H1392" t="inlineStr">
        <is>
          <t>hospital-course</t>
        </is>
      </c>
      <c r="I1392" t="inlineStr">
        <is>
          <t>At discharge, the patient was
satting well on room air.</t>
        </is>
      </c>
    </row>
    <row r="1393">
      <c r="A1393" t="inlineStr">
        <is>
          <t>37337-hospital-course-6-2</t>
        </is>
      </c>
      <c r="B1393" t="inlineStr"/>
      <c r="C1393" t="inlineStr"/>
      <c r="D1393">
        <f>HYPERLINK("http://nlpdeep.cs.uic.edu:8080/proofing/gsii/37337-hospital-course-6-2.pdf","gsii/37337-hospital-course-6-2.pdf")</f>
        <v/>
      </c>
      <c r="E1393" t="n">
        <v>110002</v>
      </c>
      <c r="F1393" t="n">
        <v>37337</v>
      </c>
      <c r="G1393" t="inlineStr">
        <is>
          <t>Discharge summary</t>
        </is>
      </c>
      <c r="H1393" t="inlineStr">
        <is>
          <t>hospital-course</t>
        </is>
      </c>
      <c r="I1393" t="inlineStr">
        <is>
          <t>At discharge, the patient was
satting well on room air.</t>
        </is>
      </c>
    </row>
    <row r="1394">
      <c r="A1394" t="inlineStr">
        <is>
          <t>37337-hospital-course-7-0</t>
        </is>
      </c>
      <c r="B1394" t="inlineStr"/>
      <c r="C1394" t="inlineStr"/>
      <c r="D1394">
        <f>HYPERLINK("http://nlpdeep.cs.uic.edu:8080/proofing/t5/37337-hospital-course-7-0.pdf","t5/37337-hospital-course-7-0.pdf")</f>
        <v/>
      </c>
      <c r="E1394" t="n">
        <v>110002</v>
      </c>
      <c r="F1394" t="n">
        <v>37337</v>
      </c>
      <c r="G1394" t="inlineStr">
        <is>
          <t>Discharge summary</t>
        </is>
      </c>
      <c r="H1394" t="inlineStr">
        <is>
          <t>hospital-course</t>
        </is>
      </c>
      <c r="I1394" t="inlineStr">
        <is>
          <t xml:space="preserve">
# Acute renal failure from Acute Tubular Necrosis: Due to
hyperkalemia in the setting of ARF, the pt required HD, and
renal consult service followed him closely.</t>
        </is>
      </c>
    </row>
    <row r="1395">
      <c r="A1395" t="inlineStr">
        <is>
          <t>37337-hospital-course-7-0</t>
        </is>
      </c>
      <c r="B1395" t="inlineStr"/>
      <c r="C1395" t="inlineStr"/>
      <c r="D1395">
        <f>HYPERLINK("http://nlpdeep.cs.uic.edu:8080/proofing/gsii/37337-hospital-course-7-0.pdf","gsii/37337-hospital-course-7-0.pdf")</f>
        <v/>
      </c>
      <c r="E1395" t="n">
        <v>110002</v>
      </c>
      <c r="F1395" t="n">
        <v>37337</v>
      </c>
      <c r="G1395" t="inlineStr">
        <is>
          <t>Discharge summary</t>
        </is>
      </c>
      <c r="H1395" t="inlineStr">
        <is>
          <t>hospital-course</t>
        </is>
      </c>
      <c r="I1395" t="inlineStr">
        <is>
          <t xml:space="preserve">
# Acute renal failure from Acute Tubular Necrosis: Due to
hyperkalemia in the setting of ARF, the pt required HD, and
renal consult service followed him closely.</t>
        </is>
      </c>
    </row>
    <row r="1396">
      <c r="A1396" t="inlineStr">
        <is>
          <t>37337-hospital-course-7-1</t>
        </is>
      </c>
      <c r="B1396" t="inlineStr"/>
      <c r="C1396" t="inlineStr"/>
      <c r="D1396">
        <f>HYPERLINK("http://nlpdeep.cs.uic.edu:8080/proofing/t5/37337-hospital-course-7-1.pdf","t5/37337-hospital-course-7-1.pdf")</f>
        <v/>
      </c>
      <c r="E1396" t="n">
        <v>110002</v>
      </c>
      <c r="F1396" t="n">
        <v>37337</v>
      </c>
      <c r="G1396" t="inlineStr">
        <is>
          <t>Discharge summary</t>
        </is>
      </c>
      <c r="H1396" t="inlineStr">
        <is>
          <t>hospital-course</t>
        </is>
      </c>
      <c r="I1396" t="inlineStr">
        <is>
          <t>Patient was
oliguric, then had post-ATN diuresis, and renal function
improved considerably, at discharge his Cr was back to baseline.</t>
        </is>
      </c>
    </row>
    <row r="1397">
      <c r="A1397" t="inlineStr">
        <is>
          <t>37337-hospital-course-7-1</t>
        </is>
      </c>
      <c r="B1397" t="inlineStr"/>
      <c r="C1397" t="inlineStr"/>
      <c r="D1397">
        <f>HYPERLINK("http://nlpdeep.cs.uic.edu:8080/proofing/gsii/37337-hospital-course-7-1.pdf","gsii/37337-hospital-course-7-1.pdf")</f>
        <v/>
      </c>
      <c r="E1397" t="n">
        <v>110002</v>
      </c>
      <c r="F1397" t="n">
        <v>37337</v>
      </c>
      <c r="G1397" t="inlineStr">
        <is>
          <t>Discharge summary</t>
        </is>
      </c>
      <c r="H1397" t="inlineStr">
        <is>
          <t>hospital-course</t>
        </is>
      </c>
      <c r="I1397" t="inlineStr">
        <is>
          <t>Patient was
oliguric, then had post-ATN diuresis, and renal function
improved considerably, at discharge his Cr was back to baseline.</t>
        </is>
      </c>
    </row>
    <row r="1398">
      <c r="A1398" t="inlineStr">
        <is>
          <t>37337-hospital-course-7-2</t>
        </is>
      </c>
      <c r="B1398" t="inlineStr"/>
      <c r="C1398" t="inlineStr"/>
      <c r="D1398">
        <f>HYPERLINK("http://nlpdeep.cs.uic.edu:8080/proofing/t5/37337-hospital-course-7-2.pdf","t5/37337-hospital-course-7-2.pdf")</f>
        <v/>
      </c>
      <c r="E1398" t="n">
        <v>110002</v>
      </c>
      <c r="F1398" t="n">
        <v>37337</v>
      </c>
      <c r="G1398" t="inlineStr">
        <is>
          <t>Discharge summary</t>
        </is>
      </c>
      <c r="H1398" t="inlineStr">
        <is>
          <t>hospital-course</t>
        </is>
      </c>
      <c r="I1398" t="inlineStr">
        <is>
          <t xml:space="preserve">
 However, the patient had persistent hypomagnesemia on discharge
requiring daily supplementation, likely [**1-4**] magnesium wasting
from recovering ARF/ATN.</t>
        </is>
      </c>
    </row>
    <row r="1399">
      <c r="A1399" t="inlineStr">
        <is>
          <t>37337-hospital-course-7-2</t>
        </is>
      </c>
      <c r="B1399" t="inlineStr"/>
      <c r="C1399" t="inlineStr"/>
      <c r="D1399">
        <f>HYPERLINK("http://nlpdeep.cs.uic.edu:8080/proofing/gsii/37337-hospital-course-7-2.pdf","gsii/37337-hospital-course-7-2.pdf")</f>
        <v/>
      </c>
      <c r="E1399" t="n">
        <v>110002</v>
      </c>
      <c r="F1399" t="n">
        <v>37337</v>
      </c>
      <c r="G1399" t="inlineStr">
        <is>
          <t>Discharge summary</t>
        </is>
      </c>
      <c r="H1399" t="inlineStr">
        <is>
          <t>hospital-course</t>
        </is>
      </c>
      <c r="I1399" t="inlineStr">
        <is>
          <t xml:space="preserve">
 However, the patient had persistent hypomagnesemia on discharge
requiring daily supplementation, likely [**1-4**] magnesium wasting
from recovering ARF/ATN.</t>
        </is>
      </c>
    </row>
    <row r="1400">
      <c r="A1400" t="inlineStr">
        <is>
          <t>37337-hospital-course-7-3</t>
        </is>
      </c>
      <c r="B1400" t="inlineStr"/>
      <c r="C1400" t="inlineStr"/>
      <c r="D1400">
        <f>HYPERLINK("http://nlpdeep.cs.uic.edu:8080/proofing/t5/37337-hospital-course-7-3.pdf","t5/37337-hospital-course-7-3.pdf")</f>
        <v/>
      </c>
      <c r="E1400" t="n">
        <v>110002</v>
      </c>
      <c r="F1400" t="n">
        <v>37337</v>
      </c>
      <c r="G1400" t="inlineStr">
        <is>
          <t>Discharge summary</t>
        </is>
      </c>
      <c r="H1400" t="inlineStr">
        <is>
          <t>hospital-course</t>
        </is>
      </c>
      <c r="I1400" t="inlineStr">
        <is>
          <t xml:space="preserve"> He was discharged on magnesium po
supplementation with instructions to f/u labs in rehab.</t>
        </is>
      </c>
    </row>
    <row r="1401">
      <c r="A1401" t="inlineStr">
        <is>
          <t>37337-hospital-course-7-3</t>
        </is>
      </c>
      <c r="B1401" t="inlineStr"/>
      <c r="C1401" t="inlineStr"/>
      <c r="D1401">
        <f>HYPERLINK("http://nlpdeep.cs.uic.edu:8080/proofing/gsii/37337-hospital-course-7-3.pdf","gsii/37337-hospital-course-7-3.pdf")</f>
        <v/>
      </c>
      <c r="E1401" t="n">
        <v>110002</v>
      </c>
      <c r="F1401" t="n">
        <v>37337</v>
      </c>
      <c r="G1401" t="inlineStr">
        <is>
          <t>Discharge summary</t>
        </is>
      </c>
      <c r="H1401" t="inlineStr">
        <is>
          <t>hospital-course</t>
        </is>
      </c>
      <c r="I1401" t="inlineStr">
        <is>
          <t xml:space="preserve"> He was discharged on magnesium po
supplementation with instructions to f/u labs in rehab.</t>
        </is>
      </c>
    </row>
    <row r="1402">
      <c r="A1402" t="inlineStr">
        <is>
          <t>37337-hospital-course-8-0</t>
        </is>
      </c>
      <c r="B1402" t="inlineStr"/>
      <c r="C1402" t="inlineStr"/>
      <c r="D1402">
        <f>HYPERLINK("http://nlpdeep.cs.uic.edu:8080/proofing/t5/37337-hospital-course-8-0.pdf","t5/37337-hospital-course-8-0.pdf")</f>
        <v/>
      </c>
      <c r="E1402" t="n">
        <v>110002</v>
      </c>
      <c r="F1402" t="n">
        <v>37337</v>
      </c>
      <c r="G1402" t="inlineStr">
        <is>
          <t>Discharge summary</t>
        </is>
      </c>
      <c r="H1402" t="inlineStr">
        <is>
          <t>hospital-course</t>
        </is>
      </c>
      <c r="I1402" t="inlineStr">
        <is>
          <t xml:space="preserve">
# Mental depression:  After extubation, pt was found to have
mental slowing with word-finding difficulties and inattention.</t>
        </is>
      </c>
    </row>
    <row r="1403">
      <c r="A1403" t="inlineStr">
        <is>
          <t>37337-hospital-course-8-0</t>
        </is>
      </c>
      <c r="B1403" t="inlineStr"/>
      <c r="C1403" t="inlineStr"/>
      <c r="D1403">
        <f>HYPERLINK("http://nlpdeep.cs.uic.edu:8080/proofing/gsii/37337-hospital-course-8-0.pdf","gsii/37337-hospital-course-8-0.pdf")</f>
        <v/>
      </c>
      <c r="E1403" t="n">
        <v>110002</v>
      </c>
      <c r="F1403" t="n">
        <v>37337</v>
      </c>
      <c r="G1403" t="inlineStr">
        <is>
          <t>Discharge summary</t>
        </is>
      </c>
      <c r="H1403" t="inlineStr">
        <is>
          <t>hospital-course</t>
        </is>
      </c>
      <c r="I1403" t="inlineStr">
        <is>
          <t xml:space="preserve">
# Mental depression:  After extubation, pt was found to have
mental slowing with word-finding difficulties and inattention.</t>
        </is>
      </c>
    </row>
    <row r="1404">
      <c r="A1404" t="inlineStr">
        <is>
          <t>37337-hospital-course-8-1</t>
        </is>
      </c>
      <c r="B1404" t="inlineStr"/>
      <c r="C1404" t="inlineStr"/>
      <c r="D1404">
        <f>HYPERLINK("http://nlpdeep.cs.uic.edu:8080/proofing/t5/37337-hospital-course-8-1.pdf","t5/37337-hospital-course-8-1.pdf")</f>
        <v/>
      </c>
      <c r="E1404" t="n">
        <v>110002</v>
      </c>
      <c r="F1404" t="n">
        <v>37337</v>
      </c>
      <c r="G1404" t="inlineStr">
        <is>
          <t>Discharge summary</t>
        </is>
      </c>
      <c r="H1404" t="inlineStr">
        <is>
          <t>hospital-course</t>
        </is>
      </c>
      <c r="I1404" t="inlineStr">
        <is>
          <t xml:space="preserve">
Both improved steadily during the hospitalization.</t>
        </is>
      </c>
    </row>
    <row r="1405">
      <c r="A1405" t="inlineStr">
        <is>
          <t>37337-hospital-course-8-1</t>
        </is>
      </c>
      <c r="B1405" t="inlineStr"/>
      <c r="C1405" t="inlineStr"/>
      <c r="D1405">
        <f>HYPERLINK("http://nlpdeep.cs.uic.edu:8080/proofing/gsii/37337-hospital-course-8-1.pdf","gsii/37337-hospital-course-8-1.pdf")</f>
        <v/>
      </c>
      <c r="E1405" t="n">
        <v>110002</v>
      </c>
      <c r="F1405" t="n">
        <v>37337</v>
      </c>
      <c r="G1405" t="inlineStr">
        <is>
          <t>Discharge summary</t>
        </is>
      </c>
      <c r="H1405" t="inlineStr">
        <is>
          <t>hospital-course</t>
        </is>
      </c>
      <c r="I1405" t="inlineStr">
        <is>
          <t xml:space="preserve">
Both improved steadily during the hospitalization.</t>
        </is>
      </c>
    </row>
    <row r="1406">
      <c r="A1406" t="inlineStr">
        <is>
          <t>37337-hospital-course-8-2</t>
        </is>
      </c>
      <c r="B1406" t="inlineStr"/>
      <c r="C1406" t="inlineStr"/>
      <c r="D1406">
        <f>HYPERLINK("http://nlpdeep.cs.uic.edu:8080/proofing/t5/37337-hospital-course-8-2.pdf","t5/37337-hospital-course-8-2.pdf")</f>
        <v/>
      </c>
      <c r="E1406" t="n">
        <v>110002</v>
      </c>
      <c r="F1406" t="n">
        <v>37337</v>
      </c>
      <c r="G1406" t="inlineStr">
        <is>
          <t>Discharge summary</t>
        </is>
      </c>
      <c r="H1406" t="inlineStr">
        <is>
          <t>hospital-course</t>
        </is>
      </c>
      <c r="I1406" t="inlineStr">
        <is>
          <t xml:space="preserve"> This is most
likely a hypoxic process given the extent of ventilatory support
needed.</t>
        </is>
      </c>
    </row>
    <row r="1407">
      <c r="A1407" t="inlineStr">
        <is>
          <t>37337-hospital-course-8-2</t>
        </is>
      </c>
      <c r="B1407" t="inlineStr"/>
      <c r="C1407" t="inlineStr"/>
      <c r="D1407">
        <f>HYPERLINK("http://nlpdeep.cs.uic.edu:8080/proofing/gsii/37337-hospital-course-8-2.pdf","gsii/37337-hospital-course-8-2.pdf")</f>
        <v/>
      </c>
      <c r="E1407" t="n">
        <v>110002</v>
      </c>
      <c r="F1407" t="n">
        <v>37337</v>
      </c>
      <c r="G1407" t="inlineStr">
        <is>
          <t>Discharge summary</t>
        </is>
      </c>
      <c r="H1407" t="inlineStr">
        <is>
          <t>hospital-course</t>
        </is>
      </c>
      <c r="I1407" t="inlineStr">
        <is>
          <t xml:space="preserve"> This is most
likely a hypoxic process given the extent of ventilatory support
needed.</t>
        </is>
      </c>
    </row>
    <row r="1408">
      <c r="A1408" t="inlineStr">
        <is>
          <t>37337-hospital-course-8-3</t>
        </is>
      </c>
      <c r="B1408" t="inlineStr"/>
      <c r="C1408" t="inlineStr"/>
      <c r="D1408">
        <f>HYPERLINK("http://nlpdeep.cs.uic.edu:8080/proofing/t5/37337-hospital-course-8-3.pdf","t5/37337-hospital-course-8-3.pdf")</f>
        <v/>
      </c>
      <c r="E1408" t="n">
        <v>110002</v>
      </c>
      <c r="F1408" t="n">
        <v>37337</v>
      </c>
      <c r="G1408" t="inlineStr">
        <is>
          <t>Discharge summary</t>
        </is>
      </c>
      <c r="H1408" t="inlineStr">
        <is>
          <t>hospital-course</t>
        </is>
      </c>
      <c r="I1408" t="inlineStr">
        <is>
          <t xml:space="preserve"> MRI with and without contrast showed patchy foci of
enhancement throughout the signal abnormality within the centrum
semiovale with primary differential including metabolic/hypoxic
processes, subacute infarcts relating to prior watershed event,
or osmotic demyelination.</t>
        </is>
      </c>
    </row>
    <row r="1409">
      <c r="A1409" t="inlineStr">
        <is>
          <t>37337-hospital-course-8-3</t>
        </is>
      </c>
      <c r="B1409" t="inlineStr"/>
      <c r="C1409" t="inlineStr"/>
      <c r="D1409">
        <f>HYPERLINK("http://nlpdeep.cs.uic.edu:8080/proofing/gsii/37337-hospital-course-8-3.pdf","gsii/37337-hospital-course-8-3.pdf")</f>
        <v/>
      </c>
      <c r="E1409" t="n">
        <v>110002</v>
      </c>
      <c r="F1409" t="n">
        <v>37337</v>
      </c>
      <c r="G1409" t="inlineStr">
        <is>
          <t>Discharge summary</t>
        </is>
      </c>
      <c r="H1409" t="inlineStr">
        <is>
          <t>hospital-course</t>
        </is>
      </c>
      <c r="I1409" t="inlineStr">
        <is>
          <t xml:space="preserve"> MRI with and without contrast showed patchy foci of
enhancement throughout the signal abnormality within the centrum
semiovale with primary differential including metabolic/hypoxic
processes, subacute infarcts relating to prior watershed event,
or osmotic demyelination.</t>
        </is>
      </c>
    </row>
    <row r="1410">
      <c r="A1410" t="inlineStr">
        <is>
          <t>37337-hospital-course-8-4</t>
        </is>
      </c>
      <c r="B1410" t="inlineStr"/>
      <c r="C1410" t="inlineStr"/>
      <c r="D1410">
        <f>HYPERLINK("http://nlpdeep.cs.uic.edu:8080/proofing/t5/37337-hospital-course-8-4.pdf","t5/37337-hospital-course-8-4.pdf")</f>
        <v/>
      </c>
      <c r="E1410" t="n">
        <v>110002</v>
      </c>
      <c r="F1410" t="n">
        <v>37337</v>
      </c>
      <c r="G1410" t="inlineStr">
        <is>
          <t>Discharge summary</t>
        </is>
      </c>
      <c r="H1410" t="inlineStr">
        <is>
          <t>hospital-course</t>
        </is>
      </c>
      <c r="I1410" t="inlineStr">
        <is>
          <t xml:space="preserve"> Neurology suggested that this may be
a congenital defect given the symmetry on MRI; he has no prior
MRIs.</t>
        </is>
      </c>
    </row>
    <row r="1411">
      <c r="A1411" t="inlineStr">
        <is>
          <t>37337-hospital-course-8-4</t>
        </is>
      </c>
      <c r="B1411" t="inlineStr"/>
      <c r="C1411" t="inlineStr"/>
      <c r="D1411">
        <f>HYPERLINK("http://nlpdeep.cs.uic.edu:8080/proofing/gsii/37337-hospital-course-8-4.pdf","gsii/37337-hospital-course-8-4.pdf")</f>
        <v/>
      </c>
      <c r="E1411" t="n">
        <v>110002</v>
      </c>
      <c r="F1411" t="n">
        <v>37337</v>
      </c>
      <c r="G1411" t="inlineStr">
        <is>
          <t>Discharge summary</t>
        </is>
      </c>
      <c r="H1411" t="inlineStr">
        <is>
          <t>hospital-course</t>
        </is>
      </c>
      <c r="I1411" t="inlineStr">
        <is>
          <t xml:space="preserve"> Neurology suggested that this may be
a congenital defect given the symmetry on MRI; he has no prior
MRIs.</t>
        </is>
      </c>
    </row>
    <row r="1412">
      <c r="A1412" t="inlineStr">
        <is>
          <t>37337-hospital-course-8-5</t>
        </is>
      </c>
      <c r="B1412" t="inlineStr"/>
      <c r="C1412" t="inlineStr"/>
      <c r="D1412">
        <f>HYPERLINK("http://nlpdeep.cs.uic.edu:8080/proofing/t5/37337-hospital-course-8-5.pdf","t5/37337-hospital-course-8-5.pdf")</f>
        <v/>
      </c>
      <c r="E1412" t="n">
        <v>110002</v>
      </c>
      <c r="F1412" t="n">
        <v>37337</v>
      </c>
      <c r="G1412" t="inlineStr">
        <is>
          <t>Discharge summary</t>
        </is>
      </c>
      <c r="H1412" t="inlineStr">
        <is>
          <t>hospital-course</t>
        </is>
      </c>
      <c r="I1412" t="inlineStr">
        <is>
          <t xml:space="preserve"> LP showed no evidence of bacterial infection but was
notable for elevated protein, mildly low glucose, and only 4
WBCs.</t>
        </is>
      </c>
    </row>
    <row r="1413">
      <c r="A1413" t="inlineStr">
        <is>
          <t>37337-hospital-course-8-5</t>
        </is>
      </c>
      <c r="B1413" t="inlineStr"/>
      <c r="C1413" t="inlineStr"/>
      <c r="D1413">
        <f>HYPERLINK("http://nlpdeep.cs.uic.edu:8080/proofing/gsii/37337-hospital-course-8-5.pdf","gsii/37337-hospital-course-8-5.pdf")</f>
        <v/>
      </c>
      <c r="E1413" t="n">
        <v>110002</v>
      </c>
      <c r="F1413" t="n">
        <v>37337</v>
      </c>
      <c r="G1413" t="inlineStr">
        <is>
          <t>Discharge summary</t>
        </is>
      </c>
      <c r="H1413" t="inlineStr">
        <is>
          <t>hospital-course</t>
        </is>
      </c>
      <c r="I1413" t="inlineStr">
        <is>
          <t xml:space="preserve"> LP showed no evidence of bacterial infection but was
notable for elevated protein, mildly low glucose, and only 4
WBCs.</t>
        </is>
      </c>
    </row>
    <row r="1414">
      <c r="A1414" t="inlineStr">
        <is>
          <t>37337-hospital-course-8-6</t>
        </is>
      </c>
      <c r="B1414" t="inlineStr"/>
      <c r="C1414" t="inlineStr"/>
      <c r="D1414">
        <f>HYPERLINK("http://nlpdeep.cs.uic.edu:8080/proofing/t5/37337-hospital-course-8-6.pdf","t5/37337-hospital-course-8-6.pdf")</f>
        <v/>
      </c>
      <c r="E1414" t="n">
        <v>110002</v>
      </c>
      <c r="F1414" t="n">
        <v>37337</v>
      </c>
      <c r="G1414" t="inlineStr">
        <is>
          <t>Discharge summary</t>
        </is>
      </c>
      <c r="H1414" t="inlineStr">
        <is>
          <t>hospital-course</t>
        </is>
      </c>
      <c r="I1414" t="inlineStr">
        <is>
          <t xml:space="preserve"> This can be c/w but less likely aseptic meningitis, CSF
cultures pending at time of discharge.</t>
        </is>
      </c>
    </row>
    <row r="1415">
      <c r="A1415" t="inlineStr">
        <is>
          <t>37337-hospital-course-8-6</t>
        </is>
      </c>
      <c r="B1415" t="inlineStr"/>
      <c r="C1415" t="inlineStr"/>
      <c r="D1415">
        <f>HYPERLINK("http://nlpdeep.cs.uic.edu:8080/proofing/gsii/37337-hospital-course-8-6.pdf","gsii/37337-hospital-course-8-6.pdf")</f>
        <v/>
      </c>
      <c r="E1415" t="n">
        <v>110002</v>
      </c>
      <c r="F1415" t="n">
        <v>37337</v>
      </c>
      <c r="G1415" t="inlineStr">
        <is>
          <t>Discharge summary</t>
        </is>
      </c>
      <c r="H1415" t="inlineStr">
        <is>
          <t>hospital-course</t>
        </is>
      </c>
      <c r="I1415" t="inlineStr">
        <is>
          <t xml:space="preserve"> This can be c/w but less likely aseptic meningitis, CSF
cultures pending at time of discharge.</t>
        </is>
      </c>
    </row>
    <row r="1416">
      <c r="A1416" t="inlineStr">
        <is>
          <t>37337-hospital-course-8-7</t>
        </is>
      </c>
      <c r="B1416" t="inlineStr"/>
      <c r="C1416" t="inlineStr"/>
      <c r="D1416">
        <f>HYPERLINK("http://nlpdeep.cs.uic.edu:8080/proofing/t5/37337-hospital-course-8-7.pdf","t5/37337-hospital-course-8-7.pdf")</f>
        <v/>
      </c>
      <c r="E1416" t="n">
        <v>110002</v>
      </c>
      <c r="F1416" t="n">
        <v>37337</v>
      </c>
      <c r="G1416" t="inlineStr">
        <is>
          <t>Discharge summary</t>
        </is>
      </c>
      <c r="H1416" t="inlineStr">
        <is>
          <t>hospital-course</t>
        </is>
      </c>
      <c r="I1416" t="inlineStr">
        <is>
          <t xml:space="preserve"> Patient is scheduled for
neurology f/u as outpt with Dr.</t>
        </is>
      </c>
    </row>
    <row r="1417">
      <c r="A1417" t="inlineStr">
        <is>
          <t>37337-hospital-course-8-7</t>
        </is>
      </c>
      <c r="B1417" t="inlineStr"/>
      <c r="C1417" t="inlineStr"/>
      <c r="D1417">
        <f>HYPERLINK("http://nlpdeep.cs.uic.edu:8080/proofing/gsii/37337-hospital-course-8-7.pdf","gsii/37337-hospital-course-8-7.pdf")</f>
        <v/>
      </c>
      <c r="E1417" t="n">
        <v>110002</v>
      </c>
      <c r="F1417" t="n">
        <v>37337</v>
      </c>
      <c r="G1417" t="inlineStr">
        <is>
          <t>Discharge summary</t>
        </is>
      </c>
      <c r="H1417" t="inlineStr">
        <is>
          <t>hospital-course</t>
        </is>
      </c>
      <c r="I1417" t="inlineStr">
        <is>
          <t xml:space="preserve"> Patient is scheduled for
neurology f/u as outpt with Dr.</t>
        </is>
      </c>
    </row>
    <row r="1418">
      <c r="A1418" t="inlineStr">
        <is>
          <t>37337-hospital-course-8-8</t>
        </is>
      </c>
      <c r="B1418" t="inlineStr"/>
      <c r="C1418" t="inlineStr"/>
      <c r="D1418">
        <f>HYPERLINK("http://nlpdeep.cs.uic.edu:8080/proofing/t5/37337-hospital-course-8-8.pdf","t5/37337-hospital-course-8-8.pdf")</f>
        <v/>
      </c>
      <c r="E1418" t="n">
        <v>110002</v>
      </c>
      <c r="F1418" t="n">
        <v>37337</v>
      </c>
      <c r="G1418" t="inlineStr">
        <is>
          <t>Discharge summary</t>
        </is>
      </c>
      <c r="H1418" t="inlineStr">
        <is>
          <t>hospital-course</t>
        </is>
      </c>
      <c r="I1418" t="inlineStr">
        <is>
          <t>[**First Name8 (NamePattern2) **] [**Last Name (NamePattern1) 724**].</t>
        </is>
      </c>
    </row>
    <row r="1419">
      <c r="A1419" t="inlineStr">
        <is>
          <t>37337-hospital-course-8-8</t>
        </is>
      </c>
      <c r="B1419" t="inlineStr"/>
      <c r="C1419" t="inlineStr"/>
      <c r="D1419">
        <f>HYPERLINK("http://nlpdeep.cs.uic.edu:8080/proofing/gsii/37337-hospital-course-8-8.pdf","gsii/37337-hospital-course-8-8.pdf")</f>
        <v/>
      </c>
      <c r="E1419" t="n">
        <v>110002</v>
      </c>
      <c r="F1419" t="n">
        <v>37337</v>
      </c>
      <c r="G1419" t="inlineStr">
        <is>
          <t>Discharge summary</t>
        </is>
      </c>
      <c r="H1419" t="inlineStr">
        <is>
          <t>hospital-course</t>
        </is>
      </c>
      <c r="I1419" t="inlineStr">
        <is>
          <t>[**First Name8 (NamePattern2) **] [**Last Name (NamePattern1) 724**].</t>
        </is>
      </c>
    </row>
    <row r="1420">
      <c r="A1420" t="inlineStr">
        <is>
          <t>37337-hospital-course-9-0</t>
        </is>
      </c>
      <c r="B1420" t="inlineStr"/>
      <c r="C1420" t="inlineStr"/>
      <c r="D1420">
        <f>HYPERLINK("http://nlpdeep.cs.uic.edu:8080/proofing/t5/37337-hospital-course-9-0.pdf","t5/37337-hospital-course-9-0.pdf")</f>
        <v/>
      </c>
      <c r="E1420" t="n">
        <v>110002</v>
      </c>
      <c r="F1420" t="n">
        <v>37337</v>
      </c>
      <c r="G1420" t="inlineStr">
        <is>
          <t>Discharge summary</t>
        </is>
      </c>
      <c r="H1420" t="inlineStr">
        <is>
          <t>hospital-course</t>
        </is>
      </c>
      <c r="I1420" t="inlineStr">
        <is>
          <t xml:space="preserve">
# Critical illness myopathy:  Patient developed myopathy during
his ICU stay.</t>
        </is>
      </c>
    </row>
    <row r="1421">
      <c r="A1421" t="inlineStr">
        <is>
          <t>37337-hospital-course-9-0</t>
        </is>
      </c>
      <c r="B1421" t="inlineStr"/>
      <c r="C1421" t="inlineStr"/>
      <c r="D1421">
        <f>HYPERLINK("http://nlpdeep.cs.uic.edu:8080/proofing/gsii/37337-hospital-course-9-0.pdf","gsii/37337-hospital-course-9-0.pdf")</f>
        <v/>
      </c>
      <c r="E1421" t="n">
        <v>110002</v>
      </c>
      <c r="F1421" t="n">
        <v>37337</v>
      </c>
      <c r="G1421" t="inlineStr">
        <is>
          <t>Discharge summary</t>
        </is>
      </c>
      <c r="H1421" t="inlineStr">
        <is>
          <t>hospital-course</t>
        </is>
      </c>
      <c r="I1421" t="inlineStr">
        <is>
          <t xml:space="preserve">
# Critical illness myopathy:  Patient developed myopathy during
his ICU stay.</t>
        </is>
      </c>
    </row>
    <row r="1422">
      <c r="A1422" t="inlineStr">
        <is>
          <t>37337-hospital-course-9-1</t>
        </is>
      </c>
      <c r="B1422" t="inlineStr"/>
      <c r="C1422" t="inlineStr"/>
      <c r="D1422">
        <f>HYPERLINK("http://nlpdeep.cs.uic.edu:8080/proofing/t5/37337-hospital-course-9-1.pdf","t5/37337-hospital-course-9-1.pdf")</f>
        <v/>
      </c>
      <c r="E1422" t="n">
        <v>110002</v>
      </c>
      <c r="F1422" t="n">
        <v>37337</v>
      </c>
      <c r="G1422" t="inlineStr">
        <is>
          <t>Discharge summary</t>
        </is>
      </c>
      <c r="H1422" t="inlineStr">
        <is>
          <t>hospital-course</t>
        </is>
      </c>
      <c r="I1422" t="inlineStr">
        <is>
          <t xml:space="preserve"> This is most likely critical illness myopathy
given greater proximal than distal muscle weakness, prolonged
failure to wean from mechanical ventilation, and initially
elevated CK.</t>
        </is>
      </c>
    </row>
    <row r="1423">
      <c r="A1423" t="inlineStr">
        <is>
          <t>37337-hospital-course-9-1</t>
        </is>
      </c>
      <c r="B1423" t="inlineStr"/>
      <c r="C1423" t="inlineStr"/>
      <c r="D1423">
        <f>HYPERLINK("http://nlpdeep.cs.uic.edu:8080/proofing/gsii/37337-hospital-course-9-1.pdf","gsii/37337-hospital-course-9-1.pdf")</f>
        <v/>
      </c>
      <c r="E1423" t="n">
        <v>110002</v>
      </c>
      <c r="F1423" t="n">
        <v>37337</v>
      </c>
      <c r="G1423" t="inlineStr">
        <is>
          <t>Discharge summary</t>
        </is>
      </c>
      <c r="H1423" t="inlineStr">
        <is>
          <t>hospital-course</t>
        </is>
      </c>
      <c r="I1423" t="inlineStr">
        <is>
          <t xml:space="preserve"> This is most likely critical illness myopathy
given greater proximal than distal muscle weakness, prolonged
failure to wean from mechanical ventilation, and initially
elevated CK.</t>
        </is>
      </c>
    </row>
    <row r="1424">
      <c r="A1424" t="inlineStr">
        <is>
          <t>37337-hospital-course-9-2</t>
        </is>
      </c>
      <c r="B1424" t="inlineStr"/>
      <c r="C1424" t="inlineStr"/>
      <c r="D1424">
        <f>HYPERLINK("http://nlpdeep.cs.uic.edu:8080/proofing/t5/37337-hospital-course-9-2.pdf","t5/37337-hospital-course-9-2.pdf")</f>
        <v/>
      </c>
      <c r="E1424" t="n">
        <v>110002</v>
      </c>
      <c r="F1424" t="n">
        <v>37337</v>
      </c>
      <c r="G1424" t="inlineStr">
        <is>
          <t>Discharge summary</t>
        </is>
      </c>
      <c r="H1424" t="inlineStr">
        <is>
          <t>hospital-course</t>
        </is>
      </c>
      <c r="I1424" t="inlineStr">
        <is>
          <t xml:space="preserve"> Given elevated protein in CSF and viral prodrome,
GBS is a consideration but less likely.</t>
        </is>
      </c>
    </row>
    <row r="1425">
      <c r="A1425" t="inlineStr">
        <is>
          <t>37337-hospital-course-9-2</t>
        </is>
      </c>
      <c r="B1425" t="inlineStr"/>
      <c r="C1425" t="inlineStr"/>
      <c r="D1425">
        <f>HYPERLINK("http://nlpdeep.cs.uic.edu:8080/proofing/gsii/37337-hospital-course-9-2.pdf","gsii/37337-hospital-course-9-2.pdf")</f>
        <v/>
      </c>
      <c r="E1425" t="n">
        <v>110002</v>
      </c>
      <c r="F1425" t="n">
        <v>37337</v>
      </c>
      <c r="G1425" t="inlineStr">
        <is>
          <t>Discharge summary</t>
        </is>
      </c>
      <c r="H1425" t="inlineStr">
        <is>
          <t>hospital-course</t>
        </is>
      </c>
      <c r="I1425" t="inlineStr">
        <is>
          <t xml:space="preserve"> Given elevated protein in CSF and viral prodrome,
GBS is a consideration but less likely.</t>
        </is>
      </c>
    </row>
    <row r="1426">
      <c r="A1426" t="inlineStr">
        <is>
          <t>37337-hospital-course-9-3</t>
        </is>
      </c>
      <c r="B1426" t="inlineStr"/>
      <c r="C1426" t="inlineStr"/>
      <c r="D1426">
        <f>HYPERLINK("http://nlpdeep.cs.uic.edu:8080/proofing/t5/37337-hospital-course-9-3.pdf","t5/37337-hospital-course-9-3.pdf")</f>
        <v/>
      </c>
      <c r="E1426" t="n">
        <v>110002</v>
      </c>
      <c r="F1426" t="n">
        <v>37337</v>
      </c>
      <c r="G1426" t="inlineStr">
        <is>
          <t>Discharge summary</t>
        </is>
      </c>
      <c r="H1426" t="inlineStr">
        <is>
          <t>hospital-course</t>
        </is>
      </c>
      <c r="I1426" t="inlineStr">
        <is>
          <t xml:space="preserve"> EMG showed mild
sensorimotor neuropathy with demyelinating and axonal features
with differential diagnosis including critical
illness polyneuropathy and axonal variant of [**First Name9 (NamePattern2) 7816**] [**Location (un) **]
syndrome.</t>
        </is>
      </c>
    </row>
    <row r="1427">
      <c r="A1427" t="inlineStr">
        <is>
          <t>37337-hospital-course-9-3</t>
        </is>
      </c>
      <c r="B1427" t="inlineStr"/>
      <c r="C1427" t="inlineStr"/>
      <c r="D1427">
        <f>HYPERLINK("http://nlpdeep.cs.uic.edu:8080/proofing/gsii/37337-hospital-course-9-3.pdf","gsii/37337-hospital-course-9-3.pdf")</f>
        <v/>
      </c>
      <c r="E1427" t="n">
        <v>110002</v>
      </c>
      <c r="F1427" t="n">
        <v>37337</v>
      </c>
      <c r="G1427" t="inlineStr">
        <is>
          <t>Discharge summary</t>
        </is>
      </c>
      <c r="H1427" t="inlineStr">
        <is>
          <t>hospital-course</t>
        </is>
      </c>
      <c r="I1427" t="inlineStr">
        <is>
          <t xml:space="preserve"> EMG showed mild
sensorimotor neuropathy with demyelinating and axonal features
with differential diagnosis including critical
illness polyneuropathy and axonal variant of [**First Name9 (NamePattern2) 7816**] [**Location (un) **]
syndrome.</t>
        </is>
      </c>
    </row>
    <row r="1428">
      <c r="A1428" t="inlineStr">
        <is>
          <t>37337-hospital-course-9-4</t>
        </is>
      </c>
      <c r="B1428" t="inlineStr"/>
      <c r="C1428" t="inlineStr"/>
      <c r="D1428">
        <f>HYPERLINK("http://nlpdeep.cs.uic.edu:8080/proofing/t5/37337-hospital-course-9-4.pdf","t5/37337-hospital-course-9-4.pdf")</f>
        <v/>
      </c>
      <c r="E1428" t="n">
        <v>110002</v>
      </c>
      <c r="F1428" t="n">
        <v>37337</v>
      </c>
      <c r="G1428" t="inlineStr">
        <is>
          <t>Discharge summary</t>
        </is>
      </c>
      <c r="H1428" t="inlineStr">
        <is>
          <t>hospital-course</t>
        </is>
      </c>
      <c r="I1428" t="inlineStr">
        <is>
          <t xml:space="preserve"> Neurology felt his history was more consistent with
ICU myopathy.</t>
        </is>
      </c>
    </row>
    <row r="1429">
      <c r="A1429" t="inlineStr">
        <is>
          <t>37337-hospital-course-9-4</t>
        </is>
      </c>
      <c r="B1429" t="inlineStr"/>
      <c r="C1429" t="inlineStr"/>
      <c r="D1429">
        <f>HYPERLINK("http://nlpdeep.cs.uic.edu:8080/proofing/gsii/37337-hospital-course-9-4.pdf","gsii/37337-hospital-course-9-4.pdf")</f>
        <v/>
      </c>
      <c r="E1429" t="n">
        <v>110002</v>
      </c>
      <c r="F1429" t="n">
        <v>37337</v>
      </c>
      <c r="G1429" t="inlineStr">
        <is>
          <t>Discharge summary</t>
        </is>
      </c>
      <c r="H1429" t="inlineStr">
        <is>
          <t>hospital-course</t>
        </is>
      </c>
      <c r="I1429" t="inlineStr">
        <is>
          <t xml:space="preserve"> Neurology felt his history was more consistent with
ICU myopathy.</t>
        </is>
      </c>
    </row>
    <row r="1430">
      <c r="A1430" t="inlineStr">
        <is>
          <t>37337-hospital-course-9-5</t>
        </is>
      </c>
      <c r="B1430" t="inlineStr"/>
      <c r="C1430" t="inlineStr"/>
      <c r="D1430">
        <f>HYPERLINK("http://nlpdeep.cs.uic.edu:8080/proofing/t5/37337-hospital-course-9-5.pdf","t5/37337-hospital-course-9-5.pdf")</f>
        <v/>
      </c>
      <c r="E1430" t="n">
        <v>110002</v>
      </c>
      <c r="F1430" t="n">
        <v>37337</v>
      </c>
      <c r="G1430" t="inlineStr">
        <is>
          <t>Discharge summary</t>
        </is>
      </c>
      <c r="H1430" t="inlineStr">
        <is>
          <t>hospital-course</t>
        </is>
      </c>
      <c r="I1430" t="inlineStr">
        <is>
          <t xml:space="preserve"> He was followed by physical therapy and by
discharge, his proximal muscles were 4+/5 in strength.</t>
        </is>
      </c>
    </row>
    <row r="1431">
      <c r="A1431" t="inlineStr">
        <is>
          <t>37337-hospital-course-9-5</t>
        </is>
      </c>
      <c r="B1431" t="inlineStr"/>
      <c r="C1431" t="inlineStr"/>
      <c r="D1431">
        <f>HYPERLINK("http://nlpdeep.cs.uic.edu:8080/proofing/gsii/37337-hospital-course-9-5.pdf","gsii/37337-hospital-course-9-5.pdf")</f>
        <v/>
      </c>
      <c r="E1431" t="n">
        <v>110002</v>
      </c>
      <c r="F1431" t="n">
        <v>37337</v>
      </c>
      <c r="G1431" t="inlineStr">
        <is>
          <t>Discharge summary</t>
        </is>
      </c>
      <c r="H1431" t="inlineStr">
        <is>
          <t>hospital-course</t>
        </is>
      </c>
      <c r="I1431" t="inlineStr">
        <is>
          <t xml:space="preserve"> He was followed by physical therapy and by
discharge, his proximal muscles were 4+/5 in strength.</t>
        </is>
      </c>
    </row>
    <row r="1432">
      <c r="A1432" t="inlineStr">
        <is>
          <t>37337-hospital-course-10-0</t>
        </is>
      </c>
      <c r="B1432" t="inlineStr"/>
      <c r="C1432" t="inlineStr"/>
      <c r="D1432">
        <f>HYPERLINK("http://nlpdeep.cs.uic.edu:8080/proofing/t5/37337-hospital-course-10-0.pdf","t5/37337-hospital-course-10-0.pdf")</f>
        <v/>
      </c>
      <c r="E1432" t="n">
        <v>110002</v>
      </c>
      <c r="F1432" t="n">
        <v>37337</v>
      </c>
      <c r="G1432" t="inlineStr">
        <is>
          <t>Discharge summary</t>
        </is>
      </c>
      <c r="H1432" t="inlineStr">
        <is>
          <t>hospital-course</t>
        </is>
      </c>
      <c r="I1432" t="inlineStr">
        <is>
          <t xml:space="preserve">
# Magnesium deficiency:  Pt was noted to be persistently
hypomagnesiemia despite aggressive repletion.</t>
        </is>
      </c>
    </row>
    <row r="1433">
      <c r="A1433" t="inlineStr">
        <is>
          <t>37337-hospital-course-10-0</t>
        </is>
      </c>
      <c r="B1433" t="inlineStr"/>
      <c r="C1433" t="inlineStr"/>
      <c r="D1433">
        <f>HYPERLINK("http://nlpdeep.cs.uic.edu:8080/proofing/gsii/37337-hospital-course-10-0.pdf","gsii/37337-hospital-course-10-0.pdf")</f>
        <v/>
      </c>
      <c r="E1433" t="n">
        <v>110002</v>
      </c>
      <c r="F1433" t="n">
        <v>37337</v>
      </c>
      <c r="G1433" t="inlineStr">
        <is>
          <t>Discharge summary</t>
        </is>
      </c>
      <c r="H1433" t="inlineStr">
        <is>
          <t>hospital-course</t>
        </is>
      </c>
      <c r="I1433" t="inlineStr">
        <is>
          <t xml:space="preserve">
# Magnesium deficiency:  Pt was noted to be persistently
hypomagnesiemia despite aggressive repletion.</t>
        </is>
      </c>
    </row>
    <row r="1434">
      <c r="A1434" t="inlineStr">
        <is>
          <t>37337-hospital-course-10-1</t>
        </is>
      </c>
      <c r="B1434" t="inlineStr"/>
      <c r="C1434" t="inlineStr"/>
      <c r="D1434">
        <f>HYPERLINK("http://nlpdeep.cs.uic.edu:8080/proofing/t5/37337-hospital-course-10-1.pdf","t5/37337-hospital-course-10-1.pdf")</f>
        <v/>
      </c>
      <c r="E1434" t="n">
        <v>110002</v>
      </c>
      <c r="F1434" t="n">
        <v>37337</v>
      </c>
      <c r="G1434" t="inlineStr">
        <is>
          <t>Discharge summary</t>
        </is>
      </c>
      <c r="H1434" t="inlineStr">
        <is>
          <t>hospital-course</t>
        </is>
      </c>
      <c r="I1434" t="inlineStr">
        <is>
          <t xml:space="preserve"> He had no other
electrolyte abnormalities, inc.</t>
        </is>
      </c>
    </row>
    <row r="1435">
      <c r="A1435" t="inlineStr">
        <is>
          <t>37337-hospital-course-10-1</t>
        </is>
      </c>
      <c r="B1435" t="inlineStr"/>
      <c r="C1435" t="inlineStr"/>
      <c r="D1435">
        <f>HYPERLINK("http://nlpdeep.cs.uic.edu:8080/proofing/gsii/37337-hospital-course-10-1.pdf","gsii/37337-hospital-course-10-1.pdf")</f>
        <v/>
      </c>
      <c r="E1435" t="n">
        <v>110002</v>
      </c>
      <c r="F1435" t="n">
        <v>37337</v>
      </c>
      <c r="G1435" t="inlineStr">
        <is>
          <t>Discharge summary</t>
        </is>
      </c>
      <c r="H1435" t="inlineStr">
        <is>
          <t>hospital-course</t>
        </is>
      </c>
      <c r="I1435" t="inlineStr">
        <is>
          <t xml:space="preserve"> He had no other
electrolyte abnormalities, inc.</t>
        </is>
      </c>
    </row>
    <row r="1436">
      <c r="A1436" t="inlineStr">
        <is>
          <t>37337-hospital-course-10-2</t>
        </is>
      </c>
      <c r="B1436" t="inlineStr"/>
      <c r="C1436" t="inlineStr"/>
      <c r="D1436">
        <f>HYPERLINK("http://nlpdeep.cs.uic.edu:8080/proofing/t5/37337-hospital-course-10-2.pdf","t5/37337-hospital-course-10-2.pdf")</f>
        <v/>
      </c>
      <c r="E1436" t="n">
        <v>110002</v>
      </c>
      <c r="F1436" t="n">
        <v>37337</v>
      </c>
      <c r="G1436" t="inlineStr">
        <is>
          <t>Discharge summary</t>
        </is>
      </c>
      <c r="H1436" t="inlineStr">
        <is>
          <t>hospital-course</t>
        </is>
      </c>
      <c r="I1436" t="inlineStr">
        <is>
          <t>K, Ca.</t>
        </is>
      </c>
    </row>
    <row r="1437">
      <c r="A1437" t="inlineStr">
        <is>
          <t>37337-hospital-course-10-2</t>
        </is>
      </c>
      <c r="B1437" t="inlineStr"/>
      <c r="C1437" t="inlineStr"/>
      <c r="D1437">
        <f>HYPERLINK("http://nlpdeep.cs.uic.edu:8080/proofing/gsii/37337-hospital-course-10-2.pdf","gsii/37337-hospital-course-10-2.pdf")</f>
        <v/>
      </c>
      <c r="E1437" t="n">
        <v>110002</v>
      </c>
      <c r="F1437" t="n">
        <v>37337</v>
      </c>
      <c r="G1437" t="inlineStr">
        <is>
          <t>Discharge summary</t>
        </is>
      </c>
      <c r="H1437" t="inlineStr">
        <is>
          <t>hospital-course</t>
        </is>
      </c>
      <c r="I1437" t="inlineStr">
        <is>
          <t>K, Ca.</t>
        </is>
      </c>
    </row>
    <row r="1438">
      <c r="A1438" t="inlineStr">
        <is>
          <t>37337-hospital-course-10-3</t>
        </is>
      </c>
      <c r="B1438" t="inlineStr"/>
      <c r="C1438" t="inlineStr"/>
      <c r="D1438">
        <f>HYPERLINK("http://nlpdeep.cs.uic.edu:8080/proofing/t5/37337-hospital-course-10-3.pdf","t5/37337-hospital-course-10-3.pdf")</f>
        <v/>
      </c>
      <c r="E1438" t="n">
        <v>110002</v>
      </c>
      <c r="F1438" t="n">
        <v>37337</v>
      </c>
      <c r="G1438" t="inlineStr">
        <is>
          <t>Discharge summary</t>
        </is>
      </c>
      <c r="H1438" t="inlineStr">
        <is>
          <t>hospital-course</t>
        </is>
      </c>
      <c r="I1438" t="inlineStr">
        <is>
          <t>Urinary Mg excretion was
extremely high at 355 mg/24 hr, likely due to postATN tubular
dysfunction.</t>
        </is>
      </c>
    </row>
    <row r="1439">
      <c r="A1439" t="inlineStr">
        <is>
          <t>37337-hospital-course-10-3</t>
        </is>
      </c>
      <c r="B1439" t="inlineStr"/>
      <c r="C1439" t="inlineStr"/>
      <c r="D1439">
        <f>HYPERLINK("http://nlpdeep.cs.uic.edu:8080/proofing/gsii/37337-hospital-course-10-3.pdf","gsii/37337-hospital-course-10-3.pdf")</f>
        <v/>
      </c>
      <c r="E1439" t="n">
        <v>110002</v>
      </c>
      <c r="F1439" t="n">
        <v>37337</v>
      </c>
      <c r="G1439" t="inlineStr">
        <is>
          <t>Discharge summary</t>
        </is>
      </c>
      <c r="H1439" t="inlineStr">
        <is>
          <t>hospital-course</t>
        </is>
      </c>
      <c r="I1439" t="inlineStr">
        <is>
          <t>Urinary Mg excretion was
extremely high at 355 mg/24 hr, likely due to postATN tubular
dysfunction.</t>
        </is>
      </c>
    </row>
    <row r="1440">
      <c r="A1440" t="inlineStr">
        <is>
          <t>37337-hospital-course-10-4</t>
        </is>
      </c>
      <c r="B1440" t="inlineStr"/>
      <c r="C1440" t="inlineStr"/>
      <c r="D1440">
        <f>HYPERLINK("http://nlpdeep.cs.uic.edu:8080/proofing/t5/37337-hospital-course-10-4.pdf","t5/37337-hospital-course-10-4.pdf")</f>
        <v/>
      </c>
      <c r="E1440" t="n">
        <v>110002</v>
      </c>
      <c r="F1440" t="n">
        <v>37337</v>
      </c>
      <c r="G1440" t="inlineStr">
        <is>
          <t>Discharge summary</t>
        </is>
      </c>
      <c r="H1440" t="inlineStr">
        <is>
          <t>hospital-course</t>
        </is>
      </c>
      <c r="I1440" t="inlineStr">
        <is>
          <t>He was started on po repletion and his Mg will
needed to be followed at rehab.</t>
        </is>
      </c>
    </row>
    <row r="1441">
      <c r="A1441" t="inlineStr">
        <is>
          <t>37337-hospital-course-10-4</t>
        </is>
      </c>
      <c r="B1441" t="inlineStr"/>
      <c r="C1441" t="inlineStr"/>
      <c r="D1441">
        <f>HYPERLINK("http://nlpdeep.cs.uic.edu:8080/proofing/gsii/37337-hospital-course-10-4.pdf","gsii/37337-hospital-course-10-4.pdf")</f>
        <v/>
      </c>
      <c r="E1441" t="n">
        <v>110002</v>
      </c>
      <c r="F1441" t="n">
        <v>37337</v>
      </c>
      <c r="G1441" t="inlineStr">
        <is>
          <t>Discharge summary</t>
        </is>
      </c>
      <c r="H1441" t="inlineStr">
        <is>
          <t>hospital-course</t>
        </is>
      </c>
      <c r="I1441" t="inlineStr">
        <is>
          <t>He was started on po repletion and his Mg will
needed to be followed at rehab.</t>
        </is>
      </c>
    </row>
    <row r="1442">
      <c r="A1442" t="inlineStr">
        <is>
          <t>37337-hospital-course-11-0</t>
        </is>
      </c>
      <c r="B1442" t="inlineStr"/>
      <c r="C1442" t="inlineStr"/>
      <c r="D1442">
        <f>HYPERLINK("http://nlpdeep.cs.uic.edu:8080/proofing/t5/37337-hospital-course-11-0.pdf","t5/37337-hospital-course-11-0.pdf")</f>
        <v/>
      </c>
      <c r="E1442" t="n">
        <v>110002</v>
      </c>
      <c r="F1442" t="n">
        <v>37337</v>
      </c>
      <c r="G1442" t="inlineStr">
        <is>
          <t>Discharge summary</t>
        </is>
      </c>
      <c r="H1442" t="inlineStr">
        <is>
          <t>hospital-course</t>
        </is>
      </c>
      <c r="I1442" t="inlineStr">
        <is>
          <t xml:space="preserve">
# Tachycardia/ AFib: Although the patient's tachycardia appeared
sinus on arrival, during his course he had couple runs of
tachycardia that appeared to be regular SVT with aberrancy that
were self-limited and well-tolerated.</t>
        </is>
      </c>
    </row>
    <row r="1443">
      <c r="A1443" t="inlineStr">
        <is>
          <t>37337-hospital-course-11-0</t>
        </is>
      </c>
      <c r="B1443" t="inlineStr"/>
      <c r="C1443" t="inlineStr"/>
      <c r="D1443">
        <f>HYPERLINK("http://nlpdeep.cs.uic.edu:8080/proofing/gsii/37337-hospital-course-11-0.pdf","gsii/37337-hospital-course-11-0.pdf")</f>
        <v/>
      </c>
      <c r="E1443" t="n">
        <v>110002</v>
      </c>
      <c r="F1443" t="n">
        <v>37337</v>
      </c>
      <c r="G1443" t="inlineStr">
        <is>
          <t>Discharge summary</t>
        </is>
      </c>
      <c r="H1443" t="inlineStr">
        <is>
          <t>hospital-course</t>
        </is>
      </c>
      <c r="I1443" t="inlineStr">
        <is>
          <t xml:space="preserve">
# Tachycardia/ AFib: Although the patient's tachycardia appeared
sinus on arrival, during his course he had couple runs of
tachycardia that appeared to be regular SVT with aberrancy that
were self-limited and well-tolerated.</t>
        </is>
      </c>
    </row>
    <row r="1444">
      <c r="A1444" t="inlineStr">
        <is>
          <t>37337-hospital-course-11-1</t>
        </is>
      </c>
      <c r="B1444" t="inlineStr"/>
      <c r="C1444" t="inlineStr"/>
      <c r="D1444">
        <f>HYPERLINK("http://nlpdeep.cs.uic.edu:8080/proofing/t5/37337-hospital-course-11-1.pdf","t5/37337-hospital-course-11-1.pdf")</f>
        <v/>
      </c>
      <c r="E1444" t="n">
        <v>110002</v>
      </c>
      <c r="F1444" t="n">
        <v>37337</v>
      </c>
      <c r="G1444" t="inlineStr">
        <is>
          <t>Discharge summary</t>
        </is>
      </c>
      <c r="H1444" t="inlineStr">
        <is>
          <t>hospital-course</t>
        </is>
      </c>
      <c r="I1444" t="inlineStr">
        <is>
          <t>His OSH EKG showed RBBB as
recently as [**10-26**], and there were reports of atrial fibrillation
requiring treatment with diltiazem.</t>
        </is>
      </c>
    </row>
    <row r="1445">
      <c r="A1445" t="inlineStr">
        <is>
          <t>37337-hospital-course-11-1</t>
        </is>
      </c>
      <c r="B1445" t="inlineStr"/>
      <c r="C1445" t="inlineStr"/>
      <c r="D1445">
        <f>HYPERLINK("http://nlpdeep.cs.uic.edu:8080/proofing/gsii/37337-hospital-course-11-1.pdf","gsii/37337-hospital-course-11-1.pdf")</f>
        <v/>
      </c>
      <c r="E1445" t="n">
        <v>110002</v>
      </c>
      <c r="F1445" t="n">
        <v>37337</v>
      </c>
      <c r="G1445" t="inlineStr">
        <is>
          <t>Discharge summary</t>
        </is>
      </c>
      <c r="H1445" t="inlineStr">
        <is>
          <t>hospital-course</t>
        </is>
      </c>
      <c r="I1445" t="inlineStr">
        <is>
          <t>His OSH EKG showed RBBB as
recently as [**10-26**], and there were reports of atrial fibrillation
requiring treatment with diltiazem.</t>
        </is>
      </c>
    </row>
    <row r="1446">
      <c r="A1446" t="inlineStr">
        <is>
          <t>37337-hospital-course-11-2</t>
        </is>
      </c>
      <c r="B1446" t="inlineStr"/>
      <c r="C1446" t="inlineStr"/>
      <c r="D1446">
        <f>HYPERLINK("http://nlpdeep.cs.uic.edu:8080/proofing/t5/37337-hospital-course-11-2.pdf","t5/37337-hospital-course-11-2.pdf")</f>
        <v/>
      </c>
      <c r="E1446" t="n">
        <v>110002</v>
      </c>
      <c r="F1446" t="n">
        <v>37337</v>
      </c>
      <c r="G1446" t="inlineStr">
        <is>
          <t>Discharge summary</t>
        </is>
      </c>
      <c r="H1446" t="inlineStr">
        <is>
          <t>hospital-course</t>
        </is>
      </c>
      <c r="I1446" t="inlineStr">
        <is>
          <t xml:space="preserve"> At one point, the patient
went into regular SVT with aberrancy during dialysis, which was
treated w/ lopressor 10, dilt 20 IV and dilt PO60 with
conversion back to sinus after 1-2 hours.</t>
        </is>
      </c>
    </row>
    <row r="1447">
      <c r="A1447" t="inlineStr">
        <is>
          <t>37337-hospital-course-11-2</t>
        </is>
      </c>
      <c r="B1447" t="inlineStr"/>
      <c r="C1447" t="inlineStr"/>
      <c r="D1447">
        <f>HYPERLINK("http://nlpdeep.cs.uic.edu:8080/proofing/gsii/37337-hospital-course-11-2.pdf","gsii/37337-hospital-course-11-2.pdf")</f>
        <v/>
      </c>
      <c r="E1447" t="n">
        <v>110002</v>
      </c>
      <c r="F1447" t="n">
        <v>37337</v>
      </c>
      <c r="G1447" t="inlineStr">
        <is>
          <t>Discharge summary</t>
        </is>
      </c>
      <c r="H1447" t="inlineStr">
        <is>
          <t>hospital-course</t>
        </is>
      </c>
      <c r="I1447" t="inlineStr">
        <is>
          <t xml:space="preserve"> At one point, the patient
went into regular SVT with aberrancy during dialysis, which was
treated w/ lopressor 10, dilt 20 IV and dilt PO60 with
conversion back to sinus after 1-2 hours.</t>
        </is>
      </c>
    </row>
    <row r="1448">
      <c r="A1448" t="inlineStr">
        <is>
          <t>37337-hospital-course-11-3</t>
        </is>
      </c>
      <c r="B1448" t="inlineStr"/>
      <c r="C1448" t="inlineStr"/>
      <c r="D1448">
        <f>HYPERLINK("http://nlpdeep.cs.uic.edu:8080/proofing/t5/37337-hospital-course-11-3.pdf","t5/37337-hospital-course-11-3.pdf")</f>
        <v/>
      </c>
      <c r="E1448" t="n">
        <v>110002</v>
      </c>
      <c r="F1448" t="n">
        <v>37337</v>
      </c>
      <c r="G1448" t="inlineStr">
        <is>
          <t>Discharge summary</t>
        </is>
      </c>
      <c r="H1448" t="inlineStr">
        <is>
          <t>hospital-course</t>
        </is>
      </c>
      <c r="I1448" t="inlineStr">
        <is>
          <t>Atrial irritation was
believed due to an IJ that was too deep, and was subsequently
pulled back.</t>
        </is>
      </c>
    </row>
    <row r="1449">
      <c r="A1449" t="inlineStr">
        <is>
          <t>37337-hospital-course-11-3</t>
        </is>
      </c>
      <c r="B1449" t="inlineStr"/>
      <c r="C1449" t="inlineStr"/>
      <c r="D1449">
        <f>HYPERLINK("http://nlpdeep.cs.uic.edu:8080/proofing/gsii/37337-hospital-course-11-3.pdf","gsii/37337-hospital-course-11-3.pdf")</f>
        <v/>
      </c>
      <c r="E1449" t="n">
        <v>110002</v>
      </c>
      <c r="F1449" t="n">
        <v>37337</v>
      </c>
      <c r="G1449" t="inlineStr">
        <is>
          <t>Discharge summary</t>
        </is>
      </c>
      <c r="H1449" t="inlineStr">
        <is>
          <t>hospital-course</t>
        </is>
      </c>
      <c r="I1449" t="inlineStr">
        <is>
          <t>Atrial irritation was
believed due to an IJ that was too deep, and was subsequently
pulled back.</t>
        </is>
      </c>
    </row>
    <row r="1450">
      <c r="A1450" t="inlineStr">
        <is>
          <t>37337-hospital-course-11-4</t>
        </is>
      </c>
      <c r="B1450" t="inlineStr"/>
      <c r="C1450" t="inlineStr"/>
      <c r="D1450">
        <f>HYPERLINK("http://nlpdeep.cs.uic.edu:8080/proofing/t5/37337-hospital-course-11-4.pdf","t5/37337-hospital-course-11-4.pdf")</f>
        <v/>
      </c>
      <c r="E1450" t="n">
        <v>110002</v>
      </c>
      <c r="F1450" t="n">
        <v>37337</v>
      </c>
      <c r="G1450" t="inlineStr">
        <is>
          <t>Discharge summary</t>
        </is>
      </c>
      <c r="H1450" t="inlineStr">
        <is>
          <t>hospital-course</t>
        </is>
      </c>
      <c r="I1450" t="inlineStr">
        <is>
          <t xml:space="preserve"> During another HD session, he again had aberrant
SVT, thought to be due to intracellular shifts.</t>
        </is>
      </c>
    </row>
    <row r="1451">
      <c r="A1451" t="inlineStr">
        <is>
          <t>37337-hospital-course-11-4</t>
        </is>
      </c>
      <c r="B1451" t="inlineStr"/>
      <c r="C1451" t="inlineStr"/>
      <c r="D1451">
        <f>HYPERLINK("http://nlpdeep.cs.uic.edu:8080/proofing/gsii/37337-hospital-course-11-4.pdf","gsii/37337-hospital-course-11-4.pdf")</f>
        <v/>
      </c>
      <c r="E1451" t="n">
        <v>110002</v>
      </c>
      <c r="F1451" t="n">
        <v>37337</v>
      </c>
      <c r="G1451" t="inlineStr">
        <is>
          <t>Discharge summary</t>
        </is>
      </c>
      <c r="H1451" t="inlineStr">
        <is>
          <t>hospital-course</t>
        </is>
      </c>
      <c r="I1451" t="inlineStr">
        <is>
          <t xml:space="preserve"> During another HD session, he again had aberrant
SVT, thought to be due to intracellular shifts.</t>
        </is>
      </c>
    </row>
    <row r="1452">
      <c r="A1452" t="inlineStr">
        <is>
          <t>37337-hospital-course-11-5</t>
        </is>
      </c>
      <c r="B1452" t="inlineStr"/>
      <c r="C1452" t="inlineStr"/>
      <c r="D1452">
        <f>HYPERLINK("http://nlpdeep.cs.uic.edu:8080/proofing/t5/37337-hospital-course-11-5.pdf","t5/37337-hospital-course-11-5.pdf")</f>
        <v/>
      </c>
      <c r="E1452" t="n">
        <v>110002</v>
      </c>
      <c r="F1452" t="n">
        <v>37337</v>
      </c>
      <c r="G1452" t="inlineStr">
        <is>
          <t>Discharge summary</t>
        </is>
      </c>
      <c r="H1452" t="inlineStr">
        <is>
          <t>hospital-course</t>
        </is>
      </c>
      <c r="I1452" t="inlineStr">
        <is>
          <t>Finally, the
patient had another episode, during which he underwent
synchronized cardioversion and was chemically cardioverted with
amiodarone and adenosine--after this episode, adenosine was kept
at the bedside.</t>
        </is>
      </c>
    </row>
    <row r="1453">
      <c r="A1453" t="inlineStr">
        <is>
          <t>37337-hospital-course-11-5</t>
        </is>
      </c>
      <c r="B1453" t="inlineStr"/>
      <c r="C1453" t="inlineStr"/>
      <c r="D1453">
        <f>HYPERLINK("http://nlpdeep.cs.uic.edu:8080/proofing/gsii/37337-hospital-course-11-5.pdf","gsii/37337-hospital-course-11-5.pdf")</f>
        <v/>
      </c>
      <c r="E1453" t="n">
        <v>110002</v>
      </c>
      <c r="F1453" t="n">
        <v>37337</v>
      </c>
      <c r="G1453" t="inlineStr">
        <is>
          <t>Discharge summary</t>
        </is>
      </c>
      <c r="H1453" t="inlineStr">
        <is>
          <t>hospital-course</t>
        </is>
      </c>
      <c r="I1453" t="inlineStr">
        <is>
          <t>Finally, the
patient had another episode, during which he underwent
synchronized cardioversion and was chemically cardioverted with
amiodarone and adenosine--after this episode, adenosine was kept
at the bedside.</t>
        </is>
      </c>
    </row>
    <row r="1454">
      <c r="A1454" t="inlineStr">
        <is>
          <t>37337-hospital-course-11-6</t>
        </is>
      </c>
      <c r="B1454" t="inlineStr"/>
      <c r="C1454" t="inlineStr"/>
      <c r="D1454">
        <f>HYPERLINK("http://nlpdeep.cs.uic.edu:8080/proofing/t5/37337-hospital-course-11-6.pdf","t5/37337-hospital-course-11-6.pdf")</f>
        <v/>
      </c>
      <c r="E1454" t="n">
        <v>110002</v>
      </c>
      <c r="F1454" t="n">
        <v>37337</v>
      </c>
      <c r="G1454" t="inlineStr">
        <is>
          <t>Discharge summary</t>
        </is>
      </c>
      <c r="H1454" t="inlineStr">
        <is>
          <t>hospital-course</t>
        </is>
      </c>
      <c r="I1454" t="inlineStr">
        <is>
          <t>EP was consulted, and 24 hour amiodarone was
completed.</t>
        </is>
      </c>
    </row>
    <row r="1455">
      <c r="A1455" t="inlineStr">
        <is>
          <t>37337-hospital-course-11-6</t>
        </is>
      </c>
      <c r="B1455" t="inlineStr"/>
      <c r="C1455" t="inlineStr"/>
      <c r="D1455">
        <f>HYPERLINK("http://nlpdeep.cs.uic.edu:8080/proofing/gsii/37337-hospital-course-11-6.pdf","gsii/37337-hospital-course-11-6.pdf")</f>
        <v/>
      </c>
      <c r="E1455" t="n">
        <v>110002</v>
      </c>
      <c r="F1455" t="n">
        <v>37337</v>
      </c>
      <c r="G1455" t="inlineStr">
        <is>
          <t>Discharge summary</t>
        </is>
      </c>
      <c r="H1455" t="inlineStr">
        <is>
          <t>hospital-course</t>
        </is>
      </c>
      <c r="I1455" t="inlineStr">
        <is>
          <t>EP was consulted, and 24 hour amiodarone was
completed.</t>
        </is>
      </c>
    </row>
    <row r="1456">
      <c r="A1456" t="inlineStr">
        <is>
          <t>37337-hospital-course-11-7</t>
        </is>
      </c>
      <c r="B1456" t="inlineStr"/>
      <c r="C1456" t="inlineStr"/>
      <c r="D1456">
        <f>HYPERLINK("http://nlpdeep.cs.uic.edu:8080/proofing/t5/37337-hospital-course-11-7.pdf","t5/37337-hospital-course-11-7.pdf")</f>
        <v/>
      </c>
      <c r="E1456" t="n">
        <v>110002</v>
      </c>
      <c r="F1456" t="n">
        <v>37337</v>
      </c>
      <c r="G1456" t="inlineStr">
        <is>
          <t>Discharge summary</t>
        </is>
      </c>
      <c r="H1456" t="inlineStr">
        <is>
          <t>hospital-course</t>
        </is>
      </c>
      <c r="I1456" t="inlineStr">
        <is>
          <t>The patient had persistent tachycardia and
hypertension during his hospitalization, treated with diltiazem,
metoprolol, amlodipine, and hydralazine.</t>
        </is>
      </c>
    </row>
    <row r="1457">
      <c r="A1457" t="inlineStr">
        <is>
          <t>37337-hospital-course-11-7</t>
        </is>
      </c>
      <c r="B1457" t="inlineStr"/>
      <c r="C1457" t="inlineStr"/>
      <c r="D1457">
        <f>HYPERLINK("http://nlpdeep.cs.uic.edu:8080/proofing/gsii/37337-hospital-course-11-7.pdf","gsii/37337-hospital-course-11-7.pdf")</f>
        <v/>
      </c>
      <c r="E1457" t="n">
        <v>110002</v>
      </c>
      <c r="F1457" t="n">
        <v>37337</v>
      </c>
      <c r="G1457" t="inlineStr">
        <is>
          <t>Discharge summary</t>
        </is>
      </c>
      <c r="H1457" t="inlineStr">
        <is>
          <t>hospital-course</t>
        </is>
      </c>
      <c r="I1457" t="inlineStr">
        <is>
          <t>The patient had persistent tachycardia and
hypertension during his hospitalization, treated with diltiazem,
metoprolol, amlodipine, and hydralazine.</t>
        </is>
      </c>
    </row>
    <row r="1458">
      <c r="A1458" t="inlineStr">
        <is>
          <t>37337-hospital-course-11-8</t>
        </is>
      </c>
      <c r="B1458" t="inlineStr"/>
      <c r="C1458" t="inlineStr"/>
      <c r="D1458">
        <f>HYPERLINK("http://nlpdeep.cs.uic.edu:8080/proofing/t5/37337-hospital-course-11-8.pdf","t5/37337-hospital-course-11-8.pdf")</f>
        <v/>
      </c>
      <c r="E1458" t="n">
        <v>110002</v>
      </c>
      <c r="F1458" t="n">
        <v>37337</v>
      </c>
      <c r="G1458" t="inlineStr">
        <is>
          <t>Discharge summary</t>
        </is>
      </c>
      <c r="H1458" t="inlineStr">
        <is>
          <t>hospital-course</t>
        </is>
      </c>
      <c r="I1458" t="inlineStr">
        <is>
          <t xml:space="preserve"> Diltiazem and the
Clonidine patch were discontinued in the MICU.</t>
        </is>
      </c>
    </row>
    <row r="1459">
      <c r="A1459" t="inlineStr">
        <is>
          <t>37337-hospital-course-11-8</t>
        </is>
      </c>
      <c r="B1459" t="inlineStr"/>
      <c r="C1459" t="inlineStr"/>
      <c r="D1459">
        <f>HYPERLINK("http://nlpdeep.cs.uic.edu:8080/proofing/gsii/37337-hospital-course-11-8.pdf","gsii/37337-hospital-course-11-8.pdf")</f>
        <v/>
      </c>
      <c r="E1459" t="n">
        <v>110002</v>
      </c>
      <c r="F1459" t="n">
        <v>37337</v>
      </c>
      <c r="G1459" t="inlineStr">
        <is>
          <t>Discharge summary</t>
        </is>
      </c>
      <c r="H1459" t="inlineStr">
        <is>
          <t>hospital-course</t>
        </is>
      </c>
      <c r="I1459" t="inlineStr">
        <is>
          <t xml:space="preserve"> Diltiazem and the
Clonidine patch were discontinued in the MICU.</t>
        </is>
      </c>
    </row>
    <row r="1460">
      <c r="A1460" t="inlineStr">
        <is>
          <t>37337-hospital-course-11-9</t>
        </is>
      </c>
      <c r="B1460" t="inlineStr"/>
      <c r="C1460" t="inlineStr"/>
      <c r="D1460">
        <f>HYPERLINK("http://nlpdeep.cs.uic.edu:8080/proofing/t5/37337-hospital-course-11-9.pdf","t5/37337-hospital-course-11-9.pdf")</f>
        <v/>
      </c>
      <c r="E1460" t="n">
        <v>110002</v>
      </c>
      <c r="F1460" t="n">
        <v>37337</v>
      </c>
      <c r="G1460" t="inlineStr">
        <is>
          <t>Discharge summary</t>
        </is>
      </c>
      <c r="H1460" t="inlineStr">
        <is>
          <t>hospital-course</t>
        </is>
      </c>
      <c r="I1460" t="inlineStr">
        <is>
          <t xml:space="preserve"> Lisinopril was
initiated.</t>
        </is>
      </c>
    </row>
    <row r="1461">
      <c r="A1461" t="inlineStr">
        <is>
          <t>37337-hospital-course-11-9</t>
        </is>
      </c>
      <c r="B1461" t="inlineStr"/>
      <c r="C1461" t="inlineStr"/>
      <c r="D1461">
        <f>HYPERLINK("http://nlpdeep.cs.uic.edu:8080/proofing/gsii/37337-hospital-course-11-9.pdf","gsii/37337-hospital-course-11-9.pdf")</f>
        <v/>
      </c>
      <c r="E1461" t="n">
        <v>110002</v>
      </c>
      <c r="F1461" t="n">
        <v>37337</v>
      </c>
      <c r="G1461" t="inlineStr">
        <is>
          <t>Discharge summary</t>
        </is>
      </c>
      <c r="H1461" t="inlineStr">
        <is>
          <t>hospital-course</t>
        </is>
      </c>
      <c r="I1461" t="inlineStr">
        <is>
          <t xml:space="preserve"> Lisinopril was
initiated.</t>
        </is>
      </c>
    </row>
    <row r="1462">
      <c r="A1462" t="inlineStr">
        <is>
          <t>37337-hospital-course-11-10</t>
        </is>
      </c>
      <c r="B1462" t="inlineStr"/>
      <c r="C1462" t="inlineStr"/>
      <c r="D1462">
        <f>HYPERLINK("http://nlpdeep.cs.uic.edu:8080/proofing/t5/37337-hospital-course-11-10.pdf","t5/37337-hospital-course-11-10.pdf")</f>
        <v/>
      </c>
      <c r="E1462" t="n">
        <v>110002</v>
      </c>
      <c r="F1462" t="n">
        <v>37337</v>
      </c>
      <c r="G1462" t="inlineStr">
        <is>
          <t>Discharge summary</t>
        </is>
      </c>
      <c r="H1462" t="inlineStr">
        <is>
          <t>hospital-course</t>
        </is>
      </c>
      <c r="I1462" t="inlineStr">
        <is>
          <t xml:space="preserve"> When he was transferred to the medical floor, he was
in NSR.</t>
        </is>
      </c>
    </row>
    <row r="1463">
      <c r="A1463" t="inlineStr">
        <is>
          <t>37337-hospital-course-11-10</t>
        </is>
      </c>
      <c r="B1463" t="inlineStr"/>
      <c r="C1463" t="inlineStr"/>
      <c r="D1463">
        <f>HYPERLINK("http://nlpdeep.cs.uic.edu:8080/proofing/gsii/37337-hospital-course-11-10.pdf","gsii/37337-hospital-course-11-10.pdf")</f>
        <v/>
      </c>
      <c r="E1463" t="n">
        <v>110002</v>
      </c>
      <c r="F1463" t="n">
        <v>37337</v>
      </c>
      <c r="G1463" t="inlineStr">
        <is>
          <t>Discharge summary</t>
        </is>
      </c>
      <c r="H1463" t="inlineStr">
        <is>
          <t>hospital-course</t>
        </is>
      </c>
      <c r="I1463" t="inlineStr">
        <is>
          <t xml:space="preserve"> When he was transferred to the medical floor, he was
in NSR.</t>
        </is>
      </c>
    </row>
    <row r="1464">
      <c r="A1464" t="inlineStr">
        <is>
          <t>37337-hospital-course-11-11</t>
        </is>
      </c>
      <c r="B1464" t="inlineStr"/>
      <c r="C1464" t="inlineStr"/>
      <c r="D1464">
        <f>HYPERLINK("http://nlpdeep.cs.uic.edu:8080/proofing/t5/37337-hospital-course-11-11.pdf","t5/37337-hospital-course-11-11.pdf")</f>
        <v/>
      </c>
      <c r="E1464" t="n">
        <v>110002</v>
      </c>
      <c r="F1464" t="n">
        <v>37337</v>
      </c>
      <c r="G1464" t="inlineStr">
        <is>
          <t>Discharge summary</t>
        </is>
      </c>
      <c r="H1464" t="inlineStr">
        <is>
          <t>hospital-course</t>
        </is>
      </c>
      <c r="I1464" t="inlineStr">
        <is>
          <t xml:space="preserve"> The patient was eventually discharged on lisinopril,
metoprolol and amlodipine (all new medications for him).</t>
        </is>
      </c>
    </row>
    <row r="1465">
      <c r="A1465" t="inlineStr">
        <is>
          <t>37337-hospital-course-11-11</t>
        </is>
      </c>
      <c r="B1465" t="inlineStr"/>
      <c r="C1465" t="inlineStr"/>
      <c r="D1465">
        <f>HYPERLINK("http://nlpdeep.cs.uic.edu:8080/proofing/gsii/37337-hospital-course-11-11.pdf","gsii/37337-hospital-course-11-11.pdf")</f>
        <v/>
      </c>
      <c r="E1465" t="n">
        <v>110002</v>
      </c>
      <c r="F1465" t="n">
        <v>37337</v>
      </c>
      <c r="G1465" t="inlineStr">
        <is>
          <t>Discharge summary</t>
        </is>
      </c>
      <c r="H1465" t="inlineStr">
        <is>
          <t>hospital-course</t>
        </is>
      </c>
      <c r="I1465" t="inlineStr">
        <is>
          <t xml:space="preserve"> The patient was eventually discharged on lisinopril,
metoprolol and amlodipine (all new medications for him).</t>
        </is>
      </c>
    </row>
    <row r="1466">
      <c r="A1466" t="inlineStr">
        <is>
          <t>37337-hospital-course-12-0</t>
        </is>
      </c>
      <c r="B1466" t="inlineStr"/>
      <c r="C1466" t="inlineStr"/>
      <c r="D1466">
        <f>HYPERLINK("http://nlpdeep.cs.uic.edu:8080/proofing/t5/37337-hospital-course-12-0.pdf","t5/37337-hospital-course-12-0.pdf")</f>
        <v/>
      </c>
      <c r="E1466" t="n">
        <v>110002</v>
      </c>
      <c r="F1466" t="n">
        <v>37337</v>
      </c>
      <c r="G1466" t="inlineStr">
        <is>
          <t>Discharge summary</t>
        </is>
      </c>
      <c r="H1466" t="inlineStr">
        <is>
          <t>hospital-course</t>
        </is>
      </c>
      <c r="I1466" t="inlineStr">
        <is>
          <t xml:space="preserve">
# Hypertension: The patient was frequently hypertensive to the
170s and 200s SBP.</t>
        </is>
      </c>
    </row>
    <row r="1467">
      <c r="A1467" t="inlineStr">
        <is>
          <t>37337-hospital-course-12-0</t>
        </is>
      </c>
      <c r="B1467" t="inlineStr"/>
      <c r="C1467" t="inlineStr"/>
      <c r="D1467">
        <f>HYPERLINK("http://nlpdeep.cs.uic.edu:8080/proofing/gsii/37337-hospital-course-12-0.pdf","gsii/37337-hospital-course-12-0.pdf")</f>
        <v/>
      </c>
      <c r="E1467" t="n">
        <v>110002</v>
      </c>
      <c r="F1467" t="n">
        <v>37337</v>
      </c>
      <c r="G1467" t="inlineStr">
        <is>
          <t>Discharge summary</t>
        </is>
      </c>
      <c r="H1467" t="inlineStr">
        <is>
          <t>hospital-course</t>
        </is>
      </c>
      <c r="I1467" t="inlineStr">
        <is>
          <t xml:space="preserve">
# Hypertension: The patient was frequently hypertensive to the
170s and 200s SBP.</t>
        </is>
      </c>
    </row>
    <row r="1468">
      <c r="A1468" t="inlineStr">
        <is>
          <t>37337-hospital-course-12-1</t>
        </is>
      </c>
      <c r="B1468" t="inlineStr"/>
      <c r="C1468" t="inlineStr"/>
      <c r="D1468">
        <f>HYPERLINK("http://nlpdeep.cs.uic.edu:8080/proofing/t5/37337-hospital-course-12-1.pdf","t5/37337-hospital-course-12-1.pdf")</f>
        <v/>
      </c>
      <c r="E1468" t="n">
        <v>110002</v>
      </c>
      <c r="F1468" t="n">
        <v>37337</v>
      </c>
      <c r="G1468" t="inlineStr">
        <is>
          <t>Discharge summary</t>
        </is>
      </c>
      <c r="H1468" t="inlineStr">
        <is>
          <t>hospital-course</t>
        </is>
      </c>
      <c r="I1468" t="inlineStr">
        <is>
          <t>This was treated with a clonidine patch due
to concern of agitation/anxiety as trigger in addition to
diltiazem, metoprolol, amlodipine, hydralazine.</t>
        </is>
      </c>
    </row>
    <row r="1469">
      <c r="A1469" t="inlineStr">
        <is>
          <t>37337-hospital-course-12-1</t>
        </is>
      </c>
      <c r="B1469" t="inlineStr"/>
      <c r="C1469" t="inlineStr"/>
      <c r="D1469">
        <f>HYPERLINK("http://nlpdeep.cs.uic.edu:8080/proofing/gsii/37337-hospital-course-12-1.pdf","gsii/37337-hospital-course-12-1.pdf")</f>
        <v/>
      </c>
      <c r="E1469" t="n">
        <v>110002</v>
      </c>
      <c r="F1469" t="n">
        <v>37337</v>
      </c>
      <c r="G1469" t="inlineStr">
        <is>
          <t>Discharge summary</t>
        </is>
      </c>
      <c r="H1469" t="inlineStr">
        <is>
          <t>hospital-course</t>
        </is>
      </c>
      <c r="I1469" t="inlineStr">
        <is>
          <t>This was treated with a clonidine patch due
to concern of agitation/anxiety as trigger in addition to
diltiazem, metoprolol, amlodipine, hydralazine.</t>
        </is>
      </c>
    </row>
    <row r="1470">
      <c r="A1470" t="inlineStr">
        <is>
          <t>37337-hospital-course-12-2</t>
        </is>
      </c>
      <c r="B1470" t="inlineStr"/>
      <c r="C1470" t="inlineStr"/>
      <c r="D1470">
        <f>HYPERLINK("http://nlpdeep.cs.uic.edu:8080/proofing/t5/37337-hospital-course-12-2.pdf","t5/37337-hospital-course-12-2.pdf")</f>
        <v/>
      </c>
      <c r="E1470" t="n">
        <v>110002</v>
      </c>
      <c r="F1470" t="n">
        <v>37337</v>
      </c>
      <c r="G1470" t="inlineStr">
        <is>
          <t>Discharge summary</t>
        </is>
      </c>
      <c r="H1470" t="inlineStr">
        <is>
          <t>hospital-course</t>
        </is>
      </c>
      <c r="I1470" t="inlineStr">
        <is>
          <t>Diltiazem and
the Clonidine patch were discontinued in the MICU, and
Lisinopril was initiated.</t>
        </is>
      </c>
    </row>
    <row r="1471">
      <c r="A1471" t="inlineStr">
        <is>
          <t>37337-hospital-course-12-2</t>
        </is>
      </c>
      <c r="B1471" t="inlineStr"/>
      <c r="C1471" t="inlineStr"/>
      <c r="D1471">
        <f>HYPERLINK("http://nlpdeep.cs.uic.edu:8080/proofing/gsii/37337-hospital-course-12-2.pdf","gsii/37337-hospital-course-12-2.pdf")</f>
        <v/>
      </c>
      <c r="E1471" t="n">
        <v>110002</v>
      </c>
      <c r="F1471" t="n">
        <v>37337</v>
      </c>
      <c r="G1471" t="inlineStr">
        <is>
          <t>Discharge summary</t>
        </is>
      </c>
      <c r="H1471" t="inlineStr">
        <is>
          <t>hospital-course</t>
        </is>
      </c>
      <c r="I1471" t="inlineStr">
        <is>
          <t>Diltiazem and
the Clonidine patch were discontinued in the MICU, and
Lisinopril was initiated.</t>
        </is>
      </c>
    </row>
    <row r="1472">
      <c r="A1472" t="inlineStr">
        <is>
          <t>37337-hospital-course-12-3</t>
        </is>
      </c>
      <c r="B1472" t="inlineStr"/>
      <c r="C1472" t="inlineStr"/>
      <c r="D1472">
        <f>HYPERLINK("http://nlpdeep.cs.uic.edu:8080/proofing/t5/37337-hospital-course-12-3.pdf","t5/37337-hospital-course-12-3.pdf")</f>
        <v/>
      </c>
      <c r="E1472" t="n">
        <v>110002</v>
      </c>
      <c r="F1472" t="n">
        <v>37337</v>
      </c>
      <c r="G1472" t="inlineStr">
        <is>
          <t>Discharge summary</t>
        </is>
      </c>
      <c r="H1472" t="inlineStr">
        <is>
          <t>hospital-course</t>
        </is>
      </c>
      <c r="I1472" t="inlineStr">
        <is>
          <t xml:space="preserve"> The patient was eventually discharged
on lisinopril, metoprolol and amlodipine.</t>
        </is>
      </c>
    </row>
    <row r="1473">
      <c r="A1473" t="inlineStr">
        <is>
          <t>37337-hospital-course-12-3</t>
        </is>
      </c>
      <c r="B1473" t="inlineStr"/>
      <c r="C1473" t="inlineStr"/>
      <c r="D1473">
        <f>HYPERLINK("http://nlpdeep.cs.uic.edu:8080/proofing/gsii/37337-hospital-course-12-3.pdf","gsii/37337-hospital-course-12-3.pdf")</f>
        <v/>
      </c>
      <c r="E1473" t="n">
        <v>110002</v>
      </c>
      <c r="F1473" t="n">
        <v>37337</v>
      </c>
      <c r="G1473" t="inlineStr">
        <is>
          <t>Discharge summary</t>
        </is>
      </c>
      <c r="H1473" t="inlineStr">
        <is>
          <t>hospital-course</t>
        </is>
      </c>
      <c r="I1473" t="inlineStr">
        <is>
          <t xml:space="preserve"> The patient was eventually discharged
on lisinopril, metoprolol and amlodipine.</t>
        </is>
      </c>
    </row>
    <row r="1474">
      <c r="A1474" t="inlineStr">
        <is>
          <t>37337-hospital-course-13-0</t>
        </is>
      </c>
      <c r="B1474" t="inlineStr"/>
      <c r="C1474" t="inlineStr"/>
      <c r="D1474">
        <f>HYPERLINK("http://nlpdeep.cs.uic.edu:8080/proofing/t5/37337-hospital-course-13-0.pdf","t5/37337-hospital-course-13-0.pdf")</f>
        <v/>
      </c>
      <c r="E1474" t="n">
        <v>110002</v>
      </c>
      <c r="F1474" t="n">
        <v>37337</v>
      </c>
      <c r="G1474" t="inlineStr">
        <is>
          <t>Discharge summary</t>
        </is>
      </c>
      <c r="H1474" t="inlineStr">
        <is>
          <t>hospital-course</t>
        </is>
      </c>
      <c r="I1474" t="inlineStr">
        <is>
          <t xml:space="preserve">
# Rash on back, abdomen, thighs: Appeared to be consistent with
a drug rash, which could have been triggerred by Vanc or
Cefepime, although statistically Cefepime would be more likely.</t>
        </is>
      </c>
    </row>
    <row r="1475">
      <c r="A1475" t="inlineStr">
        <is>
          <t>37337-hospital-course-13-0</t>
        </is>
      </c>
      <c r="B1475" t="inlineStr"/>
      <c r="C1475" t="inlineStr"/>
      <c r="D1475">
        <f>HYPERLINK("http://nlpdeep.cs.uic.edu:8080/proofing/gsii/37337-hospital-course-13-0.pdf","gsii/37337-hospital-course-13-0.pdf")</f>
        <v/>
      </c>
      <c r="E1475" t="n">
        <v>110002</v>
      </c>
      <c r="F1475" t="n">
        <v>37337</v>
      </c>
      <c r="G1475" t="inlineStr">
        <is>
          <t>Discharge summary</t>
        </is>
      </c>
      <c r="H1475" t="inlineStr">
        <is>
          <t>hospital-course</t>
        </is>
      </c>
      <c r="I1475" t="inlineStr">
        <is>
          <t xml:space="preserve">
# Rash on back, abdomen, thighs: Appeared to be consistent with
a drug rash, which could have been triggerred by Vanc or
Cefepime, although statistically Cefepime would be more likely.</t>
        </is>
      </c>
    </row>
    <row r="1476">
      <c r="A1476" t="inlineStr">
        <is>
          <t>37337-hospital-course-13-1</t>
        </is>
      </c>
      <c r="B1476" t="inlineStr"/>
      <c r="C1476" t="inlineStr"/>
      <c r="D1476">
        <f>HYPERLINK("http://nlpdeep.cs.uic.edu:8080/proofing/t5/37337-hospital-course-13-1.pdf","t5/37337-hospital-course-13-1.pdf")</f>
        <v/>
      </c>
      <c r="E1476" t="n">
        <v>110002</v>
      </c>
      <c r="F1476" t="n">
        <v>37337</v>
      </c>
      <c r="G1476" t="inlineStr">
        <is>
          <t>Discharge summary</t>
        </is>
      </c>
      <c r="H1476" t="inlineStr">
        <is>
          <t>hospital-course</t>
        </is>
      </c>
      <c r="I1476" t="inlineStr">
        <is>
          <t xml:space="preserve">
Both drugs were discontinued on [**10-31**]; and the patient changed
to Meropenem.</t>
        </is>
      </c>
    </row>
    <row r="1477">
      <c r="A1477" t="inlineStr">
        <is>
          <t>37337-hospital-course-13-1</t>
        </is>
      </c>
      <c r="B1477" t="inlineStr"/>
      <c r="C1477" t="inlineStr"/>
      <c r="D1477">
        <f>HYPERLINK("http://nlpdeep.cs.uic.edu:8080/proofing/gsii/37337-hospital-course-13-1.pdf","gsii/37337-hospital-course-13-1.pdf")</f>
        <v/>
      </c>
      <c r="E1477" t="n">
        <v>110002</v>
      </c>
      <c r="F1477" t="n">
        <v>37337</v>
      </c>
      <c r="G1477" t="inlineStr">
        <is>
          <t>Discharge summary</t>
        </is>
      </c>
      <c r="H1477" t="inlineStr">
        <is>
          <t>hospital-course</t>
        </is>
      </c>
      <c r="I1477" t="inlineStr">
        <is>
          <t xml:space="preserve">
Both drugs were discontinued on [**10-31**]; and the patient changed
to Meropenem.</t>
        </is>
      </c>
    </row>
    <row r="1478">
      <c r="A1478" t="inlineStr">
        <is>
          <t>37337-hospital-course-13-2</t>
        </is>
      </c>
      <c r="B1478" t="inlineStr"/>
      <c r="C1478" t="inlineStr"/>
      <c r="D1478">
        <f>HYPERLINK("http://nlpdeep.cs.uic.edu:8080/proofing/t5/37337-hospital-course-13-2.pdf","t5/37337-hospital-course-13-2.pdf")</f>
        <v/>
      </c>
      <c r="E1478" t="n">
        <v>110002</v>
      </c>
      <c r="F1478" t="n">
        <v>37337</v>
      </c>
      <c r="G1478" t="inlineStr">
        <is>
          <t>Discharge summary</t>
        </is>
      </c>
      <c r="H1478" t="inlineStr">
        <is>
          <t>hospital-course</t>
        </is>
      </c>
      <c r="I1478" t="inlineStr">
        <is>
          <t>The rash improved clinically, became less
erythematous, and was treated with clobetasol [**Hospital1 **] 0.05% for
abdomen, and clotrimazole/hydro groin cream for rash.</t>
        </is>
      </c>
    </row>
    <row r="1479">
      <c r="A1479" t="inlineStr">
        <is>
          <t>37337-hospital-course-13-2</t>
        </is>
      </c>
      <c r="B1479" t="inlineStr"/>
      <c r="C1479" t="inlineStr"/>
      <c r="D1479">
        <f>HYPERLINK("http://nlpdeep.cs.uic.edu:8080/proofing/gsii/37337-hospital-course-13-2.pdf","gsii/37337-hospital-course-13-2.pdf")</f>
        <v/>
      </c>
      <c r="E1479" t="n">
        <v>110002</v>
      </c>
      <c r="F1479" t="n">
        <v>37337</v>
      </c>
      <c r="G1479" t="inlineStr">
        <is>
          <t>Discharge summary</t>
        </is>
      </c>
      <c r="H1479" t="inlineStr">
        <is>
          <t>hospital-course</t>
        </is>
      </c>
      <c r="I1479" t="inlineStr">
        <is>
          <t>The rash improved clinically, became less
erythematous, and was treated with clobetasol [**Hospital1 **] 0.05% for
abdomen, and clotrimazole/hydro groin cream for rash.</t>
        </is>
      </c>
    </row>
    <row r="1480">
      <c r="A1480" t="inlineStr">
        <is>
          <t>37337-hospital-course-13-3</t>
        </is>
      </c>
      <c r="B1480" t="inlineStr"/>
      <c r="C1480" t="inlineStr"/>
      <c r="D1480">
        <f>HYPERLINK("http://nlpdeep.cs.uic.edu:8080/proofing/t5/37337-hospital-course-13-3.pdf","t5/37337-hospital-course-13-3.pdf")</f>
        <v/>
      </c>
      <c r="E1480" t="n">
        <v>110002</v>
      </c>
      <c r="F1480" t="n">
        <v>37337</v>
      </c>
      <c r="G1480" t="inlineStr">
        <is>
          <t>Discharge summary</t>
        </is>
      </c>
      <c r="H1480" t="inlineStr">
        <is>
          <t>hospital-course</t>
        </is>
      </c>
      <c r="I1480" t="inlineStr">
        <is>
          <t>Vancomycin
was later added back on, without worsening of the patient's
rash--further increasing our suspicion that Cefepime was the
culprit.</t>
        </is>
      </c>
    </row>
    <row r="1481">
      <c r="A1481" t="inlineStr">
        <is>
          <t>37337-hospital-course-13-3</t>
        </is>
      </c>
      <c r="B1481" t="inlineStr"/>
      <c r="C1481" t="inlineStr"/>
      <c r="D1481">
        <f>HYPERLINK("http://nlpdeep.cs.uic.edu:8080/proofing/gsii/37337-hospital-course-13-3.pdf","gsii/37337-hospital-course-13-3.pdf")</f>
        <v/>
      </c>
      <c r="E1481" t="n">
        <v>110002</v>
      </c>
      <c r="F1481" t="n">
        <v>37337</v>
      </c>
      <c r="G1481" t="inlineStr">
        <is>
          <t>Discharge summary</t>
        </is>
      </c>
      <c r="H1481" t="inlineStr">
        <is>
          <t>hospital-course</t>
        </is>
      </c>
      <c r="I1481" t="inlineStr">
        <is>
          <t>Vancomycin
was later added back on, without worsening of the patient's
rash--further increasing our suspicion that Cefepime was the
culprit.</t>
        </is>
      </c>
    </row>
    <row r="1482">
      <c r="A1482" t="inlineStr">
        <is>
          <t>37337-hospital-course-13-4</t>
        </is>
      </c>
      <c r="B1482" t="inlineStr"/>
      <c r="C1482" t="inlineStr"/>
      <c r="D1482">
        <f>HYPERLINK("http://nlpdeep.cs.uic.edu:8080/proofing/t5/37337-hospital-course-13-4.pdf","t5/37337-hospital-course-13-4.pdf")</f>
        <v/>
      </c>
      <c r="E1482" t="n">
        <v>110002</v>
      </c>
      <c r="F1482" t="n">
        <v>37337</v>
      </c>
      <c r="G1482" t="inlineStr">
        <is>
          <t>Discharge summary</t>
        </is>
      </c>
      <c r="H1482" t="inlineStr">
        <is>
          <t>hospital-course</t>
        </is>
      </c>
      <c r="I1482" t="inlineStr">
        <is>
          <t xml:space="preserve"> This rash had resolved by discharge and the
clotrimazole and hydrocortisone cream were not continued.</t>
        </is>
      </c>
    </row>
    <row r="1483">
      <c r="A1483" t="inlineStr">
        <is>
          <t>37337-hospital-course-13-4</t>
        </is>
      </c>
      <c r="B1483" t="inlineStr"/>
      <c r="C1483" t="inlineStr"/>
      <c r="D1483">
        <f>HYPERLINK("http://nlpdeep.cs.uic.edu:8080/proofing/gsii/37337-hospital-course-13-4.pdf","gsii/37337-hospital-course-13-4.pdf")</f>
        <v/>
      </c>
      <c r="E1483" t="n">
        <v>110002</v>
      </c>
      <c r="F1483" t="n">
        <v>37337</v>
      </c>
      <c r="G1483" t="inlineStr">
        <is>
          <t>Discharge summary</t>
        </is>
      </c>
      <c r="H1483" t="inlineStr">
        <is>
          <t>hospital-course</t>
        </is>
      </c>
      <c r="I1483" t="inlineStr">
        <is>
          <t xml:space="preserve"> This rash had resolved by discharge and the
clotrimazole and hydrocortisone cream were not continued.</t>
        </is>
      </c>
    </row>
    <row r="1484">
      <c r="A1484" t="inlineStr">
        <is>
          <t>37337-hospital-course-14-0</t>
        </is>
      </c>
      <c r="B1484" t="inlineStr"/>
      <c r="C1484" t="inlineStr"/>
      <c r="D1484">
        <f>HYPERLINK("http://nlpdeep.cs.uic.edu:8080/proofing/t5/37337-hospital-course-14-0.pdf","t5/37337-hospital-course-14-0.pdf")</f>
        <v/>
      </c>
      <c r="E1484" t="n">
        <v>110002</v>
      </c>
      <c r="F1484" t="n">
        <v>37337</v>
      </c>
      <c r="G1484" t="inlineStr">
        <is>
          <t>Discharge summary</t>
        </is>
      </c>
      <c r="H1484" t="inlineStr">
        <is>
          <t>hospital-course</t>
        </is>
      </c>
      <c r="I1484" t="inlineStr">
        <is>
          <t xml:space="preserve">
# Sacral decubitus ulcer, stage 2:  This was cared for by
nursning.</t>
        </is>
      </c>
    </row>
    <row r="1485">
      <c r="A1485" t="inlineStr">
        <is>
          <t>37337-hospital-course-14-0</t>
        </is>
      </c>
      <c r="B1485" t="inlineStr"/>
      <c r="C1485" t="inlineStr"/>
      <c r="D1485">
        <f>HYPERLINK("http://nlpdeep.cs.uic.edu:8080/proofing/gsii/37337-hospital-course-14-0.pdf","gsii/37337-hospital-course-14-0.pdf")</f>
        <v/>
      </c>
      <c r="E1485" t="n">
        <v>110002</v>
      </c>
      <c r="F1485" t="n">
        <v>37337</v>
      </c>
      <c r="G1485" t="inlineStr">
        <is>
          <t>Discharge summary</t>
        </is>
      </c>
      <c r="H1485" t="inlineStr">
        <is>
          <t>hospital-course</t>
        </is>
      </c>
      <c r="I1485" t="inlineStr">
        <is>
          <t xml:space="preserve">
# Sacral decubitus ulcer, stage 2:  This was cared for by
nursning.</t>
        </is>
      </c>
    </row>
    <row r="1486">
      <c r="A1486" t="inlineStr">
        <is>
          <t>37337-hospital-course-15-0</t>
        </is>
      </c>
      <c r="B1486" t="inlineStr"/>
      <c r="C1486" t="inlineStr"/>
      <c r="D1486">
        <f>HYPERLINK("http://nlpdeep.cs.uic.edu:8080/proofing/t5/37337-hospital-course-15-0.pdf","t5/37337-hospital-course-15-0.pdf")</f>
        <v/>
      </c>
      <c r="E1486" t="n">
        <v>110002</v>
      </c>
      <c r="F1486" t="n">
        <v>37337</v>
      </c>
      <c r="G1486" t="inlineStr">
        <is>
          <t>Discharge summary</t>
        </is>
      </c>
      <c r="H1486" t="inlineStr">
        <is>
          <t>hospital-course</t>
        </is>
      </c>
      <c r="I1486" t="inlineStr">
        <is>
          <t xml:space="preserve">
# DM2:  Patient was diet controlled prior to admission.</t>
        </is>
      </c>
    </row>
    <row r="1487">
      <c r="A1487" t="inlineStr">
        <is>
          <t>37337-hospital-course-15-0</t>
        </is>
      </c>
      <c r="B1487" t="inlineStr"/>
      <c r="C1487" t="inlineStr"/>
      <c r="D1487">
        <f>HYPERLINK("http://nlpdeep.cs.uic.edu:8080/proofing/gsii/37337-hospital-course-15-0.pdf","gsii/37337-hospital-course-15-0.pdf")</f>
        <v/>
      </c>
      <c r="E1487" t="n">
        <v>110002</v>
      </c>
      <c r="F1487" t="n">
        <v>37337</v>
      </c>
      <c r="G1487" t="inlineStr">
        <is>
          <t>Discharge summary</t>
        </is>
      </c>
      <c r="H1487" t="inlineStr">
        <is>
          <t>hospital-course</t>
        </is>
      </c>
      <c r="I1487" t="inlineStr">
        <is>
          <t xml:space="preserve">
# DM2:  Patient was diet controlled prior to admission.</t>
        </is>
      </c>
    </row>
    <row r="1488">
      <c r="A1488" t="inlineStr">
        <is>
          <t>37337-hospital-course-15-1</t>
        </is>
      </c>
      <c r="B1488" t="inlineStr"/>
      <c r="C1488" t="inlineStr"/>
      <c r="D1488">
        <f>HYPERLINK("http://nlpdeep.cs.uic.edu:8080/proofing/t5/37337-hospital-course-15-1.pdf","t5/37337-hospital-course-15-1.pdf")</f>
        <v/>
      </c>
      <c r="E1488" t="n">
        <v>110002</v>
      </c>
      <c r="F1488" t="n">
        <v>37337</v>
      </c>
      <c r="G1488" t="inlineStr">
        <is>
          <t>Discharge summary</t>
        </is>
      </c>
      <c r="H1488" t="inlineStr">
        <is>
          <t>hospital-course</t>
        </is>
      </c>
      <c r="I1488" t="inlineStr">
        <is>
          <t>He was
treated with glargine 50 units qHS and ISS.</t>
        </is>
      </c>
    </row>
    <row r="1489">
      <c r="A1489" t="inlineStr">
        <is>
          <t>37337-hospital-course-15-1</t>
        </is>
      </c>
      <c r="B1489" t="inlineStr"/>
      <c r="C1489" t="inlineStr"/>
      <c r="D1489">
        <f>HYPERLINK("http://nlpdeep.cs.uic.edu:8080/proofing/gsii/37337-hospital-course-15-1.pdf","gsii/37337-hospital-course-15-1.pdf")</f>
        <v/>
      </c>
      <c r="E1489" t="n">
        <v>110002</v>
      </c>
      <c r="F1489" t="n">
        <v>37337</v>
      </c>
      <c r="G1489" t="inlineStr">
        <is>
          <t>Discharge summary</t>
        </is>
      </c>
      <c r="H1489" t="inlineStr">
        <is>
          <t>hospital-course</t>
        </is>
      </c>
      <c r="I1489" t="inlineStr">
        <is>
          <t>He was
treated with glargine 50 units qHS and ISS.</t>
        </is>
      </c>
    </row>
    <row r="1490">
      <c r="A1490" t="inlineStr">
        <is>
          <t>37337-hospital-course-15-2</t>
        </is>
      </c>
      <c r="B1490" t="inlineStr"/>
      <c r="C1490" t="inlineStr"/>
      <c r="D1490">
        <f>HYPERLINK("http://nlpdeep.cs.uic.edu:8080/proofing/t5/37337-hospital-course-15-2.pdf","t5/37337-hospital-course-15-2.pdf")</f>
        <v/>
      </c>
      <c r="E1490" t="n">
        <v>110002</v>
      </c>
      <c r="F1490" t="n">
        <v>37337</v>
      </c>
      <c r="G1490" t="inlineStr">
        <is>
          <t>Discharge summary</t>
        </is>
      </c>
      <c r="H1490" t="inlineStr">
        <is>
          <t>hospital-course</t>
        </is>
      </c>
      <c r="I1490" t="inlineStr">
        <is>
          <t xml:space="preserve"> His insulin
requirements improved as he clinically improved.</t>
        </is>
      </c>
    </row>
    <row r="1491">
      <c r="A1491" t="inlineStr">
        <is>
          <t>37337-hospital-course-15-2</t>
        </is>
      </c>
      <c r="B1491" t="inlineStr"/>
      <c r="C1491" t="inlineStr"/>
      <c r="D1491">
        <f>HYPERLINK("http://nlpdeep.cs.uic.edu:8080/proofing/gsii/37337-hospital-course-15-2.pdf","gsii/37337-hospital-course-15-2.pdf")</f>
        <v/>
      </c>
      <c r="E1491" t="n">
        <v>110002</v>
      </c>
      <c r="F1491" t="n">
        <v>37337</v>
      </c>
      <c r="G1491" t="inlineStr">
        <is>
          <t>Discharge summary</t>
        </is>
      </c>
      <c r="H1491" t="inlineStr">
        <is>
          <t>hospital-course</t>
        </is>
      </c>
      <c r="I1491" t="inlineStr">
        <is>
          <t xml:space="preserve"> His insulin
requirements improved as he clinically improved.</t>
        </is>
      </c>
    </row>
    <row r="1492">
      <c r="A1492" t="inlineStr">
        <is>
          <t>37337-hospital-course-15-3</t>
        </is>
      </c>
      <c r="B1492" t="inlineStr"/>
      <c r="C1492" t="inlineStr"/>
      <c r="D1492">
        <f>HYPERLINK("http://nlpdeep.cs.uic.edu:8080/proofing/t5/37337-hospital-course-15-3.pdf","t5/37337-hospital-course-15-3.pdf")</f>
        <v/>
      </c>
      <c r="E1492" t="n">
        <v>110002</v>
      </c>
      <c r="F1492" t="n">
        <v>37337</v>
      </c>
      <c r="G1492" t="inlineStr">
        <is>
          <t>Discharge summary</t>
        </is>
      </c>
      <c r="H1492" t="inlineStr">
        <is>
          <t>hospital-course</t>
        </is>
      </c>
      <c r="I1492" t="inlineStr">
        <is>
          <t>Would suggest
discharging patient on glargine and insulin sliding scale.</t>
        </is>
      </c>
    </row>
    <row r="1493">
      <c r="A1493" t="inlineStr">
        <is>
          <t>37337-hospital-course-15-3</t>
        </is>
      </c>
      <c r="B1493" t="inlineStr"/>
      <c r="C1493" t="inlineStr"/>
      <c r="D1493">
        <f>HYPERLINK("http://nlpdeep.cs.uic.edu:8080/proofing/gsii/37337-hospital-course-15-3.pdf","gsii/37337-hospital-course-15-3.pdf")</f>
        <v/>
      </c>
      <c r="E1493" t="n">
        <v>110002</v>
      </c>
      <c r="F1493" t="n">
        <v>37337</v>
      </c>
      <c r="G1493" t="inlineStr">
        <is>
          <t>Discharge summary</t>
        </is>
      </c>
      <c r="H1493" t="inlineStr">
        <is>
          <t>hospital-course</t>
        </is>
      </c>
      <c r="I1493" t="inlineStr">
        <is>
          <t>Would suggest
discharging patient on glargine and insulin sliding scale.</t>
        </is>
      </c>
    </row>
    <row r="1494">
      <c r="A1494" t="inlineStr">
        <is>
          <t>37337-hospital-course-15-4</t>
        </is>
      </c>
      <c r="B1494" t="inlineStr"/>
      <c r="C1494" t="inlineStr"/>
      <c r="D1494">
        <f>HYPERLINK("http://nlpdeep.cs.uic.edu:8080/proofing/t5/37337-hospital-course-15-4.pdf","t5/37337-hospital-course-15-4.pdf")</f>
        <v/>
      </c>
      <c r="E1494" t="n">
        <v>110002</v>
      </c>
      <c r="F1494" t="n">
        <v>37337</v>
      </c>
      <c r="G1494" t="inlineStr">
        <is>
          <t>Discharge summary</t>
        </is>
      </c>
      <c r="H1494" t="inlineStr">
        <is>
          <t>hospital-course</t>
        </is>
      </c>
      <c r="I1494" t="inlineStr">
        <is>
          <t>He
will need teaching related to using insulin and using a sliding
scale.</t>
        </is>
      </c>
    </row>
    <row r="1495">
      <c r="A1495" t="inlineStr">
        <is>
          <t>37337-hospital-course-15-4</t>
        </is>
      </c>
      <c r="B1495" t="inlineStr"/>
      <c r="C1495" t="inlineStr"/>
      <c r="D1495">
        <f>HYPERLINK("http://nlpdeep.cs.uic.edu:8080/proofing/gsii/37337-hospital-course-15-4.pdf","gsii/37337-hospital-course-15-4.pdf")</f>
        <v/>
      </c>
      <c r="E1495" t="n">
        <v>110002</v>
      </c>
      <c r="F1495" t="n">
        <v>37337</v>
      </c>
      <c r="G1495" t="inlineStr">
        <is>
          <t>Discharge summary</t>
        </is>
      </c>
      <c r="H1495" t="inlineStr">
        <is>
          <t>hospital-course</t>
        </is>
      </c>
      <c r="I1495" t="inlineStr">
        <is>
          <t>He
will need teaching related to using insulin and using a sliding
scale.</t>
        </is>
      </c>
    </row>
    <row r="1496">
      <c r="A1496" t="inlineStr">
        <is>
          <t>37337-hospital-course-15-5</t>
        </is>
      </c>
      <c r="B1496" t="inlineStr"/>
      <c r="C1496" t="inlineStr"/>
      <c r="D1496">
        <f>HYPERLINK("http://nlpdeep.cs.uic.edu:8080/proofing/t5/37337-hospital-course-15-5.pdf","t5/37337-hospital-course-15-5.pdf")</f>
        <v/>
      </c>
      <c r="E1496" t="n">
        <v>110002</v>
      </c>
      <c r="F1496" t="n">
        <v>37337</v>
      </c>
      <c r="G1496" t="inlineStr">
        <is>
          <t>Discharge summary</t>
        </is>
      </c>
      <c r="H1496" t="inlineStr">
        <is>
          <t>hospital-course</t>
        </is>
      </c>
      <c r="I1496" t="inlineStr">
        <is>
          <t>Please make sure he has close follow up with his PCP.</t>
        </is>
      </c>
    </row>
    <row r="1497">
      <c r="A1497" t="inlineStr">
        <is>
          <t>37337-hospital-course-15-5</t>
        </is>
      </c>
      <c r="B1497" t="inlineStr"/>
      <c r="C1497" t="inlineStr"/>
      <c r="D1497">
        <f>HYPERLINK("http://nlpdeep.cs.uic.edu:8080/proofing/gsii/37337-hospital-course-15-5.pdf","gsii/37337-hospital-course-15-5.pdf")</f>
        <v/>
      </c>
      <c r="E1497" t="n">
        <v>110002</v>
      </c>
      <c r="F1497" t="n">
        <v>37337</v>
      </c>
      <c r="G1497" t="inlineStr">
        <is>
          <t>Discharge summary</t>
        </is>
      </c>
      <c r="H1497" t="inlineStr">
        <is>
          <t>hospital-course</t>
        </is>
      </c>
      <c r="I1497" t="inlineStr">
        <is>
          <t>Please make sure he has close follow up with his PCP.</t>
        </is>
      </c>
    </row>
    <row r="1498">
      <c r="A1498" t="inlineStr">
        <is>
          <t>37337-hospital-course-16-0</t>
        </is>
      </c>
      <c r="B1498" t="inlineStr"/>
      <c r="C1498" t="inlineStr"/>
      <c r="D1498">
        <f>HYPERLINK("http://nlpdeep.cs.uic.edu:8080/proofing/t5/37337-hospital-course-16-0.pdf","t5/37337-hospital-course-16-0.pdf")</f>
        <v/>
      </c>
      <c r="E1498" t="n">
        <v>110002</v>
      </c>
      <c r="F1498" t="n">
        <v>37337</v>
      </c>
      <c r="G1498" t="inlineStr">
        <is>
          <t>Discharge summary</t>
        </is>
      </c>
      <c r="H1498" t="inlineStr">
        <is>
          <t>hospital-course</t>
        </is>
      </c>
      <c r="I1498" t="inlineStr">
        <is>
          <t xml:space="preserve">
# Demand ischemia: During this hospitalization the patient
presented with elevated troponin and CK, but CKMB was normal
(2).</t>
        </is>
      </c>
    </row>
    <row r="1499">
      <c r="A1499" t="inlineStr">
        <is>
          <t>37337-hospital-course-16-0</t>
        </is>
      </c>
      <c r="B1499" t="inlineStr"/>
      <c r="C1499" t="inlineStr"/>
      <c r="D1499">
        <f>HYPERLINK("http://nlpdeep.cs.uic.edu:8080/proofing/gsii/37337-hospital-course-16-0.pdf","gsii/37337-hospital-course-16-0.pdf")</f>
        <v/>
      </c>
      <c r="E1499" t="n">
        <v>110002</v>
      </c>
      <c r="F1499" t="n">
        <v>37337</v>
      </c>
      <c r="G1499" t="inlineStr">
        <is>
          <t>Discharge summary</t>
        </is>
      </c>
      <c r="H1499" t="inlineStr">
        <is>
          <t>hospital-course</t>
        </is>
      </c>
      <c r="I1499" t="inlineStr">
        <is>
          <t xml:space="preserve">
# Demand ischemia: During this hospitalization the patient
presented with elevated troponin and CK, but CKMB was normal
(2).</t>
        </is>
      </c>
    </row>
    <row r="1500">
      <c r="A1500" t="inlineStr">
        <is>
          <t>37337-hospital-course-16-1</t>
        </is>
      </c>
      <c r="B1500" t="inlineStr"/>
      <c r="C1500" t="inlineStr"/>
      <c r="D1500">
        <f>HYPERLINK("http://nlpdeep.cs.uic.edu:8080/proofing/t5/37337-hospital-course-16-1.pdf","t5/37337-hospital-course-16-1.pdf")</f>
        <v/>
      </c>
      <c r="E1500" t="n">
        <v>110002</v>
      </c>
      <c r="F1500" t="n">
        <v>37337</v>
      </c>
      <c r="G1500" t="inlineStr">
        <is>
          <t>Discharge summary</t>
        </is>
      </c>
      <c r="H1500" t="inlineStr">
        <is>
          <t>hospital-course</t>
        </is>
      </c>
      <c r="I1500" t="inlineStr">
        <is>
          <t>This elevation was thought to be due to demand ischemia in
the setting of shock and persistent tachycardia, as well as
renal insufficiency.</t>
        </is>
      </c>
    </row>
    <row r="1501">
      <c r="A1501" t="inlineStr">
        <is>
          <t>37337-hospital-course-16-1</t>
        </is>
      </c>
      <c r="B1501" t="inlineStr"/>
      <c r="C1501" t="inlineStr"/>
      <c r="D1501">
        <f>HYPERLINK("http://nlpdeep.cs.uic.edu:8080/proofing/gsii/37337-hospital-course-16-1.pdf","gsii/37337-hospital-course-16-1.pdf")</f>
        <v/>
      </c>
      <c r="E1501" t="n">
        <v>110002</v>
      </c>
      <c r="F1501" t="n">
        <v>37337</v>
      </c>
      <c r="G1501" t="inlineStr">
        <is>
          <t>Discharge summary</t>
        </is>
      </c>
      <c r="H1501" t="inlineStr">
        <is>
          <t>hospital-course</t>
        </is>
      </c>
      <c r="I1501" t="inlineStr">
        <is>
          <t>This elevation was thought to be due to demand ischemia in
the setting of shock and persistent tachycardia, as well as
renal insufficiency.</t>
        </is>
      </c>
    </row>
    <row r="1502">
      <c r="A1502" t="inlineStr">
        <is>
          <t>37337-hospital-course-16-2</t>
        </is>
      </c>
      <c r="B1502" t="inlineStr"/>
      <c r="C1502" t="inlineStr"/>
      <c r="D1502">
        <f>HYPERLINK("http://nlpdeep.cs.uic.edu:8080/proofing/t5/37337-hospital-course-16-2.pdf","t5/37337-hospital-course-16-2.pdf")</f>
        <v/>
      </c>
      <c r="E1502" t="n">
        <v>110002</v>
      </c>
      <c r="F1502" t="n">
        <v>37337</v>
      </c>
      <c r="G1502" t="inlineStr">
        <is>
          <t>Discharge summary</t>
        </is>
      </c>
      <c r="H1502" t="inlineStr">
        <is>
          <t>hospital-course</t>
        </is>
      </c>
      <c r="I1502" t="inlineStr">
        <is>
          <t>Cardiac enzymes were trended, and his
Troponin did not continue to rise.</t>
        </is>
      </c>
    </row>
    <row r="1503">
      <c r="A1503" t="inlineStr">
        <is>
          <t>37337-hospital-course-16-2</t>
        </is>
      </c>
      <c r="B1503" t="inlineStr"/>
      <c r="C1503" t="inlineStr"/>
      <c r="D1503">
        <f>HYPERLINK("http://nlpdeep.cs.uic.edu:8080/proofing/gsii/37337-hospital-course-16-2.pdf","gsii/37337-hospital-course-16-2.pdf")</f>
        <v/>
      </c>
      <c r="E1503" t="n">
        <v>110002</v>
      </c>
      <c r="F1503" t="n">
        <v>37337</v>
      </c>
      <c r="G1503" t="inlineStr">
        <is>
          <t>Discharge summary</t>
        </is>
      </c>
      <c r="H1503" t="inlineStr">
        <is>
          <t>hospital-course</t>
        </is>
      </c>
      <c r="I1503" t="inlineStr">
        <is>
          <t>Cardiac enzymes were trended, and his
Troponin did not continue to rise.</t>
        </is>
      </c>
    </row>
    <row r="1504">
      <c r="A1504" t="inlineStr">
        <is>
          <t>37337-hospital-course-17-0</t>
        </is>
      </c>
      <c r="B1504" t="inlineStr"/>
      <c r="C1504" t="inlineStr"/>
      <c r="D1504">
        <f>HYPERLINK("http://nlpdeep.cs.uic.edu:8080/proofing/t5/37337-hospital-course-17-0.pdf","t5/37337-hospital-course-17-0.pdf")</f>
        <v/>
      </c>
      <c r="E1504" t="n">
        <v>110002</v>
      </c>
      <c r="F1504" t="n">
        <v>37337</v>
      </c>
      <c r="G1504" t="inlineStr">
        <is>
          <t>Discharge summary</t>
        </is>
      </c>
      <c r="H1504" t="inlineStr">
        <is>
          <t>hospital-course</t>
        </is>
      </c>
      <c r="I1504" t="inlineStr">
        <is>
          <t xml:space="preserve">
# Mild LFT elevation: This was thought to be [**1-4**] prolonged
hypotension.</t>
        </is>
      </c>
    </row>
    <row r="1505">
      <c r="A1505" t="inlineStr">
        <is>
          <t>37337-hospital-course-17-0</t>
        </is>
      </c>
      <c r="B1505" t="inlineStr"/>
      <c r="C1505" t="inlineStr"/>
      <c r="D1505">
        <f>HYPERLINK("http://nlpdeep.cs.uic.edu:8080/proofing/gsii/37337-hospital-course-17-0.pdf","gsii/37337-hospital-course-17-0.pdf")</f>
        <v/>
      </c>
      <c r="E1505" t="n">
        <v>110002</v>
      </c>
      <c r="F1505" t="n">
        <v>37337</v>
      </c>
      <c r="G1505" t="inlineStr">
        <is>
          <t>Discharge summary</t>
        </is>
      </c>
      <c r="H1505" t="inlineStr">
        <is>
          <t>hospital-course</t>
        </is>
      </c>
      <c r="I1505" t="inlineStr">
        <is>
          <t xml:space="preserve">
# Mild LFT elevation: This was thought to be [**1-4**] prolonged
hypotension.</t>
        </is>
      </c>
    </row>
    <row r="1506">
      <c r="A1506" t="inlineStr">
        <is>
          <t>37337-hospital-course-17-1</t>
        </is>
      </c>
      <c r="B1506" t="inlineStr"/>
      <c r="C1506" t="inlineStr"/>
      <c r="D1506">
        <f>HYPERLINK("http://nlpdeep.cs.uic.edu:8080/proofing/t5/37337-hospital-course-17-1.pdf","t5/37337-hospital-course-17-1.pdf")</f>
        <v/>
      </c>
      <c r="E1506" t="n">
        <v>110002</v>
      </c>
      <c r="F1506" t="n">
        <v>37337</v>
      </c>
      <c r="G1506" t="inlineStr">
        <is>
          <t>Discharge summary</t>
        </is>
      </c>
      <c r="H1506" t="inlineStr">
        <is>
          <t>hospital-course</t>
        </is>
      </c>
      <c r="I1506" t="inlineStr">
        <is>
          <t xml:space="preserve"> His LFTs normalized over the course of his
hospitalization.</t>
        </is>
      </c>
    </row>
    <row r="1507">
      <c r="A1507" t="inlineStr">
        <is>
          <t>37337-hospital-course-17-1</t>
        </is>
      </c>
      <c r="B1507" t="inlineStr"/>
      <c r="C1507" t="inlineStr"/>
      <c r="D1507">
        <f>HYPERLINK("http://nlpdeep.cs.uic.edu:8080/proofing/gsii/37337-hospital-course-17-1.pdf","gsii/37337-hospital-course-17-1.pdf")</f>
        <v/>
      </c>
      <c r="E1507" t="n">
        <v>110002</v>
      </c>
      <c r="F1507" t="n">
        <v>37337</v>
      </c>
      <c r="G1507" t="inlineStr">
        <is>
          <t>Discharge summary</t>
        </is>
      </c>
      <c r="H1507" t="inlineStr">
        <is>
          <t>hospital-course</t>
        </is>
      </c>
      <c r="I1507" t="inlineStr">
        <is>
          <t xml:space="preserve"> His LFTs normalized over the course of his
hospitalization.</t>
        </is>
      </c>
    </row>
    <row r="1508">
      <c r="A1508" t="inlineStr">
        <is>
          <t>37337-hospital-course-18-0</t>
        </is>
      </c>
      <c r="B1508" t="inlineStr"/>
      <c r="C1508" t="inlineStr"/>
      <c r="D1508">
        <f>HYPERLINK("http://nlpdeep.cs.uic.edu:8080/proofing/t5/37337-hospital-course-18-0.pdf","t5/37337-hospital-course-18-0.pdf")</f>
        <v/>
      </c>
      <c r="E1508" t="n">
        <v>110002</v>
      </c>
      <c r="F1508" t="n">
        <v>37337</v>
      </c>
      <c r="G1508" t="inlineStr">
        <is>
          <t>Discharge summary</t>
        </is>
      </c>
      <c r="H1508" t="inlineStr">
        <is>
          <t>hospital-course</t>
        </is>
      </c>
      <c r="I1508" t="inlineStr">
        <is>
          <t># Code:  Full code c</t>
        </is>
      </c>
    </row>
    <row r="1509">
      <c r="A1509" t="inlineStr">
        <is>
          <t>37337-hospital-course-18-0</t>
        </is>
      </c>
      <c r="B1509" t="inlineStr"/>
      <c r="C1509" t="inlineStr"/>
      <c r="D1509">
        <f>HYPERLINK("http://nlpdeep.cs.uic.edu:8080/proofing/gsii/37337-hospital-course-18-0.pdf","gsii/37337-hospital-course-18-0.pdf")</f>
        <v/>
      </c>
      <c r="E1509" t="n">
        <v>110002</v>
      </c>
      <c r="F1509" t="n">
        <v>37337</v>
      </c>
      <c r="G1509" t="inlineStr">
        <is>
          <t>Discharge summary</t>
        </is>
      </c>
      <c r="H1509" t="inlineStr">
        <is>
          <t>hospital-course</t>
        </is>
      </c>
      <c r="I1509" t="inlineStr">
        <is>
          <t># Code:  Full code c</t>
        </is>
      </c>
    </row>
    <row r="1510">
      <c r="A1510" t="inlineStr">
        <is>
          <t>37337-medication-history-0-0</t>
        </is>
      </c>
      <c r="B1510" t="inlineStr"/>
      <c r="C1510" t="inlineStr"/>
      <c r="D1510">
        <f>HYPERLINK("http://nlpdeep.cs.uic.edu:8080/proofing/t5/37337-medication-history-0-0.pdf","t5/37337-medication-history-0-0.pdf")</f>
        <v/>
      </c>
      <c r="E1510" t="n">
        <v>110002</v>
      </c>
      <c r="F1510" t="n">
        <v>37337</v>
      </c>
      <c r="G1510" t="inlineStr">
        <is>
          <t>Discharge summary</t>
        </is>
      </c>
      <c r="H1510" t="inlineStr">
        <is>
          <t>medication-history</t>
        </is>
      </c>
      <c r="I1510" t="inlineStr"/>
    </row>
    <row r="1511">
      <c r="A1511" t="inlineStr">
        <is>
          <t>37337-medication-history-0-0</t>
        </is>
      </c>
      <c r="B1511" t="inlineStr"/>
      <c r="C1511" t="inlineStr"/>
      <c r="D1511">
        <f>HYPERLINK("http://nlpdeep.cs.uic.edu:8080/proofing/gsii/37337-medication-history-0-0.pdf","gsii/37337-medication-history-0-0.pdf")</f>
        <v/>
      </c>
      <c r="E1511" t="n">
        <v>110002</v>
      </c>
      <c r="F1511" t="n">
        <v>37337</v>
      </c>
      <c r="G1511" t="inlineStr">
        <is>
          <t>Discharge summary</t>
        </is>
      </c>
      <c r="H1511" t="inlineStr">
        <is>
          <t>medication-history</t>
        </is>
      </c>
      <c r="I1511" t="inlineStr"/>
    </row>
    <row r="1512">
      <c r="A1512" t="inlineStr">
        <is>
          <t>37337-medication-history-1-0</t>
        </is>
      </c>
      <c r="B1512" t="inlineStr"/>
      <c r="C1512" t="inlineStr"/>
      <c r="D1512">
        <f>HYPERLINK("http://nlpdeep.cs.uic.edu:8080/proofing/t5/37337-medication-history-1-0.pdf","t5/37337-medication-history-1-0.pdf")</f>
        <v/>
      </c>
      <c r="E1512" t="n">
        <v>110002</v>
      </c>
      <c r="F1512" t="n">
        <v>37337</v>
      </c>
      <c r="G1512" t="inlineStr">
        <is>
          <t>Discharge summary</t>
        </is>
      </c>
      <c r="H1512" t="inlineStr">
        <is>
          <t>medication-history</t>
        </is>
      </c>
      <c r="I1512" t="inlineStr"/>
    </row>
    <row r="1513">
      <c r="A1513" t="inlineStr">
        <is>
          <t>37337-medication-history-1-0</t>
        </is>
      </c>
      <c r="B1513" t="inlineStr"/>
      <c r="C1513" t="inlineStr"/>
      <c r="D1513">
        <f>HYPERLINK("http://nlpdeep.cs.uic.edu:8080/proofing/gsii/37337-medication-history-1-0.pdf","gsii/37337-medication-history-1-0.pdf")</f>
        <v/>
      </c>
      <c r="E1513" t="n">
        <v>110002</v>
      </c>
      <c r="F1513" t="n">
        <v>37337</v>
      </c>
      <c r="G1513" t="inlineStr">
        <is>
          <t>Discharge summary</t>
        </is>
      </c>
      <c r="H1513" t="inlineStr">
        <is>
          <t>medication-history</t>
        </is>
      </c>
      <c r="I1513" t="inlineStr"/>
    </row>
    <row r="1514">
      <c r="A1514" t="inlineStr">
        <is>
          <t>37337-medication-history-2-0</t>
        </is>
      </c>
      <c r="B1514" t="inlineStr"/>
      <c r="C1514" t="inlineStr"/>
      <c r="D1514">
        <f>HYPERLINK("http://nlpdeep.cs.uic.edu:8080/proofing/t5/37337-medication-history-2-0.pdf","t5/37337-medication-history-2-0.pdf")</f>
        <v/>
      </c>
      <c r="E1514" t="n">
        <v>110002</v>
      </c>
      <c r="F1514" t="n">
        <v>37337</v>
      </c>
      <c r="G1514" t="inlineStr">
        <is>
          <t>Discharge summary</t>
        </is>
      </c>
      <c r="H1514" t="inlineStr">
        <is>
          <t>medication-history</t>
        </is>
      </c>
      <c r="I1514" t="inlineStr">
        <is>
          <t>previous meds in OSH:
enoxaparin 40mg daily start [**10-22**], d/c [**10-25**]
diltiazem gtt started [**10-23**], d/c [**10-25**]
levofloxacin 750mg q48h start [**10-24**], d/c [**10-25**]
digoxin 0.125 x 2 on [**10-23**]
Vancomcyin 1g IV start [</t>
        </is>
      </c>
    </row>
    <row r="1515">
      <c r="A1515" t="inlineStr">
        <is>
          <t>37337-medication-history-2-0</t>
        </is>
      </c>
      <c r="B1515" t="inlineStr"/>
      <c r="C1515" t="inlineStr"/>
      <c r="D1515">
        <f>HYPERLINK("http://nlpdeep.cs.uic.edu:8080/proofing/gsii/37337-medication-history-2-0.pdf","gsii/37337-medication-history-2-0.pdf")</f>
        <v/>
      </c>
      <c r="E1515" t="n">
        <v>110002</v>
      </c>
      <c r="F1515" t="n">
        <v>37337</v>
      </c>
      <c r="G1515" t="inlineStr">
        <is>
          <t>Discharge summary</t>
        </is>
      </c>
      <c r="H1515" t="inlineStr">
        <is>
          <t>medication-history</t>
        </is>
      </c>
      <c r="I1515" t="inlineStr">
        <is>
          <t>previous meds in OSH:
enoxaparin 40mg daily start [**10-22**], d/c [**10-25**]
diltiazem gtt started [**10-23**], d/c [**10-25**]
levofloxacin 750mg q48h start [**10-24**], d/c [**10-25**]
digoxin 0.125 x 2 on [**10-23**]
Vancomcyin 1g IV start [</t>
        </is>
      </c>
    </row>
    <row r="1516">
      <c r="A1516" t="inlineStr">
        <is>
          <t>37337-discharge-medications-0-0</t>
        </is>
      </c>
      <c r="B1516" t="inlineStr"/>
      <c r="C1516" t="inlineStr"/>
      <c r="D1516">
        <f>HYPERLINK("http://nlpdeep.cs.uic.edu:8080/proofing/t5/37337-discharge-medications-0-0.pdf","t5/37337-discharge-medications-0-0.pdf")</f>
        <v/>
      </c>
      <c r="E1516" t="n">
        <v>110002</v>
      </c>
      <c r="F1516" t="n">
        <v>37337</v>
      </c>
      <c r="G1516" t="inlineStr">
        <is>
          <t>Discharge summary</t>
        </is>
      </c>
      <c r="H1516" t="inlineStr">
        <is>
          <t>discharge-medications</t>
        </is>
      </c>
      <c r="I1516" t="inlineStr">
        <is>
          <t>Clotrimazole 1 % Cream Sig: One (1) Appl Topical [**Hospital1 **] (2 times
a day).</t>
        </is>
      </c>
    </row>
    <row r="1517">
      <c r="A1517" t="inlineStr">
        <is>
          <t>37337-discharge-medications-0-0</t>
        </is>
      </c>
      <c r="B1517" t="inlineStr"/>
      <c r="C1517" t="inlineStr"/>
      <c r="D1517">
        <f>HYPERLINK("http://nlpdeep.cs.uic.edu:8080/proofing/gsii/37337-discharge-medications-0-0.pdf","gsii/37337-discharge-medications-0-0.pdf")</f>
        <v/>
      </c>
      <c r="E1517" t="n">
        <v>110002</v>
      </c>
      <c r="F1517" t="n">
        <v>37337</v>
      </c>
      <c r="G1517" t="inlineStr">
        <is>
          <t>Discharge summary</t>
        </is>
      </c>
      <c r="H1517" t="inlineStr">
        <is>
          <t>discharge-medications</t>
        </is>
      </c>
      <c r="I1517" t="inlineStr">
        <is>
          <t>Clotrimazole 1 % Cream Sig: One (1) Appl Topical [**Hospital1 **] (2 times
a day).</t>
        </is>
      </c>
    </row>
    <row r="1518">
      <c r="A1518" t="inlineStr">
        <is>
          <t>37337-discharge-medications-0-1</t>
        </is>
      </c>
      <c r="B1518" t="inlineStr"/>
      <c r="C1518" t="inlineStr"/>
      <c r="D1518">
        <f>HYPERLINK("http://nlpdeep.cs.uic.edu:8080/proofing/t5/37337-discharge-medications-0-1.pdf","t5/37337-discharge-medications-0-1.pdf")</f>
        <v/>
      </c>
      <c r="E1518" t="n">
        <v>110002</v>
      </c>
      <c r="F1518" t="n">
        <v>37337</v>
      </c>
      <c r="G1518" t="inlineStr">
        <is>
          <t>Discharge summary</t>
        </is>
      </c>
      <c r="H1518" t="inlineStr">
        <is>
          <t>discharge-medications</t>
        </is>
      </c>
      <c r="I1518" t="inlineStr">
        <is>
          <t>Acetaminophen 500 mg Tablet Sig: Two (2) Tablet PO Q6H (every
6 hours) as needed for fever.</t>
        </is>
      </c>
    </row>
    <row r="1519">
      <c r="A1519" t="inlineStr">
        <is>
          <t>37337-discharge-medications-0-1</t>
        </is>
      </c>
      <c r="B1519" t="inlineStr"/>
      <c r="C1519" t="inlineStr"/>
      <c r="D1519">
        <f>HYPERLINK("http://nlpdeep.cs.uic.edu:8080/proofing/gsii/37337-discharge-medications-0-1.pdf","gsii/37337-discharge-medications-0-1.pdf")</f>
        <v/>
      </c>
      <c r="E1519" t="n">
        <v>110002</v>
      </c>
      <c r="F1519" t="n">
        <v>37337</v>
      </c>
      <c r="G1519" t="inlineStr">
        <is>
          <t>Discharge summary</t>
        </is>
      </c>
      <c r="H1519" t="inlineStr">
        <is>
          <t>discharge-medications</t>
        </is>
      </c>
      <c r="I1519" t="inlineStr">
        <is>
          <t>Acetaminophen 500 mg Tablet Sig: Two (2) Tablet PO Q6H (every
6 hours) as needed for fever.</t>
        </is>
      </c>
    </row>
    <row r="1520">
      <c r="A1520" t="inlineStr">
        <is>
          <t>37337-discharge-medications-0-2</t>
        </is>
      </c>
      <c r="B1520" t="inlineStr"/>
      <c r="C1520" t="inlineStr"/>
      <c r="D1520">
        <f>HYPERLINK("http://nlpdeep.cs.uic.edu:8080/proofing/t5/37337-discharge-medications-0-2.pdf","t5/37337-discharge-medications-0-2.pdf")</f>
        <v/>
      </c>
      <c r="E1520" t="n">
        <v>110002</v>
      </c>
      <c r="F1520" t="n">
        <v>37337</v>
      </c>
      <c r="G1520" t="inlineStr">
        <is>
          <t>Discharge summary</t>
        </is>
      </c>
      <c r="H1520" t="inlineStr">
        <is>
          <t>discharge-medications</t>
        </is>
      </c>
      <c r="I1520" t="inlineStr">
        <is>
          <t>Metoprolol Tartrate 50 mg Tablet Sig: Three (3) Tablet PO TID
(3 times a day).</t>
        </is>
      </c>
    </row>
    <row r="1521">
      <c r="A1521" t="inlineStr">
        <is>
          <t>37337-discharge-medications-0-2</t>
        </is>
      </c>
      <c r="B1521" t="inlineStr"/>
      <c r="C1521" t="inlineStr"/>
      <c r="D1521">
        <f>HYPERLINK("http://nlpdeep.cs.uic.edu:8080/proofing/gsii/37337-discharge-medications-0-2.pdf","gsii/37337-discharge-medications-0-2.pdf")</f>
        <v/>
      </c>
      <c r="E1521" t="n">
        <v>110002</v>
      </c>
      <c r="F1521" t="n">
        <v>37337</v>
      </c>
      <c r="G1521" t="inlineStr">
        <is>
          <t>Discharge summary</t>
        </is>
      </c>
      <c r="H1521" t="inlineStr">
        <is>
          <t>discharge-medications</t>
        </is>
      </c>
      <c r="I1521" t="inlineStr">
        <is>
          <t>Metoprolol Tartrate 50 mg Tablet Sig: Three (3) Tablet PO TID
(3 times a day).</t>
        </is>
      </c>
    </row>
    <row r="1522">
      <c r="A1522" t="inlineStr">
        <is>
          <t>37337-discharge-medications-0-3</t>
        </is>
      </c>
      <c r="B1522" t="inlineStr"/>
      <c r="C1522" t="inlineStr"/>
      <c r="D1522">
        <f>HYPERLINK("http://nlpdeep.cs.uic.edu:8080/proofing/t5/37337-discharge-medications-0-3.pdf","t5/37337-discharge-medications-0-3.pdf")</f>
        <v/>
      </c>
      <c r="E1522" t="n">
        <v>110002</v>
      </c>
      <c r="F1522" t="n">
        <v>37337</v>
      </c>
      <c r="G1522" t="inlineStr">
        <is>
          <t>Discharge summary</t>
        </is>
      </c>
      <c r="H1522" t="inlineStr">
        <is>
          <t>discharge-medications</t>
        </is>
      </c>
      <c r="I1522" t="inlineStr">
        <is>
          <t>Insulin Glargine 100 unit/mL Solution Sig: Fifty (50) unit
Subcutaneous at bedtime.</t>
        </is>
      </c>
    </row>
    <row r="1523">
      <c r="A1523" t="inlineStr">
        <is>
          <t>37337-discharge-medications-0-3</t>
        </is>
      </c>
      <c r="B1523" t="inlineStr"/>
      <c r="C1523" t="inlineStr"/>
      <c r="D1523">
        <f>HYPERLINK("http://nlpdeep.cs.uic.edu:8080/proofing/gsii/37337-discharge-medications-0-3.pdf","gsii/37337-discharge-medications-0-3.pdf")</f>
        <v/>
      </c>
      <c r="E1523" t="n">
        <v>110002</v>
      </c>
      <c r="F1523" t="n">
        <v>37337</v>
      </c>
      <c r="G1523" t="inlineStr">
        <is>
          <t>Discharge summary</t>
        </is>
      </c>
      <c r="H1523" t="inlineStr">
        <is>
          <t>discharge-medications</t>
        </is>
      </c>
      <c r="I1523" t="inlineStr">
        <is>
          <t>Insulin Glargine 100 unit/mL Solution Sig: Fifty (50) unit
Subcutaneous at bedtime.</t>
        </is>
      </c>
    </row>
    <row r="1524">
      <c r="A1524" t="inlineStr">
        <is>
          <t>37337-discharge-medications-0-4</t>
        </is>
      </c>
      <c r="B1524" t="inlineStr"/>
      <c r="C1524" t="inlineStr"/>
      <c r="D1524">
        <f>HYPERLINK("http://nlpdeep.cs.uic.edu:8080/proofing/t5/37337-discharge-medications-0-4.pdf","t5/37337-discharge-medications-0-4.pdf")</f>
        <v/>
      </c>
      <c r="E1524" t="n">
        <v>110002</v>
      </c>
      <c r="F1524" t="n">
        <v>37337</v>
      </c>
      <c r="G1524" t="inlineStr">
        <is>
          <t>Discharge summary</t>
        </is>
      </c>
      <c r="H1524" t="inlineStr">
        <is>
          <t>discharge-medications</t>
        </is>
      </c>
      <c r="I1524" t="inlineStr">
        <is>
          <t>Multivitamin     Tablet Sig: One (1) Tablet PO DAILY (Daily).</t>
        </is>
      </c>
    </row>
    <row r="1525">
      <c r="A1525" t="inlineStr">
        <is>
          <t>37337-discharge-medications-0-4</t>
        </is>
      </c>
      <c r="B1525" t="inlineStr"/>
      <c r="C1525" t="inlineStr"/>
      <c r="D1525">
        <f>HYPERLINK("http://nlpdeep.cs.uic.edu:8080/proofing/gsii/37337-discharge-medications-0-4.pdf","gsii/37337-discharge-medications-0-4.pdf")</f>
        <v/>
      </c>
      <c r="E1525" t="n">
        <v>110002</v>
      </c>
      <c r="F1525" t="n">
        <v>37337</v>
      </c>
      <c r="G1525" t="inlineStr">
        <is>
          <t>Discharge summary</t>
        </is>
      </c>
      <c r="H1525" t="inlineStr">
        <is>
          <t>discharge-medications</t>
        </is>
      </c>
      <c r="I1525" t="inlineStr">
        <is>
          <t>Multivitamin     Tablet Sig: One (1) Tablet PO DAILY (Daily).</t>
        </is>
      </c>
    </row>
    <row r="1526">
      <c r="A1526" t="inlineStr">
        <is>
          <t>37337-discharge-medications-1-0</t>
        </is>
      </c>
      <c r="B1526" t="inlineStr"/>
      <c r="C1526" t="inlineStr"/>
      <c r="D1526">
        <f>HYPERLINK("http://nlpdeep.cs.uic.edu:8080/proofing/t5/37337-discharge-medications-1-0.pdf","t5/37337-discharge-medications-1-0.pdf")</f>
        <v/>
      </c>
      <c r="E1526" t="n">
        <v>110002</v>
      </c>
      <c r="F1526" t="n">
        <v>37337</v>
      </c>
      <c r="G1526" t="inlineStr">
        <is>
          <t>Discharge summary</t>
        </is>
      </c>
      <c r="H1526" t="inlineStr">
        <is>
          <t>discharge-medications</t>
        </is>
      </c>
      <c r="I1526" t="inlineStr">
        <is>
          <t>Amlodipine 10 mg Tablet Sig: One (1) Tablet PO once a day.</t>
        </is>
      </c>
    </row>
    <row r="1527">
      <c r="A1527" t="inlineStr">
        <is>
          <t>37337-discharge-medications-1-0</t>
        </is>
      </c>
      <c r="B1527" t="inlineStr"/>
      <c r="C1527" t="inlineStr"/>
      <c r="D1527">
        <f>HYPERLINK("http://nlpdeep.cs.uic.edu:8080/proofing/gsii/37337-discharge-medications-1-0.pdf","gsii/37337-discharge-medications-1-0.pdf")</f>
        <v/>
      </c>
      <c r="E1527" t="n">
        <v>110002</v>
      </c>
      <c r="F1527" t="n">
        <v>37337</v>
      </c>
      <c r="G1527" t="inlineStr">
        <is>
          <t>Discharge summary</t>
        </is>
      </c>
      <c r="H1527" t="inlineStr">
        <is>
          <t>discharge-medications</t>
        </is>
      </c>
      <c r="I1527" t="inlineStr">
        <is>
          <t>Amlodipine 10 mg Tablet Sig: One (1) Tablet PO once a day.</t>
        </is>
      </c>
    </row>
    <row r="1528">
      <c r="A1528" t="inlineStr">
        <is>
          <t>37337-discharge-medications-1-1</t>
        </is>
      </c>
      <c r="B1528" t="inlineStr"/>
      <c r="C1528" t="inlineStr"/>
      <c r="D1528">
        <f>HYPERLINK("http://nlpdeep.cs.uic.edu:8080/proofing/t5/37337-discharge-medications-1-1.pdf","t5/37337-discharge-medications-1-1.pdf")</f>
        <v/>
      </c>
      <c r="E1528" t="n">
        <v>110002</v>
      </c>
      <c r="F1528" t="n">
        <v>37337</v>
      </c>
      <c r="G1528" t="inlineStr">
        <is>
          <t>Discharge summary</t>
        </is>
      </c>
      <c r="H1528" t="inlineStr">
        <is>
          <t>discharge-medications</t>
        </is>
      </c>
      <c r="I1528" t="inlineStr">
        <is>
          <t>Lisinopril 40 mg Tablet Sig: One (1) Tablet PO once a day.</t>
        </is>
      </c>
    </row>
    <row r="1529">
      <c r="A1529" t="inlineStr">
        <is>
          <t>37337-discharge-medications-1-1</t>
        </is>
      </c>
      <c r="B1529" t="inlineStr"/>
      <c r="C1529" t="inlineStr"/>
      <c r="D1529">
        <f>HYPERLINK("http://nlpdeep.cs.uic.edu:8080/proofing/gsii/37337-discharge-medications-1-1.pdf","gsii/37337-discharge-medications-1-1.pdf")</f>
        <v/>
      </c>
      <c r="E1529" t="n">
        <v>110002</v>
      </c>
      <c r="F1529" t="n">
        <v>37337</v>
      </c>
      <c r="G1529" t="inlineStr">
        <is>
          <t>Discharge summary</t>
        </is>
      </c>
      <c r="H1529" t="inlineStr">
        <is>
          <t>discharge-medications</t>
        </is>
      </c>
      <c r="I1529" t="inlineStr">
        <is>
          <t>Lisinopril 40 mg Tablet Sig: One (1) Tablet PO once a day.</t>
        </is>
      </c>
    </row>
    <row r="1530">
      <c r="A1530" t="inlineStr">
        <is>
          <t>37337-discharge-medications-1-2</t>
        </is>
      </c>
      <c r="B1530" t="inlineStr"/>
      <c r="C1530" t="inlineStr"/>
      <c r="D1530">
        <f>HYPERLINK("http://nlpdeep.cs.uic.edu:8080/proofing/t5/37337-discharge-medications-1-2.pdf","t5/37337-discharge-medications-1-2.pdf")</f>
        <v/>
      </c>
      <c r="E1530" t="n">
        <v>110002</v>
      </c>
      <c r="F1530" t="n">
        <v>37337</v>
      </c>
      <c r="G1530" t="inlineStr">
        <is>
          <t>Discharge summary</t>
        </is>
      </c>
      <c r="H1530" t="inlineStr">
        <is>
          <t>discharge-medications</t>
        </is>
      </c>
      <c r="I1530" t="inlineStr">
        <is>
          <t>Docusate Sodium 100 mg Capsule Sig: One (1) Capsule PO BID (2
times a day).</t>
        </is>
      </c>
    </row>
    <row r="1531">
      <c r="A1531" t="inlineStr">
        <is>
          <t>37337-discharge-medications-1-2</t>
        </is>
      </c>
      <c r="B1531" t="inlineStr"/>
      <c r="C1531" t="inlineStr"/>
      <c r="D1531">
        <f>HYPERLINK("http://nlpdeep.cs.uic.edu:8080/proofing/gsii/37337-discharge-medications-1-2.pdf","gsii/37337-discharge-medications-1-2.pdf")</f>
        <v/>
      </c>
      <c r="E1531" t="n">
        <v>110002</v>
      </c>
      <c r="F1531" t="n">
        <v>37337</v>
      </c>
      <c r="G1531" t="inlineStr">
        <is>
          <t>Discharge summary</t>
        </is>
      </c>
      <c r="H1531" t="inlineStr">
        <is>
          <t>discharge-medications</t>
        </is>
      </c>
      <c r="I1531" t="inlineStr">
        <is>
          <t>Docusate Sodium 100 mg Capsule Sig: One (1) Capsule PO BID (2
times a day).</t>
        </is>
      </c>
    </row>
    <row r="1532">
      <c r="A1532" t="inlineStr">
        <is>
          <t>37337-discharge-medications-1-3</t>
        </is>
      </c>
      <c r="B1532" t="inlineStr"/>
      <c r="C1532" t="inlineStr"/>
      <c r="D1532">
        <f>HYPERLINK("http://nlpdeep.cs.uic.edu:8080/proofing/t5/37337-discharge-medications-1-3.pdf","t5/37337-discharge-medications-1-3.pdf")</f>
        <v/>
      </c>
      <c r="E1532" t="n">
        <v>110002</v>
      </c>
      <c r="F1532" t="n">
        <v>37337</v>
      </c>
      <c r="G1532" t="inlineStr">
        <is>
          <t>Discharge summary</t>
        </is>
      </c>
      <c r="H1532" t="inlineStr">
        <is>
          <t>discharge-medications</t>
        </is>
      </c>
      <c r="I1532" t="inlineStr">
        <is>
          <t>Magnesium Oxide 400 mg Tablet Sig: 2.5 Tablets PO BID (2
times a day).</t>
        </is>
      </c>
    </row>
    <row r="1533">
      <c r="A1533" t="inlineStr">
        <is>
          <t>37337-discharge-medications-1-3</t>
        </is>
      </c>
      <c r="B1533" t="inlineStr"/>
      <c r="C1533" t="inlineStr"/>
      <c r="D1533">
        <f>HYPERLINK("http://nlpdeep.cs.uic.edu:8080/proofing/gsii/37337-discharge-medications-1-3.pdf","gsii/37337-discharge-medications-1-3.pdf")</f>
        <v/>
      </c>
      <c r="E1533" t="n">
        <v>110002</v>
      </c>
      <c r="F1533" t="n">
        <v>37337</v>
      </c>
      <c r="G1533" t="inlineStr">
        <is>
          <t>Discharge summary</t>
        </is>
      </c>
      <c r="H1533" t="inlineStr">
        <is>
          <t>discharge-medications</t>
        </is>
      </c>
      <c r="I1533" t="inlineStr">
        <is>
          <t>Magnesium Oxide 400 mg Tablet Sig: 2.5 Tablets PO BID (2
times a day).</t>
        </is>
      </c>
    </row>
    <row r="1534">
      <c r="A1534" t="inlineStr">
        <is>
          <t>37337-discharge-medications-1-4</t>
        </is>
      </c>
      <c r="B1534" t="inlineStr"/>
      <c r="C1534" t="inlineStr"/>
      <c r="D1534">
        <f>HYPERLINK("http://nlpdeep.cs.uic.edu:8080/proofing/t5/37337-discharge-medications-1-4.pdf","t5/37337-discharge-medications-1-4.pdf")</f>
        <v/>
      </c>
      <c r="E1534" t="n">
        <v>110002</v>
      </c>
      <c r="F1534" t="n">
        <v>37337</v>
      </c>
      <c r="G1534" t="inlineStr">
        <is>
          <t>Discharge summary</t>
        </is>
      </c>
      <c r="H1534" t="inlineStr">
        <is>
          <t>discharge-medications</t>
        </is>
      </c>
      <c r="I1534" t="inlineStr">
        <is>
          <t>Humalog 100 unit/mL Solution Sig: One (1)  Subcutaneous four
times a day: dose based on sliding scale.</t>
        </is>
      </c>
    </row>
    <row r="1535">
      <c r="A1535" t="inlineStr">
        <is>
          <t>37337-discharge-medications-1-4</t>
        </is>
      </c>
      <c r="B1535" t="inlineStr"/>
      <c r="C1535" t="inlineStr"/>
      <c r="D1535">
        <f>HYPERLINK("http://nlpdeep.cs.uic.edu:8080/proofing/gsii/37337-discharge-medications-1-4.pdf","gsii/37337-discharge-medications-1-4.pdf")</f>
        <v/>
      </c>
      <c r="E1535" t="n">
        <v>110002</v>
      </c>
      <c r="F1535" t="n">
        <v>37337</v>
      </c>
      <c r="G1535" t="inlineStr">
        <is>
          <t>Discharge summary</t>
        </is>
      </c>
      <c r="H1535" t="inlineStr">
        <is>
          <t>discharge-medications</t>
        </is>
      </c>
      <c r="I1535" t="inlineStr">
        <is>
          <t>Humalog 100 unit/mL Solution Sig: One (1)  Subcutaneous four
times a day: dose based on sliding scale.</t>
        </is>
      </c>
    </row>
    <row r="1536">
      <c r="A1536" t="inlineStr">
        <is>
          <t>37337-discharge-condition-0-0</t>
        </is>
      </c>
      <c r="B1536" t="inlineStr"/>
      <c r="C1536" t="inlineStr"/>
      <c r="D1536">
        <f>HYPERLINK("http://nlpdeep.cs.uic.edu:8080/proofing/t5/37337-discharge-condition-0-0.pdf","t5/37337-discharge-condition-0-0.pdf")</f>
        <v/>
      </c>
      <c r="E1536" t="n">
        <v>110002</v>
      </c>
      <c r="F1536" t="n">
        <v>37337</v>
      </c>
      <c r="G1536" t="inlineStr">
        <is>
          <t>Discharge summary</t>
        </is>
      </c>
      <c r="H1536" t="inlineStr">
        <is>
          <t>discharge-condition</t>
        </is>
      </c>
      <c r="I1536" t="inlineStr">
        <is>
          <t>Afebrile, satting well on room air.</t>
        </is>
      </c>
    </row>
    <row r="1537">
      <c r="A1537" t="inlineStr">
        <is>
          <t>37337-discharge-condition-0-0</t>
        </is>
      </c>
      <c r="B1537" t="inlineStr"/>
      <c r="C1537" t="inlineStr"/>
      <c r="D1537">
        <f>HYPERLINK("http://nlpdeep.cs.uic.edu:8080/proofing/gsii/37337-discharge-condition-0-0.pdf","gsii/37337-discharge-condition-0-0.pdf")</f>
        <v/>
      </c>
      <c r="E1537" t="n">
        <v>110002</v>
      </c>
      <c r="F1537" t="n">
        <v>37337</v>
      </c>
      <c r="G1537" t="inlineStr">
        <is>
          <t>Discharge summary</t>
        </is>
      </c>
      <c r="H1537" t="inlineStr">
        <is>
          <t>discharge-condition</t>
        </is>
      </c>
      <c r="I1537" t="inlineStr">
        <is>
          <t>Afebrile, satting well on room air.</t>
        </is>
      </c>
    </row>
    <row r="1538">
      <c r="A1538" t="inlineStr">
        <is>
          <t>37337-discharge-condition-0-1</t>
        </is>
      </c>
      <c r="B1538" t="inlineStr"/>
      <c r="C1538" t="inlineStr"/>
      <c r="D1538">
        <f>HYPERLINK("http://nlpdeep.cs.uic.edu:8080/proofing/t5/37337-discharge-condition-0-1.pdf","t5/37337-discharge-condition-0-1.pdf")</f>
        <v/>
      </c>
      <c r="E1538" t="n">
        <v>110002</v>
      </c>
      <c r="F1538" t="n">
        <v>37337</v>
      </c>
      <c r="G1538" t="inlineStr">
        <is>
          <t>Discharge summary</t>
        </is>
      </c>
      <c r="H1538" t="inlineStr">
        <is>
          <t>discharge-condition</t>
        </is>
      </c>
      <c r="I1538" t="inlineStr">
        <is>
          <t xml:space="preserve"> Patient is alert, speaking
in short sentences and following commands/answering questions.</t>
        </is>
      </c>
    </row>
    <row r="1539">
      <c r="A1539" t="inlineStr">
        <is>
          <t>37337-discharge-condition-0-1</t>
        </is>
      </c>
      <c r="B1539" t="inlineStr"/>
      <c r="C1539" t="inlineStr"/>
      <c r="D1539">
        <f>HYPERLINK("http://nlpdeep.cs.uic.edu:8080/proofing/gsii/37337-discharge-condition-0-1.pdf","gsii/37337-discharge-condition-0-1.pdf")</f>
        <v/>
      </c>
      <c r="E1539" t="n">
        <v>110002</v>
      </c>
      <c r="F1539" t="n">
        <v>37337</v>
      </c>
      <c r="G1539" t="inlineStr">
        <is>
          <t>Discharge summary</t>
        </is>
      </c>
      <c r="H1539" t="inlineStr">
        <is>
          <t>discharge-condition</t>
        </is>
      </c>
      <c r="I1539" t="inlineStr">
        <is>
          <t xml:space="preserve"> Patient is alert, speaking
in short sentences and following commands/answering questions.</t>
        </is>
      </c>
    </row>
    <row r="1540">
      <c r="A1540" t="inlineStr">
        <is>
          <t>37337-discharge-condition-1-0</t>
        </is>
      </c>
      <c r="B1540" t="inlineStr"/>
      <c r="C1540" t="inlineStr"/>
      <c r="D1540">
        <f>HYPERLINK("http://nlpdeep.cs.uic.edu:8080/proofing/t5/37337-discharge-condition-1-0.pdf","t5/37337-discharge-condition-1-0.pdf")</f>
        <v/>
      </c>
      <c r="E1540" t="n">
        <v>110002</v>
      </c>
      <c r="F1540" t="n">
        <v>37337</v>
      </c>
      <c r="G1540" t="inlineStr">
        <is>
          <t>Discharge summary</t>
        </is>
      </c>
      <c r="H1540" t="inlineStr">
        <is>
          <t>discharge-condition</t>
        </is>
      </c>
      <c r="I1540" t="inlineStr">
        <is>
          <t>Mental Status:Clear and coherent
Level of Consciousness:Alert and interactive
Activity Status:Out of Bed with assistance to chair or
w</t>
        </is>
      </c>
    </row>
    <row r="1541">
      <c r="A1541" t="inlineStr">
        <is>
          <t>37337-discharge-condition-1-0</t>
        </is>
      </c>
      <c r="B1541" t="inlineStr"/>
      <c r="C1541" t="inlineStr"/>
      <c r="D1541">
        <f>HYPERLINK("http://nlpdeep.cs.uic.edu:8080/proofing/gsii/37337-discharge-condition-1-0.pdf","gsii/37337-discharge-condition-1-0.pdf")</f>
        <v/>
      </c>
      <c r="E1541" t="n">
        <v>110002</v>
      </c>
      <c r="F1541" t="n">
        <v>37337</v>
      </c>
      <c r="G1541" t="inlineStr">
        <is>
          <t>Discharge summary</t>
        </is>
      </c>
      <c r="H1541" t="inlineStr">
        <is>
          <t>discharge-condition</t>
        </is>
      </c>
      <c r="I1541" t="inlineStr">
        <is>
          <t>Mental Status:Clear and coherent
Level of Consciousness:Alert and interactive
Activity Status:Out of Bed with assistance to chair or
w</t>
        </is>
      </c>
    </row>
    <row r="1542">
      <c r="A1542" t="inlineStr">
        <is>
          <t>37337-facility-0-0</t>
        </is>
      </c>
      <c r="B1542" t="inlineStr"/>
      <c r="C1542" t="inlineStr"/>
      <c r="D1542">
        <f>HYPERLINK("http://nlpdeep.cs.uic.edu:8080/proofing/t5/37337-facility-0-0.pdf","t5/37337-facility-0-0.pdf")</f>
        <v/>
      </c>
      <c r="E1542" t="n">
        <v>110002</v>
      </c>
      <c r="F1542" t="n">
        <v>37337</v>
      </c>
      <c r="G1542" t="inlineStr">
        <is>
          <t>Discharge summary</t>
        </is>
      </c>
      <c r="H1542" t="inlineStr">
        <is>
          <t>facility</t>
        </is>
      </c>
      <c r="I1542" t="inlineStr">
        <is>
          <t>[**Hospital1 **] State H</t>
        </is>
      </c>
    </row>
    <row r="1543">
      <c r="A1543" t="inlineStr">
        <is>
          <t>37337-facility-0-0</t>
        </is>
      </c>
      <c r="B1543" t="inlineStr"/>
      <c r="C1543" t="inlineStr"/>
      <c r="D1543">
        <f>HYPERLINK("http://nlpdeep.cs.uic.edu:8080/proofing/gsii/37337-facility-0-0.pdf","gsii/37337-facility-0-0.pdf")</f>
        <v/>
      </c>
      <c r="E1543" t="n">
        <v>110002</v>
      </c>
      <c r="F1543" t="n">
        <v>37337</v>
      </c>
      <c r="G1543" t="inlineStr">
        <is>
          <t>Discharge summary</t>
        </is>
      </c>
      <c r="H1543" t="inlineStr">
        <is>
          <t>facility</t>
        </is>
      </c>
      <c r="I1543" t="inlineStr">
        <is>
          <t>[**Hospital1 **] State H</t>
        </is>
      </c>
    </row>
    <row r="1544">
      <c r="A1544" t="inlineStr">
        <is>
          <t>37337-discharge-diagnosis-0-0</t>
        </is>
      </c>
      <c r="B1544" t="inlineStr"/>
      <c r="C1544" t="inlineStr"/>
      <c r="D1544">
        <f>HYPERLINK("http://nlpdeep.cs.uic.edu:8080/proofing/t5/37337-discharge-diagnosis-0-0.pdf","t5/37337-discharge-diagnosis-0-0.pdf")</f>
        <v/>
      </c>
      <c r="E1544" t="n">
        <v>110002</v>
      </c>
      <c r="F1544" t="n">
        <v>37337</v>
      </c>
      <c r="G1544" t="inlineStr">
        <is>
          <t>Discharge summary</t>
        </is>
      </c>
      <c r="H1544" t="inlineStr">
        <is>
          <t>discharge-diagnosis</t>
        </is>
      </c>
      <c r="I1544" t="inlineStr">
        <is>
          <t>Primary Diagnoses:
- Community Acquired Pneumonia: Methicillin Sensitive Staph
Aureus pneumonia.</t>
        </is>
      </c>
    </row>
    <row r="1545">
      <c r="A1545" t="inlineStr">
        <is>
          <t>37337-discharge-diagnosis-0-0</t>
        </is>
      </c>
      <c r="B1545" t="inlineStr"/>
      <c r="C1545" t="inlineStr"/>
      <c r="D1545">
        <f>HYPERLINK("http://nlpdeep.cs.uic.edu:8080/proofing/gsii/37337-discharge-diagnosis-0-0.pdf","gsii/37337-discharge-diagnosis-0-0.pdf")</f>
        <v/>
      </c>
      <c r="E1545" t="n">
        <v>110002</v>
      </c>
      <c r="F1545" t="n">
        <v>37337</v>
      </c>
      <c r="G1545" t="inlineStr">
        <is>
          <t>Discharge summary</t>
        </is>
      </c>
      <c r="H1545" t="inlineStr">
        <is>
          <t>discharge-diagnosis</t>
        </is>
      </c>
      <c r="I1545" t="inlineStr">
        <is>
          <t>Primary Diagnoses:
- Community Acquired Pneumonia: Methicillin Sensitive Staph
Aureus pneumonia.</t>
        </is>
      </c>
    </row>
    <row r="1546">
      <c r="A1546" t="inlineStr">
        <is>
          <t>37337-discharge-diagnosis-0-1</t>
        </is>
      </c>
      <c r="B1546" t="inlineStr"/>
      <c r="C1546" t="inlineStr"/>
      <c r="D1546">
        <f>HYPERLINK("http://nlpdeep.cs.uic.edu:8080/proofing/t5/37337-discharge-diagnosis-0-1.pdf","t5/37337-discharge-diagnosis-0-1.pdf")</f>
        <v/>
      </c>
      <c r="E1546" t="n">
        <v>110002</v>
      </c>
      <c r="F1546" t="n">
        <v>37337</v>
      </c>
      <c r="G1546" t="inlineStr">
        <is>
          <t>Discharge summary</t>
        </is>
      </c>
      <c r="H1546" t="inlineStr">
        <is>
          <t>discharge-diagnosis</t>
        </is>
      </c>
      <c r="I1546" t="inlineStr">
        <is>
          <t xml:space="preserve">
- Ventilator Associated Pneumonia: Multi-Drug-Resistant
Klebsiella and Pseudomonas.</t>
        </is>
      </c>
    </row>
    <row r="1547">
      <c r="A1547" t="inlineStr">
        <is>
          <t>37337-discharge-diagnosis-0-1</t>
        </is>
      </c>
      <c r="B1547" t="inlineStr"/>
      <c r="C1547" t="inlineStr"/>
      <c r="D1547">
        <f>HYPERLINK("http://nlpdeep.cs.uic.edu:8080/proofing/gsii/37337-discharge-diagnosis-0-1.pdf","gsii/37337-discharge-diagnosis-0-1.pdf")</f>
        <v/>
      </c>
      <c r="E1547" t="n">
        <v>110002</v>
      </c>
      <c r="F1547" t="n">
        <v>37337</v>
      </c>
      <c r="G1547" t="inlineStr">
        <is>
          <t>Discharge summary</t>
        </is>
      </c>
      <c r="H1547" t="inlineStr">
        <is>
          <t>discharge-diagnosis</t>
        </is>
      </c>
      <c r="I1547" t="inlineStr">
        <is>
          <t xml:space="preserve">
- Ventilator Associated Pneumonia: Multi-Drug-Resistant
Klebsiella and Pseudomonas.</t>
        </is>
      </c>
    </row>
    <row r="1548">
      <c r="A1548" t="inlineStr">
        <is>
          <t>37337-discharge-diagnosis-0-2</t>
        </is>
      </c>
      <c r="B1548" t="inlineStr"/>
      <c r="C1548" t="inlineStr"/>
      <c r="D1548">
        <f>HYPERLINK("http://nlpdeep.cs.uic.edu:8080/proofing/t5/37337-discharge-diagnosis-0-2.pdf","t5/37337-discharge-diagnosis-0-2.pdf")</f>
        <v/>
      </c>
      <c r="E1548" t="n">
        <v>110002</v>
      </c>
      <c r="F1548" t="n">
        <v>37337</v>
      </c>
      <c r="G1548" t="inlineStr">
        <is>
          <t>Discharge summary</t>
        </is>
      </c>
      <c r="H1548" t="inlineStr">
        <is>
          <t>discharge-diagnosis</t>
        </is>
      </c>
      <c r="I1548" t="inlineStr">
        <is>
          <t xml:space="preserve">
- Bacteremia
- Septic shock
- Supra-Ventricular Tachycardia with aberrancy
- Intensive Care Unit myopathy.</t>
        </is>
      </c>
    </row>
    <row r="1549">
      <c r="A1549" t="inlineStr">
        <is>
          <t>37337-discharge-diagnosis-0-2</t>
        </is>
      </c>
      <c r="B1549" t="inlineStr"/>
      <c r="C1549" t="inlineStr"/>
      <c r="D1549">
        <f>HYPERLINK("http://nlpdeep.cs.uic.edu:8080/proofing/gsii/37337-discharge-diagnosis-0-2.pdf","gsii/37337-discharge-diagnosis-0-2.pdf")</f>
        <v/>
      </c>
      <c r="E1549" t="n">
        <v>110002</v>
      </c>
      <c r="F1549" t="n">
        <v>37337</v>
      </c>
      <c r="G1549" t="inlineStr">
        <is>
          <t>Discharge summary</t>
        </is>
      </c>
      <c r="H1549" t="inlineStr">
        <is>
          <t>discharge-diagnosis</t>
        </is>
      </c>
      <c r="I1549" t="inlineStr">
        <is>
          <t xml:space="preserve">
- Bacteremia
- Septic shock
- Supra-Ventricular Tachycardia with aberrancy
- Intensive Care Unit myopathy.</t>
        </is>
      </c>
    </row>
    <row r="1550">
      <c r="A1550" t="inlineStr">
        <is>
          <t>37337-discharge-diagnosis-0-3</t>
        </is>
      </c>
      <c r="B1550" t="inlineStr"/>
      <c r="C1550" t="inlineStr"/>
      <c r="D1550">
        <f>HYPERLINK("http://nlpdeep.cs.uic.edu:8080/proofing/t5/37337-discharge-diagnosis-0-3.pdf","t5/37337-discharge-diagnosis-0-3.pdf")</f>
        <v/>
      </c>
      <c r="E1550" t="n">
        <v>110002</v>
      </c>
      <c r="F1550" t="n">
        <v>37337</v>
      </c>
      <c r="G1550" t="inlineStr">
        <is>
          <t>Discharge summary</t>
        </is>
      </c>
      <c r="H1550" t="inlineStr">
        <is>
          <t>discharge-diagnosis</t>
        </is>
      </c>
      <c r="I1550" t="inlineStr"/>
    </row>
    <row r="1551">
      <c r="A1551" t="inlineStr">
        <is>
          <t>37337-discharge-diagnosis-0-3</t>
        </is>
      </c>
      <c r="B1551" t="inlineStr"/>
      <c r="C1551" t="inlineStr"/>
      <c r="D1551">
        <f>HYPERLINK("http://nlpdeep.cs.uic.edu:8080/proofing/gsii/37337-discharge-diagnosis-0-3.pdf","gsii/37337-discharge-diagnosis-0-3.pdf")</f>
        <v/>
      </c>
      <c r="E1551" t="n">
        <v>110002</v>
      </c>
      <c r="F1551" t="n">
        <v>37337</v>
      </c>
      <c r="G1551" t="inlineStr">
        <is>
          <t>Discharge summary</t>
        </is>
      </c>
      <c r="H1551" t="inlineStr">
        <is>
          <t>discharge-diagnosis</t>
        </is>
      </c>
      <c r="I1551" t="inlineStr"/>
    </row>
    <row r="1552">
      <c r="A1552" t="inlineStr">
        <is>
          <t>37337-discharge-diagnosis-1-0</t>
        </is>
      </c>
      <c r="B1552" t="inlineStr"/>
      <c r="C1552" t="inlineStr"/>
      <c r="D1552">
        <f>HYPERLINK("http://nlpdeep.cs.uic.edu:8080/proofing/t5/37337-discharge-diagnosis-1-0.pdf","t5/37337-discharge-diagnosis-1-0.pdf")</f>
        <v/>
      </c>
      <c r="E1552" t="n">
        <v>110002</v>
      </c>
      <c r="F1552" t="n">
        <v>37337</v>
      </c>
      <c r="G1552" t="inlineStr">
        <is>
          <t>Discharge summary</t>
        </is>
      </c>
      <c r="H1552" t="inlineStr">
        <is>
          <t>discharge-diagnosis</t>
        </is>
      </c>
      <c r="I1552" t="inlineStr"/>
    </row>
    <row r="1553">
      <c r="A1553" t="inlineStr">
        <is>
          <t>37337-discharge-diagnosis-1-0</t>
        </is>
      </c>
      <c r="B1553" t="inlineStr"/>
      <c r="C1553" t="inlineStr"/>
      <c r="D1553">
        <f>HYPERLINK("http://nlpdeep.cs.uic.edu:8080/proofing/gsii/37337-discharge-diagnosis-1-0.pdf","gsii/37337-discharge-diagnosis-1-0.pdf")</f>
        <v/>
      </c>
      <c r="E1553" t="n">
        <v>110002</v>
      </c>
      <c r="F1553" t="n">
        <v>37337</v>
      </c>
      <c r="G1553" t="inlineStr">
        <is>
          <t>Discharge summary</t>
        </is>
      </c>
      <c r="H1553" t="inlineStr">
        <is>
          <t>discharge-diagnosis</t>
        </is>
      </c>
      <c r="I1553" t="inlineStr"/>
    </row>
    <row r="1554">
      <c r="A1554" t="inlineStr">
        <is>
          <t>37337-discharge-instructions-0-0</t>
        </is>
      </c>
      <c r="B1554" t="inlineStr"/>
      <c r="C1554" t="inlineStr"/>
      <c r="D1554">
        <f>HYPERLINK("http://nlpdeep.cs.uic.edu:8080/proofing/t5/37337-discharge-instructions-0-0.pdf","t5/37337-discharge-instructions-0-0.pdf")</f>
        <v/>
      </c>
      <c r="E1554" t="n">
        <v>110002</v>
      </c>
      <c r="F1554" t="n">
        <v>37337</v>
      </c>
      <c r="G1554" t="inlineStr">
        <is>
          <t>Discharge summary</t>
        </is>
      </c>
      <c r="H1554" t="inlineStr">
        <is>
          <t>discharge-instructions</t>
        </is>
      </c>
      <c r="I1554" t="inlineStr">
        <is>
          <t>It was a pleasure to be involved in your care, Mr. [**Known lastname 83984**].</t>
        </is>
      </c>
    </row>
    <row r="1555">
      <c r="A1555" t="inlineStr">
        <is>
          <t>37337-discharge-instructions-0-0</t>
        </is>
      </c>
      <c r="B1555" t="inlineStr"/>
      <c r="C1555" t="inlineStr"/>
      <c r="D1555">
        <f>HYPERLINK("http://nlpdeep.cs.uic.edu:8080/proofing/gsii/37337-discharge-instructions-0-0.pdf","gsii/37337-discharge-instructions-0-0.pdf")</f>
        <v/>
      </c>
      <c r="E1555" t="n">
        <v>110002</v>
      </c>
      <c r="F1555" t="n">
        <v>37337</v>
      </c>
      <c r="G1555" t="inlineStr">
        <is>
          <t>Discharge summary</t>
        </is>
      </c>
      <c r="H1555" t="inlineStr">
        <is>
          <t>discharge-instructions</t>
        </is>
      </c>
      <c r="I1555" t="inlineStr">
        <is>
          <t>It was a pleasure to be involved in your care, Mr. [**Known lastname 83984**].</t>
        </is>
      </c>
    </row>
    <row r="1556">
      <c r="A1556" t="inlineStr">
        <is>
          <t>37337-discharge-instructions-0-1</t>
        </is>
      </c>
      <c r="B1556" t="inlineStr"/>
      <c r="C1556" t="inlineStr"/>
      <c r="D1556">
        <f>HYPERLINK("http://nlpdeep.cs.uic.edu:8080/proofing/t5/37337-discharge-instructions-0-1.pdf","t5/37337-discharge-instructions-0-1.pdf")</f>
        <v/>
      </c>
      <c r="E1556" t="n">
        <v>110002</v>
      </c>
      <c r="F1556" t="n">
        <v>37337</v>
      </c>
      <c r="G1556" t="inlineStr">
        <is>
          <t>Discharge summary</t>
        </is>
      </c>
      <c r="H1556" t="inlineStr">
        <is>
          <t>discharge-instructions</t>
        </is>
      </c>
      <c r="I1556" t="inlineStr">
        <is>
          <t xml:space="preserve">
You were hospitalized at [**Hospital1 18**] for septic shock--low blood
pressure due to an infection.</t>
        </is>
      </c>
    </row>
    <row r="1557">
      <c r="A1557" t="inlineStr">
        <is>
          <t>37337-discharge-instructions-0-1</t>
        </is>
      </c>
      <c r="B1557" t="inlineStr"/>
      <c r="C1557" t="inlineStr"/>
      <c r="D1557">
        <f>HYPERLINK("http://nlpdeep.cs.uic.edu:8080/proofing/gsii/37337-discharge-instructions-0-1.pdf","gsii/37337-discharge-instructions-0-1.pdf")</f>
        <v/>
      </c>
      <c r="E1557" t="n">
        <v>110002</v>
      </c>
      <c r="F1557" t="n">
        <v>37337</v>
      </c>
      <c r="G1557" t="inlineStr">
        <is>
          <t>Discharge summary</t>
        </is>
      </c>
      <c r="H1557" t="inlineStr">
        <is>
          <t>discharge-instructions</t>
        </is>
      </c>
      <c r="I1557" t="inlineStr">
        <is>
          <t xml:space="preserve">
You were hospitalized at [**Hospital1 18**] for septic shock--low blood
pressure due to an infection.</t>
        </is>
      </c>
    </row>
    <row r="1558">
      <c r="A1558" t="inlineStr">
        <is>
          <t>37337-discharge-instructions-0-2</t>
        </is>
      </c>
      <c r="B1558" t="inlineStr"/>
      <c r="C1558" t="inlineStr"/>
      <c r="D1558">
        <f>HYPERLINK("http://nlpdeep.cs.uic.edu:8080/proofing/t5/37337-discharge-instructions-0-2.pdf","t5/37337-discharge-instructions-0-2.pdf")</f>
        <v/>
      </c>
      <c r="E1558" t="n">
        <v>110002</v>
      </c>
      <c r="F1558" t="n">
        <v>37337</v>
      </c>
      <c r="G1558" t="inlineStr">
        <is>
          <t>Discharge summary</t>
        </is>
      </c>
      <c r="H1558" t="inlineStr">
        <is>
          <t>discharge-instructions</t>
        </is>
      </c>
      <c r="I1558" t="inlineStr">
        <is>
          <t>You had a severe pneumonia (a lung
infection) and blood infection, which required placement of a
breathing tube, intra-venous antibiotics and a prolonged stay in
the Medical ICU.</t>
        </is>
      </c>
    </row>
    <row r="1559">
      <c r="A1559" t="inlineStr">
        <is>
          <t>37337-discharge-instructions-0-2</t>
        </is>
      </c>
      <c r="B1559" t="inlineStr"/>
      <c r="C1559" t="inlineStr"/>
      <c r="D1559">
        <f>HYPERLINK("http://nlpdeep.cs.uic.edu:8080/proofing/gsii/37337-discharge-instructions-0-2.pdf","gsii/37337-discharge-instructions-0-2.pdf")</f>
        <v/>
      </c>
      <c r="E1559" t="n">
        <v>110002</v>
      </c>
      <c r="F1559" t="n">
        <v>37337</v>
      </c>
      <c r="G1559" t="inlineStr">
        <is>
          <t>Discharge summary</t>
        </is>
      </c>
      <c r="H1559" t="inlineStr">
        <is>
          <t>discharge-instructions</t>
        </is>
      </c>
      <c r="I1559" t="inlineStr">
        <is>
          <t>You had a severe pneumonia (a lung
infection) and blood infection, which required placement of a
breathing tube, intra-venous antibiotics and a prolonged stay in
the Medical ICU.</t>
        </is>
      </c>
    </row>
    <row r="1560">
      <c r="A1560" t="inlineStr">
        <is>
          <t>37337-discharge-instructions-0-3</t>
        </is>
      </c>
      <c r="B1560" t="inlineStr"/>
      <c r="C1560" t="inlineStr"/>
      <c r="D1560">
        <f>HYPERLINK("http://nlpdeep.cs.uic.edu:8080/proofing/t5/37337-discharge-instructions-0-3.pdf","t5/37337-discharge-instructions-0-3.pdf")</f>
        <v/>
      </c>
      <c r="E1560" t="n">
        <v>110002</v>
      </c>
      <c r="F1560" t="n">
        <v>37337</v>
      </c>
      <c r="G1560" t="inlineStr">
        <is>
          <t>Discharge summary</t>
        </is>
      </c>
      <c r="H1560" t="inlineStr">
        <is>
          <t>discharge-instructions</t>
        </is>
      </c>
      <c r="I1560" t="inlineStr">
        <is>
          <t>As a result of your infection, your kidneys
gave out, and you required hemodialysis--however, with
improvement of your infection, your kidneys function improved
and returned to [**Location 213**].</t>
        </is>
      </c>
    </row>
    <row r="1561">
      <c r="A1561" t="inlineStr">
        <is>
          <t>37337-discharge-instructions-0-3</t>
        </is>
      </c>
      <c r="B1561" t="inlineStr"/>
      <c r="C1561" t="inlineStr"/>
      <c r="D1561">
        <f>HYPERLINK("http://nlpdeep.cs.uic.edu:8080/proofing/gsii/37337-discharge-instructions-0-3.pdf","gsii/37337-discharge-instructions-0-3.pdf")</f>
        <v/>
      </c>
      <c r="E1561" t="n">
        <v>110002</v>
      </c>
      <c r="F1561" t="n">
        <v>37337</v>
      </c>
      <c r="G1561" t="inlineStr">
        <is>
          <t>Discharge summary</t>
        </is>
      </c>
      <c r="H1561" t="inlineStr">
        <is>
          <t>discharge-instructions</t>
        </is>
      </c>
      <c r="I1561" t="inlineStr">
        <is>
          <t>As a result of your infection, your kidneys
gave out, and you required hemodialysis--however, with
improvement of your infection, your kidneys function improved
and returned to [**Location 213**].</t>
        </is>
      </c>
    </row>
    <row r="1562">
      <c r="A1562" t="inlineStr">
        <is>
          <t>37337-discharge-instructions-0-4</t>
        </is>
      </c>
      <c r="B1562" t="inlineStr"/>
      <c r="C1562" t="inlineStr"/>
      <c r="D1562">
        <f>HYPERLINK("http://nlpdeep.cs.uic.edu:8080/proofing/t5/37337-discharge-instructions-0-4.pdf","t5/37337-discharge-instructions-0-4.pdf")</f>
        <v/>
      </c>
      <c r="E1562" t="n">
        <v>110002</v>
      </c>
      <c r="F1562" t="n">
        <v>37337</v>
      </c>
      <c r="G1562" t="inlineStr">
        <is>
          <t>Discharge summary</t>
        </is>
      </c>
      <c r="H1562" t="inlineStr">
        <is>
          <t>discharge-instructions</t>
        </is>
      </c>
      <c r="I1562" t="inlineStr">
        <is>
          <t xml:space="preserve"> At times during your hospitalization,
your heart rate became very fast and your blood pressure was
very elevated--this was treated with medications, and has since
resolved.</t>
        </is>
      </c>
    </row>
    <row r="1563">
      <c r="A1563" t="inlineStr">
        <is>
          <t>37337-discharge-instructions-0-4</t>
        </is>
      </c>
      <c r="B1563" t="inlineStr"/>
      <c r="C1563" t="inlineStr"/>
      <c r="D1563">
        <f>HYPERLINK("http://nlpdeep.cs.uic.edu:8080/proofing/gsii/37337-discharge-instructions-0-4.pdf","gsii/37337-discharge-instructions-0-4.pdf")</f>
        <v/>
      </c>
      <c r="E1563" t="n">
        <v>110002</v>
      </c>
      <c r="F1563" t="n">
        <v>37337</v>
      </c>
      <c r="G1563" t="inlineStr">
        <is>
          <t>Discharge summary</t>
        </is>
      </c>
      <c r="H1563" t="inlineStr">
        <is>
          <t>discharge-instructions</t>
        </is>
      </c>
      <c r="I1563" t="inlineStr">
        <is>
          <t xml:space="preserve"> At times during your hospitalization,
your heart rate became very fast and your blood pressure was
very elevated--this was treated with medications, and has since
resolved.</t>
        </is>
      </c>
    </row>
    <row r="1564">
      <c r="A1564" t="inlineStr">
        <is>
          <t>37337-discharge-instructions-0-5</t>
        </is>
      </c>
      <c r="B1564" t="inlineStr"/>
      <c r="C1564" t="inlineStr"/>
      <c r="D1564">
        <f>HYPERLINK("http://nlpdeep.cs.uic.edu:8080/proofing/t5/37337-discharge-instructions-0-5.pdf","t5/37337-discharge-instructions-0-5.pdf")</f>
        <v/>
      </c>
      <c r="E1564" t="n">
        <v>110002</v>
      </c>
      <c r="F1564" t="n">
        <v>37337</v>
      </c>
      <c r="G1564" t="inlineStr">
        <is>
          <t>Discharge summary</t>
        </is>
      </c>
      <c r="H1564" t="inlineStr">
        <is>
          <t>discharge-instructions</t>
        </is>
      </c>
      <c r="I1564" t="inlineStr">
        <is>
          <t xml:space="preserve"> Because of prolonged ICU stay, your muscle has become
very weak, and you need aggressive physical therapy to regain
your strength.</t>
        </is>
      </c>
    </row>
    <row r="1565">
      <c r="A1565" t="inlineStr">
        <is>
          <t>37337-discharge-instructions-0-5</t>
        </is>
      </c>
      <c r="B1565" t="inlineStr"/>
      <c r="C1565" t="inlineStr"/>
      <c r="D1565">
        <f>HYPERLINK("http://nlpdeep.cs.uic.edu:8080/proofing/gsii/37337-discharge-instructions-0-5.pdf","gsii/37337-discharge-instructions-0-5.pdf")</f>
        <v/>
      </c>
      <c r="E1565" t="n">
        <v>110002</v>
      </c>
      <c r="F1565" t="n">
        <v>37337</v>
      </c>
      <c r="G1565" t="inlineStr">
        <is>
          <t>Discharge summary</t>
        </is>
      </c>
      <c r="H1565" t="inlineStr">
        <is>
          <t>discharge-instructions</t>
        </is>
      </c>
      <c r="I1565" t="inlineStr">
        <is>
          <t xml:space="preserve"> Because of prolonged ICU stay, your muscle has become
very weak, and you need aggressive physical therapy to regain
your strength.</t>
        </is>
      </c>
    </row>
    <row r="1566">
      <c r="A1566" t="inlineStr">
        <is>
          <t>37337-discharge-instructions-1-0</t>
        </is>
      </c>
      <c r="B1566" t="inlineStr"/>
      <c r="C1566" t="inlineStr"/>
      <c r="D1566">
        <f>HYPERLINK("http://nlpdeep.cs.uic.edu:8080/proofing/t5/37337-discharge-instructions-1-0.pdf","t5/37337-discharge-instructions-1-0.pdf")</f>
        <v/>
      </c>
      <c r="E1566" t="n">
        <v>110002</v>
      </c>
      <c r="F1566" t="n">
        <v>37337</v>
      </c>
      <c r="G1566" t="inlineStr">
        <is>
          <t>Discharge summary</t>
        </is>
      </c>
      <c r="H1566" t="inlineStr">
        <is>
          <t>discharge-instructions</t>
        </is>
      </c>
      <c r="I1566" t="inlineStr">
        <is>
          <t xml:space="preserve">
You also underwent brain MRI because you had some confusion
after you were extubated.</t>
        </is>
      </c>
    </row>
    <row r="1567">
      <c r="A1567" t="inlineStr">
        <is>
          <t>37337-discharge-instructions-1-0</t>
        </is>
      </c>
      <c r="B1567" t="inlineStr"/>
      <c r="C1567" t="inlineStr"/>
      <c r="D1567">
        <f>HYPERLINK("http://nlpdeep.cs.uic.edu:8080/proofing/gsii/37337-discharge-instructions-1-0.pdf","gsii/37337-discharge-instructions-1-0.pdf")</f>
        <v/>
      </c>
      <c r="E1567" t="n">
        <v>110002</v>
      </c>
      <c r="F1567" t="n">
        <v>37337</v>
      </c>
      <c r="G1567" t="inlineStr">
        <is>
          <t>Discharge summary</t>
        </is>
      </c>
      <c r="H1567" t="inlineStr">
        <is>
          <t>discharge-instructions</t>
        </is>
      </c>
      <c r="I1567" t="inlineStr">
        <is>
          <t xml:space="preserve">
You also underwent brain MRI because you had some confusion
after you were extubated.</t>
        </is>
      </c>
    </row>
    <row r="1568">
      <c r="A1568" t="inlineStr">
        <is>
          <t>37337-discharge-instructions-1-1</t>
        </is>
      </c>
      <c r="B1568" t="inlineStr"/>
      <c r="C1568" t="inlineStr"/>
      <c r="D1568">
        <f>HYPERLINK("http://nlpdeep.cs.uic.edu:8080/proofing/t5/37337-discharge-instructions-1-1.pdf","t5/37337-discharge-instructions-1-1.pdf")</f>
        <v/>
      </c>
      <c r="E1568" t="n">
        <v>110002</v>
      </c>
      <c r="F1568" t="n">
        <v>37337</v>
      </c>
      <c r="G1568" t="inlineStr">
        <is>
          <t>Discharge summary</t>
        </is>
      </c>
      <c r="H1568" t="inlineStr">
        <is>
          <t>discharge-instructions</t>
        </is>
      </c>
      <c r="I1568" t="inlineStr">
        <is>
          <t xml:space="preserve"> The MRI had some abnormalities,
likely due to how sick you were.</t>
        </is>
      </c>
    </row>
    <row r="1569">
      <c r="A1569" t="inlineStr">
        <is>
          <t>37337-discharge-instructions-1-1</t>
        </is>
      </c>
      <c r="B1569" t="inlineStr"/>
      <c r="C1569" t="inlineStr"/>
      <c r="D1569">
        <f>HYPERLINK("http://nlpdeep.cs.uic.edu:8080/proofing/gsii/37337-discharge-instructions-1-1.pdf","gsii/37337-discharge-instructions-1-1.pdf")</f>
        <v/>
      </c>
      <c r="E1569" t="n">
        <v>110002</v>
      </c>
      <c r="F1569" t="n">
        <v>37337</v>
      </c>
      <c r="G1569" t="inlineStr">
        <is>
          <t>Discharge summary</t>
        </is>
      </c>
      <c r="H1569" t="inlineStr">
        <is>
          <t>discharge-instructions</t>
        </is>
      </c>
      <c r="I1569" t="inlineStr">
        <is>
          <t xml:space="preserve"> The MRI had some abnormalities,
likely due to how sick you were.</t>
        </is>
      </c>
    </row>
    <row r="1570">
      <c r="A1570" t="inlineStr">
        <is>
          <t>37337-discharge-instructions-1-2</t>
        </is>
      </c>
      <c r="B1570" t="inlineStr"/>
      <c r="C1570" t="inlineStr"/>
      <c r="D1570">
        <f>HYPERLINK("http://nlpdeep.cs.uic.edu:8080/proofing/t5/37337-discharge-instructions-1-2.pdf","t5/37337-discharge-instructions-1-2.pdf")</f>
        <v/>
      </c>
      <c r="E1570" t="n">
        <v>110002</v>
      </c>
      <c r="F1570" t="n">
        <v>37337</v>
      </c>
      <c r="G1570" t="inlineStr">
        <is>
          <t>Discharge summary</t>
        </is>
      </c>
      <c r="H1570" t="inlineStr">
        <is>
          <t>discharge-instructions</t>
        </is>
      </c>
      <c r="I1570" t="inlineStr">
        <is>
          <t xml:space="preserve"> You then underwent a procedure
called lumbar puncture to further evaluate these changes noted
in MRIs; no active infection was found.</t>
        </is>
      </c>
    </row>
    <row r="1571">
      <c r="A1571" t="inlineStr">
        <is>
          <t>37337-discharge-instructions-1-2</t>
        </is>
      </c>
      <c r="B1571" t="inlineStr"/>
      <c r="C1571" t="inlineStr"/>
      <c r="D1571">
        <f>HYPERLINK("http://nlpdeep.cs.uic.edu:8080/proofing/gsii/37337-discharge-instructions-1-2.pdf","gsii/37337-discharge-instructions-1-2.pdf")</f>
        <v/>
      </c>
      <c r="E1571" t="n">
        <v>110002</v>
      </c>
      <c r="F1571" t="n">
        <v>37337</v>
      </c>
      <c r="G1571" t="inlineStr">
        <is>
          <t>Discharge summary</t>
        </is>
      </c>
      <c r="H1571" t="inlineStr">
        <is>
          <t>discharge-instructions</t>
        </is>
      </c>
      <c r="I1571" t="inlineStr">
        <is>
          <t xml:space="preserve"> You then underwent a procedure
called lumbar puncture to further evaluate these changes noted
in MRIs; no active infection was found.</t>
        </is>
      </c>
    </row>
    <row r="1572">
      <c r="A1572" t="inlineStr">
        <is>
          <t>37337-discharge-instructions-1-3</t>
        </is>
      </c>
      <c r="B1572" t="inlineStr"/>
      <c r="C1572" t="inlineStr"/>
      <c r="D1572">
        <f>HYPERLINK("http://nlpdeep.cs.uic.edu:8080/proofing/t5/37337-discharge-instructions-1-3.pdf","t5/37337-discharge-instructions-1-3.pdf")</f>
        <v/>
      </c>
      <c r="E1572" t="n">
        <v>110002</v>
      </c>
      <c r="F1572" t="n">
        <v>37337</v>
      </c>
      <c r="G1572" t="inlineStr">
        <is>
          <t>Discharge summary</t>
        </is>
      </c>
      <c r="H1572" t="inlineStr">
        <is>
          <t>discharge-instructions</t>
        </is>
      </c>
      <c r="I1572" t="inlineStr">
        <is>
          <t xml:space="preserve"> You were also seen by
Neurology specialists.</t>
        </is>
      </c>
    </row>
    <row r="1573">
      <c r="A1573" t="inlineStr">
        <is>
          <t>37337-discharge-instructions-1-3</t>
        </is>
      </c>
      <c r="B1573" t="inlineStr"/>
      <c r="C1573" t="inlineStr"/>
      <c r="D1573">
        <f>HYPERLINK("http://nlpdeep.cs.uic.edu:8080/proofing/gsii/37337-discharge-instructions-1-3.pdf","gsii/37337-discharge-instructions-1-3.pdf")</f>
        <v/>
      </c>
      <c r="E1573" t="n">
        <v>110002</v>
      </c>
      <c r="F1573" t="n">
        <v>37337</v>
      </c>
      <c r="G1573" t="inlineStr">
        <is>
          <t>Discharge summary</t>
        </is>
      </c>
      <c r="H1573" t="inlineStr">
        <is>
          <t>discharge-instructions</t>
        </is>
      </c>
      <c r="I1573" t="inlineStr">
        <is>
          <t xml:space="preserve"> You were also seen by
Neurology specialists.</t>
        </is>
      </c>
    </row>
    <row r="1574">
      <c r="A1574" t="inlineStr">
        <is>
          <t>37337-discharge-instructions-2-0</t>
        </is>
      </c>
      <c r="B1574" t="inlineStr"/>
      <c r="C1574" t="inlineStr"/>
      <c r="D1574">
        <f>HYPERLINK("http://nlpdeep.cs.uic.edu:8080/proofing/t5/37337-discharge-instructions-2-0.pdf","t5/37337-discharge-instructions-2-0.pdf")</f>
        <v/>
      </c>
      <c r="E1574" t="n">
        <v>110002</v>
      </c>
      <c r="F1574" t="n">
        <v>37337</v>
      </c>
      <c r="G1574" t="inlineStr">
        <is>
          <t>Discharge summary</t>
        </is>
      </c>
      <c r="H1574" t="inlineStr">
        <is>
          <t>discharge-instructions</t>
        </is>
      </c>
      <c r="I1574" t="inlineStr"/>
    </row>
    <row r="1575">
      <c r="A1575" t="inlineStr">
        <is>
          <t>37337-discharge-instructions-2-0</t>
        </is>
      </c>
      <c r="B1575" t="inlineStr"/>
      <c r="C1575" t="inlineStr"/>
      <c r="D1575">
        <f>HYPERLINK("http://nlpdeep.cs.uic.edu:8080/proofing/gsii/37337-discharge-instructions-2-0.pdf","gsii/37337-discharge-instructions-2-0.pdf")</f>
        <v/>
      </c>
      <c r="E1575" t="n">
        <v>110002</v>
      </c>
      <c r="F1575" t="n">
        <v>37337</v>
      </c>
      <c r="G1575" t="inlineStr">
        <is>
          <t>Discharge summary</t>
        </is>
      </c>
      <c r="H1575" t="inlineStr">
        <is>
          <t>discharge-instructions</t>
        </is>
      </c>
      <c r="I1575" t="inlineStr"/>
    </row>
    <row r="1576">
      <c r="A1576" t="inlineStr">
        <is>
          <t>37337-discharge-instructions-3-0</t>
        </is>
      </c>
      <c r="B1576" t="inlineStr"/>
      <c r="C1576" t="inlineStr"/>
      <c r="D1576">
        <f>HYPERLINK("http://nlpdeep.cs.uic.edu:8080/proofing/t5/37337-discharge-instructions-3-0.pdf","t5/37337-discharge-instructions-3-0.pdf")</f>
        <v/>
      </c>
      <c r="E1576" t="n">
        <v>110002</v>
      </c>
      <c r="F1576" t="n">
        <v>37337</v>
      </c>
      <c r="G1576" t="inlineStr">
        <is>
          <t>Discharge summary</t>
        </is>
      </c>
      <c r="H1576" t="inlineStr">
        <is>
          <t>discharge-instructions</t>
        </is>
      </c>
      <c r="I1576" t="inlineStr"/>
    </row>
    <row r="1577">
      <c r="A1577" t="inlineStr">
        <is>
          <t>37337-discharge-instructions-3-0</t>
        </is>
      </c>
      <c r="B1577" t="inlineStr"/>
      <c r="C1577" t="inlineStr"/>
      <c r="D1577">
        <f>HYPERLINK("http://nlpdeep.cs.uic.edu:8080/proofing/gsii/37337-discharge-instructions-3-0.pdf","gsii/37337-discharge-instructions-3-0.pdf")</f>
        <v/>
      </c>
      <c r="E1577" t="n">
        <v>110002</v>
      </c>
      <c r="F1577" t="n">
        <v>37337</v>
      </c>
      <c r="G1577" t="inlineStr">
        <is>
          <t>Discharge summary</t>
        </is>
      </c>
      <c r="H1577" t="inlineStr">
        <is>
          <t>discharge-instructions</t>
        </is>
      </c>
      <c r="I1577" t="inlineStr"/>
    </row>
    <row r="1578">
      <c r="A1578" t="inlineStr">
        <is>
          <t>37337-discharge-instructions-3-1</t>
        </is>
      </c>
      <c r="B1578" t="inlineStr"/>
      <c r="C1578" t="inlineStr"/>
      <c r="D1578">
        <f>HYPERLINK("http://nlpdeep.cs.uic.edu:8080/proofing/t5/37337-discharge-instructions-3-1.pdf","t5/37337-discharge-instructions-3-1.pdf")</f>
        <v/>
      </c>
      <c r="E1578" t="n">
        <v>110002</v>
      </c>
      <c r="F1578" t="n">
        <v>37337</v>
      </c>
      <c r="G1578" t="inlineStr">
        <is>
          <t>Discharge summary</t>
        </is>
      </c>
      <c r="H1578" t="inlineStr">
        <is>
          <t>discharge-instructions</t>
        </is>
      </c>
      <c r="I1578" t="inlineStr">
        <is>
          <t>[**First Name8 (NamePattern2) **] [**Last Name (NamePattern1) 724**]
(Neurology).</t>
        </is>
      </c>
    </row>
    <row r="1579">
      <c r="A1579" t="inlineStr">
        <is>
          <t>37337-discharge-instructions-3-1</t>
        </is>
      </c>
      <c r="B1579" t="inlineStr"/>
      <c r="C1579" t="inlineStr"/>
      <c r="D1579">
        <f>HYPERLINK("http://nlpdeep.cs.uic.edu:8080/proofing/gsii/37337-discharge-instructions-3-1.pdf","gsii/37337-discharge-instructions-3-1.pdf")</f>
        <v/>
      </c>
      <c r="E1579" t="n">
        <v>110002</v>
      </c>
      <c r="F1579" t="n">
        <v>37337</v>
      </c>
      <c r="G1579" t="inlineStr">
        <is>
          <t>Discharge summary</t>
        </is>
      </c>
      <c r="H1579" t="inlineStr">
        <is>
          <t>discharge-instructions</t>
        </is>
      </c>
      <c r="I1579" t="inlineStr">
        <is>
          <t>[**First Name8 (NamePattern2) **] [**Last Name (NamePattern1) 724**]
(Neurology).</t>
        </is>
      </c>
    </row>
    <row r="1580">
      <c r="A1580" t="inlineStr">
        <is>
          <t>37337-discharge-instructions-3-2</t>
        </is>
      </c>
      <c r="B1580" t="inlineStr"/>
      <c r="C1580" t="inlineStr"/>
      <c r="D1580">
        <f>HYPERLINK("http://nlpdeep.cs.uic.edu:8080/proofing/t5/37337-discharge-instructions-3-2.pdf","t5/37337-discharge-instructions-3-2.pdf")</f>
        <v/>
      </c>
      <c r="E1580" t="n">
        <v>110002</v>
      </c>
      <c r="F1580" t="n">
        <v>37337</v>
      </c>
      <c r="G1580" t="inlineStr">
        <is>
          <t>Discharge summary</t>
        </is>
      </c>
      <c r="H1580" t="inlineStr">
        <is>
          <t>discharge-instructions</t>
        </is>
      </c>
      <c r="I1580" t="inlineStr">
        <is>
          <t xml:space="preserve">
Date: [**2116-12-30**]
Time: 11:00am
Location: [**Hospital Ward Name 516**], [**Hospital Ward Name 23**] Bldg.</t>
        </is>
      </c>
    </row>
    <row r="1581">
      <c r="A1581" t="inlineStr">
        <is>
          <t>37337-discharge-instructions-3-2</t>
        </is>
      </c>
      <c r="B1581" t="inlineStr"/>
      <c r="C1581" t="inlineStr"/>
      <c r="D1581">
        <f>HYPERLINK("http://nlpdeep.cs.uic.edu:8080/proofing/gsii/37337-discharge-instructions-3-2.pdf","gsii/37337-discharge-instructions-3-2.pdf")</f>
        <v/>
      </c>
      <c r="E1581" t="n">
        <v>110002</v>
      </c>
      <c r="F1581" t="n">
        <v>37337</v>
      </c>
      <c r="G1581" t="inlineStr">
        <is>
          <t>Discharge summary</t>
        </is>
      </c>
      <c r="H1581" t="inlineStr">
        <is>
          <t>discharge-instructions</t>
        </is>
      </c>
      <c r="I1581" t="inlineStr">
        <is>
          <t xml:space="preserve">
Date: [**2116-12-30**]
Time: 11:00am
Location: [**Hospital Ward Name 516**], [**Hospital Ward Name 23**] Bldg.</t>
        </is>
      </c>
    </row>
    <row r="1582">
      <c r="A1582" t="inlineStr">
        <is>
          <t>37337-discharge-instructions-3-3</t>
        </is>
      </c>
      <c r="B1582" t="inlineStr"/>
      <c r="C1582" t="inlineStr"/>
      <c r="D1582">
        <f>HYPERLINK("http://nlpdeep.cs.uic.edu:8080/proofing/t5/37337-discharge-instructions-3-3.pdf","t5/37337-discharge-instructions-3-3.pdf")</f>
        <v/>
      </c>
      <c r="E1582" t="n">
        <v>110002</v>
      </c>
      <c r="F1582" t="n">
        <v>37337</v>
      </c>
      <c r="G1582" t="inlineStr">
        <is>
          <t>Discharge summary</t>
        </is>
      </c>
      <c r="H1582" t="inlineStr">
        <is>
          <t>discharge-instructions</t>
        </is>
      </c>
      <c r="I1582" t="inlineStr"/>
    </row>
    <row r="1583">
      <c r="A1583" t="inlineStr">
        <is>
          <t>37337-discharge-instructions-3-3</t>
        </is>
      </c>
      <c r="B1583" t="inlineStr"/>
      <c r="C1583" t="inlineStr"/>
      <c r="D1583">
        <f>HYPERLINK("http://nlpdeep.cs.uic.edu:8080/proofing/gsii/37337-discharge-instructions-3-3.pdf","gsii/37337-discharge-instructions-3-3.pdf")</f>
        <v/>
      </c>
      <c r="E1583" t="n">
        <v>110002</v>
      </c>
      <c r="F1583" t="n">
        <v>37337</v>
      </c>
      <c r="G1583" t="inlineStr">
        <is>
          <t>Discharge summary</t>
        </is>
      </c>
      <c r="H1583" t="inlineStr">
        <is>
          <t>discharge-instructions</t>
        </is>
      </c>
      <c r="I1583" t="inlineStr"/>
    </row>
    <row r="1584">
      <c r="A1584" t="inlineStr">
        <is>
          <t>37337-discharge-instructions-4-0</t>
        </is>
      </c>
      <c r="B1584" t="inlineStr"/>
      <c r="C1584" t="inlineStr"/>
      <c r="D1584">
        <f>HYPERLINK("http://nlpdeep.cs.uic.edu:8080/proofing/t5/37337-discharge-instructions-4-0.pdf","t5/37337-discharge-instructions-4-0.pdf")</f>
        <v/>
      </c>
      <c r="E1584" t="n">
        <v>110002</v>
      </c>
      <c r="F1584" t="n">
        <v>37337</v>
      </c>
      <c r="G1584" t="inlineStr">
        <is>
          <t>Discharge summary</t>
        </is>
      </c>
      <c r="H1584" t="inlineStr">
        <is>
          <t>discharge-instructions</t>
        </is>
      </c>
      <c r="I1584" t="inlineStr"/>
    </row>
    <row r="1585">
      <c r="A1585" t="inlineStr">
        <is>
          <t>37337-discharge-instructions-4-0</t>
        </is>
      </c>
      <c r="B1585" t="inlineStr"/>
      <c r="C1585" t="inlineStr"/>
      <c r="D1585">
        <f>HYPERLINK("http://nlpdeep.cs.uic.edu:8080/proofing/gsii/37337-discharge-instructions-4-0.pdf","gsii/37337-discharge-instructions-4-0.pdf")</f>
        <v/>
      </c>
      <c r="E1585" t="n">
        <v>110002</v>
      </c>
      <c r="F1585" t="n">
        <v>37337</v>
      </c>
      <c r="G1585" t="inlineStr">
        <is>
          <t>Discharge summary</t>
        </is>
      </c>
      <c r="H1585" t="inlineStr">
        <is>
          <t>discharge-instructions</t>
        </is>
      </c>
      <c r="I1585" t="inlineStr"/>
    </row>
    <row r="1586">
      <c r="A1586" t="inlineStr">
        <is>
          <t>37337-discharge-instructions-4-1</t>
        </is>
      </c>
      <c r="B1586" t="inlineStr"/>
      <c r="C1586" t="inlineStr"/>
      <c r="D1586">
        <f>HYPERLINK("http://nlpdeep.cs.uic.edu:8080/proofing/t5/37337-discharge-instructions-4-1.pdf","t5/37337-discharge-instructions-4-1.pdf")</f>
        <v/>
      </c>
      <c r="E1586" t="n">
        <v>110002</v>
      </c>
      <c r="F1586" t="n">
        <v>37337</v>
      </c>
      <c r="G1586" t="inlineStr">
        <is>
          <t>Discharge summary</t>
        </is>
      </c>
      <c r="H1586" t="inlineStr">
        <is>
          <t>discharge-instructions</t>
        </is>
      </c>
      <c r="I1586" t="inlineStr">
        <is>
          <t>[**First Name4 (NamePattern1) **] [**Last Name (NamePattern1) 42394**] [**Telephone/Fax (1) 83987**] within 1 week of discharge from
rehab.</t>
        </is>
      </c>
    </row>
    <row r="1587">
      <c r="A1587" t="inlineStr">
        <is>
          <t>37337-discharge-instructions-4-1</t>
        </is>
      </c>
      <c r="B1587" t="inlineStr"/>
      <c r="C1587" t="inlineStr"/>
      <c r="D1587">
        <f>HYPERLINK("http://nlpdeep.cs.uic.edu:8080/proofing/gsii/37337-discharge-instructions-4-1.pdf","gsii/37337-discharge-instructions-4-1.pdf")</f>
        <v/>
      </c>
      <c r="E1587" t="n">
        <v>110002</v>
      </c>
      <c r="F1587" t="n">
        <v>37337</v>
      </c>
      <c r="G1587" t="inlineStr">
        <is>
          <t>Discharge summary</t>
        </is>
      </c>
      <c r="H1587" t="inlineStr">
        <is>
          <t>discharge-instructions</t>
        </is>
      </c>
      <c r="I1587" t="inlineStr">
        <is>
          <t>[**First Name4 (NamePattern1) **] [**Last Name (NamePattern1) 42394**] [**Telephone/Fax (1) 83987**] within 1 week of discharge from
rehab.</t>
        </is>
      </c>
    </row>
    <row r="1588">
      <c r="A1588" t="inlineStr">
        <is>
          <t>37337-discharge-instructions-4-2</t>
        </is>
      </c>
      <c r="B1588" t="inlineStr"/>
      <c r="C1588" t="inlineStr"/>
      <c r="D1588">
        <f>HYPERLINK("http://nlpdeep.cs.uic.edu:8080/proofing/t5/37337-discharge-instructions-4-2.pdf","t5/37337-discharge-instructions-4-2.pdf")</f>
        <v/>
      </c>
      <c r="E1588" t="n">
        <v>110002</v>
      </c>
      <c r="F1588" t="n">
        <v>37337</v>
      </c>
      <c r="G1588" t="inlineStr">
        <is>
          <t>Discharge summary</t>
        </is>
      </c>
      <c r="H1588" t="inlineStr">
        <is>
          <t>discharge-instructions</t>
        </is>
      </c>
      <c r="I1588" t="inlineStr">
        <is>
          <t>Make sure you have your blood sugar checked at this visit
as you were started on an insulin regimen for diabetes while you
were an inpatient.</t>
        </is>
      </c>
    </row>
    <row r="1589">
      <c r="A1589" t="inlineStr">
        <is>
          <t>37337-discharge-instructions-4-2</t>
        </is>
      </c>
      <c r="B1589" t="inlineStr"/>
      <c r="C1589" t="inlineStr"/>
      <c r="D1589">
        <f>HYPERLINK("http://nlpdeep.cs.uic.edu:8080/proofing/gsii/37337-discharge-instructions-4-2.pdf","gsii/37337-discharge-instructions-4-2.pdf")</f>
        <v/>
      </c>
      <c r="E1589" t="n">
        <v>110002</v>
      </c>
      <c r="F1589" t="n">
        <v>37337</v>
      </c>
      <c r="G1589" t="inlineStr">
        <is>
          <t>Discharge summary</t>
        </is>
      </c>
      <c r="H1589" t="inlineStr">
        <is>
          <t>discharge-instructions</t>
        </is>
      </c>
      <c r="I1589" t="inlineStr">
        <is>
          <t>Make sure you have your blood sugar checked at this visit
as you were started on an insulin regimen for diabetes while you
were an inpatient.</t>
        </is>
      </c>
    </row>
    <row r="1590">
      <c r="A1590" t="inlineStr">
        <is>
          <t>503147-chief-complaint-0-0</t>
        </is>
      </c>
      <c r="B1590" t="inlineStr"/>
      <c r="C1590" t="inlineStr"/>
      <c r="D1590">
        <f>HYPERLINK("http://nlpdeep.cs.uic.edu:8080/proofing/t5/503147-chief-complaint-0-0.pdf","t5/503147-chief-complaint-0-0.pdf")</f>
        <v/>
      </c>
      <c r="E1590" t="n">
        <v>110002</v>
      </c>
      <c r="F1590" t="n">
        <v>503147</v>
      </c>
      <c r="G1590" t="inlineStr">
        <is>
          <t>Consult</t>
        </is>
      </c>
      <c r="H1590" t="inlineStr">
        <is>
          <t>chief-complaint</t>
        </is>
      </c>
      <c r="I1590" t="inlineStr">
        <is>
          <t>27M with DM admitted with MSSA PNA c/b klebsiella VAP.</t>
        </is>
      </c>
    </row>
    <row r="1591">
      <c r="A1591" t="inlineStr">
        <is>
          <t>503147-chief-complaint-0-0</t>
        </is>
      </c>
      <c r="B1591" t="inlineStr"/>
      <c r="C1591" t="inlineStr"/>
      <c r="D1591">
        <f>HYPERLINK("http://nlpdeep.cs.uic.edu:8080/proofing/gsii/503147-chief-complaint-0-0.pdf","gsii/503147-chief-complaint-0-0.pdf")</f>
        <v/>
      </c>
      <c r="E1591" t="n">
        <v>110002</v>
      </c>
      <c r="F1591" t="n">
        <v>503147</v>
      </c>
      <c r="G1591" t="inlineStr">
        <is>
          <t>Consult</t>
        </is>
      </c>
      <c r="H1591" t="inlineStr">
        <is>
          <t>chief-complaint</t>
        </is>
      </c>
      <c r="I1591" t="inlineStr">
        <is>
          <t>27M with DM admitted with MSSA PNA c/b klebsiella VAP.</t>
        </is>
      </c>
    </row>
    <row r="1592">
      <c r="A1592" t="inlineStr">
        <is>
          <t>503147-chief-complaint-0-1</t>
        </is>
      </c>
      <c r="B1592" t="inlineStr"/>
      <c r="C1592" t="inlineStr"/>
      <c r="D1592">
        <f>HYPERLINK("http://nlpdeep.cs.uic.edu:8080/proofing/t5/503147-chief-complaint-0-1.pdf","t5/503147-chief-complaint-0-1.pdf")</f>
        <v/>
      </c>
      <c r="E1592" t="n">
        <v>110002</v>
      </c>
      <c r="F1592" t="n">
        <v>503147</v>
      </c>
      <c r="G1592" t="inlineStr">
        <is>
          <t>Consult</t>
        </is>
      </c>
      <c r="H1592" t="inlineStr">
        <is>
          <t>chief-complaint</t>
        </is>
      </c>
      <c r="I1592" t="inlineStr">
        <is>
          <t xml:space="preserve">
   Found to have WCT then narrow complex tachcyardia yesterday during HD
   that resolved with adenosine, likely SVT with aberrancy.</t>
        </is>
      </c>
    </row>
    <row r="1593">
      <c r="A1593" t="inlineStr">
        <is>
          <t>503147-chief-complaint-0-1</t>
        </is>
      </c>
      <c r="B1593" t="inlineStr"/>
      <c r="C1593" t="inlineStr"/>
      <c r="D1593">
        <f>HYPERLINK("http://nlpdeep.cs.uic.edu:8080/proofing/gsii/503147-chief-complaint-0-1.pdf","gsii/503147-chief-complaint-0-1.pdf")</f>
        <v/>
      </c>
      <c r="E1593" t="n">
        <v>110002</v>
      </c>
      <c r="F1593" t="n">
        <v>503147</v>
      </c>
      <c r="G1593" t="inlineStr">
        <is>
          <t>Consult</t>
        </is>
      </c>
      <c r="H1593" t="inlineStr">
        <is>
          <t>chief-complaint</t>
        </is>
      </c>
      <c r="I1593" t="inlineStr">
        <is>
          <t xml:space="preserve">
   Found to have WCT then narrow complex tachcyardia yesterday during HD
   that resolved with adenosine, likely SVT with aberrancy.</t>
        </is>
      </c>
    </row>
    <row r="1594">
      <c r="A1594" t="inlineStr">
        <is>
          <t>503147-24-hour-events-0-0</t>
        </is>
      </c>
      <c r="B1594" t="inlineStr"/>
      <c r="C1594" t="inlineStr"/>
      <c r="D1594">
        <f>HYPERLINK("http://nlpdeep.cs.uic.edu:8080/proofing/t5/503147-24-hour-events-0-0.pdf","t5/503147-24-hour-events-0-0.pdf")</f>
        <v/>
      </c>
      <c r="E1594" t="n">
        <v>110002</v>
      </c>
      <c r="F1594" t="n">
        <v>503147</v>
      </c>
      <c r="G1594" t="inlineStr">
        <is>
          <t>Consult</t>
        </is>
      </c>
      <c r="H1594" t="inlineStr">
        <is>
          <t>24-hour-events</t>
        </is>
      </c>
      <c r="I1594" t="inlineStr">
        <is>
          <t>FEVER - 102.6
F - [**2117-11-1**] 03:00 PM
   -no further episodes of tachycardia since yesterday afternoon
   -started on metoprolol 12.5 [</t>
        </is>
      </c>
    </row>
    <row r="1595">
      <c r="A1595" t="inlineStr">
        <is>
          <t>503147-24-hour-events-0-0</t>
        </is>
      </c>
      <c r="B1595" t="inlineStr"/>
      <c r="C1595" t="inlineStr"/>
      <c r="D1595">
        <f>HYPERLINK("http://nlpdeep.cs.uic.edu:8080/proofing/gsii/503147-24-hour-events-0-0.pdf","gsii/503147-24-hour-events-0-0.pdf")</f>
        <v/>
      </c>
      <c r="E1595" t="n">
        <v>110002</v>
      </c>
      <c r="F1595" t="n">
        <v>503147</v>
      </c>
      <c r="G1595" t="inlineStr">
        <is>
          <t>Consult</t>
        </is>
      </c>
      <c r="H1595" t="inlineStr">
        <is>
          <t>24-hour-events</t>
        </is>
      </c>
      <c r="I1595" t="inlineStr">
        <is>
          <t>FEVER - 102.6
F - [**2117-11-1**] 03:00 PM
   -no further episodes of tachycardia since yesterday afternoon
   -started on metoprolol 12.5 [</t>
        </is>
      </c>
    </row>
    <row r="1596">
      <c r="A1596" t="inlineStr">
        <is>
          <t>503147-current-medications-0-0</t>
        </is>
      </c>
      <c r="B1596" t="inlineStr"/>
      <c r="C1596" t="inlineStr"/>
      <c r="D1596">
        <f>HYPERLINK("http://nlpdeep.cs.uic.edu:8080/proofing/t5/503147-current-medications-0-0.pdf","t5/503147-current-medications-0-0.pdf")</f>
        <v/>
      </c>
      <c r="E1596" t="n">
        <v>110002</v>
      </c>
      <c r="F1596" t="n">
        <v>503147</v>
      </c>
      <c r="G1596" t="inlineStr">
        <is>
          <t>Consult</t>
        </is>
      </c>
      <c r="H1596" t="inlineStr">
        <is>
          <t>current-medications</t>
        </is>
      </c>
      <c r="I1596" t="inlineStr">
        <is>
          <t>Vancomycin - [**2117-10-31**] 12:00 AM
   Cefipime - [**2117-10-31**] 04:00 AM
   Gentamicin - [**2117-11-1**] 03:18 PM
   Meropenem - [**2117-11-1**] 08:00 PM
   Nafcillin - [**2117-11-2**] 06:12 AM
   Infusions:
   Midazolam (Versed) - 3 mg/hour
   Fentanyl - 80 mcg/hour
   Amiodarone - 0.5 mg/min
   Other ICU medications:
   Heparin Sodium (Prophylaxis) - [**2117-11-2**] 12:00 AM
   Famotidine (Pepcid) - [**2117-11-2**] 04:06 AM
   Other medications:
   Metoprolol 12.5mg [</t>
        </is>
      </c>
    </row>
    <row r="1597">
      <c r="A1597" t="inlineStr">
        <is>
          <t>503147-current-medications-0-0</t>
        </is>
      </c>
      <c r="B1597" t="inlineStr"/>
      <c r="C1597" t="inlineStr"/>
      <c r="D1597">
        <f>HYPERLINK("http://nlpdeep.cs.uic.edu:8080/proofing/gsii/503147-current-medications-0-0.pdf","gsii/503147-current-medications-0-0.pdf")</f>
        <v/>
      </c>
      <c r="E1597" t="n">
        <v>110002</v>
      </c>
      <c r="F1597" t="n">
        <v>503147</v>
      </c>
      <c r="G1597" t="inlineStr">
        <is>
          <t>Consult</t>
        </is>
      </c>
      <c r="H1597" t="inlineStr">
        <is>
          <t>current-medications</t>
        </is>
      </c>
      <c r="I1597" t="inlineStr">
        <is>
          <t>Vancomycin - [**2117-10-31**] 12:00 AM
   Cefipime - [**2117-10-31**] 04:00 AM
   Gentamicin - [**2117-11-1**] 03:18 PM
   Meropenem - [**2117-11-1**] 08:00 PM
   Nafcillin - [**2117-11-2**] 06:12 AM
   Infusions:
   Midazolam (Versed) - 3 mg/hour
   Fentanyl - 80 mcg/hour
   Amiodarone - 0.5 mg/min
   Other ICU medications:
   Heparin Sodium (Prophylaxis) - [**2117-11-2**] 12:00 AM
   Famotidine (Pepcid) - [**2117-11-2**] 04:06 AM
   Other medications:
   Metoprolol 12.5mg [</t>
        </is>
      </c>
    </row>
    <row r="1598">
      <c r="A1598" t="inlineStr">
        <is>
          <t>503147-labs-imaging-0-0</t>
        </is>
      </c>
      <c r="B1598" t="inlineStr"/>
      <c r="C1598" t="inlineStr"/>
      <c r="D1598">
        <f>HYPERLINK("http://nlpdeep.cs.uic.edu:8080/proofing/t5/503147-labs-imaging-0-0.pdf","t5/503147-labs-imaging-0-0.pdf")</f>
        <v/>
      </c>
      <c r="E1598" t="n">
        <v>110002</v>
      </c>
      <c r="F1598" t="n">
        <v>503147</v>
      </c>
      <c r="G1598" t="inlineStr">
        <is>
          <t>Consult</t>
        </is>
      </c>
      <c r="H1598" t="inlineStr">
        <is>
          <t>labs-imaging</t>
        </is>
      </c>
      <c r="I1598" t="inlineStr">
        <is>
          <t>261 K/uL
   8.8 g/dL
   172 mg/dL
   8.8 mg/dL
   24 mEq/L
   4.5 mEq/L
   84 mg/dL
   97 mEq/L
   137 mEq/L
   26.5 %
   9.5 K/uL
        [image002.jpg]
                            [**2117-11-1**]  03:49 AM
                            [**2117-11-1**]  03:58 AM
                            [**2117-11-1**]  11:13 AM
                            [**2117-11-1**]  01:50 PM
                            [**2117-11-1**]  01:55 PM
                            [**2117-11-1**]  01:58 PM
                             [**2117-11-2**]  02:16 AM
                             [**2117-11-2**]  02:33 AM
                             [**2117-11-2**]  05:09 AM
                             [**2117-11-2**]  06:15 AM
   WBC
   10.3
   11.2
   9.5
   Hct
   30.0
   27.1
   26.5
   Plt
   292
   286
   261
   Cr
   9.4
   7.5
   8.8
   TCO2
   26
   25
   29
   28
   29
   28
   Glucose
   199
   191
   172
   Other labs: PT / PTT / INR:15.0/33.5/1.3, CK / CKMB /
   Troponin-T:550/2/0.21, ALT / AST:50/85, Alk Phos / T Bili:246/2.4,
   Amylase / Lipase:57/, Differential-Neuts:82.0 %, Band:1.0 %, Lymph:10.0
   %, Mono:6.0 %, Eos:1.0 %, Lactic Acid:1.4 mmol/L, Albumin:1.9 g/dL,
   LDH:321 IU/L, Ca++:7.7 mg/dL, Mg++:2.2 mg/dL, PO4:5.9 mg/d</t>
        </is>
      </c>
    </row>
    <row r="1599">
      <c r="A1599" t="inlineStr">
        <is>
          <t>503147-labs-imaging-0-0</t>
        </is>
      </c>
      <c r="B1599" t="inlineStr"/>
      <c r="C1599" t="inlineStr"/>
      <c r="D1599">
        <f>HYPERLINK("http://nlpdeep.cs.uic.edu:8080/proofing/gsii/503147-labs-imaging-0-0.pdf","gsii/503147-labs-imaging-0-0.pdf")</f>
        <v/>
      </c>
      <c r="E1599" t="n">
        <v>110002</v>
      </c>
      <c r="F1599" t="n">
        <v>503147</v>
      </c>
      <c r="G1599" t="inlineStr">
        <is>
          <t>Consult</t>
        </is>
      </c>
      <c r="H1599" t="inlineStr">
        <is>
          <t>labs-imaging</t>
        </is>
      </c>
      <c r="I1599" t="inlineStr">
        <is>
          <t>261 K/uL
   8.8 g/dL
   172 mg/dL
   8.8 mg/dL
   24 mEq/L
   4.5 mEq/L
   84 mg/dL
   97 mEq/L
   137 mEq/L
   26.5 %
   9.5 K/uL
        [image002.jpg]
                            [**2117-11-1**]  03:49 AM
                            [**2117-11-1**]  03:58 AM
                            [**2117-11-1**]  11:13 AM
                            [**2117-11-1**]  01:50 PM
                            [**2117-11-1**]  01:55 PM
                            [**2117-11-1**]  01:58 PM
                             [**2117-11-2**]  02:16 AM
                             [**2117-11-2**]  02:33 AM
                             [**2117-11-2**]  05:09 AM
                             [**2117-11-2**]  06:15 AM
   WBC
   10.3
   11.2
   9.5
   Hct
   30.0
   27.1
   26.5
   Plt
   292
   286
   261
   Cr
   9.4
   7.5
   8.8
   TCO2
   26
   25
   29
   28
   29
   28
   Glucose
   199
   191
   172
   Other labs: PT / PTT / INR:15.0/33.5/1.3, CK / CKMB /
   Troponin-T:550/2/0.21, ALT / AST:50/85, Alk Phos / T Bili:246/2.4,
   Amylase / Lipase:57/, Differential-Neuts:82.0 %, Band:1.0 %, Lymph:10.0
   %, Mono:6.0 %, Eos:1.0 %, Lactic Acid:1.4 mmol/L, Albumin:1.9 g/dL,
   LDH:321 IU/L, Ca++:7.7 mg/dL, Mg++:2.2 mg/dL, PO4:5.9 mg/d</t>
        </is>
      </c>
    </row>
    <row r="1600">
      <c r="A1600" t="inlineStr">
        <is>
          <t>503147-assessment-and-plan-0-0</t>
        </is>
      </c>
      <c r="B1600" t="inlineStr"/>
      <c r="C1600" t="inlineStr"/>
      <c r="D1600">
        <f>HYPERLINK("http://nlpdeep.cs.uic.edu:8080/proofing/t5/503147-assessment-and-plan-0-0.pdf","t5/503147-assessment-and-plan-0-0.pdf")</f>
        <v/>
      </c>
      <c r="E1600" t="n">
        <v>110002</v>
      </c>
      <c r="F1600" t="n">
        <v>503147</v>
      </c>
      <c r="G1600" t="inlineStr">
        <is>
          <t>Consult</t>
        </is>
      </c>
      <c r="H1600" t="inlineStr">
        <is>
          <t>assessment-and-plan</t>
        </is>
      </c>
      <c r="I1600" t="inlineStr">
        <is>
          <t>37M with DM in MICU with MSSA and Klebsiella PNA, who had WCT and
   narrow-complex tachycardia during HD yesterday that appears most
   consistent with SVT with aberrancy (AVRNT vs AVRT).</t>
        </is>
      </c>
    </row>
    <row r="1601">
      <c r="A1601" t="inlineStr">
        <is>
          <t>503147-assessment-and-plan-0-0</t>
        </is>
      </c>
      <c r="B1601" t="inlineStr"/>
      <c r="C1601" t="inlineStr"/>
      <c r="D1601">
        <f>HYPERLINK("http://nlpdeep.cs.uic.edu:8080/proofing/gsii/503147-assessment-and-plan-0-0.pdf","gsii/503147-assessment-and-plan-0-0.pdf")</f>
        <v/>
      </c>
      <c r="E1601" t="n">
        <v>110002</v>
      </c>
      <c r="F1601" t="n">
        <v>503147</v>
      </c>
      <c r="G1601" t="inlineStr">
        <is>
          <t>Consult</t>
        </is>
      </c>
      <c r="H1601" t="inlineStr">
        <is>
          <t>assessment-and-plan</t>
        </is>
      </c>
      <c r="I1601" t="inlineStr">
        <is>
          <t>37M with DM in MICU with MSSA and Klebsiella PNA, who had WCT and
   narrow-complex tachycardia during HD yesterday that appears most
   consistent with SVT with aberrancy (AVRNT vs AVRT).</t>
        </is>
      </c>
    </row>
    <row r="1602">
      <c r="A1602" t="inlineStr">
        <is>
          <t>503147-assessment-and-plan-0-1</t>
        </is>
      </c>
      <c r="B1602" t="inlineStr"/>
      <c r="C1602" t="inlineStr"/>
      <c r="D1602">
        <f>HYPERLINK("http://nlpdeep.cs.uic.edu:8080/proofing/t5/503147-assessment-and-plan-0-1.pdf","t5/503147-assessment-and-plan-0-1.pdf")</f>
        <v/>
      </c>
      <c r="E1602" t="n">
        <v>110002</v>
      </c>
      <c r="F1602" t="n">
        <v>503147</v>
      </c>
      <c r="G1602" t="inlineStr">
        <is>
          <t>Consult</t>
        </is>
      </c>
      <c r="H1602" t="inlineStr">
        <is>
          <t>assessment-and-plan</t>
        </is>
      </c>
      <c r="I1602" t="inlineStr">
        <is>
          <t>No further episodes
   of tachycardia since yesterday and has tolerated metoprolol.</t>
        </is>
      </c>
    </row>
    <row r="1603">
      <c r="A1603" t="inlineStr">
        <is>
          <t>503147-assessment-and-plan-0-1</t>
        </is>
      </c>
      <c r="B1603" t="inlineStr"/>
      <c r="C1603" t="inlineStr"/>
      <c r="D1603">
        <f>HYPERLINK("http://nlpdeep.cs.uic.edu:8080/proofing/gsii/503147-assessment-and-plan-0-1.pdf","gsii/503147-assessment-and-plan-0-1.pdf")</f>
        <v/>
      </c>
      <c r="E1603" t="n">
        <v>110002</v>
      </c>
      <c r="F1603" t="n">
        <v>503147</v>
      </c>
      <c r="G1603" t="inlineStr">
        <is>
          <t>Consult</t>
        </is>
      </c>
      <c r="H1603" t="inlineStr">
        <is>
          <t>assessment-and-plan</t>
        </is>
      </c>
      <c r="I1603" t="inlineStr">
        <is>
          <t>No further episodes
   of tachycardia since yesterday and has tolerated metoprolol.</t>
        </is>
      </c>
    </row>
    <row r="1604">
      <c r="A1604" t="inlineStr">
        <is>
          <t>503147-assessment-and-plan-0-2</t>
        </is>
      </c>
      <c r="B1604" t="inlineStr"/>
      <c r="C1604" t="inlineStr"/>
      <c r="D1604">
        <f>HYPERLINK("http://nlpdeep.cs.uic.edu:8080/proofing/t5/503147-assessment-and-plan-0-2.pdf","t5/503147-assessment-and-plan-0-2.pdf")</f>
        <v/>
      </c>
      <c r="E1604" t="n">
        <v>110002</v>
      </c>
      <c r="F1604" t="n">
        <v>503147</v>
      </c>
      <c r="G1604" t="inlineStr">
        <is>
          <t>Consult</t>
        </is>
      </c>
      <c r="H1604" t="inlineStr">
        <is>
          <t>assessment-and-plan</t>
        </is>
      </c>
      <c r="I1604" t="inlineStr">
        <is>
          <t xml:space="preserve">
   -continue metoprolol, would uptitrate as tolerated by blood pressure
   -no need for further amiodarone once 24hr drip has been completed
</t>
        </is>
      </c>
    </row>
    <row r="1605">
      <c r="A1605" t="inlineStr">
        <is>
          <t>503147-assessment-and-plan-0-2</t>
        </is>
      </c>
      <c r="B1605" t="inlineStr"/>
      <c r="C1605" t="inlineStr"/>
      <c r="D1605">
        <f>HYPERLINK("http://nlpdeep.cs.uic.edu:8080/proofing/gsii/503147-assessment-and-plan-0-2.pdf","gsii/503147-assessment-and-plan-0-2.pdf")</f>
        <v/>
      </c>
      <c r="E1605" t="n">
        <v>110002</v>
      </c>
      <c r="F1605" t="n">
        <v>503147</v>
      </c>
      <c r="G1605" t="inlineStr">
        <is>
          <t>Consult</t>
        </is>
      </c>
      <c r="H1605" t="inlineStr">
        <is>
          <t>assessment-and-plan</t>
        </is>
      </c>
      <c r="I1605" t="inlineStr">
        <is>
          <t xml:space="preserve">
   -continue metoprolol, would uptitrate as tolerated by blood pressure
   -no need for further amiodarone once 24hr drip has been completed
</t>
        </is>
      </c>
    </row>
    <row r="1606">
      <c r="A1606" t="inlineStr">
        <is>
          <t>503148-chief-complaint-0-0</t>
        </is>
      </c>
      <c r="B1606" t="inlineStr"/>
      <c r="C1606" t="inlineStr"/>
      <c r="D1606">
        <f>HYPERLINK("http://nlpdeep.cs.uic.edu:8080/proofing/t5/503148-chief-complaint-0-0.pdf","t5/503148-chief-complaint-0-0.pdf")</f>
        <v/>
      </c>
      <c r="E1606" t="n">
        <v>110002</v>
      </c>
      <c r="F1606" t="n">
        <v>503148</v>
      </c>
      <c r="G1606" t="inlineStr">
        <is>
          <t>Consult</t>
        </is>
      </c>
      <c r="H1606" t="inlineStr">
        <is>
          <t>chief-complaint</t>
        </is>
      </c>
      <c r="I1606" t="inlineStr">
        <is>
          <t>27M with DM admitted with MSSA PNA c/b klebsiella VAP,
   ARF requiring HD, septic shock.</t>
        </is>
      </c>
    </row>
    <row r="1607">
      <c r="A1607" t="inlineStr">
        <is>
          <t>503148-chief-complaint-0-0</t>
        </is>
      </c>
      <c r="B1607" t="inlineStr"/>
      <c r="C1607" t="inlineStr"/>
      <c r="D1607">
        <f>HYPERLINK("http://nlpdeep.cs.uic.edu:8080/proofing/gsii/503148-chief-complaint-0-0.pdf","gsii/503148-chief-complaint-0-0.pdf")</f>
        <v/>
      </c>
      <c r="E1607" t="n">
        <v>110002</v>
      </c>
      <c r="F1607" t="n">
        <v>503148</v>
      </c>
      <c r="G1607" t="inlineStr">
        <is>
          <t>Consult</t>
        </is>
      </c>
      <c r="H1607" t="inlineStr">
        <is>
          <t>chief-complaint</t>
        </is>
      </c>
      <c r="I1607" t="inlineStr">
        <is>
          <t>27M with DM admitted with MSSA PNA c/b klebsiella VAP,
   ARF requiring HD, septic shock.</t>
        </is>
      </c>
    </row>
    <row r="1608">
      <c r="A1608" t="inlineStr">
        <is>
          <t>503148-chief-complaint-0-1</t>
        </is>
      </c>
      <c r="B1608" t="inlineStr"/>
      <c r="C1608" t="inlineStr"/>
      <c r="D1608">
        <f>HYPERLINK("http://nlpdeep.cs.uic.edu:8080/proofing/t5/503148-chief-complaint-0-1.pdf","t5/503148-chief-complaint-0-1.pdf")</f>
        <v/>
      </c>
      <c r="E1608" t="n">
        <v>110002</v>
      </c>
      <c r="F1608" t="n">
        <v>503148</v>
      </c>
      <c r="G1608" t="inlineStr">
        <is>
          <t>Consult</t>
        </is>
      </c>
      <c r="H1608" t="inlineStr">
        <is>
          <t>chief-complaint</t>
        </is>
      </c>
      <c r="I1608" t="inlineStr">
        <is>
          <t>Found to have WCT then narrow complex
   tachcyardia yesterday during HD that resolved with adenosine, likely
   SVT with aberrancy.</t>
        </is>
      </c>
    </row>
    <row r="1609">
      <c r="A1609" t="inlineStr">
        <is>
          <t>503148-chief-complaint-0-1</t>
        </is>
      </c>
      <c r="B1609" t="inlineStr"/>
      <c r="C1609" t="inlineStr"/>
      <c r="D1609">
        <f>HYPERLINK("http://nlpdeep.cs.uic.edu:8080/proofing/gsii/503148-chief-complaint-0-1.pdf","gsii/503148-chief-complaint-0-1.pdf")</f>
        <v/>
      </c>
      <c r="E1609" t="n">
        <v>110002</v>
      </c>
      <c r="F1609" t="n">
        <v>503148</v>
      </c>
      <c r="G1609" t="inlineStr">
        <is>
          <t>Consult</t>
        </is>
      </c>
      <c r="H1609" t="inlineStr">
        <is>
          <t>chief-complaint</t>
        </is>
      </c>
      <c r="I1609" t="inlineStr">
        <is>
          <t>Found to have WCT then narrow complex
   tachcyardia yesterday during HD that resolved with adenosine, likely
   SVT with aberrancy.</t>
        </is>
      </c>
    </row>
    <row r="1610">
      <c r="A1610" t="inlineStr">
        <is>
          <t>503148-24-hour-events-0-0</t>
        </is>
      </c>
      <c r="B1610" t="inlineStr"/>
      <c r="C1610" t="inlineStr"/>
      <c r="D1610">
        <f>HYPERLINK("http://nlpdeep.cs.uic.edu:8080/proofing/t5/503148-24-hour-events-0-0.pdf","t5/503148-24-hour-events-0-0.pdf")</f>
        <v/>
      </c>
      <c r="E1610" t="n">
        <v>110002</v>
      </c>
      <c r="F1610" t="n">
        <v>503148</v>
      </c>
      <c r="G1610" t="inlineStr">
        <is>
          <t>Consult</t>
        </is>
      </c>
      <c r="H1610" t="inlineStr">
        <is>
          <t>24-hour-events</t>
        </is>
      </c>
      <c r="I1610" t="inlineStr">
        <is>
          <t>FEVER - 102.6
F - [**2117-11-1**] 03:00 PM
   -no further episodes of tachycardia since yesterday afternoon
   -started on metoprolol 12.5 [</t>
        </is>
      </c>
    </row>
    <row r="1611">
      <c r="A1611" t="inlineStr">
        <is>
          <t>503148-24-hour-events-0-0</t>
        </is>
      </c>
      <c r="B1611" t="inlineStr"/>
      <c r="C1611" t="inlineStr"/>
      <c r="D1611">
        <f>HYPERLINK("http://nlpdeep.cs.uic.edu:8080/proofing/gsii/503148-24-hour-events-0-0.pdf","gsii/503148-24-hour-events-0-0.pdf")</f>
        <v/>
      </c>
      <c r="E1611" t="n">
        <v>110002</v>
      </c>
      <c r="F1611" t="n">
        <v>503148</v>
      </c>
      <c r="G1611" t="inlineStr">
        <is>
          <t>Consult</t>
        </is>
      </c>
      <c r="H1611" t="inlineStr">
        <is>
          <t>24-hour-events</t>
        </is>
      </c>
      <c r="I1611" t="inlineStr">
        <is>
          <t>FEVER - 102.6
F - [**2117-11-1**] 03:00 PM
   -no further episodes of tachycardia since yesterday afternoon
   -started on metoprolol 12.5 [</t>
        </is>
      </c>
    </row>
    <row r="1612">
      <c r="A1612" t="inlineStr">
        <is>
          <t>503148-current-medications-0-0</t>
        </is>
      </c>
      <c r="B1612" t="inlineStr"/>
      <c r="C1612" t="inlineStr"/>
      <c r="D1612">
        <f>HYPERLINK("http://nlpdeep.cs.uic.edu:8080/proofing/t5/503148-current-medications-0-0.pdf","t5/503148-current-medications-0-0.pdf")</f>
        <v/>
      </c>
      <c r="E1612" t="n">
        <v>110002</v>
      </c>
      <c r="F1612" t="n">
        <v>503148</v>
      </c>
      <c r="G1612" t="inlineStr">
        <is>
          <t>Consult</t>
        </is>
      </c>
      <c r="H1612" t="inlineStr">
        <is>
          <t>current-medications</t>
        </is>
      </c>
      <c r="I1612" t="inlineStr">
        <is>
          <t>Vancomycin - [**2117-10-31**] 12:00 AM
   Cefipime - [**2117-10-31**] 04:00 AM
   Gentamicin - [**2117-11-1**] 03:18 PM
   Meropenem - [**2117-11-1**] 08:00 PM
   Nafcillin - [**2117-11-2**] 06:12 AM
   Infusions:
   Midazolam (Versed) - 3 mg/hour
   Fentanyl - 80 mcg/hour
   Amiodarone - 0.5 mg/min
   Other ICU medications:
   Heparin Sodium (Prophylaxis) - [**2117-11-2**] 12:00 AM
   Famotidine (Pepcid) - [**2117-11-2**] 04:06 AM
   Other medications:
   Metoprolol 12.5mg [**Hospital1 **]
   Changes to medical and family history:
   Review of systems is unchanged from admission except as noted b</t>
        </is>
      </c>
    </row>
    <row r="1613">
      <c r="A1613" t="inlineStr">
        <is>
          <t>503148-current-medications-0-0</t>
        </is>
      </c>
      <c r="B1613" t="inlineStr"/>
      <c r="C1613" t="inlineStr"/>
      <c r="D1613">
        <f>HYPERLINK("http://nlpdeep.cs.uic.edu:8080/proofing/gsii/503148-current-medications-0-0.pdf","gsii/503148-current-medications-0-0.pdf")</f>
        <v/>
      </c>
      <c r="E1613" t="n">
        <v>110002</v>
      </c>
      <c r="F1613" t="n">
        <v>503148</v>
      </c>
      <c r="G1613" t="inlineStr">
        <is>
          <t>Consult</t>
        </is>
      </c>
      <c r="H1613" t="inlineStr">
        <is>
          <t>current-medications</t>
        </is>
      </c>
      <c r="I1613" t="inlineStr">
        <is>
          <t>Vancomycin - [**2117-10-31**] 12:00 AM
   Cefipime - [**2117-10-31**] 04:00 AM
   Gentamicin - [**2117-11-1**] 03:18 PM
   Meropenem - [**2117-11-1**] 08:00 PM
   Nafcillin - [**2117-11-2**] 06:12 AM
   Infusions:
   Midazolam (Versed) - 3 mg/hour
   Fentanyl - 80 mcg/hour
   Amiodarone - 0.5 mg/min
   Other ICU medications:
   Heparin Sodium (Prophylaxis) - [**2117-11-2**] 12:00 AM
   Famotidine (Pepcid) - [**2117-11-2**] 04:06 AM
   Other medications:
   Metoprolol 12.5mg [**Hospital1 **]
   Changes to medical and family history:
   Review of systems is unchanged from admission except as noted b</t>
        </is>
      </c>
    </row>
    <row r="1614">
      <c r="A1614" t="inlineStr">
        <is>
          <t>503148-physical-examination-0-0</t>
        </is>
      </c>
      <c r="B1614" t="inlineStr"/>
      <c r="C1614" t="inlineStr"/>
      <c r="D1614">
        <f>HYPERLINK("http://nlpdeep.cs.uic.edu:8080/proofing/t5/503148-physical-examination-0-0.pdf","t5/503148-physical-examination-0-0.pdf")</f>
        <v/>
      </c>
      <c r="E1614" t="n">
        <v>110002</v>
      </c>
      <c r="F1614" t="n">
        <v>503148</v>
      </c>
      <c r="G1614" t="inlineStr">
        <is>
          <t>Consult</t>
        </is>
      </c>
      <c r="H1614" t="inlineStr">
        <is>
          <t>physical-examination</t>
        </is>
      </c>
      <c r="I1614" t="inlineStr">
        <is>
          <t>Gen: intubated, sedated
   CV: s1/s2, rrr, no mrg
   Chest: CTA anteriorly
   Abd: soft, nt/nd +bs
   Ext: no c/c/e</t>
        </is>
      </c>
    </row>
    <row r="1615">
      <c r="A1615" t="inlineStr">
        <is>
          <t>503148-physical-examination-0-0</t>
        </is>
      </c>
      <c r="B1615" t="inlineStr"/>
      <c r="C1615" t="inlineStr"/>
      <c r="D1615">
        <f>HYPERLINK("http://nlpdeep.cs.uic.edu:8080/proofing/gsii/503148-physical-examination-0-0.pdf","gsii/503148-physical-examination-0-0.pdf")</f>
        <v/>
      </c>
      <c r="E1615" t="n">
        <v>110002</v>
      </c>
      <c r="F1615" t="n">
        <v>503148</v>
      </c>
      <c r="G1615" t="inlineStr">
        <is>
          <t>Consult</t>
        </is>
      </c>
      <c r="H1615" t="inlineStr">
        <is>
          <t>physical-examination</t>
        </is>
      </c>
      <c r="I1615" t="inlineStr">
        <is>
          <t>Gen: intubated, sedated
   CV: s1/s2, rrr, no mrg
   Chest: CTA anteriorly
   Abd: soft, nt/nd +bs
   Ext: no c/c/e</t>
        </is>
      </c>
    </row>
    <row r="1616">
      <c r="A1616" t="inlineStr">
        <is>
          <t>503148-labs-imaging-0-0</t>
        </is>
      </c>
      <c r="B1616" t="inlineStr"/>
      <c r="C1616" t="inlineStr"/>
      <c r="D1616">
        <f>HYPERLINK("http://nlpdeep.cs.uic.edu:8080/proofing/t5/503148-labs-imaging-0-0.pdf","t5/503148-labs-imaging-0-0.pdf")</f>
        <v/>
      </c>
      <c r="E1616" t="n">
        <v>110002</v>
      </c>
      <c r="F1616" t="n">
        <v>503148</v>
      </c>
      <c r="G1616" t="inlineStr">
        <is>
          <t>Consult</t>
        </is>
      </c>
      <c r="H1616" t="inlineStr">
        <is>
          <t>labs-imaging</t>
        </is>
      </c>
      <c r="I1616" t="inlineStr">
        <is>
          <t>261 K/uL
   8.8 g/dL
   172 mg/dL
   8.8 mg/dL
   24 mEq/L
   4.5 mEq/L
   84 mg/dL
   97 mEq/L
   137 mEq/L
   26.5 %
   9.5 K/uL
        [image002.jpg]
                            [**2117-11-1**]  03:49 AM
                            [**2117-11-1**]  03:58 AM
                            [**2117-11-1**]  11:13 AM
                            [**2117-11-1**]  01:50 PM
                            [**2117-11-1**]  01:55 PM
                            [**2117-11-1**]  01:58 PM
                             [**2117-11-2**]  02:16 AM
                             [**2117-11-2**]  02:33 AM
                             [**2117-11-2**]  05:09 AM
                             [**2117-11-2**]  06:15 AM
   WBC
   10.3
   11.2
   9.5
   Hct
   30.0
   27.1
   26.5
   Plt
   292
   286
   261
   Cr
   9.4
   7.5
   8.8
   TCO2
   26
   25
   29
   28
   29
   28
   Glucose
   199
   191
   172
   Other labs: PT / PTT / INR:15.0/33.5/1.3, CK / CKMB /
   Troponin-T:550/2/0.21, ALT / AST:50/85, Alk Phos / T Bili:246/2.4,
   Amylase / Lipase:57/, Differential-Neuts:82.0 %, Band:1.0 %, Lymph:10.0
   %, Mono:6.0 %, Eos:1.0 %, Lactic Acid:1.4 mmol/L, Albumin:1.9 g/dL,
   LDH:321 IU/L, Ca++:7.7 mg/dL, Mg++:2.2 mg/dL, PO4:5.9 mg/d</t>
        </is>
      </c>
    </row>
    <row r="1617">
      <c r="A1617" t="inlineStr">
        <is>
          <t>503148-labs-imaging-0-0</t>
        </is>
      </c>
      <c r="B1617" t="inlineStr"/>
      <c r="C1617" t="inlineStr"/>
      <c r="D1617">
        <f>HYPERLINK("http://nlpdeep.cs.uic.edu:8080/proofing/gsii/503148-labs-imaging-0-0.pdf","gsii/503148-labs-imaging-0-0.pdf")</f>
        <v/>
      </c>
      <c r="E1617" t="n">
        <v>110002</v>
      </c>
      <c r="F1617" t="n">
        <v>503148</v>
      </c>
      <c r="G1617" t="inlineStr">
        <is>
          <t>Consult</t>
        </is>
      </c>
      <c r="H1617" t="inlineStr">
        <is>
          <t>labs-imaging</t>
        </is>
      </c>
      <c r="I1617" t="inlineStr">
        <is>
          <t>261 K/uL
   8.8 g/dL
   172 mg/dL
   8.8 mg/dL
   24 mEq/L
   4.5 mEq/L
   84 mg/dL
   97 mEq/L
   137 mEq/L
   26.5 %
   9.5 K/uL
        [image002.jpg]
                            [**2117-11-1**]  03:49 AM
                            [**2117-11-1**]  03:58 AM
                            [**2117-11-1**]  11:13 AM
                            [**2117-11-1**]  01:50 PM
                            [**2117-11-1**]  01:55 PM
                            [**2117-11-1**]  01:58 PM
                             [**2117-11-2**]  02:16 AM
                             [**2117-11-2**]  02:33 AM
                             [**2117-11-2**]  05:09 AM
                             [**2117-11-2**]  06:15 AM
   WBC
   10.3
   11.2
   9.5
   Hct
   30.0
   27.1
   26.5
   Plt
   292
   286
   261
   Cr
   9.4
   7.5
   8.8
   TCO2
   26
   25
   29
   28
   29
   28
   Glucose
   199
   191
   172
   Other labs: PT / PTT / INR:15.0/33.5/1.3, CK / CKMB /
   Troponin-T:550/2/0.21, ALT / AST:50/85, Alk Phos / T Bili:246/2.4,
   Amylase / Lipase:57/, Differential-Neuts:82.0 %, Band:1.0 %, Lymph:10.0
   %, Mono:6.0 %, Eos:1.0 %, Lactic Acid:1.4 mmol/L, Albumin:1.9 g/dL,
   LDH:321 IU/L, Ca++:7.7 mg/dL, Mg++:2.2 mg/dL, PO4:5.9 mg/d</t>
        </is>
      </c>
    </row>
    <row r="1618">
      <c r="A1618" t="inlineStr">
        <is>
          <t>503148-assessment-and-plan-0-0</t>
        </is>
      </c>
      <c r="B1618" t="inlineStr"/>
      <c r="C1618" t="inlineStr"/>
      <c r="D1618">
        <f>HYPERLINK("http://nlpdeep.cs.uic.edu:8080/proofing/t5/503148-assessment-and-plan-0-0.pdf","t5/503148-assessment-and-plan-0-0.pdf")</f>
        <v/>
      </c>
      <c r="E1618" t="n">
        <v>110002</v>
      </c>
      <c r="F1618" t="n">
        <v>503148</v>
      </c>
      <c r="G1618" t="inlineStr">
        <is>
          <t>Consult</t>
        </is>
      </c>
      <c r="H1618" t="inlineStr">
        <is>
          <t>assessment-and-plan</t>
        </is>
      </c>
      <c r="I1618" t="inlineStr">
        <is>
          <t>37M with DM in MICU with MSSA and Klebsiella PNA, who had WCT and
   narrow-complex tachycardia during HD yesterday that appears most
   consistent with SVT with aberrancy (AVRNT vs AVRT).</t>
        </is>
      </c>
    </row>
    <row r="1619">
      <c r="A1619" t="inlineStr">
        <is>
          <t>503148-assessment-and-plan-0-0</t>
        </is>
      </c>
      <c r="B1619" t="inlineStr"/>
      <c r="C1619" t="inlineStr"/>
      <c r="D1619">
        <f>HYPERLINK("http://nlpdeep.cs.uic.edu:8080/proofing/gsii/503148-assessment-and-plan-0-0.pdf","gsii/503148-assessment-and-plan-0-0.pdf")</f>
        <v/>
      </c>
      <c r="E1619" t="n">
        <v>110002</v>
      </c>
      <c r="F1619" t="n">
        <v>503148</v>
      </c>
      <c r="G1619" t="inlineStr">
        <is>
          <t>Consult</t>
        </is>
      </c>
      <c r="H1619" t="inlineStr">
        <is>
          <t>assessment-and-plan</t>
        </is>
      </c>
      <c r="I1619" t="inlineStr">
        <is>
          <t>37M with DM in MICU with MSSA and Klebsiella PNA, who had WCT and
   narrow-complex tachycardia during HD yesterday that appears most
   consistent with SVT with aberrancy (AVRNT vs AVRT).</t>
        </is>
      </c>
    </row>
    <row r="1620">
      <c r="A1620" t="inlineStr">
        <is>
          <t>503148-assessment-and-plan-0-1</t>
        </is>
      </c>
      <c r="B1620" t="inlineStr"/>
      <c r="C1620" t="inlineStr"/>
      <c r="D1620">
        <f>HYPERLINK("http://nlpdeep.cs.uic.edu:8080/proofing/t5/503148-assessment-and-plan-0-1.pdf","t5/503148-assessment-and-plan-0-1.pdf")</f>
        <v/>
      </c>
      <c r="E1620" t="n">
        <v>110002</v>
      </c>
      <c r="F1620" t="n">
        <v>503148</v>
      </c>
      <c r="G1620" t="inlineStr">
        <is>
          <t>Consult</t>
        </is>
      </c>
      <c r="H1620" t="inlineStr">
        <is>
          <t>assessment-and-plan</t>
        </is>
      </c>
      <c r="I1620" t="inlineStr">
        <is>
          <t>No further episodes
   of tachycardia since yesterday and has tolerated metoprolol.</t>
        </is>
      </c>
    </row>
    <row r="1621">
      <c r="A1621" t="inlineStr">
        <is>
          <t>503148-assessment-and-plan-0-1</t>
        </is>
      </c>
      <c r="B1621" t="inlineStr"/>
      <c r="C1621" t="inlineStr"/>
      <c r="D1621">
        <f>HYPERLINK("http://nlpdeep.cs.uic.edu:8080/proofing/gsii/503148-assessment-and-plan-0-1.pdf","gsii/503148-assessment-and-plan-0-1.pdf")</f>
        <v/>
      </c>
      <c r="E1621" t="n">
        <v>110002</v>
      </c>
      <c r="F1621" t="n">
        <v>503148</v>
      </c>
      <c r="G1621" t="inlineStr">
        <is>
          <t>Consult</t>
        </is>
      </c>
      <c r="H1621" t="inlineStr">
        <is>
          <t>assessment-and-plan</t>
        </is>
      </c>
      <c r="I1621" t="inlineStr">
        <is>
          <t>No further episodes
   of tachycardia since yesterday and has tolerated metoprolol.</t>
        </is>
      </c>
    </row>
    <row r="1622">
      <c r="A1622" t="inlineStr">
        <is>
          <t>503148-assessment-and-plan-0-2</t>
        </is>
      </c>
      <c r="B1622" t="inlineStr"/>
      <c r="C1622" t="inlineStr"/>
      <c r="D1622">
        <f>HYPERLINK("http://nlpdeep.cs.uic.edu:8080/proofing/t5/503148-assessment-and-plan-0-2.pdf","t5/503148-assessment-and-plan-0-2.pdf")</f>
        <v/>
      </c>
      <c r="E1622" t="n">
        <v>110002</v>
      </c>
      <c r="F1622" t="n">
        <v>503148</v>
      </c>
      <c r="G1622" t="inlineStr">
        <is>
          <t>Consult</t>
        </is>
      </c>
      <c r="H1622" t="inlineStr">
        <is>
          <t>assessment-and-plan</t>
        </is>
      </c>
      <c r="I1622" t="inlineStr">
        <is>
          <t xml:space="preserve">
   -continue metoprolol, would uptitrate as tolerated by blood pressure
   -no need for further amiodarone once 24hr drip has been completed
</t>
        </is>
      </c>
    </row>
    <row r="1623">
      <c r="A1623" t="inlineStr">
        <is>
          <t>503148-assessment-and-plan-0-2</t>
        </is>
      </c>
      <c r="B1623" t="inlineStr"/>
      <c r="C1623" t="inlineStr"/>
      <c r="D1623">
        <f>HYPERLINK("http://nlpdeep.cs.uic.edu:8080/proofing/gsii/503148-assessment-and-plan-0-2.pdf","gsii/503148-assessment-and-plan-0-2.pdf")</f>
        <v/>
      </c>
      <c r="E1623" t="n">
        <v>110002</v>
      </c>
      <c r="F1623" t="n">
        <v>503148</v>
      </c>
      <c r="G1623" t="inlineStr">
        <is>
          <t>Consult</t>
        </is>
      </c>
      <c r="H1623" t="inlineStr">
        <is>
          <t>assessment-and-plan</t>
        </is>
      </c>
      <c r="I1623" t="inlineStr">
        <is>
          <t xml:space="preserve">
   -continue metoprolol, would uptitrate as tolerated by blood pressure
   -no need for further amiodarone once 24hr drip has been completed
</t>
        </is>
      </c>
    </row>
    <row r="1624">
      <c r="A1624" t="inlineStr">
        <is>
          <t>503146-chief-complaint-0-0</t>
        </is>
      </c>
      <c r="B1624" t="inlineStr"/>
      <c r="C1624" t="inlineStr"/>
      <c r="D1624">
        <f>HYPERLINK("http://nlpdeep.cs.uic.edu:8080/proofing/t5/503146-chief-complaint-0-0.pdf","t5/503146-chief-complaint-0-0.pdf")</f>
        <v/>
      </c>
      <c r="E1624" t="n">
        <v>110002</v>
      </c>
      <c r="F1624" t="n">
        <v>503146</v>
      </c>
      <c r="G1624" t="inlineStr">
        <is>
          <t>Consult</t>
        </is>
      </c>
      <c r="H1624" t="inlineStr">
        <is>
          <t>chief-complaint</t>
        </is>
      </c>
      <c r="I1624" t="inlineStr">
        <is>
          <t>27M with DM admitted with MSSA PNA c/b klebsiella VAP.</t>
        </is>
      </c>
    </row>
    <row r="1625">
      <c r="A1625" t="inlineStr">
        <is>
          <t>503146-chief-complaint-0-0</t>
        </is>
      </c>
      <c r="B1625" t="inlineStr"/>
      <c r="C1625" t="inlineStr"/>
      <c r="D1625">
        <f>HYPERLINK("http://nlpdeep.cs.uic.edu:8080/proofing/gsii/503146-chief-complaint-0-0.pdf","gsii/503146-chief-complaint-0-0.pdf")</f>
        <v/>
      </c>
      <c r="E1625" t="n">
        <v>110002</v>
      </c>
      <c r="F1625" t="n">
        <v>503146</v>
      </c>
      <c r="G1625" t="inlineStr">
        <is>
          <t>Consult</t>
        </is>
      </c>
      <c r="H1625" t="inlineStr">
        <is>
          <t>chief-complaint</t>
        </is>
      </c>
      <c r="I1625" t="inlineStr">
        <is>
          <t>27M with DM admitted with MSSA PNA c/b klebsiella VAP.</t>
        </is>
      </c>
    </row>
    <row r="1626">
      <c r="A1626" t="inlineStr">
        <is>
          <t>503146-chief-complaint-0-1</t>
        </is>
      </c>
      <c r="B1626" t="inlineStr"/>
      <c r="C1626" t="inlineStr"/>
      <c r="D1626">
        <f>HYPERLINK("http://nlpdeep.cs.uic.edu:8080/proofing/t5/503146-chief-complaint-0-1.pdf","t5/503146-chief-complaint-0-1.pdf")</f>
        <v/>
      </c>
      <c r="E1626" t="n">
        <v>110002</v>
      </c>
      <c r="F1626" t="n">
        <v>503146</v>
      </c>
      <c r="G1626" t="inlineStr">
        <is>
          <t>Consult</t>
        </is>
      </c>
      <c r="H1626" t="inlineStr">
        <is>
          <t>chief-complaint</t>
        </is>
      </c>
      <c r="I1626" t="inlineStr">
        <is>
          <t xml:space="preserve">
   Found to have WCT then narrow complex tachcyardia yesterday during HD
   that resolved with adenosine, likely SVT with aberrancy.</t>
        </is>
      </c>
    </row>
    <row r="1627">
      <c r="A1627" t="inlineStr">
        <is>
          <t>503146-chief-complaint-0-1</t>
        </is>
      </c>
      <c r="B1627" t="inlineStr"/>
      <c r="C1627" t="inlineStr"/>
      <c r="D1627">
        <f>HYPERLINK("http://nlpdeep.cs.uic.edu:8080/proofing/gsii/503146-chief-complaint-0-1.pdf","gsii/503146-chief-complaint-0-1.pdf")</f>
        <v/>
      </c>
      <c r="E1627" t="n">
        <v>110002</v>
      </c>
      <c r="F1627" t="n">
        <v>503146</v>
      </c>
      <c r="G1627" t="inlineStr">
        <is>
          <t>Consult</t>
        </is>
      </c>
      <c r="H1627" t="inlineStr">
        <is>
          <t>chief-complaint</t>
        </is>
      </c>
      <c r="I1627" t="inlineStr">
        <is>
          <t xml:space="preserve">
   Found to have WCT then narrow complex tachcyardia yesterday during HD
   that resolved with adenosine, likely SVT with aberrancy.</t>
        </is>
      </c>
    </row>
    <row r="1628">
      <c r="A1628" t="inlineStr">
        <is>
          <t>503146-24-hour-events-0-0</t>
        </is>
      </c>
      <c r="B1628" t="inlineStr"/>
      <c r="C1628" t="inlineStr"/>
      <c r="D1628">
        <f>HYPERLINK("http://nlpdeep.cs.uic.edu:8080/proofing/t5/503146-24-hour-events-0-0.pdf","t5/503146-24-hour-events-0-0.pdf")</f>
        <v/>
      </c>
      <c r="E1628" t="n">
        <v>110002</v>
      </c>
      <c r="F1628" t="n">
        <v>503146</v>
      </c>
      <c r="G1628" t="inlineStr">
        <is>
          <t>Consult</t>
        </is>
      </c>
      <c r="H1628" t="inlineStr">
        <is>
          <t>24-hour-events</t>
        </is>
      </c>
      <c r="I1628" t="inlineStr">
        <is>
          <t>FEVER - 102.6
F - [**2117-11-1**] 03:00 PM
   -no further episodes of tachycardia since yesterday afternoon
   -started on metoprolol 12.5 [</t>
        </is>
      </c>
    </row>
    <row r="1629">
      <c r="A1629" t="inlineStr">
        <is>
          <t>503146-24-hour-events-0-0</t>
        </is>
      </c>
      <c r="B1629" t="inlineStr"/>
      <c r="C1629" t="inlineStr"/>
      <c r="D1629">
        <f>HYPERLINK("http://nlpdeep.cs.uic.edu:8080/proofing/gsii/503146-24-hour-events-0-0.pdf","gsii/503146-24-hour-events-0-0.pdf")</f>
        <v/>
      </c>
      <c r="E1629" t="n">
        <v>110002</v>
      </c>
      <c r="F1629" t="n">
        <v>503146</v>
      </c>
      <c r="G1629" t="inlineStr">
        <is>
          <t>Consult</t>
        </is>
      </c>
      <c r="H1629" t="inlineStr">
        <is>
          <t>24-hour-events</t>
        </is>
      </c>
      <c r="I1629" t="inlineStr">
        <is>
          <t>FEVER - 102.6
F - [**2117-11-1**] 03:00 PM
   -no further episodes of tachycardia since yesterday afternoon
   -started on metoprolol 12.5 [</t>
        </is>
      </c>
    </row>
    <row r="1630">
      <c r="A1630" t="inlineStr">
        <is>
          <t>503146-current-medications-0-0</t>
        </is>
      </c>
      <c r="B1630" t="inlineStr"/>
      <c r="C1630" t="inlineStr"/>
      <c r="D1630">
        <f>HYPERLINK("http://nlpdeep.cs.uic.edu:8080/proofing/t5/503146-current-medications-0-0.pdf","t5/503146-current-medications-0-0.pdf")</f>
        <v/>
      </c>
      <c r="E1630" t="n">
        <v>110002</v>
      </c>
      <c r="F1630" t="n">
        <v>503146</v>
      </c>
      <c r="G1630" t="inlineStr">
        <is>
          <t>Consult</t>
        </is>
      </c>
      <c r="H1630" t="inlineStr">
        <is>
          <t>current-medications</t>
        </is>
      </c>
      <c r="I1630" t="inlineStr">
        <is>
          <t>Vancomycin - [**2117-10-31**] 12:00 AM
   Cefipime - [**2117-10-31**] 04:00 AM
   Gentamicin - [**2117-11-1**] 03:18 PM
   Meropenem - [**2117-11-1**] 08:00 PM
   Nafcillin - [**2117-11-2**] 06:12 AM
   Infusions:
   Midazolam (Versed) - 3 mg/hour
   Fentanyl - 80 mcg/hour
   Amiodarone - 0.5 mg/min
   Other ICU medications:
   Heparin Sodium (Prophylaxis) - [**2117-11-2**] 12:00 AM
   Famotidine (Pepcid) - [**2117-11-2**] 04:06 AM
   Other medications:
   Metoprolol 12.5mg [</t>
        </is>
      </c>
    </row>
    <row r="1631">
      <c r="A1631" t="inlineStr">
        <is>
          <t>503146-current-medications-0-0</t>
        </is>
      </c>
      <c r="B1631" t="inlineStr"/>
      <c r="C1631" t="inlineStr"/>
      <c r="D1631">
        <f>HYPERLINK("http://nlpdeep.cs.uic.edu:8080/proofing/gsii/503146-current-medications-0-0.pdf","gsii/503146-current-medications-0-0.pdf")</f>
        <v/>
      </c>
      <c r="E1631" t="n">
        <v>110002</v>
      </c>
      <c r="F1631" t="n">
        <v>503146</v>
      </c>
      <c r="G1631" t="inlineStr">
        <is>
          <t>Consult</t>
        </is>
      </c>
      <c r="H1631" t="inlineStr">
        <is>
          <t>current-medications</t>
        </is>
      </c>
      <c r="I1631" t="inlineStr">
        <is>
          <t>Vancomycin - [**2117-10-31**] 12:00 AM
   Cefipime - [**2117-10-31**] 04:00 AM
   Gentamicin - [**2117-11-1**] 03:18 PM
   Meropenem - [**2117-11-1**] 08:00 PM
   Nafcillin - [**2117-11-2**] 06:12 AM
   Infusions:
   Midazolam (Versed) - 3 mg/hour
   Fentanyl - 80 mcg/hour
   Amiodarone - 0.5 mg/min
   Other ICU medications:
   Heparin Sodium (Prophylaxis) - [**2117-11-2**] 12:00 AM
   Famotidine (Pepcid) - [**2117-11-2**] 04:06 AM
   Other medications:
   Metoprolol 12.5mg [</t>
        </is>
      </c>
    </row>
    <row r="1632">
      <c r="A1632" t="inlineStr">
        <is>
          <t>503146-physical-examination-0-0</t>
        </is>
      </c>
      <c r="B1632" t="inlineStr"/>
      <c r="C1632" t="inlineStr"/>
      <c r="D1632">
        <f>HYPERLINK("http://nlpdeep.cs.uic.edu:8080/proofing/t5/503146-physical-examination-0-0.pdf","t5/503146-physical-examination-0-0.pdf")</f>
        <v/>
      </c>
      <c r="E1632" t="n">
        <v>110002</v>
      </c>
      <c r="F1632" t="n">
        <v>503146</v>
      </c>
      <c r="G1632" t="inlineStr">
        <is>
          <t>Consult</t>
        </is>
      </c>
      <c r="H1632" t="inlineStr">
        <is>
          <t>physical-examination</t>
        </is>
      </c>
      <c r="I1632" t="inlineStr">
        <is>
          <t>Flowsheet Data as of  [**2117-11-2**] 09:11 AM
   Vital signs
   Hemodynamic monitoring
   Fluid balance
                                                                  24 hours
                                                               Since 12 AM
   Tmax: 39.2
C (102.6
   Tcurrent: 38.8
C (101.8
   HR: 81 (78 - 185) bpm
   BP: 111/43(63) {102/40(57) - 122/59(76)} mmHg
   RR: 25 (23 - 31) insp/min
   SpO2: 97%
   Heart rhythm:: SR (Sinus Rhythm)
   Wgt (current): 122.1 kg (admission): 119 kg
   Height: 69 Inch
   CVP: 5 (0 - 359)mmHg
   Total In:
                                                                  3,784 mL
                                                                  1,048 mL
   PO:
                                                                     60 mL
   TF:
                                                                    961 mL
                                                                    366 mL
   IVF:
                                                                  2,522 mL
                                                                    502 mL
   Blood products:
   Total out:
                                                                  2,853 mL
                                                                    410 mL
   Urine:
                                                                     53 mL
                                                                     10 mL
   NG:
   Stool:
   Drains:
   Balance:
                                                                    931 mL
                                                                    638 mL
   Respiratory support
   O2 Delivery Device: Endotracheal tube
   Ventilator mode: CMV/ASSIST/AutoFlow
   Vt (Set): 500 (500 - 500) mL
   RR (Set): 24
   RR (Spontaneous): 4
   PEEP: 10 cmH2O
   FiO2: 40%
   RSBI Deferred: PEEP &gt; 10
   PIP: 21 cmH2O
   Plateau: 18 cmH2O
   Compliance: 62.5 cmH2O/mL
   SpO2: 97%
   ABG: 7.41/43/120/24/2
   Ve: 12.5 L/min
   PaO2 / FiO2: 3</t>
        </is>
      </c>
    </row>
    <row r="1633">
      <c r="A1633" t="inlineStr">
        <is>
          <t>503146-physical-examination-0-0</t>
        </is>
      </c>
      <c r="B1633" t="inlineStr"/>
      <c r="C1633" t="inlineStr"/>
      <c r="D1633">
        <f>HYPERLINK("http://nlpdeep.cs.uic.edu:8080/proofing/gsii/503146-physical-examination-0-0.pdf","gsii/503146-physical-examination-0-0.pdf")</f>
        <v/>
      </c>
      <c r="E1633" t="n">
        <v>110002</v>
      </c>
      <c r="F1633" t="n">
        <v>503146</v>
      </c>
      <c r="G1633" t="inlineStr">
        <is>
          <t>Consult</t>
        </is>
      </c>
      <c r="H1633" t="inlineStr">
        <is>
          <t>physical-examination</t>
        </is>
      </c>
      <c r="I1633" t="inlineStr">
        <is>
          <t>Flowsheet Data as of  [**2117-11-2**] 09:11 AM
   Vital signs
   Hemodynamic monitoring
   Fluid balance
                                                                  24 hours
                                                               Since 12 AM
   Tmax: 39.2
C (102.6
   Tcurrent: 38.8
C (101.8
   HR: 81 (78 - 185) bpm
   BP: 111/43(63) {102/40(57) - 122/59(76)} mmHg
   RR: 25 (23 - 31) insp/min
   SpO2: 97%
   Heart rhythm:: SR (Sinus Rhythm)
   Wgt (current): 122.1 kg (admission): 119 kg
   Height: 69 Inch
   CVP: 5 (0 - 359)mmHg
   Total In:
                                                                  3,784 mL
                                                                  1,048 mL
   PO:
                                                                     60 mL
   TF:
                                                                    961 mL
                                                                    366 mL
   IVF:
                                                                  2,522 mL
                                                                    502 mL
   Blood products:
   Total out:
                                                                  2,853 mL
                                                                    410 mL
   Urine:
                                                                     53 mL
                                                                     10 mL
   NG:
   Stool:
   Drains:
   Balance:
                                                                    931 mL
                                                                    638 mL
   Respiratory support
   O2 Delivery Device: Endotracheal tube
   Ventilator mode: CMV/ASSIST/AutoFlow
   Vt (Set): 500 (500 - 500) mL
   RR (Set): 24
   RR (Spontaneous): 4
   PEEP: 10 cmH2O
   FiO2: 40%
   RSBI Deferred: PEEP &gt; 10
   PIP: 21 cmH2O
   Plateau: 18 cmH2O
   Compliance: 62.5 cmH2O/mL
   SpO2: 97%
   ABG: 7.41/43/120/24/2
   Ve: 12.5 L/min
   PaO2 / FiO2: 3</t>
        </is>
      </c>
    </row>
    <row r="1634">
      <c r="A1634" t="inlineStr">
        <is>
          <t>503146-labs-imaging-0-0</t>
        </is>
      </c>
      <c r="B1634" t="inlineStr"/>
      <c r="C1634" t="inlineStr"/>
      <c r="D1634">
        <f>HYPERLINK("http://nlpdeep.cs.uic.edu:8080/proofing/t5/503146-labs-imaging-0-0.pdf","t5/503146-labs-imaging-0-0.pdf")</f>
        <v/>
      </c>
      <c r="E1634" t="n">
        <v>110002</v>
      </c>
      <c r="F1634" t="n">
        <v>503146</v>
      </c>
      <c r="G1634" t="inlineStr">
        <is>
          <t>Consult</t>
        </is>
      </c>
      <c r="H1634" t="inlineStr">
        <is>
          <t>labs-imaging</t>
        </is>
      </c>
      <c r="I1634" t="inlineStr">
        <is>
          <t>261 K/uL
   8.8 g/dL
   172 mg/dL
   8.8 mg/dL
   24 mEq/L
   4.5 mEq/L
   84 mg/dL
   97 mEq/L
   137 mEq/L
   26.5 %
   9.5 K/uL
        [image002.jpg]
                            [**2117-11-1**]  03:49 AM
                            [**2117-11-1**]  03:58 AM
                            [**2117-11-1**]  11:13 AM
                            [**2117-11-1**]  01:50 PM
                            [**2117-11-1**]  01:55 PM
                            [**2117-11-1**]  01:58 PM
                             [**2117-11-2**]  02:16 AM
                             [**2117-11-2**]  02:33 AM
                             [**2117-11-2**]  05:09 AM
                             [**2117-11-2**]  06:15 AM
   WBC
   10.3
   11.2
   9.5
   Hct
   30.0
   27.1
   26.5
   Plt
   292
   286
   261
   Cr
   9.4
   7.5
   8.8
   TCO2
   26
   25
   29
   28
   29
   28
   Glucose
   199
   191
   172
   Other labs: PT / PTT / INR:15.0/33.5/1.3, CK / CKMB /
   Troponin-T:550/2/0.21, ALT / AST:50/85, Alk Phos / T Bili:246/2.4,
   Amylase / Lipase:57/, Differential-Neuts:82.0 %, Band:1.0 %, Lymph:10.0
   %, Mono:6.0 %, Eos:1.0 %, Lactic Acid:1.4 mmol/L, Albumin:1.9 g/dL,
   LDH:321 IU/L, Ca++:7.7 mg/dL, Mg++:2.2 mg/dL, PO4:5.9 mg/d</t>
        </is>
      </c>
    </row>
    <row r="1635">
      <c r="A1635" t="inlineStr">
        <is>
          <t>503146-labs-imaging-0-0</t>
        </is>
      </c>
      <c r="B1635" t="inlineStr"/>
      <c r="C1635" t="inlineStr"/>
      <c r="D1635">
        <f>HYPERLINK("http://nlpdeep.cs.uic.edu:8080/proofing/gsii/503146-labs-imaging-0-0.pdf","gsii/503146-labs-imaging-0-0.pdf")</f>
        <v/>
      </c>
      <c r="E1635" t="n">
        <v>110002</v>
      </c>
      <c r="F1635" t="n">
        <v>503146</v>
      </c>
      <c r="G1635" t="inlineStr">
        <is>
          <t>Consult</t>
        </is>
      </c>
      <c r="H1635" t="inlineStr">
        <is>
          <t>labs-imaging</t>
        </is>
      </c>
      <c r="I1635" t="inlineStr">
        <is>
          <t>261 K/uL
   8.8 g/dL
   172 mg/dL
   8.8 mg/dL
   24 mEq/L
   4.5 mEq/L
   84 mg/dL
   97 mEq/L
   137 mEq/L
   26.5 %
   9.5 K/uL
        [image002.jpg]
                            [**2117-11-1**]  03:49 AM
                            [**2117-11-1**]  03:58 AM
                            [**2117-11-1**]  11:13 AM
                            [**2117-11-1**]  01:50 PM
                            [**2117-11-1**]  01:55 PM
                            [**2117-11-1**]  01:58 PM
                             [**2117-11-2**]  02:16 AM
                             [**2117-11-2**]  02:33 AM
                             [**2117-11-2**]  05:09 AM
                             [**2117-11-2**]  06:15 AM
   WBC
   10.3
   11.2
   9.5
   Hct
   30.0
   27.1
   26.5
   Plt
   292
   286
   261
   Cr
   9.4
   7.5
   8.8
   TCO2
   26
   25
   29
   28
   29
   28
   Glucose
   199
   191
   172
   Other labs: PT / PTT / INR:15.0/33.5/1.3, CK / CKMB /
   Troponin-T:550/2/0.21, ALT / AST:50/85, Alk Phos / T Bili:246/2.4,
   Amylase / Lipase:57/, Differential-Neuts:82.0 %, Band:1.0 %, Lymph:10.0
   %, Mono:6.0 %, Eos:1.0 %, Lactic Acid:1.4 mmol/L, Albumin:1.9 g/dL,
   LDH:321 IU/L, Ca++:7.7 mg/dL, Mg++:2.2 mg/dL, PO4:5.9 mg/d</t>
        </is>
      </c>
    </row>
    <row r="1636">
      <c r="A1636" t="inlineStr">
        <is>
          <t>503146-assessment-and-plan-0-0</t>
        </is>
      </c>
      <c r="B1636" t="inlineStr"/>
      <c r="C1636" t="inlineStr"/>
      <c r="D1636">
        <f>HYPERLINK("http://nlpdeep.cs.uic.edu:8080/proofing/t5/503146-assessment-and-plan-0-0.pdf","t5/503146-assessment-and-plan-0-0.pdf")</f>
        <v/>
      </c>
      <c r="E1636" t="n">
        <v>110002</v>
      </c>
      <c r="F1636" t="n">
        <v>503146</v>
      </c>
      <c r="G1636" t="inlineStr">
        <is>
          <t>Consult</t>
        </is>
      </c>
      <c r="H1636" t="inlineStr">
        <is>
          <t>assessment-and-plan</t>
        </is>
      </c>
      <c r="I1636" t="inlineStr">
        <is>
          <t>37M with DM in MICU with MSSA and Klebsiella PNA, who had WCT and
   narrow-complex tachycardia during HD yesterday that appears most
   consistent with SVT with aberrancy (AVRNT vs AVRT).</t>
        </is>
      </c>
    </row>
    <row r="1637">
      <c r="A1637" t="inlineStr">
        <is>
          <t>503146-assessment-and-plan-0-0</t>
        </is>
      </c>
      <c r="B1637" t="inlineStr"/>
      <c r="C1637" t="inlineStr"/>
      <c r="D1637">
        <f>HYPERLINK("http://nlpdeep.cs.uic.edu:8080/proofing/gsii/503146-assessment-and-plan-0-0.pdf","gsii/503146-assessment-and-plan-0-0.pdf")</f>
        <v/>
      </c>
      <c r="E1637" t="n">
        <v>110002</v>
      </c>
      <c r="F1637" t="n">
        <v>503146</v>
      </c>
      <c r="G1637" t="inlineStr">
        <is>
          <t>Consult</t>
        </is>
      </c>
      <c r="H1637" t="inlineStr">
        <is>
          <t>assessment-and-plan</t>
        </is>
      </c>
      <c r="I1637" t="inlineStr">
        <is>
          <t>37M with DM in MICU with MSSA and Klebsiella PNA, who had WCT and
   narrow-complex tachycardia during HD yesterday that appears most
   consistent with SVT with aberrancy (AVRNT vs AVRT).</t>
        </is>
      </c>
    </row>
    <row r="1638">
      <c r="A1638" t="inlineStr">
        <is>
          <t>503146-assessment-and-plan-0-1</t>
        </is>
      </c>
      <c r="B1638" t="inlineStr"/>
      <c r="C1638" t="inlineStr"/>
      <c r="D1638">
        <f>HYPERLINK("http://nlpdeep.cs.uic.edu:8080/proofing/t5/503146-assessment-and-plan-0-1.pdf","t5/503146-assessment-and-plan-0-1.pdf")</f>
        <v/>
      </c>
      <c r="E1638" t="n">
        <v>110002</v>
      </c>
      <c r="F1638" t="n">
        <v>503146</v>
      </c>
      <c r="G1638" t="inlineStr">
        <is>
          <t>Consult</t>
        </is>
      </c>
      <c r="H1638" t="inlineStr">
        <is>
          <t>assessment-and-plan</t>
        </is>
      </c>
      <c r="I1638" t="inlineStr">
        <is>
          <t>No further episodes
   of tachycardia since yesterday and has tolerated metoprolol.</t>
        </is>
      </c>
    </row>
    <row r="1639">
      <c r="A1639" t="inlineStr">
        <is>
          <t>503146-assessment-and-plan-0-1</t>
        </is>
      </c>
      <c r="B1639" t="inlineStr"/>
      <c r="C1639" t="inlineStr"/>
      <c r="D1639">
        <f>HYPERLINK("http://nlpdeep.cs.uic.edu:8080/proofing/gsii/503146-assessment-and-plan-0-1.pdf","gsii/503146-assessment-and-plan-0-1.pdf")</f>
        <v/>
      </c>
      <c r="E1639" t="n">
        <v>110002</v>
      </c>
      <c r="F1639" t="n">
        <v>503146</v>
      </c>
      <c r="G1639" t="inlineStr">
        <is>
          <t>Consult</t>
        </is>
      </c>
      <c r="H1639" t="inlineStr">
        <is>
          <t>assessment-and-plan</t>
        </is>
      </c>
      <c r="I1639" t="inlineStr">
        <is>
          <t>No further episodes
   of tachycardia since yesterday and has tolerated metoprolol.</t>
        </is>
      </c>
    </row>
    <row r="1640">
      <c r="A1640" t="inlineStr">
        <is>
          <t>503146-assessment-and-plan-0-2</t>
        </is>
      </c>
      <c r="B1640" t="inlineStr"/>
      <c r="C1640" t="inlineStr"/>
      <c r="D1640">
        <f>HYPERLINK("http://nlpdeep.cs.uic.edu:8080/proofing/t5/503146-assessment-and-plan-0-2.pdf","t5/503146-assessment-and-plan-0-2.pdf")</f>
        <v/>
      </c>
      <c r="E1640" t="n">
        <v>110002</v>
      </c>
      <c r="F1640" t="n">
        <v>503146</v>
      </c>
      <c r="G1640" t="inlineStr">
        <is>
          <t>Consult</t>
        </is>
      </c>
      <c r="H1640" t="inlineStr">
        <is>
          <t>assessment-and-plan</t>
        </is>
      </c>
      <c r="I1640" t="inlineStr">
        <is>
          <t xml:space="preserve">
   -continue metoprolol, would uptitrate as tolerated by blood pressure
   -no need for further amiodarone once 24hr drip has been completed
</t>
        </is>
      </c>
    </row>
    <row r="1641">
      <c r="A1641" t="inlineStr">
        <is>
          <t>503146-assessment-and-plan-0-2</t>
        </is>
      </c>
      <c r="B1641" t="inlineStr"/>
      <c r="C1641" t="inlineStr"/>
      <c r="D1641">
        <f>HYPERLINK("http://nlpdeep.cs.uic.edu:8080/proofing/gsii/503146-assessment-and-plan-0-2.pdf","gsii/503146-assessment-and-plan-0-2.pdf")</f>
        <v/>
      </c>
      <c r="E1641" t="n">
        <v>110002</v>
      </c>
      <c r="F1641" t="n">
        <v>503146</v>
      </c>
      <c r="G1641" t="inlineStr">
        <is>
          <t>Consult</t>
        </is>
      </c>
      <c r="H1641" t="inlineStr">
        <is>
          <t>assessment-and-plan</t>
        </is>
      </c>
      <c r="I1641" t="inlineStr">
        <is>
          <t xml:space="preserve">
   -continue metoprolol, would uptitrate as tolerated by blood pressure
   -no need for further amiodarone once 24hr drip has been completed
</t>
        </is>
      </c>
    </row>
    <row r="1642">
      <c r="A1642" t="inlineStr">
        <is>
          <t>88005-patient-test-information-0-0</t>
        </is>
      </c>
      <c r="B1642" t="inlineStr"/>
      <c r="C1642" t="inlineStr"/>
      <c r="D1642">
        <f>HYPERLINK("http://nlpdeep.cs.uic.edu:8080/proofing/t5/88005-patient-test-information-0-0.pdf","t5/88005-patient-test-information-0-0.pdf")</f>
        <v/>
      </c>
      <c r="E1642" t="n">
        <v>110002</v>
      </c>
      <c r="F1642" t="n">
        <v>88005</v>
      </c>
      <c r="G1642" t="inlineStr">
        <is>
          <t>Echo</t>
        </is>
      </c>
      <c r="H1642" t="inlineStr">
        <is>
          <t>patient-test-information</t>
        </is>
      </c>
      <c r="I1642" t="inlineStr">
        <is>
          <t>Indication: Endocarditis.</t>
        </is>
      </c>
    </row>
    <row r="1643">
      <c r="A1643" t="inlineStr">
        <is>
          <t>88005-patient-test-information-0-0</t>
        </is>
      </c>
      <c r="B1643" t="inlineStr"/>
      <c r="C1643" t="inlineStr"/>
      <c r="D1643">
        <f>HYPERLINK("http://nlpdeep.cs.uic.edu:8080/proofing/gsii/88005-patient-test-information-0-0.pdf","gsii/88005-patient-test-information-0-0.pdf")</f>
        <v/>
      </c>
      <c r="E1643" t="n">
        <v>110002</v>
      </c>
      <c r="F1643" t="n">
        <v>88005</v>
      </c>
      <c r="G1643" t="inlineStr">
        <is>
          <t>Echo</t>
        </is>
      </c>
      <c r="H1643" t="inlineStr">
        <is>
          <t>patient-test-information</t>
        </is>
      </c>
      <c r="I1643" t="inlineStr">
        <is>
          <t>Indication: Endocarditis.</t>
        </is>
      </c>
    </row>
    <row r="1644">
      <c r="A1644" t="inlineStr">
        <is>
          <t>88005-patient-test-information-0-1</t>
        </is>
      </c>
      <c r="B1644" t="inlineStr"/>
      <c r="C1644" t="inlineStr"/>
      <c r="D1644">
        <f>HYPERLINK("http://nlpdeep.cs.uic.edu:8080/proofing/t5/88005-patient-test-information-0-1.pdf","t5/88005-patient-test-information-0-1.pdf")</f>
        <v/>
      </c>
      <c r="E1644" t="n">
        <v>110002</v>
      </c>
      <c r="F1644" t="n">
        <v>88005</v>
      </c>
      <c r="G1644" t="inlineStr">
        <is>
          <t>Echo</t>
        </is>
      </c>
      <c r="H1644" t="inlineStr">
        <is>
          <t>patient-test-information</t>
        </is>
      </c>
      <c r="I1644" t="inlineStr">
        <is>
          <t>Height: (in) 69
Weight (lb): 220
BSA (m2): 2.15 m2
BP (mm Hg): 111/58
HR (bpm): 102
Status: Inpatient
Date/Time: [**2117-11-1**] at 15:49
Test: Portable TTE (Complete)
Doppler: Full Doppler and color Doppler
Contrast: None
Technical Quality: A</t>
        </is>
      </c>
    </row>
    <row r="1645">
      <c r="A1645" t="inlineStr">
        <is>
          <t>88005-patient-test-information-0-1</t>
        </is>
      </c>
      <c r="B1645" t="inlineStr"/>
      <c r="C1645" t="inlineStr"/>
      <c r="D1645">
        <f>HYPERLINK("http://nlpdeep.cs.uic.edu:8080/proofing/gsii/88005-patient-test-information-0-1.pdf","gsii/88005-patient-test-information-0-1.pdf")</f>
        <v/>
      </c>
      <c r="E1645" t="n">
        <v>110002</v>
      </c>
      <c r="F1645" t="n">
        <v>88005</v>
      </c>
      <c r="G1645" t="inlineStr">
        <is>
          <t>Echo</t>
        </is>
      </c>
      <c r="H1645" t="inlineStr">
        <is>
          <t>patient-test-information</t>
        </is>
      </c>
      <c r="I1645" t="inlineStr">
        <is>
          <t>Height: (in) 69
Weight (lb): 220
BSA (m2): 2.15 m2
BP (mm Hg): 111/58
HR (bpm): 102
Status: Inpatient
Date/Time: [**2117-11-1**] at 15:49
Test: Portable TTE (Complete)
Doppler: Full Doppler and color Doppler
Contrast: None
Technical Quality: A</t>
        </is>
      </c>
    </row>
    <row r="1646">
      <c r="A1646" t="inlineStr">
        <is>
          <t>88005-findings-0-0</t>
        </is>
      </c>
      <c r="B1646" t="inlineStr"/>
      <c r="C1646" t="inlineStr"/>
      <c r="D1646">
        <f>HYPERLINK("http://nlpdeep.cs.uic.edu:8080/proofing/t5/88005-findings-0-0.pdf","t5/88005-findings-0-0.pdf")</f>
        <v/>
      </c>
      <c r="E1646" t="n">
        <v>110002</v>
      </c>
      <c r="F1646" t="n">
        <v>88005</v>
      </c>
      <c r="G1646" t="inlineStr">
        <is>
          <t>Echo</t>
        </is>
      </c>
      <c r="H1646" t="inlineStr">
        <is>
          <t>findings</t>
        </is>
      </c>
      <c r="I1646" t="inlineStr">
        <is>
          <t>LEFT ATRIUM: Normal LA size.</t>
        </is>
      </c>
    </row>
    <row r="1647">
      <c r="A1647" t="inlineStr">
        <is>
          <t>88005-findings-0-0</t>
        </is>
      </c>
      <c r="B1647" t="inlineStr"/>
      <c r="C1647" t="inlineStr"/>
      <c r="D1647">
        <f>HYPERLINK("http://nlpdeep.cs.uic.edu:8080/proofing/gsii/88005-findings-0-0.pdf","gsii/88005-findings-0-0.pdf")</f>
        <v/>
      </c>
      <c r="E1647" t="n">
        <v>110002</v>
      </c>
      <c r="F1647" t="n">
        <v>88005</v>
      </c>
      <c r="G1647" t="inlineStr">
        <is>
          <t>Echo</t>
        </is>
      </c>
      <c r="H1647" t="inlineStr">
        <is>
          <t>findings</t>
        </is>
      </c>
      <c r="I1647" t="inlineStr">
        <is>
          <t>LEFT ATRIUM: Normal LA size.</t>
        </is>
      </c>
    </row>
    <row r="1648">
      <c r="A1648" t="inlineStr">
        <is>
          <t>88005-findings-1-0</t>
        </is>
      </c>
      <c r="B1648" t="inlineStr"/>
      <c r="C1648" t="inlineStr"/>
      <c r="D1648">
        <f>HYPERLINK("http://nlpdeep.cs.uic.edu:8080/proofing/t5/88005-findings-1-0.pdf","t5/88005-findings-1-0.pdf")</f>
        <v/>
      </c>
      <c r="E1648" t="n">
        <v>110002</v>
      </c>
      <c r="F1648" t="n">
        <v>88005</v>
      </c>
      <c r="G1648" t="inlineStr">
        <is>
          <t>Echo</t>
        </is>
      </c>
      <c r="H1648" t="inlineStr">
        <is>
          <t>findings</t>
        </is>
      </c>
      <c r="I1648" t="inlineStr">
        <is>
          <t xml:space="preserve">
RIGHT ATRIUM/INTERATRIAL SEPTUM: Normal RA size.</t>
        </is>
      </c>
    </row>
    <row r="1649">
      <c r="A1649" t="inlineStr">
        <is>
          <t>88005-findings-1-0</t>
        </is>
      </c>
      <c r="B1649" t="inlineStr"/>
      <c r="C1649" t="inlineStr"/>
      <c r="D1649">
        <f>HYPERLINK("http://nlpdeep.cs.uic.edu:8080/proofing/gsii/88005-findings-1-0.pdf","gsii/88005-findings-1-0.pdf")</f>
        <v/>
      </c>
      <c r="E1649" t="n">
        <v>110002</v>
      </c>
      <c r="F1649" t="n">
        <v>88005</v>
      </c>
      <c r="G1649" t="inlineStr">
        <is>
          <t>Echo</t>
        </is>
      </c>
      <c r="H1649" t="inlineStr">
        <is>
          <t>findings</t>
        </is>
      </c>
      <c r="I1649" t="inlineStr">
        <is>
          <t xml:space="preserve">
RIGHT ATRIUM/INTERATRIAL SEPTUM: Normal RA size.</t>
        </is>
      </c>
    </row>
    <row r="1650">
      <c r="A1650" t="inlineStr">
        <is>
          <t>88005-findings-1-1</t>
        </is>
      </c>
      <c r="B1650" t="inlineStr"/>
      <c r="C1650" t="inlineStr"/>
      <c r="D1650">
        <f>HYPERLINK("http://nlpdeep.cs.uic.edu:8080/proofing/t5/88005-findings-1-1.pdf","t5/88005-findings-1-1.pdf")</f>
        <v/>
      </c>
      <c r="E1650" t="n">
        <v>110002</v>
      </c>
      <c r="F1650" t="n">
        <v>88005</v>
      </c>
      <c r="G1650" t="inlineStr">
        <is>
          <t>Echo</t>
        </is>
      </c>
      <c r="H1650" t="inlineStr">
        <is>
          <t>findings</t>
        </is>
      </c>
      <c r="I1650" t="inlineStr">
        <is>
          <t>Normal interatrial septum.</t>
        </is>
      </c>
    </row>
    <row r="1651">
      <c r="A1651" t="inlineStr">
        <is>
          <t>88005-findings-1-1</t>
        </is>
      </c>
      <c r="B1651" t="inlineStr"/>
      <c r="C1651" t="inlineStr"/>
      <c r="D1651">
        <f>HYPERLINK("http://nlpdeep.cs.uic.edu:8080/proofing/gsii/88005-findings-1-1.pdf","gsii/88005-findings-1-1.pdf")</f>
        <v/>
      </c>
      <c r="E1651" t="n">
        <v>110002</v>
      </c>
      <c r="F1651" t="n">
        <v>88005</v>
      </c>
      <c r="G1651" t="inlineStr">
        <is>
          <t>Echo</t>
        </is>
      </c>
      <c r="H1651" t="inlineStr">
        <is>
          <t>findings</t>
        </is>
      </c>
      <c r="I1651" t="inlineStr">
        <is>
          <t>Normal interatrial septum.</t>
        </is>
      </c>
    </row>
    <row r="1652">
      <c r="A1652" t="inlineStr">
        <is>
          <t>88005-findings-1-2</t>
        </is>
      </c>
      <c r="B1652" t="inlineStr"/>
      <c r="C1652" t="inlineStr"/>
      <c r="D1652">
        <f>HYPERLINK("http://nlpdeep.cs.uic.edu:8080/proofing/t5/88005-findings-1-2.pdf","t5/88005-findings-1-2.pdf")</f>
        <v/>
      </c>
      <c r="E1652" t="n">
        <v>110002</v>
      </c>
      <c r="F1652" t="n">
        <v>88005</v>
      </c>
      <c r="G1652" t="inlineStr">
        <is>
          <t>Echo</t>
        </is>
      </c>
      <c r="H1652" t="inlineStr">
        <is>
          <t>findings</t>
        </is>
      </c>
      <c r="I1652" t="inlineStr">
        <is>
          <t>No
ASD by 2D or color Doppler.</t>
        </is>
      </c>
    </row>
    <row r="1653">
      <c r="A1653" t="inlineStr">
        <is>
          <t>88005-findings-1-2</t>
        </is>
      </c>
      <c r="B1653" t="inlineStr"/>
      <c r="C1653" t="inlineStr"/>
      <c r="D1653">
        <f>HYPERLINK("http://nlpdeep.cs.uic.edu:8080/proofing/gsii/88005-findings-1-2.pdf","gsii/88005-findings-1-2.pdf")</f>
        <v/>
      </c>
      <c r="E1653" t="n">
        <v>110002</v>
      </c>
      <c r="F1653" t="n">
        <v>88005</v>
      </c>
      <c r="G1653" t="inlineStr">
        <is>
          <t>Echo</t>
        </is>
      </c>
      <c r="H1653" t="inlineStr">
        <is>
          <t>findings</t>
        </is>
      </c>
      <c r="I1653" t="inlineStr">
        <is>
          <t>No
ASD by 2D or color Doppler.</t>
        </is>
      </c>
    </row>
    <row r="1654">
      <c r="A1654" t="inlineStr">
        <is>
          <t>88005-findings-2-0</t>
        </is>
      </c>
      <c r="B1654" t="inlineStr"/>
      <c r="C1654" t="inlineStr"/>
      <c r="D1654">
        <f>HYPERLINK("http://nlpdeep.cs.uic.edu:8080/proofing/t5/88005-findings-2-0.pdf","t5/88005-findings-2-0.pdf")</f>
        <v/>
      </c>
      <c r="E1654" t="n">
        <v>110002</v>
      </c>
      <c r="F1654" t="n">
        <v>88005</v>
      </c>
      <c r="G1654" t="inlineStr">
        <is>
          <t>Echo</t>
        </is>
      </c>
      <c r="H1654" t="inlineStr">
        <is>
          <t>findings</t>
        </is>
      </c>
      <c r="I1654" t="inlineStr">
        <is>
          <t xml:space="preserve">
LEFT VENTRICLE: Normal LV wall thickness, cavity size and regional/global
systolic function (LVEF &gt;55%).</t>
        </is>
      </c>
    </row>
    <row r="1655">
      <c r="A1655" t="inlineStr">
        <is>
          <t>88005-findings-2-0</t>
        </is>
      </c>
      <c r="B1655" t="inlineStr"/>
      <c r="C1655" t="inlineStr"/>
      <c r="D1655">
        <f>HYPERLINK("http://nlpdeep.cs.uic.edu:8080/proofing/gsii/88005-findings-2-0.pdf","gsii/88005-findings-2-0.pdf")</f>
        <v/>
      </c>
      <c r="E1655" t="n">
        <v>110002</v>
      </c>
      <c r="F1655" t="n">
        <v>88005</v>
      </c>
      <c r="G1655" t="inlineStr">
        <is>
          <t>Echo</t>
        </is>
      </c>
      <c r="H1655" t="inlineStr">
        <is>
          <t>findings</t>
        </is>
      </c>
      <c r="I1655" t="inlineStr">
        <is>
          <t xml:space="preserve">
LEFT VENTRICLE: Normal LV wall thickness, cavity size and regional/global
systolic function (LVEF &gt;55%).</t>
        </is>
      </c>
    </row>
    <row r="1656">
      <c r="A1656" t="inlineStr">
        <is>
          <t>88005-findings-2-1</t>
        </is>
      </c>
      <c r="B1656" t="inlineStr"/>
      <c r="C1656" t="inlineStr"/>
      <c r="D1656">
        <f>HYPERLINK("http://nlpdeep.cs.uic.edu:8080/proofing/t5/88005-findings-2-1.pdf","t5/88005-findings-2-1.pdf")</f>
        <v/>
      </c>
      <c r="E1656" t="n">
        <v>110002</v>
      </c>
      <c r="F1656" t="n">
        <v>88005</v>
      </c>
      <c r="G1656" t="inlineStr">
        <is>
          <t>Echo</t>
        </is>
      </c>
      <c r="H1656" t="inlineStr">
        <is>
          <t>findings</t>
        </is>
      </c>
      <c r="I1656" t="inlineStr">
        <is>
          <t>No resting LVOT gradient.</t>
        </is>
      </c>
    </row>
    <row r="1657">
      <c r="A1657" t="inlineStr">
        <is>
          <t>88005-findings-2-1</t>
        </is>
      </c>
      <c r="B1657" t="inlineStr"/>
      <c r="C1657" t="inlineStr"/>
      <c r="D1657">
        <f>HYPERLINK("http://nlpdeep.cs.uic.edu:8080/proofing/gsii/88005-findings-2-1.pdf","gsii/88005-findings-2-1.pdf")</f>
        <v/>
      </c>
      <c r="E1657" t="n">
        <v>110002</v>
      </c>
      <c r="F1657" t="n">
        <v>88005</v>
      </c>
      <c r="G1657" t="inlineStr">
        <is>
          <t>Echo</t>
        </is>
      </c>
      <c r="H1657" t="inlineStr">
        <is>
          <t>findings</t>
        </is>
      </c>
      <c r="I1657" t="inlineStr">
        <is>
          <t>No resting LVOT gradient.</t>
        </is>
      </c>
    </row>
    <row r="1658">
      <c r="A1658" t="inlineStr">
        <is>
          <t>88005-findings-2-2</t>
        </is>
      </c>
      <c r="B1658" t="inlineStr"/>
      <c r="C1658" t="inlineStr"/>
      <c r="D1658">
        <f>HYPERLINK("http://nlpdeep.cs.uic.edu:8080/proofing/t5/88005-findings-2-2.pdf","t5/88005-findings-2-2.pdf")</f>
        <v/>
      </c>
      <c r="E1658" t="n">
        <v>110002</v>
      </c>
      <c r="F1658" t="n">
        <v>88005</v>
      </c>
      <c r="G1658" t="inlineStr">
        <is>
          <t>Echo</t>
        </is>
      </c>
      <c r="H1658" t="inlineStr">
        <is>
          <t>findings</t>
        </is>
      </c>
      <c r="I1658" t="inlineStr">
        <is>
          <t>No VSD.</t>
        </is>
      </c>
    </row>
    <row r="1659">
      <c r="A1659" t="inlineStr">
        <is>
          <t>88005-findings-2-2</t>
        </is>
      </c>
      <c r="B1659" t="inlineStr"/>
      <c r="C1659" t="inlineStr"/>
      <c r="D1659">
        <f>HYPERLINK("http://nlpdeep.cs.uic.edu:8080/proofing/gsii/88005-findings-2-2.pdf","gsii/88005-findings-2-2.pdf")</f>
        <v/>
      </c>
      <c r="E1659" t="n">
        <v>110002</v>
      </c>
      <c r="F1659" t="n">
        <v>88005</v>
      </c>
      <c r="G1659" t="inlineStr">
        <is>
          <t>Echo</t>
        </is>
      </c>
      <c r="H1659" t="inlineStr">
        <is>
          <t>findings</t>
        </is>
      </c>
      <c r="I1659" t="inlineStr">
        <is>
          <t>No VSD.</t>
        </is>
      </c>
    </row>
    <row r="1660">
      <c r="A1660" t="inlineStr">
        <is>
          <t>88005-findings-3-0</t>
        </is>
      </c>
      <c r="B1660" t="inlineStr"/>
      <c r="C1660" t="inlineStr"/>
      <c r="D1660">
        <f>HYPERLINK("http://nlpdeep.cs.uic.edu:8080/proofing/t5/88005-findings-3-0.pdf","t5/88005-findings-3-0.pdf")</f>
        <v/>
      </c>
      <c r="E1660" t="n">
        <v>110002</v>
      </c>
      <c r="F1660" t="n">
        <v>88005</v>
      </c>
      <c r="G1660" t="inlineStr">
        <is>
          <t>Echo</t>
        </is>
      </c>
      <c r="H1660" t="inlineStr">
        <is>
          <t>findings</t>
        </is>
      </c>
      <c r="I1660" t="inlineStr">
        <is>
          <t xml:space="preserve">
RIGHT VENTRICLE: Mildly dilated RV cavity.</t>
        </is>
      </c>
    </row>
    <row r="1661">
      <c r="A1661" t="inlineStr">
        <is>
          <t>88005-findings-3-0</t>
        </is>
      </c>
      <c r="B1661" t="inlineStr"/>
      <c r="C1661" t="inlineStr"/>
      <c r="D1661">
        <f>HYPERLINK("http://nlpdeep.cs.uic.edu:8080/proofing/gsii/88005-findings-3-0.pdf","gsii/88005-findings-3-0.pdf")</f>
        <v/>
      </c>
      <c r="E1661" t="n">
        <v>110002</v>
      </c>
      <c r="F1661" t="n">
        <v>88005</v>
      </c>
      <c r="G1661" t="inlineStr">
        <is>
          <t>Echo</t>
        </is>
      </c>
      <c r="H1661" t="inlineStr">
        <is>
          <t>findings</t>
        </is>
      </c>
      <c r="I1661" t="inlineStr">
        <is>
          <t xml:space="preserve">
RIGHT VENTRICLE: Mildly dilated RV cavity.</t>
        </is>
      </c>
    </row>
    <row r="1662">
      <c r="A1662" t="inlineStr">
        <is>
          <t>88005-findings-3-1</t>
        </is>
      </c>
      <c r="B1662" t="inlineStr"/>
      <c r="C1662" t="inlineStr"/>
      <c r="D1662">
        <f>HYPERLINK("http://nlpdeep.cs.uic.edu:8080/proofing/t5/88005-findings-3-1.pdf","t5/88005-findings-3-1.pdf")</f>
        <v/>
      </c>
      <c r="E1662" t="n">
        <v>110002</v>
      </c>
      <c r="F1662" t="n">
        <v>88005</v>
      </c>
      <c r="G1662" t="inlineStr">
        <is>
          <t>Echo</t>
        </is>
      </c>
      <c r="H1662" t="inlineStr">
        <is>
          <t>findings</t>
        </is>
      </c>
      <c r="I1662" t="inlineStr">
        <is>
          <t>Borderline normal RV systolic
function.</t>
        </is>
      </c>
    </row>
    <row r="1663">
      <c r="A1663" t="inlineStr">
        <is>
          <t>88005-findings-3-1</t>
        </is>
      </c>
      <c r="B1663" t="inlineStr"/>
      <c r="C1663" t="inlineStr"/>
      <c r="D1663">
        <f>HYPERLINK("http://nlpdeep.cs.uic.edu:8080/proofing/gsii/88005-findings-3-1.pdf","gsii/88005-findings-3-1.pdf")</f>
        <v/>
      </c>
      <c r="E1663" t="n">
        <v>110002</v>
      </c>
      <c r="F1663" t="n">
        <v>88005</v>
      </c>
      <c r="G1663" t="inlineStr">
        <is>
          <t>Echo</t>
        </is>
      </c>
      <c r="H1663" t="inlineStr">
        <is>
          <t>findings</t>
        </is>
      </c>
      <c r="I1663" t="inlineStr">
        <is>
          <t>Borderline normal RV systolic
function.</t>
        </is>
      </c>
    </row>
    <row r="1664">
      <c r="A1664" t="inlineStr">
        <is>
          <t>88005-findings-4-0</t>
        </is>
      </c>
      <c r="B1664" t="inlineStr"/>
      <c r="C1664" t="inlineStr"/>
      <c r="D1664">
        <f>HYPERLINK("http://nlpdeep.cs.uic.edu:8080/proofing/t5/88005-findings-4-0.pdf","t5/88005-findings-4-0.pdf")</f>
        <v/>
      </c>
      <c r="E1664" t="n">
        <v>110002</v>
      </c>
      <c r="F1664" t="n">
        <v>88005</v>
      </c>
      <c r="G1664" t="inlineStr">
        <is>
          <t>Echo</t>
        </is>
      </c>
      <c r="H1664" t="inlineStr">
        <is>
          <t>findings</t>
        </is>
      </c>
      <c r="I1664" t="inlineStr">
        <is>
          <t xml:space="preserve">
AORTA: Normal diameter of aorta at the sinus, ascending and arch levels.</t>
        </is>
      </c>
    </row>
    <row r="1665">
      <c r="A1665" t="inlineStr">
        <is>
          <t>88005-findings-4-0</t>
        </is>
      </c>
      <c r="B1665" t="inlineStr"/>
      <c r="C1665" t="inlineStr"/>
      <c r="D1665">
        <f>HYPERLINK("http://nlpdeep.cs.uic.edu:8080/proofing/gsii/88005-findings-4-0.pdf","gsii/88005-findings-4-0.pdf")</f>
        <v/>
      </c>
      <c r="E1665" t="n">
        <v>110002</v>
      </c>
      <c r="F1665" t="n">
        <v>88005</v>
      </c>
      <c r="G1665" t="inlineStr">
        <is>
          <t>Echo</t>
        </is>
      </c>
      <c r="H1665" t="inlineStr">
        <is>
          <t>findings</t>
        </is>
      </c>
      <c r="I1665" t="inlineStr">
        <is>
          <t xml:space="preserve">
AORTA: Normal diameter of aorta at the sinus, ascending and arch levels.</t>
        </is>
      </c>
    </row>
    <row r="1666">
      <c r="A1666" t="inlineStr">
        <is>
          <t>88005-findings-5-0</t>
        </is>
      </c>
      <c r="B1666" t="inlineStr"/>
      <c r="C1666" t="inlineStr"/>
      <c r="D1666">
        <f>HYPERLINK("http://nlpdeep.cs.uic.edu:8080/proofing/t5/88005-findings-5-0.pdf","t5/88005-findings-5-0.pdf")</f>
        <v/>
      </c>
      <c r="E1666" t="n">
        <v>110002</v>
      </c>
      <c r="F1666" t="n">
        <v>88005</v>
      </c>
      <c r="G1666" t="inlineStr">
        <is>
          <t>Echo</t>
        </is>
      </c>
      <c r="H1666" t="inlineStr">
        <is>
          <t>findings</t>
        </is>
      </c>
      <c r="I1666" t="inlineStr">
        <is>
          <t xml:space="preserve">
AORTIC VALVE: Normal aortic valve leaflets (3).</t>
        </is>
      </c>
    </row>
    <row r="1667">
      <c r="A1667" t="inlineStr">
        <is>
          <t>88005-findings-5-0</t>
        </is>
      </c>
      <c r="B1667" t="inlineStr"/>
      <c r="C1667" t="inlineStr"/>
      <c r="D1667">
        <f>HYPERLINK("http://nlpdeep.cs.uic.edu:8080/proofing/gsii/88005-findings-5-0.pdf","gsii/88005-findings-5-0.pdf")</f>
        <v/>
      </c>
      <c r="E1667" t="n">
        <v>110002</v>
      </c>
      <c r="F1667" t="n">
        <v>88005</v>
      </c>
      <c r="G1667" t="inlineStr">
        <is>
          <t>Echo</t>
        </is>
      </c>
      <c r="H1667" t="inlineStr">
        <is>
          <t>findings</t>
        </is>
      </c>
      <c r="I1667" t="inlineStr">
        <is>
          <t xml:space="preserve">
AORTIC VALVE: Normal aortic valve leaflets (3).</t>
        </is>
      </c>
    </row>
    <row r="1668">
      <c r="A1668" t="inlineStr">
        <is>
          <t>88005-findings-5-1</t>
        </is>
      </c>
      <c r="B1668" t="inlineStr"/>
      <c r="C1668" t="inlineStr"/>
      <c r="D1668">
        <f>HYPERLINK("http://nlpdeep.cs.uic.edu:8080/proofing/t5/88005-findings-5-1.pdf","t5/88005-findings-5-1.pdf")</f>
        <v/>
      </c>
      <c r="E1668" t="n">
        <v>110002</v>
      </c>
      <c r="F1668" t="n">
        <v>88005</v>
      </c>
      <c r="G1668" t="inlineStr">
        <is>
          <t>Echo</t>
        </is>
      </c>
      <c r="H1668" t="inlineStr">
        <is>
          <t>findings</t>
        </is>
      </c>
      <c r="I1668" t="inlineStr">
        <is>
          <t>No AS.</t>
        </is>
      </c>
    </row>
    <row r="1669">
      <c r="A1669" t="inlineStr">
        <is>
          <t>88005-findings-5-1</t>
        </is>
      </c>
      <c r="B1669" t="inlineStr"/>
      <c r="C1669" t="inlineStr"/>
      <c r="D1669">
        <f>HYPERLINK("http://nlpdeep.cs.uic.edu:8080/proofing/gsii/88005-findings-5-1.pdf","gsii/88005-findings-5-1.pdf")</f>
        <v/>
      </c>
      <c r="E1669" t="n">
        <v>110002</v>
      </c>
      <c r="F1669" t="n">
        <v>88005</v>
      </c>
      <c r="G1669" t="inlineStr">
        <is>
          <t>Echo</t>
        </is>
      </c>
      <c r="H1669" t="inlineStr">
        <is>
          <t>findings</t>
        </is>
      </c>
      <c r="I1669" t="inlineStr">
        <is>
          <t>No AS.</t>
        </is>
      </c>
    </row>
    <row r="1670">
      <c r="A1670" t="inlineStr">
        <is>
          <t>88005-findings-5-2</t>
        </is>
      </c>
      <c r="B1670" t="inlineStr"/>
      <c r="C1670" t="inlineStr"/>
      <c r="D1670">
        <f>HYPERLINK("http://nlpdeep.cs.uic.edu:8080/proofing/t5/88005-findings-5-2.pdf","t5/88005-findings-5-2.pdf")</f>
        <v/>
      </c>
      <c r="E1670" t="n">
        <v>110002</v>
      </c>
      <c r="F1670" t="n">
        <v>88005</v>
      </c>
      <c r="G1670" t="inlineStr">
        <is>
          <t>Echo</t>
        </is>
      </c>
      <c r="H1670" t="inlineStr">
        <is>
          <t>findings</t>
        </is>
      </c>
      <c r="I1670" t="inlineStr">
        <is>
          <t>No AR.</t>
        </is>
      </c>
    </row>
    <row r="1671">
      <c r="A1671" t="inlineStr">
        <is>
          <t>88005-findings-5-2</t>
        </is>
      </c>
      <c r="B1671" t="inlineStr"/>
      <c r="C1671" t="inlineStr"/>
      <c r="D1671">
        <f>HYPERLINK("http://nlpdeep.cs.uic.edu:8080/proofing/gsii/88005-findings-5-2.pdf","gsii/88005-findings-5-2.pdf")</f>
        <v/>
      </c>
      <c r="E1671" t="n">
        <v>110002</v>
      </c>
      <c r="F1671" t="n">
        <v>88005</v>
      </c>
      <c r="G1671" t="inlineStr">
        <is>
          <t>Echo</t>
        </is>
      </c>
      <c r="H1671" t="inlineStr">
        <is>
          <t>findings</t>
        </is>
      </c>
      <c r="I1671" t="inlineStr">
        <is>
          <t>No AR.</t>
        </is>
      </c>
    </row>
    <row r="1672">
      <c r="A1672" t="inlineStr">
        <is>
          <t>88005-findings-5-3</t>
        </is>
      </c>
      <c r="B1672" t="inlineStr"/>
      <c r="C1672" t="inlineStr"/>
      <c r="D1672">
        <f>HYPERLINK("http://nlpdeep.cs.uic.edu:8080/proofing/t5/88005-findings-5-3.pdf","t5/88005-findings-5-3.pdf")</f>
        <v/>
      </c>
      <c r="E1672" t="n">
        <v>110002</v>
      </c>
      <c r="F1672" t="n">
        <v>88005</v>
      </c>
      <c r="G1672" t="inlineStr">
        <is>
          <t>Echo</t>
        </is>
      </c>
      <c r="H1672" t="inlineStr">
        <is>
          <t>findings</t>
        </is>
      </c>
      <c r="I1672" t="inlineStr">
        <is>
          <t>No masses or
vegetations on aortic valve.</t>
        </is>
      </c>
    </row>
    <row r="1673">
      <c r="A1673" t="inlineStr">
        <is>
          <t>88005-findings-5-3</t>
        </is>
      </c>
      <c r="B1673" t="inlineStr"/>
      <c r="C1673" t="inlineStr"/>
      <c r="D1673">
        <f>HYPERLINK("http://nlpdeep.cs.uic.edu:8080/proofing/gsii/88005-findings-5-3.pdf","gsii/88005-findings-5-3.pdf")</f>
        <v/>
      </c>
      <c r="E1673" t="n">
        <v>110002</v>
      </c>
      <c r="F1673" t="n">
        <v>88005</v>
      </c>
      <c r="G1673" t="inlineStr">
        <is>
          <t>Echo</t>
        </is>
      </c>
      <c r="H1673" t="inlineStr">
        <is>
          <t>findings</t>
        </is>
      </c>
      <c r="I1673" t="inlineStr">
        <is>
          <t>No masses or
vegetations on aortic valve.</t>
        </is>
      </c>
    </row>
    <row r="1674">
      <c r="A1674" t="inlineStr">
        <is>
          <t>88005-findings-6-0</t>
        </is>
      </c>
      <c r="B1674" t="inlineStr"/>
      <c r="C1674" t="inlineStr"/>
      <c r="D1674">
        <f>HYPERLINK("http://nlpdeep.cs.uic.edu:8080/proofing/t5/88005-findings-6-0.pdf","t5/88005-findings-6-0.pdf")</f>
        <v/>
      </c>
      <c r="E1674" t="n">
        <v>110002</v>
      </c>
      <c r="F1674" t="n">
        <v>88005</v>
      </c>
      <c r="G1674" t="inlineStr">
        <is>
          <t>Echo</t>
        </is>
      </c>
      <c r="H1674" t="inlineStr">
        <is>
          <t>findings</t>
        </is>
      </c>
      <c r="I1674" t="inlineStr">
        <is>
          <t xml:space="preserve">
MITRAL VALVE: Normal mitral valve leaflets with trivial MR.</t>
        </is>
      </c>
    </row>
    <row r="1675">
      <c r="A1675" t="inlineStr">
        <is>
          <t>88005-findings-6-0</t>
        </is>
      </c>
      <c r="B1675" t="inlineStr"/>
      <c r="C1675" t="inlineStr"/>
      <c r="D1675">
        <f>HYPERLINK("http://nlpdeep.cs.uic.edu:8080/proofing/gsii/88005-findings-6-0.pdf","gsii/88005-findings-6-0.pdf")</f>
        <v/>
      </c>
      <c r="E1675" t="n">
        <v>110002</v>
      </c>
      <c r="F1675" t="n">
        <v>88005</v>
      </c>
      <c r="G1675" t="inlineStr">
        <is>
          <t>Echo</t>
        </is>
      </c>
      <c r="H1675" t="inlineStr">
        <is>
          <t>findings</t>
        </is>
      </c>
      <c r="I1675" t="inlineStr">
        <is>
          <t xml:space="preserve">
MITRAL VALVE: Normal mitral valve leaflets with trivial MR.</t>
        </is>
      </c>
    </row>
    <row r="1676">
      <c r="A1676" t="inlineStr">
        <is>
          <t>88005-findings-6-1</t>
        </is>
      </c>
      <c r="B1676" t="inlineStr"/>
      <c r="C1676" t="inlineStr"/>
      <c r="D1676">
        <f>HYPERLINK("http://nlpdeep.cs.uic.edu:8080/proofing/t5/88005-findings-6-1.pdf","t5/88005-findings-6-1.pdf")</f>
        <v/>
      </c>
      <c r="E1676" t="n">
        <v>110002</v>
      </c>
      <c r="F1676" t="n">
        <v>88005</v>
      </c>
      <c r="G1676" t="inlineStr">
        <is>
          <t>Echo</t>
        </is>
      </c>
      <c r="H1676" t="inlineStr">
        <is>
          <t>findings</t>
        </is>
      </c>
      <c r="I1676" t="inlineStr">
        <is>
          <t>No MVP.</t>
        </is>
      </c>
    </row>
    <row r="1677">
      <c r="A1677" t="inlineStr">
        <is>
          <t>88005-findings-6-1</t>
        </is>
      </c>
      <c r="B1677" t="inlineStr"/>
      <c r="C1677" t="inlineStr"/>
      <c r="D1677">
        <f>HYPERLINK("http://nlpdeep.cs.uic.edu:8080/proofing/gsii/88005-findings-6-1.pdf","gsii/88005-findings-6-1.pdf")</f>
        <v/>
      </c>
      <c r="E1677" t="n">
        <v>110002</v>
      </c>
      <c r="F1677" t="n">
        <v>88005</v>
      </c>
      <c r="G1677" t="inlineStr">
        <is>
          <t>Echo</t>
        </is>
      </c>
      <c r="H1677" t="inlineStr">
        <is>
          <t>findings</t>
        </is>
      </c>
      <c r="I1677" t="inlineStr">
        <is>
          <t>No MVP.</t>
        </is>
      </c>
    </row>
    <row r="1678">
      <c r="A1678" t="inlineStr">
        <is>
          <t>88005-findings-6-2</t>
        </is>
      </c>
      <c r="B1678" t="inlineStr"/>
      <c r="C1678" t="inlineStr"/>
      <c r="D1678">
        <f>HYPERLINK("http://nlpdeep.cs.uic.edu:8080/proofing/t5/88005-findings-6-2.pdf","t5/88005-findings-6-2.pdf")</f>
        <v/>
      </c>
      <c r="E1678" t="n">
        <v>110002</v>
      </c>
      <c r="F1678" t="n">
        <v>88005</v>
      </c>
      <c r="G1678" t="inlineStr">
        <is>
          <t>Echo</t>
        </is>
      </c>
      <c r="H1678" t="inlineStr">
        <is>
          <t>findings</t>
        </is>
      </c>
      <c r="I1678" t="inlineStr">
        <is>
          <t>No mass or
vegetation on mitral valve.</t>
        </is>
      </c>
    </row>
    <row r="1679">
      <c r="A1679" t="inlineStr">
        <is>
          <t>88005-findings-6-2</t>
        </is>
      </c>
      <c r="B1679" t="inlineStr"/>
      <c r="C1679" t="inlineStr"/>
      <c r="D1679">
        <f>HYPERLINK("http://nlpdeep.cs.uic.edu:8080/proofing/gsii/88005-findings-6-2.pdf","gsii/88005-findings-6-2.pdf")</f>
        <v/>
      </c>
      <c r="E1679" t="n">
        <v>110002</v>
      </c>
      <c r="F1679" t="n">
        <v>88005</v>
      </c>
      <c r="G1679" t="inlineStr">
        <is>
          <t>Echo</t>
        </is>
      </c>
      <c r="H1679" t="inlineStr">
        <is>
          <t>findings</t>
        </is>
      </c>
      <c r="I1679" t="inlineStr">
        <is>
          <t>No mass or
vegetation on mitral valve.</t>
        </is>
      </c>
    </row>
    <row r="1680">
      <c r="A1680" t="inlineStr">
        <is>
          <t>88005-findings-6-3</t>
        </is>
      </c>
      <c r="B1680" t="inlineStr"/>
      <c r="C1680" t="inlineStr"/>
      <c r="D1680">
        <f>HYPERLINK("http://nlpdeep.cs.uic.edu:8080/proofing/t5/88005-findings-6-3.pdf","t5/88005-findings-6-3.pdf")</f>
        <v/>
      </c>
      <c r="E1680" t="n">
        <v>110002</v>
      </c>
      <c r="F1680" t="n">
        <v>88005</v>
      </c>
      <c r="G1680" t="inlineStr">
        <is>
          <t>Echo</t>
        </is>
      </c>
      <c r="H1680" t="inlineStr">
        <is>
          <t>findings</t>
        </is>
      </c>
      <c r="I1680" t="inlineStr">
        <is>
          <t>No MS.</t>
        </is>
      </c>
    </row>
    <row r="1681">
      <c r="A1681" t="inlineStr">
        <is>
          <t>88005-findings-6-3</t>
        </is>
      </c>
      <c r="B1681" t="inlineStr"/>
      <c r="C1681" t="inlineStr"/>
      <c r="D1681">
        <f>HYPERLINK("http://nlpdeep.cs.uic.edu:8080/proofing/gsii/88005-findings-6-3.pdf","gsii/88005-findings-6-3.pdf")</f>
        <v/>
      </c>
      <c r="E1681" t="n">
        <v>110002</v>
      </c>
      <c r="F1681" t="n">
        <v>88005</v>
      </c>
      <c r="G1681" t="inlineStr">
        <is>
          <t>Echo</t>
        </is>
      </c>
      <c r="H1681" t="inlineStr">
        <is>
          <t>findings</t>
        </is>
      </c>
      <c r="I1681" t="inlineStr">
        <is>
          <t>No MS.</t>
        </is>
      </c>
    </row>
    <row r="1682">
      <c r="A1682" t="inlineStr">
        <is>
          <t>88005-findings-7-0</t>
        </is>
      </c>
      <c r="B1682" t="inlineStr"/>
      <c r="C1682" t="inlineStr"/>
      <c r="D1682">
        <f>HYPERLINK("http://nlpdeep.cs.uic.edu:8080/proofing/t5/88005-findings-7-0.pdf","t5/88005-findings-7-0.pdf")</f>
        <v/>
      </c>
      <c r="E1682" t="n">
        <v>110002</v>
      </c>
      <c r="F1682" t="n">
        <v>88005</v>
      </c>
      <c r="G1682" t="inlineStr">
        <is>
          <t>Echo</t>
        </is>
      </c>
      <c r="H1682" t="inlineStr">
        <is>
          <t>findings</t>
        </is>
      </c>
      <c r="I1682" t="inlineStr">
        <is>
          <t xml:space="preserve">
TRICUSPID VALVE: Normal tricuspid valve leaflets with trivial TR.</t>
        </is>
      </c>
    </row>
    <row r="1683">
      <c r="A1683" t="inlineStr">
        <is>
          <t>88005-findings-7-0</t>
        </is>
      </c>
      <c r="B1683" t="inlineStr"/>
      <c r="C1683" t="inlineStr"/>
      <c r="D1683">
        <f>HYPERLINK("http://nlpdeep.cs.uic.edu:8080/proofing/gsii/88005-findings-7-0.pdf","gsii/88005-findings-7-0.pdf")</f>
        <v/>
      </c>
      <c r="E1683" t="n">
        <v>110002</v>
      </c>
      <c r="F1683" t="n">
        <v>88005</v>
      </c>
      <c r="G1683" t="inlineStr">
        <is>
          <t>Echo</t>
        </is>
      </c>
      <c r="H1683" t="inlineStr">
        <is>
          <t>findings</t>
        </is>
      </c>
      <c r="I1683" t="inlineStr">
        <is>
          <t xml:space="preserve">
TRICUSPID VALVE: Normal tricuspid valve leaflets with trivial TR.</t>
        </is>
      </c>
    </row>
    <row r="1684">
      <c r="A1684" t="inlineStr">
        <is>
          <t>88005-findings-7-1</t>
        </is>
      </c>
      <c r="B1684" t="inlineStr"/>
      <c r="C1684" t="inlineStr"/>
      <c r="D1684">
        <f>HYPERLINK("http://nlpdeep.cs.uic.edu:8080/proofing/t5/88005-findings-7-1.pdf","t5/88005-findings-7-1.pdf")</f>
        <v/>
      </c>
      <c r="E1684" t="n">
        <v>110002</v>
      </c>
      <c r="F1684" t="n">
        <v>88005</v>
      </c>
      <c r="G1684" t="inlineStr">
        <is>
          <t>Echo</t>
        </is>
      </c>
      <c r="H1684" t="inlineStr">
        <is>
          <t>findings</t>
        </is>
      </c>
      <c r="I1684" t="inlineStr">
        <is>
          <t>No mass or
vegetation on tricuspid valve.</t>
        </is>
      </c>
    </row>
    <row r="1685">
      <c r="A1685" t="inlineStr">
        <is>
          <t>88005-findings-7-1</t>
        </is>
      </c>
      <c r="B1685" t="inlineStr"/>
      <c r="C1685" t="inlineStr"/>
      <c r="D1685">
        <f>HYPERLINK("http://nlpdeep.cs.uic.edu:8080/proofing/gsii/88005-findings-7-1.pdf","gsii/88005-findings-7-1.pdf")</f>
        <v/>
      </c>
      <c r="E1685" t="n">
        <v>110002</v>
      </c>
      <c r="F1685" t="n">
        <v>88005</v>
      </c>
      <c r="G1685" t="inlineStr">
        <is>
          <t>Echo</t>
        </is>
      </c>
      <c r="H1685" t="inlineStr">
        <is>
          <t>findings</t>
        </is>
      </c>
      <c r="I1685" t="inlineStr">
        <is>
          <t>No mass or
vegetation on tricuspid valve.</t>
        </is>
      </c>
    </row>
    <row r="1686">
      <c r="A1686" t="inlineStr">
        <is>
          <t>88005-findings-7-2</t>
        </is>
      </c>
      <c r="B1686" t="inlineStr"/>
      <c r="C1686" t="inlineStr"/>
      <c r="D1686">
        <f>HYPERLINK("http://nlpdeep.cs.uic.edu:8080/proofing/t5/88005-findings-7-2.pdf","t5/88005-findings-7-2.pdf")</f>
        <v/>
      </c>
      <c r="E1686" t="n">
        <v>110002</v>
      </c>
      <c r="F1686" t="n">
        <v>88005</v>
      </c>
      <c r="G1686" t="inlineStr">
        <is>
          <t>Echo</t>
        </is>
      </c>
      <c r="H1686" t="inlineStr">
        <is>
          <t>findings</t>
        </is>
      </c>
      <c r="I1686" t="inlineStr">
        <is>
          <t>No TS.</t>
        </is>
      </c>
    </row>
    <row r="1687">
      <c r="A1687" t="inlineStr">
        <is>
          <t>88005-findings-7-2</t>
        </is>
      </c>
      <c r="B1687" t="inlineStr"/>
      <c r="C1687" t="inlineStr"/>
      <c r="D1687">
        <f>HYPERLINK("http://nlpdeep.cs.uic.edu:8080/proofing/gsii/88005-findings-7-2.pdf","gsii/88005-findings-7-2.pdf")</f>
        <v/>
      </c>
      <c r="E1687" t="n">
        <v>110002</v>
      </c>
      <c r="F1687" t="n">
        <v>88005</v>
      </c>
      <c r="G1687" t="inlineStr">
        <is>
          <t>Echo</t>
        </is>
      </c>
      <c r="H1687" t="inlineStr">
        <is>
          <t>findings</t>
        </is>
      </c>
      <c r="I1687" t="inlineStr">
        <is>
          <t>No TS.</t>
        </is>
      </c>
    </row>
    <row r="1688">
      <c r="A1688" t="inlineStr">
        <is>
          <t>88005-findings-7-3</t>
        </is>
      </c>
      <c r="B1688" t="inlineStr"/>
      <c r="C1688" t="inlineStr"/>
      <c r="D1688">
        <f>HYPERLINK("http://nlpdeep.cs.uic.edu:8080/proofing/t5/88005-findings-7-3.pdf","t5/88005-findings-7-3.pdf")</f>
        <v/>
      </c>
      <c r="E1688" t="n">
        <v>110002</v>
      </c>
      <c r="F1688" t="n">
        <v>88005</v>
      </c>
      <c r="G1688" t="inlineStr">
        <is>
          <t>Echo</t>
        </is>
      </c>
      <c r="H1688" t="inlineStr">
        <is>
          <t>findings</t>
        </is>
      </c>
      <c r="I1688" t="inlineStr">
        <is>
          <t>Indeterminate PA systolic pressure.</t>
        </is>
      </c>
    </row>
    <row r="1689">
      <c r="A1689" t="inlineStr">
        <is>
          <t>88005-findings-7-3</t>
        </is>
      </c>
      <c r="B1689" t="inlineStr"/>
      <c r="C1689" t="inlineStr"/>
      <c r="D1689">
        <f>HYPERLINK("http://nlpdeep.cs.uic.edu:8080/proofing/gsii/88005-findings-7-3.pdf","gsii/88005-findings-7-3.pdf")</f>
        <v/>
      </c>
      <c r="E1689" t="n">
        <v>110002</v>
      </c>
      <c r="F1689" t="n">
        <v>88005</v>
      </c>
      <c r="G1689" t="inlineStr">
        <is>
          <t>Echo</t>
        </is>
      </c>
      <c r="H1689" t="inlineStr">
        <is>
          <t>findings</t>
        </is>
      </c>
      <c r="I1689" t="inlineStr">
        <is>
          <t>Indeterminate PA systolic pressure.</t>
        </is>
      </c>
    </row>
    <row r="1690">
      <c r="A1690" t="inlineStr">
        <is>
          <t>88005-findings-8-0</t>
        </is>
      </c>
      <c r="B1690" t="inlineStr"/>
      <c r="C1690" t="inlineStr"/>
      <c r="D1690">
        <f>HYPERLINK("http://nlpdeep.cs.uic.edu:8080/proofing/t5/88005-findings-8-0.pdf","t5/88005-findings-8-0.pdf")</f>
        <v/>
      </c>
      <c r="E1690" t="n">
        <v>110002</v>
      </c>
      <c r="F1690" t="n">
        <v>88005</v>
      </c>
      <c r="G1690" t="inlineStr">
        <is>
          <t>Echo</t>
        </is>
      </c>
      <c r="H1690" t="inlineStr">
        <is>
          <t>findings</t>
        </is>
      </c>
      <c r="I1690" t="inlineStr">
        <is>
          <t xml:space="preserve">
PULMONIC VALVE/PULMONARY ARTERY: Normal pulmonic valve leaflet.</t>
        </is>
      </c>
    </row>
    <row r="1691">
      <c r="A1691" t="inlineStr">
        <is>
          <t>88005-findings-8-0</t>
        </is>
      </c>
      <c r="B1691" t="inlineStr"/>
      <c r="C1691" t="inlineStr"/>
      <c r="D1691">
        <f>HYPERLINK("http://nlpdeep.cs.uic.edu:8080/proofing/gsii/88005-findings-8-0.pdf","gsii/88005-findings-8-0.pdf")</f>
        <v/>
      </c>
      <c r="E1691" t="n">
        <v>110002</v>
      </c>
      <c r="F1691" t="n">
        <v>88005</v>
      </c>
      <c r="G1691" t="inlineStr">
        <is>
          <t>Echo</t>
        </is>
      </c>
      <c r="H1691" t="inlineStr">
        <is>
          <t>findings</t>
        </is>
      </c>
      <c r="I1691" t="inlineStr">
        <is>
          <t xml:space="preserve">
PULMONIC VALVE/PULMONARY ARTERY: Normal pulmonic valve leaflet.</t>
        </is>
      </c>
    </row>
    <row r="1692">
      <c r="A1692" t="inlineStr">
        <is>
          <t>88005-findings-8-1</t>
        </is>
      </c>
      <c r="B1692" t="inlineStr"/>
      <c r="C1692" t="inlineStr"/>
      <c r="D1692">
        <f>HYPERLINK("http://nlpdeep.cs.uic.edu:8080/proofing/t5/88005-findings-8-1.pdf","t5/88005-findings-8-1.pdf")</f>
        <v/>
      </c>
      <c r="E1692" t="n">
        <v>110002</v>
      </c>
      <c r="F1692" t="n">
        <v>88005</v>
      </c>
      <c r="G1692" t="inlineStr">
        <is>
          <t>Echo</t>
        </is>
      </c>
      <c r="H1692" t="inlineStr">
        <is>
          <t>findings</t>
        </is>
      </c>
      <c r="I1692" t="inlineStr">
        <is>
          <t>No PS.</t>
        </is>
      </c>
    </row>
    <row r="1693">
      <c r="A1693" t="inlineStr">
        <is>
          <t>88005-findings-8-1</t>
        </is>
      </c>
      <c r="B1693" t="inlineStr"/>
      <c r="C1693" t="inlineStr"/>
      <c r="D1693">
        <f>HYPERLINK("http://nlpdeep.cs.uic.edu:8080/proofing/gsii/88005-findings-8-1.pdf","gsii/88005-findings-8-1.pdf")</f>
        <v/>
      </c>
      <c r="E1693" t="n">
        <v>110002</v>
      </c>
      <c r="F1693" t="n">
        <v>88005</v>
      </c>
      <c r="G1693" t="inlineStr">
        <is>
          <t>Echo</t>
        </is>
      </c>
      <c r="H1693" t="inlineStr">
        <is>
          <t>findings</t>
        </is>
      </c>
      <c r="I1693" t="inlineStr">
        <is>
          <t>No PS.</t>
        </is>
      </c>
    </row>
    <row r="1694">
      <c r="A1694" t="inlineStr">
        <is>
          <t>88005-findings-8-2</t>
        </is>
      </c>
      <c r="B1694" t="inlineStr"/>
      <c r="C1694" t="inlineStr"/>
      <c r="D1694">
        <f>HYPERLINK("http://nlpdeep.cs.uic.edu:8080/proofing/t5/88005-findings-8-2.pdf","t5/88005-findings-8-2.pdf")</f>
        <v/>
      </c>
      <c r="E1694" t="n">
        <v>110002</v>
      </c>
      <c r="F1694" t="n">
        <v>88005</v>
      </c>
      <c r="G1694" t="inlineStr">
        <is>
          <t>Echo</t>
        </is>
      </c>
      <c r="H1694" t="inlineStr">
        <is>
          <t>findings</t>
        </is>
      </c>
      <c r="I1694" t="inlineStr">
        <is>
          <t xml:space="preserve">
Physiologic PR.</t>
        </is>
      </c>
    </row>
    <row r="1695">
      <c r="A1695" t="inlineStr">
        <is>
          <t>88005-findings-8-2</t>
        </is>
      </c>
      <c r="B1695" t="inlineStr"/>
      <c r="C1695" t="inlineStr"/>
      <c r="D1695">
        <f>HYPERLINK("http://nlpdeep.cs.uic.edu:8080/proofing/gsii/88005-findings-8-2.pdf","gsii/88005-findings-8-2.pdf")</f>
        <v/>
      </c>
      <c r="E1695" t="n">
        <v>110002</v>
      </c>
      <c r="F1695" t="n">
        <v>88005</v>
      </c>
      <c r="G1695" t="inlineStr">
        <is>
          <t>Echo</t>
        </is>
      </c>
      <c r="H1695" t="inlineStr">
        <is>
          <t>findings</t>
        </is>
      </c>
      <c r="I1695" t="inlineStr">
        <is>
          <t xml:space="preserve">
Physiologic PR.</t>
        </is>
      </c>
    </row>
    <row r="1696">
      <c r="A1696" t="inlineStr">
        <is>
          <t>88005-findings-8-3</t>
        </is>
      </c>
      <c r="B1696" t="inlineStr"/>
      <c r="C1696" t="inlineStr"/>
      <c r="D1696">
        <f>HYPERLINK("http://nlpdeep.cs.uic.edu:8080/proofing/t5/88005-findings-8-3.pdf","t5/88005-findings-8-3.pdf")</f>
        <v/>
      </c>
      <c r="E1696" t="n">
        <v>110002</v>
      </c>
      <c r="F1696" t="n">
        <v>88005</v>
      </c>
      <c r="G1696" t="inlineStr">
        <is>
          <t>Echo</t>
        </is>
      </c>
      <c r="H1696" t="inlineStr">
        <is>
          <t>findings</t>
        </is>
      </c>
      <c r="I1696" t="inlineStr">
        <is>
          <t>No vegetation/mass on pulmonic valve.</t>
        </is>
      </c>
    </row>
    <row r="1697">
      <c r="A1697" t="inlineStr">
        <is>
          <t>88005-findings-8-3</t>
        </is>
      </c>
      <c r="B1697" t="inlineStr"/>
      <c r="C1697" t="inlineStr"/>
      <c r="D1697">
        <f>HYPERLINK("http://nlpdeep.cs.uic.edu:8080/proofing/gsii/88005-findings-8-3.pdf","gsii/88005-findings-8-3.pdf")</f>
        <v/>
      </c>
      <c r="E1697" t="n">
        <v>110002</v>
      </c>
      <c r="F1697" t="n">
        <v>88005</v>
      </c>
      <c r="G1697" t="inlineStr">
        <is>
          <t>Echo</t>
        </is>
      </c>
      <c r="H1697" t="inlineStr">
        <is>
          <t>findings</t>
        </is>
      </c>
      <c r="I1697" t="inlineStr">
        <is>
          <t>No vegetation/mass on pulmonic valve.</t>
        </is>
      </c>
    </row>
    <row r="1698">
      <c r="A1698" t="inlineStr">
        <is>
          <t>88005-findings-9-0</t>
        </is>
      </c>
      <c r="B1698" t="inlineStr"/>
      <c r="C1698" t="inlineStr"/>
      <c r="D1698">
        <f>HYPERLINK("http://nlpdeep.cs.uic.edu:8080/proofing/t5/88005-findings-9-0.pdf","t5/88005-findings-9-0.pdf")</f>
        <v/>
      </c>
      <c r="E1698" t="n">
        <v>110002</v>
      </c>
      <c r="F1698" t="n">
        <v>88005</v>
      </c>
      <c r="G1698" t="inlineStr">
        <is>
          <t>Echo</t>
        </is>
      </c>
      <c r="H1698" t="inlineStr">
        <is>
          <t>findings</t>
        </is>
      </c>
      <c r="I1698" t="inlineStr">
        <is>
          <t xml:space="preserve">
PERICARDIUM: No pericardial effusion.</t>
        </is>
      </c>
    </row>
    <row r="1699">
      <c r="A1699" t="inlineStr">
        <is>
          <t>88005-findings-9-0</t>
        </is>
      </c>
      <c r="B1699" t="inlineStr"/>
      <c r="C1699" t="inlineStr"/>
      <c r="D1699">
        <f>HYPERLINK("http://nlpdeep.cs.uic.edu:8080/proofing/gsii/88005-findings-9-0.pdf","gsii/88005-findings-9-0.pdf")</f>
        <v/>
      </c>
      <c r="E1699" t="n">
        <v>110002</v>
      </c>
      <c r="F1699" t="n">
        <v>88005</v>
      </c>
      <c r="G1699" t="inlineStr">
        <is>
          <t>Echo</t>
        </is>
      </c>
      <c r="H1699" t="inlineStr">
        <is>
          <t>findings</t>
        </is>
      </c>
      <c r="I1699" t="inlineStr">
        <is>
          <t xml:space="preserve">
PERICARDIUM: No pericardial effusion.</t>
        </is>
      </c>
    </row>
    <row r="1700">
      <c r="A1700" t="inlineStr">
        <is>
          <t>88005-findings-10-0</t>
        </is>
      </c>
      <c r="B1700" t="inlineStr"/>
      <c r="C1700" t="inlineStr"/>
      <c r="D1700">
        <f>HYPERLINK("http://nlpdeep.cs.uic.edu:8080/proofing/t5/88005-findings-10-0.pdf","t5/88005-findings-10-0.pdf")</f>
        <v/>
      </c>
      <c r="E1700" t="n">
        <v>110002</v>
      </c>
      <c r="F1700" t="n">
        <v>88005</v>
      </c>
      <c r="G1700" t="inlineStr">
        <is>
          <t>Echo</t>
        </is>
      </c>
      <c r="H1700" t="inlineStr">
        <is>
          <t>findings</t>
        </is>
      </c>
      <c r="I1700" t="inlineStr">
        <is>
          <t xml:space="preserve">
GENERAL COMMENTS: Resting tachycardia (HR&gt;100bpm).</t>
        </is>
      </c>
    </row>
    <row r="1701">
      <c r="A1701" t="inlineStr">
        <is>
          <t>88005-findings-10-0</t>
        </is>
      </c>
      <c r="B1701" t="inlineStr"/>
      <c r="C1701" t="inlineStr"/>
      <c r="D1701">
        <f>HYPERLINK("http://nlpdeep.cs.uic.edu:8080/proofing/gsii/88005-findings-10-0.pdf","gsii/88005-findings-10-0.pdf")</f>
        <v/>
      </c>
      <c r="E1701" t="n">
        <v>110002</v>
      </c>
      <c r="F1701" t="n">
        <v>88005</v>
      </c>
      <c r="G1701" t="inlineStr">
        <is>
          <t>Echo</t>
        </is>
      </c>
      <c r="H1701" t="inlineStr">
        <is>
          <t>findings</t>
        </is>
      </c>
      <c r="I1701" t="inlineStr">
        <is>
          <t xml:space="preserve">
GENERAL COMMENTS: Resting tachycardia (HR&gt;100bpm).</t>
        </is>
      </c>
    </row>
    <row r="1702">
      <c r="A1702" t="inlineStr">
        <is>
          <t>88005-conclusions-0-0</t>
        </is>
      </c>
      <c r="B1702" t="inlineStr"/>
      <c r="C1702" t="inlineStr"/>
      <c r="D1702">
        <f>HYPERLINK("http://nlpdeep.cs.uic.edu:8080/proofing/t5/88005-conclusions-0-0.pdf","t5/88005-conclusions-0-0.pdf")</f>
        <v/>
      </c>
      <c r="E1702" t="n">
        <v>110002</v>
      </c>
      <c r="F1702" t="n">
        <v>88005</v>
      </c>
      <c r="G1702" t="inlineStr">
        <is>
          <t>Echo</t>
        </is>
      </c>
      <c r="H1702" t="inlineStr">
        <is>
          <t>conclusions</t>
        </is>
      </c>
      <c r="I1702" t="inlineStr">
        <is>
          <t>The left atrium is normal in size.</t>
        </is>
      </c>
    </row>
    <row r="1703">
      <c r="A1703" t="inlineStr">
        <is>
          <t>88005-conclusions-0-0</t>
        </is>
      </c>
      <c r="B1703" t="inlineStr"/>
      <c r="C1703" t="inlineStr"/>
      <c r="D1703">
        <f>HYPERLINK("http://nlpdeep.cs.uic.edu:8080/proofing/gsii/88005-conclusions-0-0.pdf","gsii/88005-conclusions-0-0.pdf")</f>
        <v/>
      </c>
      <c r="E1703" t="n">
        <v>110002</v>
      </c>
      <c r="F1703" t="n">
        <v>88005</v>
      </c>
      <c r="G1703" t="inlineStr">
        <is>
          <t>Echo</t>
        </is>
      </c>
      <c r="H1703" t="inlineStr">
        <is>
          <t>conclusions</t>
        </is>
      </c>
      <c r="I1703" t="inlineStr">
        <is>
          <t>The left atrium is normal in size.</t>
        </is>
      </c>
    </row>
    <row r="1704">
      <c r="A1704" t="inlineStr">
        <is>
          <t>88005-conclusions-0-1</t>
        </is>
      </c>
      <c r="B1704" t="inlineStr"/>
      <c r="C1704" t="inlineStr"/>
      <c r="D1704">
        <f>HYPERLINK("http://nlpdeep.cs.uic.edu:8080/proofing/t5/88005-conclusions-0-1.pdf","t5/88005-conclusions-0-1.pdf")</f>
        <v/>
      </c>
      <c r="E1704" t="n">
        <v>110002</v>
      </c>
      <c r="F1704" t="n">
        <v>88005</v>
      </c>
      <c r="G1704" t="inlineStr">
        <is>
          <t>Echo</t>
        </is>
      </c>
      <c r="H1704" t="inlineStr">
        <is>
          <t>conclusions</t>
        </is>
      </c>
      <c r="I1704" t="inlineStr">
        <is>
          <t>No atrial septal defect is seen by 2D or
color Doppler.</t>
        </is>
      </c>
    </row>
    <row r="1705">
      <c r="A1705" t="inlineStr">
        <is>
          <t>88005-conclusions-0-1</t>
        </is>
      </c>
      <c r="B1705" t="inlineStr"/>
      <c r="C1705" t="inlineStr"/>
      <c r="D1705">
        <f>HYPERLINK("http://nlpdeep.cs.uic.edu:8080/proofing/gsii/88005-conclusions-0-1.pdf","gsii/88005-conclusions-0-1.pdf")</f>
        <v/>
      </c>
      <c r="E1705" t="n">
        <v>110002</v>
      </c>
      <c r="F1705" t="n">
        <v>88005</v>
      </c>
      <c r="G1705" t="inlineStr">
        <is>
          <t>Echo</t>
        </is>
      </c>
      <c r="H1705" t="inlineStr">
        <is>
          <t>conclusions</t>
        </is>
      </c>
      <c r="I1705" t="inlineStr">
        <is>
          <t>No atrial septal defect is seen by 2D or
color Doppler.</t>
        </is>
      </c>
    </row>
    <row r="1706">
      <c r="A1706" t="inlineStr">
        <is>
          <t>88005-conclusions-0-2</t>
        </is>
      </c>
      <c r="B1706" t="inlineStr"/>
      <c r="C1706" t="inlineStr"/>
      <c r="D1706">
        <f>HYPERLINK("http://nlpdeep.cs.uic.edu:8080/proofing/t5/88005-conclusions-0-2.pdf","t5/88005-conclusions-0-2.pdf")</f>
        <v/>
      </c>
      <c r="E1706" t="n">
        <v>110002</v>
      </c>
      <c r="F1706" t="n">
        <v>88005</v>
      </c>
      <c r="G1706" t="inlineStr">
        <is>
          <t>Echo</t>
        </is>
      </c>
      <c r="H1706" t="inlineStr">
        <is>
          <t>conclusions</t>
        </is>
      </c>
      <c r="I1706" t="inlineStr">
        <is>
          <t>Left ventricular wall thickness, cavity size and
regional/global systolic function are normal (LVEF &gt;55%).</t>
        </is>
      </c>
    </row>
    <row r="1707">
      <c r="A1707" t="inlineStr">
        <is>
          <t>88005-conclusions-0-2</t>
        </is>
      </c>
      <c r="B1707" t="inlineStr"/>
      <c r="C1707" t="inlineStr"/>
      <c r="D1707">
        <f>HYPERLINK("http://nlpdeep.cs.uic.edu:8080/proofing/gsii/88005-conclusions-0-2.pdf","gsii/88005-conclusions-0-2.pdf")</f>
        <v/>
      </c>
      <c r="E1707" t="n">
        <v>110002</v>
      </c>
      <c r="F1707" t="n">
        <v>88005</v>
      </c>
      <c r="G1707" t="inlineStr">
        <is>
          <t>Echo</t>
        </is>
      </c>
      <c r="H1707" t="inlineStr">
        <is>
          <t>conclusions</t>
        </is>
      </c>
      <c r="I1707" t="inlineStr">
        <is>
          <t>Left ventricular wall thickness, cavity size and
regional/global systolic function are normal (LVEF &gt;55%).</t>
        </is>
      </c>
    </row>
    <row r="1708">
      <c r="A1708" t="inlineStr">
        <is>
          <t>88005-conclusions-0-3</t>
        </is>
      </c>
      <c r="B1708" t="inlineStr"/>
      <c r="C1708" t="inlineStr"/>
      <c r="D1708">
        <f>HYPERLINK("http://nlpdeep.cs.uic.edu:8080/proofing/t5/88005-conclusions-0-3.pdf","t5/88005-conclusions-0-3.pdf")</f>
        <v/>
      </c>
      <c r="E1708" t="n">
        <v>110002</v>
      </c>
      <c r="F1708" t="n">
        <v>88005</v>
      </c>
      <c r="G1708" t="inlineStr">
        <is>
          <t>Echo</t>
        </is>
      </c>
      <c r="H1708" t="inlineStr">
        <is>
          <t>conclusions</t>
        </is>
      </c>
      <c r="I1708" t="inlineStr">
        <is>
          <t>There is no
ventricular septal defect.</t>
        </is>
      </c>
    </row>
    <row r="1709">
      <c r="A1709" t="inlineStr">
        <is>
          <t>88005-conclusions-0-3</t>
        </is>
      </c>
      <c r="B1709" t="inlineStr"/>
      <c r="C1709" t="inlineStr"/>
      <c r="D1709">
        <f>HYPERLINK("http://nlpdeep.cs.uic.edu:8080/proofing/gsii/88005-conclusions-0-3.pdf","gsii/88005-conclusions-0-3.pdf")</f>
        <v/>
      </c>
      <c r="E1709" t="n">
        <v>110002</v>
      </c>
      <c r="F1709" t="n">
        <v>88005</v>
      </c>
      <c r="G1709" t="inlineStr">
        <is>
          <t>Echo</t>
        </is>
      </c>
      <c r="H1709" t="inlineStr">
        <is>
          <t>conclusions</t>
        </is>
      </c>
      <c r="I1709" t="inlineStr">
        <is>
          <t>There is no
ventricular septal defect.</t>
        </is>
      </c>
    </row>
    <row r="1710">
      <c r="A1710" t="inlineStr">
        <is>
          <t>88005-conclusions-0-4</t>
        </is>
      </c>
      <c r="B1710" t="inlineStr"/>
      <c r="C1710" t="inlineStr"/>
      <c r="D1710">
        <f>HYPERLINK("http://nlpdeep.cs.uic.edu:8080/proofing/t5/88005-conclusions-0-4.pdf","t5/88005-conclusions-0-4.pdf")</f>
        <v/>
      </c>
      <c r="E1710" t="n">
        <v>110002</v>
      </c>
      <c r="F1710" t="n">
        <v>88005</v>
      </c>
      <c r="G1710" t="inlineStr">
        <is>
          <t>Echo</t>
        </is>
      </c>
      <c r="H1710" t="inlineStr">
        <is>
          <t>conclusions</t>
        </is>
      </c>
      <c r="I1710" t="inlineStr">
        <is>
          <t>The right ventricular cavity is mildly dilated with
borderline normal free wall function.</t>
        </is>
      </c>
    </row>
    <row r="1711">
      <c r="A1711" t="inlineStr">
        <is>
          <t>88005-conclusions-0-4</t>
        </is>
      </c>
      <c r="B1711" t="inlineStr"/>
      <c r="C1711" t="inlineStr"/>
      <c r="D1711">
        <f>HYPERLINK("http://nlpdeep.cs.uic.edu:8080/proofing/gsii/88005-conclusions-0-4.pdf","gsii/88005-conclusions-0-4.pdf")</f>
        <v/>
      </c>
      <c r="E1711" t="n">
        <v>110002</v>
      </c>
      <c r="F1711" t="n">
        <v>88005</v>
      </c>
      <c r="G1711" t="inlineStr">
        <is>
          <t>Echo</t>
        </is>
      </c>
      <c r="H1711" t="inlineStr">
        <is>
          <t>conclusions</t>
        </is>
      </c>
      <c r="I1711" t="inlineStr">
        <is>
          <t>The right ventricular cavity is mildly dilated with
borderline normal free wall function.</t>
        </is>
      </c>
    </row>
    <row r="1712">
      <c r="A1712" t="inlineStr">
        <is>
          <t>88005-conclusions-0-5</t>
        </is>
      </c>
      <c r="B1712" t="inlineStr"/>
      <c r="C1712" t="inlineStr"/>
      <c r="D1712">
        <f>HYPERLINK("http://nlpdeep.cs.uic.edu:8080/proofing/t5/88005-conclusions-0-5.pdf","t5/88005-conclusions-0-5.pdf")</f>
        <v/>
      </c>
      <c r="E1712" t="n">
        <v>110002</v>
      </c>
      <c r="F1712" t="n">
        <v>88005</v>
      </c>
      <c r="G1712" t="inlineStr">
        <is>
          <t>Echo</t>
        </is>
      </c>
      <c r="H1712" t="inlineStr">
        <is>
          <t>conclusions</t>
        </is>
      </c>
      <c r="I1712" t="inlineStr">
        <is>
          <t>The diameters of aorta at the sinus,
ascending and arch levels are normal.</t>
        </is>
      </c>
    </row>
    <row r="1713">
      <c r="A1713" t="inlineStr">
        <is>
          <t>88005-conclusions-0-5</t>
        </is>
      </c>
      <c r="B1713" t="inlineStr"/>
      <c r="C1713" t="inlineStr"/>
      <c r="D1713">
        <f>HYPERLINK("http://nlpdeep.cs.uic.edu:8080/proofing/gsii/88005-conclusions-0-5.pdf","gsii/88005-conclusions-0-5.pdf")</f>
        <v/>
      </c>
      <c r="E1713" t="n">
        <v>110002</v>
      </c>
      <c r="F1713" t="n">
        <v>88005</v>
      </c>
      <c r="G1713" t="inlineStr">
        <is>
          <t>Echo</t>
        </is>
      </c>
      <c r="H1713" t="inlineStr">
        <is>
          <t>conclusions</t>
        </is>
      </c>
      <c r="I1713" t="inlineStr">
        <is>
          <t>The diameters of aorta at the sinus,
ascending and arch levels are normal.</t>
        </is>
      </c>
    </row>
    <row r="1714">
      <c r="A1714" t="inlineStr">
        <is>
          <t>88005-conclusions-0-6</t>
        </is>
      </c>
      <c r="B1714" t="inlineStr"/>
      <c r="C1714" t="inlineStr"/>
      <c r="D1714">
        <f>HYPERLINK("http://nlpdeep.cs.uic.edu:8080/proofing/t5/88005-conclusions-0-6.pdf","t5/88005-conclusions-0-6.pdf")</f>
        <v/>
      </c>
      <c r="E1714" t="n">
        <v>110002</v>
      </c>
      <c r="F1714" t="n">
        <v>88005</v>
      </c>
      <c r="G1714" t="inlineStr">
        <is>
          <t>Echo</t>
        </is>
      </c>
      <c r="H1714" t="inlineStr">
        <is>
          <t>conclusions</t>
        </is>
      </c>
      <c r="I1714" t="inlineStr">
        <is>
          <t>The aortic valve leaflets (3) appear
structurally normal with good leaflet excursion and no aortic regurgitation.</t>
        </is>
      </c>
    </row>
    <row r="1715">
      <c r="A1715" t="inlineStr">
        <is>
          <t>88005-conclusions-0-6</t>
        </is>
      </c>
      <c r="B1715" t="inlineStr"/>
      <c r="C1715" t="inlineStr"/>
      <c r="D1715">
        <f>HYPERLINK("http://nlpdeep.cs.uic.edu:8080/proofing/gsii/88005-conclusions-0-6.pdf","gsii/88005-conclusions-0-6.pdf")</f>
        <v/>
      </c>
      <c r="E1715" t="n">
        <v>110002</v>
      </c>
      <c r="F1715" t="n">
        <v>88005</v>
      </c>
      <c r="G1715" t="inlineStr">
        <is>
          <t>Echo</t>
        </is>
      </c>
      <c r="H1715" t="inlineStr">
        <is>
          <t>conclusions</t>
        </is>
      </c>
      <c r="I1715" t="inlineStr">
        <is>
          <t>The aortic valve leaflets (3) appear
structurally normal with good leaflet excursion and no aortic regurgitation.</t>
        </is>
      </c>
    </row>
    <row r="1716">
      <c r="A1716" t="inlineStr">
        <is>
          <t>88005-conclusions-0-7</t>
        </is>
      </c>
      <c r="B1716" t="inlineStr"/>
      <c r="C1716" t="inlineStr"/>
      <c r="D1716">
        <f>HYPERLINK("http://nlpdeep.cs.uic.edu:8080/proofing/t5/88005-conclusions-0-7.pdf","t5/88005-conclusions-0-7.pdf")</f>
        <v/>
      </c>
      <c r="E1716" t="n">
        <v>110002</v>
      </c>
      <c r="F1716" t="n">
        <v>88005</v>
      </c>
      <c r="G1716" t="inlineStr">
        <is>
          <t>Echo</t>
        </is>
      </c>
      <c r="H1716" t="inlineStr">
        <is>
          <t>conclusions</t>
        </is>
      </c>
      <c r="I1716" t="inlineStr">
        <is>
          <t xml:space="preserve">
No masses or vegetations are seen on the aortic valve.</t>
        </is>
      </c>
    </row>
    <row r="1717">
      <c r="A1717" t="inlineStr">
        <is>
          <t>88005-conclusions-0-7</t>
        </is>
      </c>
      <c r="B1717" t="inlineStr"/>
      <c r="C1717" t="inlineStr"/>
      <c r="D1717">
        <f>HYPERLINK("http://nlpdeep.cs.uic.edu:8080/proofing/gsii/88005-conclusions-0-7.pdf","gsii/88005-conclusions-0-7.pdf")</f>
        <v/>
      </c>
      <c r="E1717" t="n">
        <v>110002</v>
      </c>
      <c r="F1717" t="n">
        <v>88005</v>
      </c>
      <c r="G1717" t="inlineStr">
        <is>
          <t>Echo</t>
        </is>
      </c>
      <c r="H1717" t="inlineStr">
        <is>
          <t>conclusions</t>
        </is>
      </c>
      <c r="I1717" t="inlineStr">
        <is>
          <t xml:space="preserve">
No masses or vegetations are seen on the aortic valve.</t>
        </is>
      </c>
    </row>
    <row r="1718">
      <c r="A1718" t="inlineStr">
        <is>
          <t>88005-conclusions-0-8</t>
        </is>
      </c>
      <c r="B1718" t="inlineStr"/>
      <c r="C1718" t="inlineStr"/>
      <c r="D1718">
        <f>HYPERLINK("http://nlpdeep.cs.uic.edu:8080/proofing/t5/88005-conclusions-0-8.pdf","t5/88005-conclusions-0-8.pdf")</f>
        <v/>
      </c>
      <c r="E1718" t="n">
        <v>110002</v>
      </c>
      <c r="F1718" t="n">
        <v>88005</v>
      </c>
      <c r="G1718" t="inlineStr">
        <is>
          <t>Echo</t>
        </is>
      </c>
      <c r="H1718" t="inlineStr">
        <is>
          <t>conclusions</t>
        </is>
      </c>
      <c r="I1718" t="inlineStr">
        <is>
          <t>The mitral valve
appears structurally normal with trivial mitral regurgitation.</t>
        </is>
      </c>
    </row>
    <row r="1719">
      <c r="A1719" t="inlineStr">
        <is>
          <t>88005-conclusions-0-8</t>
        </is>
      </c>
      <c r="B1719" t="inlineStr"/>
      <c r="C1719" t="inlineStr"/>
      <c r="D1719">
        <f>HYPERLINK("http://nlpdeep.cs.uic.edu:8080/proofing/gsii/88005-conclusions-0-8.pdf","gsii/88005-conclusions-0-8.pdf")</f>
        <v/>
      </c>
      <c r="E1719" t="n">
        <v>110002</v>
      </c>
      <c r="F1719" t="n">
        <v>88005</v>
      </c>
      <c r="G1719" t="inlineStr">
        <is>
          <t>Echo</t>
        </is>
      </c>
      <c r="H1719" t="inlineStr">
        <is>
          <t>conclusions</t>
        </is>
      </c>
      <c r="I1719" t="inlineStr">
        <is>
          <t>The mitral valve
appears structurally normal with trivial mitral regurgitation.</t>
        </is>
      </c>
    </row>
    <row r="1720">
      <c r="A1720" t="inlineStr">
        <is>
          <t>88005-conclusions-0-9</t>
        </is>
      </c>
      <c r="B1720" t="inlineStr"/>
      <c r="C1720" t="inlineStr"/>
      <c r="D1720">
        <f>HYPERLINK("http://nlpdeep.cs.uic.edu:8080/proofing/t5/88005-conclusions-0-9.pdf","t5/88005-conclusions-0-9.pdf")</f>
        <v/>
      </c>
      <c r="E1720" t="n">
        <v>110002</v>
      </c>
      <c r="F1720" t="n">
        <v>88005</v>
      </c>
      <c r="G1720" t="inlineStr">
        <is>
          <t>Echo</t>
        </is>
      </c>
      <c r="H1720" t="inlineStr">
        <is>
          <t>conclusions</t>
        </is>
      </c>
      <c r="I1720" t="inlineStr">
        <is>
          <t>There is no
mitral valve prolapse.</t>
        </is>
      </c>
    </row>
    <row r="1721">
      <c r="A1721" t="inlineStr">
        <is>
          <t>88005-conclusions-0-9</t>
        </is>
      </c>
      <c r="B1721" t="inlineStr"/>
      <c r="C1721" t="inlineStr"/>
      <c r="D1721">
        <f>HYPERLINK("http://nlpdeep.cs.uic.edu:8080/proofing/gsii/88005-conclusions-0-9.pdf","gsii/88005-conclusions-0-9.pdf")</f>
        <v/>
      </c>
      <c r="E1721" t="n">
        <v>110002</v>
      </c>
      <c r="F1721" t="n">
        <v>88005</v>
      </c>
      <c r="G1721" t="inlineStr">
        <is>
          <t>Echo</t>
        </is>
      </c>
      <c r="H1721" t="inlineStr">
        <is>
          <t>conclusions</t>
        </is>
      </c>
      <c r="I1721" t="inlineStr">
        <is>
          <t>There is no
mitral valve prolapse.</t>
        </is>
      </c>
    </row>
    <row r="1722">
      <c r="A1722" t="inlineStr">
        <is>
          <t>88005-conclusions-0-10</t>
        </is>
      </c>
      <c r="B1722" t="inlineStr"/>
      <c r="C1722" t="inlineStr"/>
      <c r="D1722">
        <f>HYPERLINK("http://nlpdeep.cs.uic.edu:8080/proofing/t5/88005-conclusions-0-10.pdf","t5/88005-conclusions-0-10.pdf")</f>
        <v/>
      </c>
      <c r="E1722" t="n">
        <v>110002</v>
      </c>
      <c r="F1722" t="n">
        <v>88005</v>
      </c>
      <c r="G1722" t="inlineStr">
        <is>
          <t>Echo</t>
        </is>
      </c>
      <c r="H1722" t="inlineStr">
        <is>
          <t>conclusions</t>
        </is>
      </c>
      <c r="I1722" t="inlineStr">
        <is>
          <t>No mass or vegetation is seen on the mitral valve.</t>
        </is>
      </c>
    </row>
    <row r="1723">
      <c r="A1723" t="inlineStr">
        <is>
          <t>88005-conclusions-0-10</t>
        </is>
      </c>
      <c r="B1723" t="inlineStr"/>
      <c r="C1723" t="inlineStr"/>
      <c r="D1723">
        <f>HYPERLINK("http://nlpdeep.cs.uic.edu:8080/proofing/gsii/88005-conclusions-0-10.pdf","gsii/88005-conclusions-0-10.pdf")</f>
        <v/>
      </c>
      <c r="E1723" t="n">
        <v>110002</v>
      </c>
      <c r="F1723" t="n">
        <v>88005</v>
      </c>
      <c r="G1723" t="inlineStr">
        <is>
          <t>Echo</t>
        </is>
      </c>
      <c r="H1723" t="inlineStr">
        <is>
          <t>conclusions</t>
        </is>
      </c>
      <c r="I1723" t="inlineStr">
        <is>
          <t>No mass or vegetation is seen on the mitral valve.</t>
        </is>
      </c>
    </row>
    <row r="1724">
      <c r="A1724" t="inlineStr">
        <is>
          <t>88005-conclusions-0-11</t>
        </is>
      </c>
      <c r="B1724" t="inlineStr"/>
      <c r="C1724" t="inlineStr"/>
      <c r="D1724">
        <f>HYPERLINK("http://nlpdeep.cs.uic.edu:8080/proofing/t5/88005-conclusions-0-11.pdf","t5/88005-conclusions-0-11.pdf")</f>
        <v/>
      </c>
      <c r="E1724" t="n">
        <v>110002</v>
      </c>
      <c r="F1724" t="n">
        <v>88005</v>
      </c>
      <c r="G1724" t="inlineStr">
        <is>
          <t>Echo</t>
        </is>
      </c>
      <c r="H1724" t="inlineStr">
        <is>
          <t>conclusions</t>
        </is>
      </c>
      <c r="I1724" t="inlineStr">
        <is>
          <t>The
pulmonary artery systolic pressure could not be determined.</t>
        </is>
      </c>
    </row>
    <row r="1725">
      <c r="A1725" t="inlineStr">
        <is>
          <t>88005-conclusions-0-11</t>
        </is>
      </c>
      <c r="B1725" t="inlineStr"/>
      <c r="C1725" t="inlineStr"/>
      <c r="D1725">
        <f>HYPERLINK("http://nlpdeep.cs.uic.edu:8080/proofing/gsii/88005-conclusions-0-11.pdf","gsii/88005-conclusions-0-11.pdf")</f>
        <v/>
      </c>
      <c r="E1725" t="n">
        <v>110002</v>
      </c>
      <c r="F1725" t="n">
        <v>88005</v>
      </c>
      <c r="G1725" t="inlineStr">
        <is>
          <t>Echo</t>
        </is>
      </c>
      <c r="H1725" t="inlineStr">
        <is>
          <t>conclusions</t>
        </is>
      </c>
      <c r="I1725" t="inlineStr">
        <is>
          <t>The
pulmonary artery systolic pressure could not be determined.</t>
        </is>
      </c>
    </row>
    <row r="1726">
      <c r="A1726" t="inlineStr">
        <is>
          <t>88005-conclusions-0-12</t>
        </is>
      </c>
      <c r="B1726" t="inlineStr"/>
      <c r="C1726" t="inlineStr"/>
      <c r="D1726">
        <f>HYPERLINK("http://nlpdeep.cs.uic.edu:8080/proofing/t5/88005-conclusions-0-12.pdf","t5/88005-conclusions-0-12.pdf")</f>
        <v/>
      </c>
      <c r="E1726" t="n">
        <v>110002</v>
      </c>
      <c r="F1726" t="n">
        <v>88005</v>
      </c>
      <c r="G1726" t="inlineStr">
        <is>
          <t>Echo</t>
        </is>
      </c>
      <c r="H1726" t="inlineStr">
        <is>
          <t>conclusions</t>
        </is>
      </c>
      <c r="I1726" t="inlineStr">
        <is>
          <t>No vegetation/mass
is seen on the pulmonic valve.</t>
        </is>
      </c>
    </row>
    <row r="1727">
      <c r="A1727" t="inlineStr">
        <is>
          <t>88005-conclusions-0-12</t>
        </is>
      </c>
      <c r="B1727" t="inlineStr"/>
      <c r="C1727" t="inlineStr"/>
      <c r="D1727">
        <f>HYPERLINK("http://nlpdeep.cs.uic.edu:8080/proofing/gsii/88005-conclusions-0-12.pdf","gsii/88005-conclusions-0-12.pdf")</f>
        <v/>
      </c>
      <c r="E1727" t="n">
        <v>110002</v>
      </c>
      <c r="F1727" t="n">
        <v>88005</v>
      </c>
      <c r="G1727" t="inlineStr">
        <is>
          <t>Echo</t>
        </is>
      </c>
      <c r="H1727" t="inlineStr">
        <is>
          <t>conclusions</t>
        </is>
      </c>
      <c r="I1727" t="inlineStr">
        <is>
          <t>No vegetation/mass
is seen on the pulmonic valve.</t>
        </is>
      </c>
    </row>
    <row r="1728">
      <c r="A1728" t="inlineStr">
        <is>
          <t>88005-conclusions-0-13</t>
        </is>
      </c>
      <c r="B1728" t="inlineStr"/>
      <c r="C1728" t="inlineStr"/>
      <c r="D1728">
        <f>HYPERLINK("http://nlpdeep.cs.uic.edu:8080/proofing/t5/88005-conclusions-0-13.pdf","t5/88005-conclusions-0-13.pdf")</f>
        <v/>
      </c>
      <c r="E1728" t="n">
        <v>110002</v>
      </c>
      <c r="F1728" t="n">
        <v>88005</v>
      </c>
      <c r="G1728" t="inlineStr">
        <is>
          <t>Echo</t>
        </is>
      </c>
      <c r="H1728" t="inlineStr">
        <is>
          <t>conclusions</t>
        </is>
      </c>
      <c r="I1728" t="inlineStr">
        <is>
          <t>There is no pericardial effusion.</t>
        </is>
      </c>
    </row>
    <row r="1729">
      <c r="A1729" t="inlineStr">
        <is>
          <t>88005-conclusions-0-13</t>
        </is>
      </c>
      <c r="B1729" t="inlineStr"/>
      <c r="C1729" t="inlineStr"/>
      <c r="D1729">
        <f>HYPERLINK("http://nlpdeep.cs.uic.edu:8080/proofing/gsii/88005-conclusions-0-13.pdf","gsii/88005-conclusions-0-13.pdf")</f>
        <v/>
      </c>
      <c r="E1729" t="n">
        <v>110002</v>
      </c>
      <c r="F1729" t="n">
        <v>88005</v>
      </c>
      <c r="G1729" t="inlineStr">
        <is>
          <t>Echo</t>
        </is>
      </c>
      <c r="H1729" t="inlineStr">
        <is>
          <t>conclusions</t>
        </is>
      </c>
      <c r="I1729" t="inlineStr">
        <is>
          <t>There is no pericardial effusion.</t>
        </is>
      </c>
    </row>
    <row r="1730">
      <c r="A1730" t="inlineStr">
        <is>
          <t>323171-chief-complaint-0-0</t>
        </is>
      </c>
      <c r="B1730" t="inlineStr"/>
      <c r="C1730" t="inlineStr"/>
      <c r="D1730">
        <f>HYPERLINK("http://nlpdeep.cs.uic.edu:8080/proofing/t5/323171-chief-complaint-0-0.pdf","t5/323171-chief-complaint-0-0.pdf")</f>
        <v/>
      </c>
      <c r="E1730" t="n">
        <v>146230</v>
      </c>
      <c r="F1730" t="n">
        <v>323171</v>
      </c>
      <c r="G1730" t="inlineStr">
        <is>
          <t>Physician</t>
        </is>
      </c>
      <c r="H1730" t="inlineStr">
        <is>
          <t>chief-complaint</t>
        </is>
      </c>
      <c r="I1730" t="inlineStr">
        <is>
          <t>Intra-op PEA a</t>
        </is>
      </c>
    </row>
    <row r="1731">
      <c r="A1731" t="inlineStr">
        <is>
          <t>323171-chief-complaint-0-0</t>
        </is>
      </c>
      <c r="B1731" t="inlineStr"/>
      <c r="C1731" t="inlineStr"/>
      <c r="D1731">
        <f>HYPERLINK("http://nlpdeep.cs.uic.edu:8080/proofing/gsii/323171-chief-complaint-0-0.pdf","gsii/323171-chief-complaint-0-0.pdf")</f>
        <v/>
      </c>
      <c r="E1731" t="n">
        <v>146230</v>
      </c>
      <c r="F1731" t="n">
        <v>323171</v>
      </c>
      <c r="G1731" t="inlineStr">
        <is>
          <t>Physician</t>
        </is>
      </c>
      <c r="H1731" t="inlineStr">
        <is>
          <t>chief-complaint</t>
        </is>
      </c>
      <c r="I1731" t="inlineStr">
        <is>
          <t>Intra-op PEA a</t>
        </is>
      </c>
    </row>
    <row r="1732">
      <c r="A1732" t="inlineStr">
        <is>
          <t>323171-history-of-present-illness-0-0</t>
        </is>
      </c>
      <c r="B1732" t="inlineStr"/>
      <c r="C1732" t="inlineStr"/>
      <c r="D1732">
        <f>HYPERLINK("http://nlpdeep.cs.uic.edu:8080/proofing/t5/323171-history-of-present-illness-0-0.pdf","t5/323171-history-of-present-illness-0-0.pdf")</f>
        <v/>
      </c>
      <c r="E1732" t="n">
        <v>146230</v>
      </c>
      <c r="F1732" t="n">
        <v>323171</v>
      </c>
      <c r="G1732" t="inlineStr">
        <is>
          <t>Physician</t>
        </is>
      </c>
      <c r="H1732" t="inlineStr">
        <is>
          <t>history-of-present-illness</t>
        </is>
      </c>
      <c r="I1732" t="inlineStr">
        <is>
          <t>49 year old female in [**Hospital Unit Name 44**] since [**3-10**]: intra-op PEA arrest during
   realignment of left femoral fracture, in the setting of severe acute
   blood loss.</t>
        </is>
      </c>
    </row>
    <row r="1733">
      <c r="A1733" t="inlineStr">
        <is>
          <t>323171-history-of-present-illness-0-0</t>
        </is>
      </c>
      <c r="B1733" t="inlineStr"/>
      <c r="C1733" t="inlineStr"/>
      <c r="D1733">
        <f>HYPERLINK("http://nlpdeep.cs.uic.edu:8080/proofing/gsii/323171-history-of-present-illness-0-0.pdf","gsii/323171-history-of-present-illness-0-0.pdf")</f>
        <v/>
      </c>
      <c r="E1733" t="n">
        <v>146230</v>
      </c>
      <c r="F1733" t="n">
        <v>323171</v>
      </c>
      <c r="G1733" t="inlineStr">
        <is>
          <t>Physician</t>
        </is>
      </c>
      <c r="H1733" t="inlineStr">
        <is>
          <t>history-of-present-illness</t>
        </is>
      </c>
      <c r="I1733" t="inlineStr">
        <is>
          <t>49 year old female in [**Hospital Unit Name 44**] since [**3-10**]: intra-op PEA arrest during
   realignment of left femoral fracture, in the setting of severe acute
   blood loss.</t>
        </is>
      </c>
    </row>
    <row r="1734">
      <c r="A1734" t="inlineStr">
        <is>
          <t>323171-history-of-present-illness-0-1</t>
        </is>
      </c>
      <c r="B1734" t="inlineStr"/>
      <c r="C1734" t="inlineStr"/>
      <c r="D1734">
        <f>HYPERLINK("http://nlpdeep.cs.uic.edu:8080/proofing/t5/323171-history-of-present-illness-0-1.pdf","t5/323171-history-of-present-illness-0-1.pdf")</f>
        <v/>
      </c>
      <c r="E1734" t="n">
        <v>146230</v>
      </c>
      <c r="F1734" t="n">
        <v>323171</v>
      </c>
      <c r="G1734" t="inlineStr">
        <is>
          <t>Physician</t>
        </is>
      </c>
      <c r="H1734" t="inlineStr">
        <is>
          <t>history-of-present-illness</t>
        </is>
      </c>
      <c r="I1734" t="inlineStr">
        <is>
          <t xml:space="preserve">
   24 Hour Events:
   Overnight, pt extubated.</t>
        </is>
      </c>
    </row>
    <row r="1735">
      <c r="A1735" t="inlineStr">
        <is>
          <t>323171-history-of-present-illness-0-1</t>
        </is>
      </c>
      <c r="B1735" t="inlineStr"/>
      <c r="C1735" t="inlineStr"/>
      <c r="D1735">
        <f>HYPERLINK("http://nlpdeep.cs.uic.edu:8080/proofing/gsii/323171-history-of-present-illness-0-1.pdf","gsii/323171-history-of-present-illness-0-1.pdf")</f>
        <v/>
      </c>
      <c r="E1735" t="n">
        <v>146230</v>
      </c>
      <c r="F1735" t="n">
        <v>323171</v>
      </c>
      <c r="G1735" t="inlineStr">
        <is>
          <t>Physician</t>
        </is>
      </c>
      <c r="H1735" t="inlineStr">
        <is>
          <t>history-of-present-illness</t>
        </is>
      </c>
      <c r="I1735" t="inlineStr">
        <is>
          <t xml:space="preserve">
   24 Hour Events:
   Overnight, pt extubated.</t>
        </is>
      </c>
    </row>
    <row r="1736">
      <c r="A1736" t="inlineStr">
        <is>
          <t>323171-history-of-present-illness-0-2</t>
        </is>
      </c>
      <c r="B1736" t="inlineStr"/>
      <c r="C1736" t="inlineStr"/>
      <c r="D1736">
        <f>HYPERLINK("http://nlpdeep.cs.uic.edu:8080/proofing/t5/323171-history-of-present-illness-0-2.pdf","t5/323171-history-of-present-illness-0-2.pdf")</f>
        <v/>
      </c>
      <c r="E1736" t="n">
        <v>146230</v>
      </c>
      <c r="F1736" t="n">
        <v>323171</v>
      </c>
      <c r="G1736" t="inlineStr">
        <is>
          <t>Physician</t>
        </is>
      </c>
      <c r="H1736" t="inlineStr">
        <is>
          <t>history-of-present-illness</t>
        </is>
      </c>
      <c r="I1736" t="inlineStr">
        <is>
          <t>CTA negative for PE.</t>
        </is>
      </c>
    </row>
    <row r="1737">
      <c r="A1737" t="inlineStr">
        <is>
          <t>323171-history-of-present-illness-0-2</t>
        </is>
      </c>
      <c r="B1737" t="inlineStr"/>
      <c r="C1737" t="inlineStr"/>
      <c r="D1737">
        <f>HYPERLINK("http://nlpdeep.cs.uic.edu:8080/proofing/gsii/323171-history-of-present-illness-0-2.pdf","gsii/323171-history-of-present-illness-0-2.pdf")</f>
        <v/>
      </c>
      <c r="E1737" t="n">
        <v>146230</v>
      </c>
      <c r="F1737" t="n">
        <v>323171</v>
      </c>
      <c r="G1737" t="inlineStr">
        <is>
          <t>Physician</t>
        </is>
      </c>
      <c r="H1737" t="inlineStr">
        <is>
          <t>history-of-present-illness</t>
        </is>
      </c>
      <c r="I1737" t="inlineStr">
        <is>
          <t>CTA negative for PE.</t>
        </is>
      </c>
    </row>
    <row r="1738">
      <c r="A1738" t="inlineStr">
        <is>
          <t>323171-history-of-present-illness-0-3</t>
        </is>
      </c>
      <c r="B1738" t="inlineStr"/>
      <c r="C1738" t="inlineStr"/>
      <c r="D1738">
        <f>HYPERLINK("http://nlpdeep.cs.uic.edu:8080/proofing/t5/323171-history-of-present-illness-0-3.pdf","t5/323171-history-of-present-illness-0-3.pdf")</f>
        <v/>
      </c>
      <c r="E1738" t="n">
        <v>146230</v>
      </c>
      <c r="F1738" t="n">
        <v>323171</v>
      </c>
      <c r="G1738" t="inlineStr">
        <is>
          <t>Physician</t>
        </is>
      </c>
      <c r="H1738" t="inlineStr">
        <is>
          <t>history-of-present-illness</t>
        </is>
      </c>
      <c r="I1738" t="inlineStr">
        <is>
          <t>Cards consults to re-echo
   in a few days to follow up possible posterior HK seen during intra-op
   arrest.</t>
        </is>
      </c>
    </row>
    <row r="1739">
      <c r="A1739" t="inlineStr">
        <is>
          <t>323171-history-of-present-illness-0-3</t>
        </is>
      </c>
      <c r="B1739" t="inlineStr"/>
      <c r="C1739" t="inlineStr"/>
      <c r="D1739">
        <f>HYPERLINK("http://nlpdeep.cs.uic.edu:8080/proofing/gsii/323171-history-of-present-illness-0-3.pdf","gsii/323171-history-of-present-illness-0-3.pdf")</f>
        <v/>
      </c>
      <c r="E1739" t="n">
        <v>146230</v>
      </c>
      <c r="F1739" t="n">
        <v>323171</v>
      </c>
      <c r="G1739" t="inlineStr">
        <is>
          <t>Physician</t>
        </is>
      </c>
      <c r="H1739" t="inlineStr">
        <is>
          <t>history-of-present-illness</t>
        </is>
      </c>
      <c r="I1739" t="inlineStr">
        <is>
          <t>Cards consults to re-echo
   in a few days to follow up possible posterior HK seen during intra-op
   arrest.</t>
        </is>
      </c>
    </row>
    <row r="1740">
      <c r="A1740" t="inlineStr">
        <is>
          <t>323171-history-of-present-illness-0-4</t>
        </is>
      </c>
      <c r="B1740" t="inlineStr"/>
      <c r="C1740" t="inlineStr"/>
      <c r="D1740">
        <f>HYPERLINK("http://nlpdeep.cs.uic.edu:8080/proofing/t5/323171-history-of-present-illness-0-4.pdf","t5/323171-history-of-present-illness-0-4.pdf")</f>
        <v/>
      </c>
      <c r="E1740" t="n">
        <v>146230</v>
      </c>
      <c r="F1740" t="n">
        <v>323171</v>
      </c>
      <c r="G1740" t="inlineStr">
        <is>
          <t>Physician</t>
        </is>
      </c>
      <c r="H1740" t="inlineStr">
        <is>
          <t>history-of-present-illness</t>
        </is>
      </c>
      <c r="I1740" t="inlineStr">
        <is>
          <t>Cardiac enzymes wtih trop+ leak but decreasing.</t>
        </is>
      </c>
    </row>
    <row r="1741">
      <c r="A1741" t="inlineStr">
        <is>
          <t>323171-history-of-present-illness-0-4</t>
        </is>
      </c>
      <c r="B1741" t="inlineStr"/>
      <c r="C1741" t="inlineStr"/>
      <c r="D1741">
        <f>HYPERLINK("http://nlpdeep.cs.uic.edu:8080/proofing/gsii/323171-history-of-present-illness-0-4.pdf","gsii/323171-history-of-present-illness-0-4.pdf")</f>
        <v/>
      </c>
      <c r="E1741" t="n">
        <v>146230</v>
      </c>
      <c r="F1741" t="n">
        <v>323171</v>
      </c>
      <c r="G1741" t="inlineStr">
        <is>
          <t>Physician</t>
        </is>
      </c>
      <c r="H1741" t="inlineStr">
        <is>
          <t>history-of-present-illness</t>
        </is>
      </c>
      <c r="I1741" t="inlineStr">
        <is>
          <t>Cardiac enzymes wtih trop+ leak but decreasing.</t>
        </is>
      </c>
    </row>
    <row r="1742">
      <c r="A1742" t="inlineStr">
        <is>
          <t>323171-history-of-present-illness-0-5</t>
        </is>
      </c>
      <c r="B1742" t="inlineStr"/>
      <c r="C1742" t="inlineStr"/>
      <c r="D1742">
        <f>HYPERLINK("http://nlpdeep.cs.uic.edu:8080/proofing/t5/323171-history-of-present-illness-0-5.pdf","t5/323171-history-of-present-illness-0-5.pdf")</f>
        <v/>
      </c>
      <c r="E1742" t="n">
        <v>146230</v>
      </c>
      <c r="F1742" t="n">
        <v>323171</v>
      </c>
      <c r="G1742" t="inlineStr">
        <is>
          <t>Physician</t>
        </is>
      </c>
      <c r="H1742" t="inlineStr">
        <is>
          <t>history-of-present-illness</t>
        </is>
      </c>
      <c r="I1742" t="inlineStr">
        <is>
          <t>ARTERIAL LINE - START [**2186-3-10**] 10:47 AM
 INVASIVE VENTILATION - START [**2186-3-10**] 12:33 PM
 INVASIVE VENTILATION - STOP [**2186-3-10**] 02:59 PM
   History obtained from Medical records, [**Hospital Unit Name 44**] housestaff, p</t>
        </is>
      </c>
    </row>
    <row r="1743">
      <c r="A1743" t="inlineStr">
        <is>
          <t>323171-history-of-present-illness-0-5</t>
        </is>
      </c>
      <c r="B1743" t="inlineStr"/>
      <c r="C1743" t="inlineStr"/>
      <c r="D1743">
        <f>HYPERLINK("http://nlpdeep.cs.uic.edu:8080/proofing/gsii/323171-history-of-present-illness-0-5.pdf","gsii/323171-history-of-present-illness-0-5.pdf")</f>
        <v/>
      </c>
      <c r="E1743" t="n">
        <v>146230</v>
      </c>
      <c r="F1743" t="n">
        <v>323171</v>
      </c>
      <c r="G1743" t="inlineStr">
        <is>
          <t>Physician</t>
        </is>
      </c>
      <c r="H1743" t="inlineStr">
        <is>
          <t>history-of-present-illness</t>
        </is>
      </c>
      <c r="I1743" t="inlineStr">
        <is>
          <t>ARTERIAL LINE - START [**2186-3-10**] 10:47 AM
 INVASIVE VENTILATION - START [**2186-3-10**] 12:33 PM
 INVASIVE VENTILATION - STOP [**2186-3-10**] 02:59 PM
   History obtained from Medical records, [**Hospital Unit Name 44**] housestaff, p</t>
        </is>
      </c>
    </row>
    <row r="1744">
      <c r="A1744" t="inlineStr">
        <is>
          <t>323171-allergies-0-0</t>
        </is>
      </c>
      <c r="B1744" t="inlineStr"/>
      <c r="C1744" t="inlineStr"/>
      <c r="D1744">
        <f>HYPERLINK("http://nlpdeep.cs.uic.edu:8080/proofing/t5/323171-allergies-0-0.pdf","t5/323171-allergies-0-0.pdf")</f>
        <v/>
      </c>
      <c r="E1744" t="n">
        <v>146230</v>
      </c>
      <c r="F1744" t="n">
        <v>323171</v>
      </c>
      <c r="G1744" t="inlineStr">
        <is>
          <t>Physician</t>
        </is>
      </c>
      <c r="H1744" t="inlineStr">
        <is>
          <t>allergies</t>
        </is>
      </c>
      <c r="I1744" t="inlineStr">
        <is>
          <t>Codeine
   severe headache
   Penicillins
   trouble breathi
   Demerol (Injection) (Meperidine Hcl/Pf)
   hot feeling all
   Ampicillin
   sob;
   Melon Flavor
   SOB
   itching [</t>
        </is>
      </c>
    </row>
    <row r="1745">
      <c r="A1745" t="inlineStr">
        <is>
          <t>323171-allergies-0-0</t>
        </is>
      </c>
      <c r="B1745" t="inlineStr"/>
      <c r="C1745" t="inlineStr"/>
      <c r="D1745">
        <f>HYPERLINK("http://nlpdeep.cs.uic.edu:8080/proofing/gsii/323171-allergies-0-0.pdf","gsii/323171-allergies-0-0.pdf")</f>
        <v/>
      </c>
      <c r="E1745" t="n">
        <v>146230</v>
      </c>
      <c r="F1745" t="n">
        <v>323171</v>
      </c>
      <c r="G1745" t="inlineStr">
        <is>
          <t>Physician</t>
        </is>
      </c>
      <c r="H1745" t="inlineStr">
        <is>
          <t>allergies</t>
        </is>
      </c>
      <c r="I1745" t="inlineStr">
        <is>
          <t>Codeine
   severe headache
   Penicillins
   trouble breathi
   Demerol (Injection) (Meperidine Hcl/Pf)
   hot feeling all
   Ampicillin
   sob;
   Melon Flavor
   SOB
   itching [</t>
        </is>
      </c>
    </row>
    <row r="1746">
      <c r="A1746" t="inlineStr">
        <is>
          <t>323171-other-medications-0-0</t>
        </is>
      </c>
      <c r="B1746" t="inlineStr"/>
      <c r="C1746" t="inlineStr"/>
      <c r="D1746">
        <f>HYPERLINK("http://nlpdeep.cs.uic.edu:8080/proofing/t5/323171-other-medications-0-0.pdf","t5/323171-other-medications-0-0.pdf")</f>
        <v/>
      </c>
      <c r="E1746" t="n">
        <v>146230</v>
      </c>
      <c r="F1746" t="n">
        <v>323171</v>
      </c>
      <c r="G1746" t="inlineStr">
        <is>
          <t>Physician</t>
        </is>
      </c>
      <c r="H1746" t="inlineStr">
        <is>
          <t>other-medications</t>
        </is>
      </c>
      <c r="I1746" t="inlineStr">
        <is>
          <t>Fentanyl - [**2186-3-10**] 12:34 PM
   Morphine Sulfate - [**2186-3-10**] 04:39 PM
   Other medications:</t>
        </is>
      </c>
    </row>
    <row r="1747">
      <c r="A1747" t="inlineStr">
        <is>
          <t>323171-other-medications-0-0</t>
        </is>
      </c>
      <c r="B1747" t="inlineStr"/>
      <c r="C1747" t="inlineStr"/>
      <c r="D1747">
        <f>HYPERLINK("http://nlpdeep.cs.uic.edu:8080/proofing/gsii/323171-other-medications-0-0.pdf","gsii/323171-other-medications-0-0.pdf")</f>
        <v/>
      </c>
      <c r="E1747" t="n">
        <v>146230</v>
      </c>
      <c r="F1747" t="n">
        <v>323171</v>
      </c>
      <c r="G1747" t="inlineStr">
        <is>
          <t>Physician</t>
        </is>
      </c>
      <c r="H1747" t="inlineStr">
        <is>
          <t>other-medications</t>
        </is>
      </c>
      <c r="I1747" t="inlineStr">
        <is>
          <t>Fentanyl - [**2186-3-10**] 12:34 PM
   Morphine Sulfate - [**2186-3-10**] 04:39 PM
   Other medications:</t>
        </is>
      </c>
    </row>
    <row r="1748">
      <c r="A1748" t="inlineStr">
        <is>
          <t>323171-past-medical-history-0-0</t>
        </is>
      </c>
      <c r="B1748" t="inlineStr"/>
      <c r="C1748" t="inlineStr"/>
      <c r="D1748">
        <f>HYPERLINK("http://nlpdeep.cs.uic.edu:8080/proofing/t5/323171-past-medical-history-0-0.pdf","t5/323171-past-medical-history-0-0.pdf")</f>
        <v/>
      </c>
      <c r="E1748" t="n">
        <v>146230</v>
      </c>
      <c r="F1748" t="n">
        <v>323171</v>
      </c>
      <c r="G1748" t="inlineStr">
        <is>
          <t>Physician</t>
        </is>
      </c>
      <c r="H1748" t="inlineStr">
        <is>
          <t>past-medical-history</t>
        </is>
      </c>
      <c r="I1748" t="inlineStr">
        <is>
          <t>Changes to medical and family history:
   PMH, SH, FH and ROS are unchanged from Admission except where noted
   above and b</t>
        </is>
      </c>
    </row>
    <row r="1749">
      <c r="A1749" t="inlineStr">
        <is>
          <t>323171-past-medical-history-0-0</t>
        </is>
      </c>
      <c r="B1749" t="inlineStr"/>
      <c r="C1749" t="inlineStr"/>
      <c r="D1749">
        <f>HYPERLINK("http://nlpdeep.cs.uic.edu:8080/proofing/gsii/323171-past-medical-history-0-0.pdf","gsii/323171-past-medical-history-0-0.pdf")</f>
        <v/>
      </c>
      <c r="E1749" t="n">
        <v>146230</v>
      </c>
      <c r="F1749" t="n">
        <v>323171</v>
      </c>
      <c r="G1749" t="inlineStr">
        <is>
          <t>Physician</t>
        </is>
      </c>
      <c r="H1749" t="inlineStr">
        <is>
          <t>past-medical-history</t>
        </is>
      </c>
      <c r="I1749" t="inlineStr">
        <is>
          <t>Changes to medical and family history:
   PMH, SH, FH and ROS are unchanged from Admission except where noted
   above and b</t>
        </is>
      </c>
    </row>
    <row r="1750">
      <c r="A1750" t="inlineStr">
        <is>
          <t>323171-flowsheet-data-vitals-0-0</t>
        </is>
      </c>
      <c r="B1750" t="inlineStr"/>
      <c r="C1750" t="inlineStr"/>
      <c r="D1750">
        <f>HYPERLINK("http://nlpdeep.cs.uic.edu:8080/proofing/t5/323171-flowsheet-data-vitals-0-0.pdf","t5/323171-flowsheet-data-vitals-0-0.pdf")</f>
        <v/>
      </c>
      <c r="E1750" t="n">
        <v>146230</v>
      </c>
      <c r="F1750" t="n">
        <v>323171</v>
      </c>
      <c r="G1750" t="inlineStr">
        <is>
          <t>Physician</t>
        </is>
      </c>
      <c r="H1750" t="inlineStr">
        <is>
          <t>flowsheet-data-vitals</t>
        </is>
      </c>
      <c r="I1750" t="inlineStr">
        <is>
          <t>Vital signs
   Hemodynamic monitoring
   Fluid balance
                                                                  24 hours
                                                               Since 12 AM
   Tmax: 37.7
C (99.8
   Tcurrent: 37
C (98.6
   HR: 89 (72 - 93) bpm
   BP: 102/54(66) {83/51(61) - 103/57(66)} mmHg
   RR: 16 (0 - 28) insp/min
   SpO2: 97%
   Heart rhythm: SR (Sinus Rhythm)
   Height: 60 Inch
             Total In:
                                                                  2,419 mL
                                                                     91 mL
   PO:
             TF:
   IVF:
                                                                  1,669 mL
                                                                     91 mL
   Blood products:
                                                                    750 mL
   Total out:
                                                                  1,190 mL
                                                                    560 mL
   Urine:
                                                                  1,030 mL
                                                                    560 mL
   NG:
   Stool:
   Drains:
   Balance:
                                                                  1,229 mL
                                                                   -469 mL
   Respiratory support
   O2 Delivery Device: CPAP mask
   Ventilator mode: CPAP
   Vt (Set): 600 (600 - 600) mL
   Vt (Spontaneous): 550 (438 - 550) mL
   PS : 5 cmH2O
   RR (Set): 14
   RR (Spontaneous): 17
   PEEP: 10 cmH2O
   FiO2: 21%
   PIP: 33 cmH2O
   Plateau: 27 cmH2O
   SpO2: 97%
   ABG: 7.36/47/193/23/0
   Ve: 8.2 L/min
   PaO2 / FiO2: 9</t>
        </is>
      </c>
    </row>
    <row r="1751">
      <c r="A1751" t="inlineStr">
        <is>
          <t>323171-flowsheet-data-vitals-0-0</t>
        </is>
      </c>
      <c r="B1751" t="inlineStr"/>
      <c r="C1751" t="inlineStr"/>
      <c r="D1751">
        <f>HYPERLINK("http://nlpdeep.cs.uic.edu:8080/proofing/gsii/323171-flowsheet-data-vitals-0-0.pdf","gsii/323171-flowsheet-data-vitals-0-0.pdf")</f>
        <v/>
      </c>
      <c r="E1751" t="n">
        <v>146230</v>
      </c>
      <c r="F1751" t="n">
        <v>323171</v>
      </c>
      <c r="G1751" t="inlineStr">
        <is>
          <t>Physician</t>
        </is>
      </c>
      <c r="H1751" t="inlineStr">
        <is>
          <t>flowsheet-data-vitals</t>
        </is>
      </c>
      <c r="I1751" t="inlineStr">
        <is>
          <t>Vital signs
   Hemodynamic monitoring
   Fluid balance
                                                                  24 hours
                                                               Since 12 AM
   Tmax: 37.7
C (99.8
   Tcurrent: 37
C (98.6
   HR: 89 (72 - 93) bpm
   BP: 102/54(66) {83/51(61) - 103/57(66)} mmHg
   RR: 16 (0 - 28) insp/min
   SpO2: 97%
   Heart rhythm: SR (Sinus Rhythm)
   Height: 60 Inch
             Total In:
                                                                  2,419 mL
                                                                     91 mL
   PO:
             TF:
   IVF:
                                                                  1,669 mL
                                                                     91 mL
   Blood products:
                                                                    750 mL
   Total out:
                                                                  1,190 mL
                                                                    560 mL
   Urine:
                                                                  1,030 mL
                                                                    560 mL
   NG:
   Stool:
   Drains:
   Balance:
                                                                  1,229 mL
                                                                   -469 mL
   Respiratory support
   O2 Delivery Device: CPAP mask
   Ventilator mode: CPAP
   Vt (Set): 600 (600 - 600) mL
   Vt (Spontaneous): 550 (438 - 550) mL
   PS : 5 cmH2O
   RR (Set): 14
   RR (Spontaneous): 17
   PEEP: 10 cmH2O
   FiO2: 21%
   PIP: 33 cmH2O
   Plateau: 27 cmH2O
   SpO2: 97%
   ABG: 7.36/47/193/23/0
   Ve: 8.2 L/min
   PaO2 / FiO2: 9</t>
        </is>
      </c>
    </row>
    <row r="1752">
      <c r="A1752" t="inlineStr">
        <is>
          <t>323171-physical-examination-0-0</t>
        </is>
      </c>
      <c r="B1752" t="inlineStr"/>
      <c r="C1752" t="inlineStr"/>
      <c r="D1752">
        <f>HYPERLINK("http://nlpdeep.cs.uic.edu:8080/proofing/t5/323171-physical-examination-0-0.pdf","t5/323171-physical-examination-0-0.pdf")</f>
        <v/>
      </c>
      <c r="E1752" t="n">
        <v>146230</v>
      </c>
      <c r="F1752" t="n">
        <v>323171</v>
      </c>
      <c r="G1752" t="inlineStr">
        <is>
          <t>Physician</t>
        </is>
      </c>
      <c r="H1752" t="inlineStr">
        <is>
          <t>physical-examination</t>
        </is>
      </c>
      <c r="I1752" t="inlineStr">
        <is>
          <t>General Appearance: Well nourished, No(t) No acute distress, Overweight
   / Obese, No(t) Anxious, No(t) Diaphoretic
   Eyes / Conjunctiva: PERRL, No(t) Pupils dilated, No(t) Conjunctiva
   pale, No(t) Sclera edema
   Head, Ears, Nose, Throat: Normocephalic, No(t) Endotracheal tube, No(t)
   NG tube, No(t) OG tube
   Cardiovascular: (PMI Normal, No(t) Hyperdynamic), (S1: Normal, No(t)
   Absent), (S2: Normal, No(t) Distant, No(t) Widely split , No(t) Fixed),
   No(t) S3, No(t) S4, No(t) Rub, (Murmur: No(t) Systolic, No(t)
   Diastolic)
   Peripheral Vascular: bilateral DP pulses 2+
   Respiratory / Chest: (Expansion: Symmetric), (Breath Sounds: Clear : ,
   No(t) Crackles : , No(t) Wheezes : , No(t) Diminished: , No(t)
   Rhonchorous: )
   Abdominal: Soft, Non-tender, Bowel sounds present
   Extremities: Right: Absent, Left: Absent, No(t) Cyanosis, No(t)
   Clubbing, left thigh surgical dressing
   Musculoskeletal: Unable to stand
   Skin:  Warm, no rashes
   Neurologic: Attentive, Follows simple commands, Responds to: Verbal
   stimuli, Oriented (to): , Movement: Not assessed, Tone: Not a</t>
        </is>
      </c>
    </row>
    <row r="1753">
      <c r="A1753" t="inlineStr">
        <is>
          <t>323171-physical-examination-0-0</t>
        </is>
      </c>
      <c r="B1753" t="inlineStr"/>
      <c r="C1753" t="inlineStr"/>
      <c r="D1753">
        <f>HYPERLINK("http://nlpdeep.cs.uic.edu:8080/proofing/gsii/323171-physical-examination-0-0.pdf","gsii/323171-physical-examination-0-0.pdf")</f>
        <v/>
      </c>
      <c r="E1753" t="n">
        <v>146230</v>
      </c>
      <c r="F1753" t="n">
        <v>323171</v>
      </c>
      <c r="G1753" t="inlineStr">
        <is>
          <t>Physician</t>
        </is>
      </c>
      <c r="H1753" t="inlineStr">
        <is>
          <t>physical-examination</t>
        </is>
      </c>
      <c r="I1753" t="inlineStr">
        <is>
          <t>General Appearance: Well nourished, No(t) No acute distress, Overweight
   / Obese, No(t) Anxious, No(t) Diaphoretic
   Eyes / Conjunctiva: PERRL, No(t) Pupils dilated, No(t) Conjunctiva
   pale, No(t) Sclera edema
   Head, Ears, Nose, Throat: Normocephalic, No(t) Endotracheal tube, No(t)
   NG tube, No(t) OG tube
   Cardiovascular: (PMI Normal, No(t) Hyperdynamic), (S1: Normal, No(t)
   Absent), (S2: Normal, No(t) Distant, No(t) Widely split , No(t) Fixed),
   No(t) S3, No(t) S4, No(t) Rub, (Murmur: No(t) Systolic, No(t)
   Diastolic)
   Peripheral Vascular: bilateral DP pulses 2+
   Respiratory / Chest: (Expansion: Symmetric), (Breath Sounds: Clear : ,
   No(t) Crackles : , No(t) Wheezes : , No(t) Diminished: , No(t)
   Rhonchorous: )
   Abdominal: Soft, Non-tender, Bowel sounds present
   Extremities: Right: Absent, Left: Absent, No(t) Cyanosis, No(t)
   Clubbing, left thigh surgical dressing
   Musculoskeletal: Unable to stand
   Skin:  Warm, no rashes
   Neurologic: Attentive, Follows simple commands, Responds to: Verbal
   stimuli, Oriented (to): , Movement: Not assessed, Tone: Not a</t>
        </is>
      </c>
    </row>
    <row r="1754">
      <c r="A1754" t="inlineStr">
        <is>
          <t>323171-assessment-and-plan-0-0</t>
        </is>
      </c>
      <c r="B1754" t="inlineStr"/>
      <c r="C1754" t="inlineStr"/>
      <c r="D1754">
        <f>HYPERLINK("http://nlpdeep.cs.uic.edu:8080/proofing/t5/323171-assessment-and-plan-0-0.pdf","t5/323171-assessment-and-plan-0-0.pdf")</f>
        <v/>
      </c>
      <c r="E1754" t="n">
        <v>146230</v>
      </c>
      <c r="F1754" t="n">
        <v>323171</v>
      </c>
      <c r="G1754" t="inlineStr">
        <is>
          <t>Physician</t>
        </is>
      </c>
      <c r="H1754" t="inlineStr">
        <is>
          <t>assessment-and-plan</t>
        </is>
      </c>
      <c r="I1754" t="inlineStr">
        <is>
          <t>49 year old female with asthma who sustained an intra-op PEA arrest
   during attempted realignment of left femoral fracture.</t>
        </is>
      </c>
    </row>
    <row r="1755">
      <c r="A1755" t="inlineStr">
        <is>
          <t>323171-assessment-and-plan-0-0</t>
        </is>
      </c>
      <c r="B1755" t="inlineStr"/>
      <c r="C1755" t="inlineStr"/>
      <c r="D1755">
        <f>HYPERLINK("http://nlpdeep.cs.uic.edu:8080/proofing/gsii/323171-assessment-and-plan-0-0.pdf","gsii/323171-assessment-and-plan-0-0.pdf")</f>
        <v/>
      </c>
      <c r="E1755" t="n">
        <v>146230</v>
      </c>
      <c r="F1755" t="n">
        <v>323171</v>
      </c>
      <c r="G1755" t="inlineStr">
        <is>
          <t>Physician</t>
        </is>
      </c>
      <c r="H1755" t="inlineStr">
        <is>
          <t>assessment-and-plan</t>
        </is>
      </c>
      <c r="I1755" t="inlineStr">
        <is>
          <t>49 year old female with asthma who sustained an intra-op PEA arrest
   during attempted realignment of left femoral fracture.</t>
        </is>
      </c>
    </row>
    <row r="1756">
      <c r="A1756" t="inlineStr">
        <is>
          <t>323171-assessment-and-plan-0-1</t>
        </is>
      </c>
      <c r="B1756" t="inlineStr"/>
      <c r="C1756" t="inlineStr"/>
      <c r="D1756">
        <f>HYPERLINK("http://nlpdeep.cs.uic.edu:8080/proofing/t5/323171-assessment-and-plan-0-1.pdf","t5/323171-assessment-and-plan-0-1.pdf")</f>
        <v/>
      </c>
      <c r="E1756" t="n">
        <v>146230</v>
      </c>
      <c r="F1756" t="n">
        <v>323171</v>
      </c>
      <c r="G1756" t="inlineStr">
        <is>
          <t>Physician</t>
        </is>
      </c>
      <c r="H1756" t="inlineStr">
        <is>
          <t>assessment-and-plan</t>
        </is>
      </c>
      <c r="I1756" t="inlineStr">
        <is>
          <t>Improved- now
   extubated, maintaining BP
   #Acute blood loss anemia: no further Hct drop since [**Hospital Unit Name 44**] transfer,
   continue serial HCT
   #Resp failure: extubated; off supplemental oxygen.</t>
        </is>
      </c>
    </row>
    <row r="1757">
      <c r="A1757" t="inlineStr">
        <is>
          <t>323171-assessment-and-plan-0-1</t>
        </is>
      </c>
      <c r="B1757" t="inlineStr"/>
      <c r="C1757" t="inlineStr"/>
      <c r="D1757">
        <f>HYPERLINK("http://nlpdeep.cs.uic.edu:8080/proofing/gsii/323171-assessment-and-plan-0-1.pdf","gsii/323171-assessment-and-plan-0-1.pdf")</f>
        <v/>
      </c>
      <c r="E1757" t="n">
        <v>146230</v>
      </c>
      <c r="F1757" t="n">
        <v>323171</v>
      </c>
      <c r="G1757" t="inlineStr">
        <is>
          <t>Physician</t>
        </is>
      </c>
      <c r="H1757" t="inlineStr">
        <is>
          <t>assessment-and-plan</t>
        </is>
      </c>
      <c r="I1757" t="inlineStr">
        <is>
          <t>Improved- now
   extubated, maintaining BP
   #Acute blood loss anemia: no further Hct drop since [**Hospital Unit Name 44**] transfer,
   continue serial HCT
   #Resp failure: extubated; off supplemental oxygen.</t>
        </is>
      </c>
    </row>
    <row r="1758">
      <c r="A1758" t="inlineStr">
        <is>
          <t>323171-assessment-and-plan-0-2</t>
        </is>
      </c>
      <c r="B1758" t="inlineStr"/>
      <c r="C1758" t="inlineStr"/>
      <c r="D1758">
        <f>HYPERLINK("http://nlpdeep.cs.uic.edu:8080/proofing/t5/323171-assessment-and-plan-0-2.pdf","t5/323171-assessment-and-plan-0-2.pdf")</f>
        <v/>
      </c>
      <c r="E1758" t="n">
        <v>146230</v>
      </c>
      <c r="F1758" t="n">
        <v>323171</v>
      </c>
      <c r="G1758" t="inlineStr">
        <is>
          <t>Physician</t>
        </is>
      </c>
      <c r="H1758" t="inlineStr">
        <is>
          <t>assessment-and-plan</t>
        </is>
      </c>
      <c r="I1758" t="inlineStr">
        <is>
          <t xml:space="preserve">
   #Femoral fracture: operation was aborted due to intra-op arrest.</t>
        </is>
      </c>
    </row>
    <row r="1759">
      <c r="A1759" t="inlineStr">
        <is>
          <t>323171-assessment-and-plan-0-2</t>
        </is>
      </c>
      <c r="B1759" t="inlineStr"/>
      <c r="C1759" t="inlineStr"/>
      <c r="D1759">
        <f>HYPERLINK("http://nlpdeep.cs.uic.edu:8080/proofing/gsii/323171-assessment-and-plan-0-2.pdf","gsii/323171-assessment-and-plan-0-2.pdf")</f>
        <v/>
      </c>
      <c r="E1759" t="n">
        <v>146230</v>
      </c>
      <c r="F1759" t="n">
        <v>323171</v>
      </c>
      <c r="G1759" t="inlineStr">
        <is>
          <t>Physician</t>
        </is>
      </c>
      <c r="H1759" t="inlineStr">
        <is>
          <t>assessment-and-plan</t>
        </is>
      </c>
      <c r="I1759" t="inlineStr">
        <is>
          <t xml:space="preserve">
   #Femoral fracture: operation was aborted due to intra-op arrest.</t>
        </is>
      </c>
    </row>
    <row r="1760">
      <c r="A1760" t="inlineStr">
        <is>
          <t>323171-assessment-and-plan-0-3</t>
        </is>
      </c>
      <c r="B1760" t="inlineStr"/>
      <c r="C1760" t="inlineStr"/>
      <c r="D1760">
        <f>HYPERLINK("http://nlpdeep.cs.uic.edu:8080/proofing/t5/323171-assessment-and-plan-0-3.pdf","t5/323171-assessment-and-plan-0-3.pdf")</f>
        <v/>
      </c>
      <c r="E1760" t="n">
        <v>146230</v>
      </c>
      <c r="F1760" t="n">
        <v>323171</v>
      </c>
      <c r="G1760" t="inlineStr">
        <is>
          <t>Physician</t>
        </is>
      </c>
      <c r="H1760" t="inlineStr">
        <is>
          <t>assessment-and-plan</t>
        </is>
      </c>
      <c r="I1760" t="inlineStr">
        <is>
          <t>Ortho
   following
   #Echo abnormalities: possible posterior HK seen on Echo, but
   technically limited and performed in the setting of acute blood loss.</t>
        </is>
      </c>
    </row>
    <row r="1761">
      <c r="A1761" t="inlineStr">
        <is>
          <t>323171-assessment-and-plan-0-3</t>
        </is>
      </c>
      <c r="B1761" t="inlineStr"/>
      <c r="C1761" t="inlineStr"/>
      <c r="D1761">
        <f>HYPERLINK("http://nlpdeep.cs.uic.edu:8080/proofing/gsii/323171-assessment-and-plan-0-3.pdf","gsii/323171-assessment-and-plan-0-3.pdf")</f>
        <v/>
      </c>
      <c r="E1761" t="n">
        <v>146230</v>
      </c>
      <c r="F1761" t="n">
        <v>323171</v>
      </c>
      <c r="G1761" t="inlineStr">
        <is>
          <t>Physician</t>
        </is>
      </c>
      <c r="H1761" t="inlineStr">
        <is>
          <t>assessment-and-plan</t>
        </is>
      </c>
      <c r="I1761" t="inlineStr">
        <is>
          <t>Ortho
   following
   #Echo abnormalities: possible posterior HK seen on Echo, but
   technically limited and performed in the setting of acute blood loss.</t>
        </is>
      </c>
    </row>
    <row r="1762">
      <c r="A1762" t="inlineStr">
        <is>
          <t>323171-assessment-and-plan-0-4</t>
        </is>
      </c>
      <c r="B1762" t="inlineStr"/>
      <c r="C1762" t="inlineStr"/>
      <c r="D1762">
        <f>HYPERLINK("http://nlpdeep.cs.uic.edu:8080/proofing/t5/323171-assessment-and-plan-0-4.pdf","t5/323171-assessment-and-plan-0-4.pdf")</f>
        <v/>
      </c>
      <c r="E1762" t="n">
        <v>146230</v>
      </c>
      <c r="F1762" t="n">
        <v>323171</v>
      </c>
      <c r="G1762" t="inlineStr">
        <is>
          <t>Physician</t>
        </is>
      </c>
      <c r="H1762" t="inlineStr">
        <is>
          <t>assessment-and-plan</t>
        </is>
      </c>
      <c r="I1762" t="inlineStr">
        <is>
          <t xml:space="preserve">
   Plan repeat Echo.</t>
        </is>
      </c>
    </row>
    <row r="1763">
      <c r="A1763" t="inlineStr">
        <is>
          <t>323171-assessment-and-plan-0-4</t>
        </is>
      </c>
      <c r="B1763" t="inlineStr"/>
      <c r="C1763" t="inlineStr"/>
      <c r="D1763">
        <f>HYPERLINK("http://nlpdeep.cs.uic.edu:8080/proofing/gsii/323171-assessment-and-plan-0-4.pdf","gsii/323171-assessment-and-plan-0-4.pdf")</f>
        <v/>
      </c>
      <c r="E1763" t="n">
        <v>146230</v>
      </c>
      <c r="F1763" t="n">
        <v>323171</v>
      </c>
      <c r="G1763" t="inlineStr">
        <is>
          <t>Physician</t>
        </is>
      </c>
      <c r="H1763" t="inlineStr">
        <is>
          <t>assessment-and-plan</t>
        </is>
      </c>
      <c r="I1763" t="inlineStr">
        <is>
          <t xml:space="preserve">
   Plan repeat Echo.</t>
        </is>
      </c>
    </row>
    <row r="1764">
      <c r="A1764" t="inlineStr">
        <is>
          <t>323171-assessment-and-plan-0-5</t>
        </is>
      </c>
      <c r="B1764" t="inlineStr"/>
      <c r="C1764" t="inlineStr"/>
      <c r="D1764">
        <f>HYPERLINK("http://nlpdeep.cs.uic.edu:8080/proofing/t5/323171-assessment-and-plan-0-5.pdf","t5/323171-assessment-and-plan-0-5.pdf")</f>
        <v/>
      </c>
      <c r="E1764" t="n">
        <v>146230</v>
      </c>
      <c r="F1764" t="n">
        <v>323171</v>
      </c>
      <c r="G1764" t="inlineStr">
        <is>
          <t>Physician</t>
        </is>
      </c>
      <c r="H1764" t="inlineStr">
        <is>
          <t>assessment-and-plan</t>
        </is>
      </c>
      <c r="I1764" t="inlineStr">
        <is>
          <t>On ASA.</t>
        </is>
      </c>
    </row>
    <row r="1765">
      <c r="A1765" t="inlineStr">
        <is>
          <t>323171-assessment-and-plan-0-5</t>
        </is>
      </c>
      <c r="B1765" t="inlineStr"/>
      <c r="C1765" t="inlineStr"/>
      <c r="D1765">
        <f>HYPERLINK("http://nlpdeep.cs.uic.edu:8080/proofing/gsii/323171-assessment-and-plan-0-5.pdf","gsii/323171-assessment-and-plan-0-5.pdf")</f>
        <v/>
      </c>
      <c r="E1765" t="n">
        <v>146230</v>
      </c>
      <c r="F1765" t="n">
        <v>323171</v>
      </c>
      <c r="G1765" t="inlineStr">
        <is>
          <t>Physician</t>
        </is>
      </c>
      <c r="H1765" t="inlineStr">
        <is>
          <t>assessment-and-plan</t>
        </is>
      </c>
      <c r="I1765" t="inlineStr">
        <is>
          <t>On ASA.</t>
        </is>
      </c>
    </row>
    <row r="1766">
      <c r="A1766" t="inlineStr">
        <is>
          <t>323171-assessment-and-plan-0-6</t>
        </is>
      </c>
      <c r="B1766" t="inlineStr"/>
      <c r="C1766" t="inlineStr"/>
      <c r="D1766">
        <f>HYPERLINK("http://nlpdeep.cs.uic.edu:8080/proofing/t5/323171-assessment-and-plan-0-6.pdf","t5/323171-assessment-and-plan-0-6.pdf")</f>
        <v/>
      </c>
      <c r="E1766" t="n">
        <v>146230</v>
      </c>
      <c r="F1766" t="n">
        <v>323171</v>
      </c>
      <c r="G1766" t="inlineStr">
        <is>
          <t>Physician</t>
        </is>
      </c>
      <c r="H1766" t="inlineStr">
        <is>
          <t>assessment-and-plan</t>
        </is>
      </c>
      <c r="I1766" t="inlineStr">
        <is>
          <t>ICU Care
   Nutrition:
   Glycemic Control:
   Lines:
   18 Gauge - [**2186-3-10**] 10:47 AM
   Prophylaxis:
   DVT: LMW Heparin
   Stress ulcer: PPI
   VAP: HOB elevation, Mouth care
   Comments:</t>
        </is>
      </c>
    </row>
    <row r="1767">
      <c r="A1767" t="inlineStr">
        <is>
          <t>323171-assessment-and-plan-0-6</t>
        </is>
      </c>
      <c r="B1767" t="inlineStr"/>
      <c r="C1767" t="inlineStr"/>
      <c r="D1767">
        <f>HYPERLINK("http://nlpdeep.cs.uic.edu:8080/proofing/gsii/323171-assessment-and-plan-0-6.pdf","gsii/323171-assessment-and-plan-0-6.pdf")</f>
        <v/>
      </c>
      <c r="E1767" t="n">
        <v>146230</v>
      </c>
      <c r="F1767" t="n">
        <v>323171</v>
      </c>
      <c r="G1767" t="inlineStr">
        <is>
          <t>Physician</t>
        </is>
      </c>
      <c r="H1767" t="inlineStr">
        <is>
          <t>assessment-and-plan</t>
        </is>
      </c>
      <c r="I1767" t="inlineStr">
        <is>
          <t>ICU Care
   Nutrition:
   Glycemic Control:
   Lines:
   18 Gauge - [**2186-3-10**] 10:47 AM
   Prophylaxis:
   DVT: LMW Heparin
   Stress ulcer: PPI
   VAP: HOB elevation, Mouth care
   Comments:</t>
        </is>
      </c>
    </row>
    <row r="1768">
      <c r="A1768" t="inlineStr">
        <is>
          <t>323171-communication-0-0</t>
        </is>
      </c>
      <c r="B1768" t="inlineStr"/>
      <c r="C1768" t="inlineStr"/>
      <c r="D1768">
        <f>HYPERLINK("http://nlpdeep.cs.uic.edu:8080/proofing/t5/323171-communication-0-0.pdf","t5/323171-communication-0-0.pdf")</f>
        <v/>
      </c>
      <c r="E1768" t="n">
        <v>146230</v>
      </c>
      <c r="F1768" t="n">
        <v>323171</v>
      </c>
      <c r="G1768" t="inlineStr">
        <is>
          <t>Physician</t>
        </is>
      </c>
      <c r="H1768" t="inlineStr">
        <is>
          <t>communication</t>
        </is>
      </c>
      <c r="I1768" t="inlineStr">
        <is>
          <t>Patient discussed on interdisciplinary rounds  Comments:</t>
        </is>
      </c>
    </row>
    <row r="1769">
      <c r="A1769" t="inlineStr">
        <is>
          <t>323171-communication-0-0</t>
        </is>
      </c>
      <c r="B1769" t="inlineStr"/>
      <c r="C1769" t="inlineStr"/>
      <c r="D1769">
        <f>HYPERLINK("http://nlpdeep.cs.uic.edu:8080/proofing/gsii/323171-communication-0-0.pdf","gsii/323171-communication-0-0.pdf")</f>
        <v/>
      </c>
      <c r="E1769" t="n">
        <v>146230</v>
      </c>
      <c r="F1769" t="n">
        <v>323171</v>
      </c>
      <c r="G1769" t="inlineStr">
        <is>
          <t>Physician</t>
        </is>
      </c>
      <c r="H1769" t="inlineStr">
        <is>
          <t>communication</t>
        </is>
      </c>
      <c r="I1769" t="inlineStr">
        <is>
          <t>Patient discussed on interdisciplinary rounds  Comments:</t>
        </is>
      </c>
    </row>
    <row r="1770">
      <c r="A1770" t="inlineStr">
        <is>
          <t>323171-code-status-0-0</t>
        </is>
      </c>
      <c r="B1770" t="inlineStr"/>
      <c r="C1770" t="inlineStr"/>
      <c r="D1770">
        <f>HYPERLINK("http://nlpdeep.cs.uic.edu:8080/proofing/t5/323171-code-status-0-0.pdf","t5/323171-code-status-0-0.pdf")</f>
        <v/>
      </c>
      <c r="E1770" t="n">
        <v>146230</v>
      </c>
      <c r="F1770" t="n">
        <v>323171</v>
      </c>
      <c r="G1770" t="inlineStr">
        <is>
          <t>Physician</t>
        </is>
      </c>
      <c r="H1770" t="inlineStr">
        <is>
          <t>code-status</t>
        </is>
      </c>
      <c r="I1770" t="inlineStr">
        <is>
          <t>Full c</t>
        </is>
      </c>
    </row>
    <row r="1771">
      <c r="A1771" t="inlineStr">
        <is>
          <t>323171-code-status-0-0</t>
        </is>
      </c>
      <c r="B1771" t="inlineStr"/>
      <c r="C1771" t="inlineStr"/>
      <c r="D1771">
        <f>HYPERLINK("http://nlpdeep.cs.uic.edu:8080/proofing/gsii/323171-code-status-0-0.pdf","gsii/323171-code-status-0-0.pdf")</f>
        <v/>
      </c>
      <c r="E1771" t="n">
        <v>146230</v>
      </c>
      <c r="F1771" t="n">
        <v>323171</v>
      </c>
      <c r="G1771" t="inlineStr">
        <is>
          <t>Physician</t>
        </is>
      </c>
      <c r="H1771" t="inlineStr">
        <is>
          <t>code-status</t>
        </is>
      </c>
      <c r="I1771" t="inlineStr">
        <is>
          <t>Full c</t>
        </is>
      </c>
    </row>
    <row r="1772">
      <c r="A1772" t="inlineStr">
        <is>
          <t>323171-disposition-0-0</t>
        </is>
      </c>
      <c r="B1772" t="inlineStr"/>
      <c r="C1772" t="inlineStr"/>
      <c r="D1772">
        <f>HYPERLINK("http://nlpdeep.cs.uic.edu:8080/proofing/t5/323171-disposition-0-0.pdf","t5/323171-disposition-0-0.pdf")</f>
        <v/>
      </c>
      <c r="E1772" t="n">
        <v>146230</v>
      </c>
      <c r="F1772" t="n">
        <v>323171</v>
      </c>
      <c r="G1772" t="inlineStr">
        <is>
          <t>Physician</t>
        </is>
      </c>
      <c r="H1772" t="inlineStr">
        <is>
          <t>disposition</t>
        </is>
      </c>
      <c r="I1772" t="inlineStr">
        <is>
          <t>:Transfer to f</t>
        </is>
      </c>
    </row>
    <row r="1773">
      <c r="A1773" t="inlineStr">
        <is>
          <t>323171-disposition-0-0</t>
        </is>
      </c>
      <c r="B1773" t="inlineStr"/>
      <c r="C1773" t="inlineStr"/>
      <c r="D1773">
        <f>HYPERLINK("http://nlpdeep.cs.uic.edu:8080/proofing/gsii/323171-disposition-0-0.pdf","gsii/323171-disposition-0-0.pdf")</f>
        <v/>
      </c>
      <c r="E1773" t="n">
        <v>146230</v>
      </c>
      <c r="F1773" t="n">
        <v>323171</v>
      </c>
      <c r="G1773" t="inlineStr">
        <is>
          <t>Physician</t>
        </is>
      </c>
      <c r="H1773" t="inlineStr">
        <is>
          <t>disposition</t>
        </is>
      </c>
      <c r="I1773" t="inlineStr">
        <is>
          <t>:Transfer to f</t>
        </is>
      </c>
    </row>
    <row r="1774">
      <c r="A1774" t="inlineStr">
        <is>
          <t>323048-chief-complaint-0-0</t>
        </is>
      </c>
      <c r="B1774" t="inlineStr"/>
      <c r="C1774" t="inlineStr"/>
      <c r="D1774">
        <f>HYPERLINK("http://nlpdeep.cs.uic.edu:8080/proofing/t5/323048-chief-complaint-0-0.pdf","t5/323048-chief-complaint-0-0.pdf")</f>
        <v/>
      </c>
      <c r="E1774" t="n">
        <v>146230</v>
      </c>
      <c r="F1774" t="n">
        <v>323048</v>
      </c>
      <c r="G1774" t="inlineStr">
        <is>
          <t>Physician</t>
        </is>
      </c>
      <c r="H1774" t="inlineStr">
        <is>
          <t>chief-complaint</t>
        </is>
      </c>
      <c r="I1774" t="inlineStr">
        <is>
          <t>hypotension, h</t>
        </is>
      </c>
    </row>
    <row r="1775">
      <c r="A1775" t="inlineStr">
        <is>
          <t>323048-chief-complaint-0-0</t>
        </is>
      </c>
      <c r="B1775" t="inlineStr"/>
      <c r="C1775" t="inlineStr"/>
      <c r="D1775">
        <f>HYPERLINK("http://nlpdeep.cs.uic.edu:8080/proofing/gsii/323048-chief-complaint-0-0.pdf","gsii/323048-chief-complaint-0-0.pdf")</f>
        <v/>
      </c>
      <c r="E1775" t="n">
        <v>146230</v>
      </c>
      <c r="F1775" t="n">
        <v>323048</v>
      </c>
      <c r="G1775" t="inlineStr">
        <is>
          <t>Physician</t>
        </is>
      </c>
      <c r="H1775" t="inlineStr">
        <is>
          <t>chief-complaint</t>
        </is>
      </c>
      <c r="I1775" t="inlineStr">
        <is>
          <t>hypotension, h</t>
        </is>
      </c>
    </row>
    <row r="1776">
      <c r="A1776" t="inlineStr">
        <is>
          <t>323048-history-of-present-illness-0-0</t>
        </is>
      </c>
      <c r="B1776" t="inlineStr"/>
      <c r="C1776" t="inlineStr"/>
      <c r="D1776">
        <f>HYPERLINK("http://nlpdeep.cs.uic.edu:8080/proofing/t5/323048-history-of-present-illness-0-0.pdf","t5/323048-history-of-present-illness-0-0.pdf")</f>
        <v/>
      </c>
      <c r="E1776" t="n">
        <v>146230</v>
      </c>
      <c r="F1776" t="n">
        <v>323048</v>
      </c>
      <c r="G1776" t="inlineStr">
        <is>
          <t>Physician</t>
        </is>
      </c>
      <c r="H1776" t="inlineStr">
        <is>
          <t>history-of-present-illness</t>
        </is>
      </c>
      <c r="I1776" t="inlineStr">
        <is>
          <t>49 yo woman with asthma, adm for femoral fx repair to correct
   deformity.</t>
        </is>
      </c>
    </row>
    <row r="1777">
      <c r="A1777" t="inlineStr">
        <is>
          <t>323048-history-of-present-illness-0-0</t>
        </is>
      </c>
      <c r="B1777" t="inlineStr"/>
      <c r="C1777" t="inlineStr"/>
      <c r="D1777">
        <f>HYPERLINK("http://nlpdeep.cs.uic.edu:8080/proofing/gsii/323048-history-of-present-illness-0-0.pdf","gsii/323048-history-of-present-illness-0-0.pdf")</f>
        <v/>
      </c>
      <c r="E1777" t="n">
        <v>146230</v>
      </c>
      <c r="F1777" t="n">
        <v>323048</v>
      </c>
      <c r="G1777" t="inlineStr">
        <is>
          <t>Physician</t>
        </is>
      </c>
      <c r="H1777" t="inlineStr">
        <is>
          <t>history-of-present-illness</t>
        </is>
      </c>
      <c r="I1777" t="inlineStr">
        <is>
          <t>49 yo woman with asthma, adm for femoral fx repair to correct
   deformity.</t>
        </is>
      </c>
    </row>
    <row r="1778">
      <c r="A1778" t="inlineStr">
        <is>
          <t>323048-history-of-present-illness-0-1</t>
        </is>
      </c>
      <c r="B1778" t="inlineStr"/>
      <c r="C1778" t="inlineStr"/>
      <c r="D1778">
        <f>HYPERLINK("http://nlpdeep.cs.uic.edu:8080/proofing/t5/323048-history-of-present-illness-0-1.pdf","t5/323048-history-of-present-illness-0-1.pdf")</f>
        <v/>
      </c>
      <c r="E1778" t="n">
        <v>146230</v>
      </c>
      <c r="F1778" t="n">
        <v>323048</v>
      </c>
      <c r="G1778" t="inlineStr">
        <is>
          <t>Physician</t>
        </is>
      </c>
      <c r="H1778" t="inlineStr">
        <is>
          <t>history-of-present-illness</t>
        </is>
      </c>
      <c r="I1778" t="inlineStr">
        <is>
          <t>Intraop EBL 1.5-2L in first 15 minutes, ET CO2 acutely
   dropped, hypoxemia with SpO2 50%, transient PEA, epi given --&gt; VF--&gt;
   sinus rhythm.</t>
        </is>
      </c>
    </row>
    <row r="1779">
      <c r="A1779" t="inlineStr">
        <is>
          <t>323048-history-of-present-illness-0-1</t>
        </is>
      </c>
      <c r="B1779" t="inlineStr"/>
      <c r="C1779" t="inlineStr"/>
      <c r="D1779">
        <f>HYPERLINK("http://nlpdeep.cs.uic.edu:8080/proofing/gsii/323048-history-of-present-illness-0-1.pdf","gsii/323048-history-of-present-illness-0-1.pdf")</f>
        <v/>
      </c>
      <c r="E1779" t="n">
        <v>146230</v>
      </c>
      <c r="F1779" t="n">
        <v>323048</v>
      </c>
      <c r="G1779" t="inlineStr">
        <is>
          <t>Physician</t>
        </is>
      </c>
      <c r="H1779" t="inlineStr">
        <is>
          <t>history-of-present-illness</t>
        </is>
      </c>
      <c r="I1779" t="inlineStr">
        <is>
          <t>Intraop EBL 1.5-2L in first 15 minutes, ET CO2 acutely
   dropped, hypoxemia with SpO2 50%, transient PEA, epi given --&gt; VF--&gt;
   sinus rhythm.</t>
        </is>
      </c>
    </row>
    <row r="1780">
      <c r="A1780" t="inlineStr">
        <is>
          <t>323048-history-of-present-illness-0-2</t>
        </is>
      </c>
      <c r="B1780" t="inlineStr"/>
      <c r="C1780" t="inlineStr"/>
      <c r="D1780">
        <f>HYPERLINK("http://nlpdeep.cs.uic.edu:8080/proofing/t5/323048-history-of-present-illness-0-2.pdf","t5/323048-history-of-present-illness-0-2.pdf")</f>
        <v/>
      </c>
      <c r="E1780" t="n">
        <v>146230</v>
      </c>
      <c r="F1780" t="n">
        <v>323048</v>
      </c>
      <c r="G1780" t="inlineStr">
        <is>
          <t>Physician</t>
        </is>
      </c>
      <c r="H1780" t="inlineStr">
        <is>
          <t>history-of-present-illness</t>
        </is>
      </c>
      <c r="I1780" t="inlineStr">
        <is>
          <t>Unclear duration of PEA- less than 5 minutes??</t>
        </is>
      </c>
    </row>
    <row r="1781">
      <c r="A1781" t="inlineStr">
        <is>
          <t>323048-history-of-present-illness-0-2</t>
        </is>
      </c>
      <c r="B1781" t="inlineStr"/>
      <c r="C1781" t="inlineStr"/>
      <c r="D1781">
        <f>HYPERLINK("http://nlpdeep.cs.uic.edu:8080/proofing/gsii/323048-history-of-present-illness-0-2.pdf","gsii/323048-history-of-present-illness-0-2.pdf")</f>
        <v/>
      </c>
      <c r="E1781" t="n">
        <v>146230</v>
      </c>
      <c r="F1781" t="n">
        <v>323048</v>
      </c>
      <c r="G1781" t="inlineStr">
        <is>
          <t>Physician</t>
        </is>
      </c>
      <c r="H1781" t="inlineStr">
        <is>
          <t>history-of-present-illness</t>
        </is>
      </c>
      <c r="I1781" t="inlineStr">
        <is>
          <t>Unclear duration of PEA- less than 5 minutes??</t>
        </is>
      </c>
    </row>
    <row r="1782">
      <c r="A1782" t="inlineStr">
        <is>
          <t>323048-history-of-present-illness-0-3</t>
        </is>
      </c>
      <c r="B1782" t="inlineStr"/>
      <c r="C1782" t="inlineStr"/>
      <c r="D1782">
        <f>HYPERLINK("http://nlpdeep.cs.uic.edu:8080/proofing/t5/323048-history-of-present-illness-0-3.pdf","t5/323048-history-of-present-illness-0-3.pdf")</f>
        <v/>
      </c>
      <c r="E1782" t="n">
        <v>146230</v>
      </c>
      <c r="F1782" t="n">
        <v>323048</v>
      </c>
      <c r="G1782" t="inlineStr">
        <is>
          <t>Physician</t>
        </is>
      </c>
      <c r="H1782" t="inlineStr">
        <is>
          <t>history-of-present-illness</t>
        </is>
      </c>
      <c r="I1782" t="inlineStr">
        <is>
          <t>TTE mild
   inferior hypokinesis but poor quality.</t>
        </is>
      </c>
    </row>
    <row r="1783">
      <c r="A1783" t="inlineStr">
        <is>
          <t>323048-history-of-present-illness-0-3</t>
        </is>
      </c>
      <c r="B1783" t="inlineStr"/>
      <c r="C1783" t="inlineStr"/>
      <c r="D1783">
        <f>HYPERLINK("http://nlpdeep.cs.uic.edu:8080/proofing/gsii/323048-history-of-present-illness-0-3.pdf","gsii/323048-history-of-present-illness-0-3.pdf")</f>
        <v/>
      </c>
      <c r="E1783" t="n">
        <v>146230</v>
      </c>
      <c r="F1783" t="n">
        <v>323048</v>
      </c>
      <c r="G1783" t="inlineStr">
        <is>
          <t>Physician</t>
        </is>
      </c>
      <c r="H1783" t="inlineStr">
        <is>
          <t>history-of-present-illness</t>
        </is>
      </c>
      <c r="I1783" t="inlineStr">
        <is>
          <t>TTE mild
   inferior hypokinesis but poor quality.</t>
        </is>
      </c>
    </row>
    <row r="1784">
      <c r="A1784" t="inlineStr">
        <is>
          <t>323048-history-of-present-illness-0-4</t>
        </is>
      </c>
      <c r="B1784" t="inlineStr"/>
      <c r="C1784" t="inlineStr"/>
      <c r="D1784">
        <f>HYPERLINK("http://nlpdeep.cs.uic.edu:8080/proofing/t5/323048-history-of-present-illness-0-4.pdf","t5/323048-history-of-present-illness-0-4.pdf")</f>
        <v/>
      </c>
      <c r="E1784" t="n">
        <v>146230</v>
      </c>
      <c r="F1784" t="n">
        <v>323048</v>
      </c>
      <c r="G1784" t="inlineStr">
        <is>
          <t>Physician</t>
        </is>
      </c>
      <c r="H1784" t="inlineStr">
        <is>
          <t>history-of-present-illness</t>
        </is>
      </c>
      <c r="I1784" t="inlineStr">
        <is>
          <t>Surgery aborted and stapled
   closed.</t>
        </is>
      </c>
    </row>
    <row r="1785">
      <c r="A1785" t="inlineStr">
        <is>
          <t>323048-history-of-present-illness-0-4</t>
        </is>
      </c>
      <c r="B1785" t="inlineStr"/>
      <c r="C1785" t="inlineStr"/>
      <c r="D1785">
        <f>HYPERLINK("http://nlpdeep.cs.uic.edu:8080/proofing/gsii/323048-history-of-present-illness-0-4.pdf","gsii/323048-history-of-present-illness-0-4.pdf")</f>
        <v/>
      </c>
      <c r="E1785" t="n">
        <v>146230</v>
      </c>
      <c r="F1785" t="n">
        <v>323048</v>
      </c>
      <c r="G1785" t="inlineStr">
        <is>
          <t>Physician</t>
        </is>
      </c>
      <c r="H1785" t="inlineStr">
        <is>
          <t>history-of-present-illness</t>
        </is>
      </c>
      <c r="I1785" t="inlineStr">
        <is>
          <t>Surgery aborted and stapled
   closed.</t>
        </is>
      </c>
    </row>
    <row r="1786">
      <c r="A1786" t="inlineStr">
        <is>
          <t>323048-history-of-present-illness-0-5</t>
        </is>
      </c>
      <c r="B1786" t="inlineStr"/>
      <c r="C1786" t="inlineStr"/>
      <c r="D1786">
        <f>HYPERLINK("http://nlpdeep.cs.uic.edu:8080/proofing/t5/323048-history-of-present-illness-0-5.pdf","t5/323048-history-of-present-illness-0-5.pdf")</f>
        <v/>
      </c>
      <c r="E1786" t="n">
        <v>146230</v>
      </c>
      <c r="F1786" t="n">
        <v>323048</v>
      </c>
      <c r="G1786" t="inlineStr">
        <is>
          <t>Physician</t>
        </is>
      </c>
      <c r="H1786" t="inlineStr">
        <is>
          <t>history-of-present-illness</t>
        </is>
      </c>
      <c r="I1786" t="inlineStr">
        <is>
          <t>Patient admitted from: [**Hospital1 54**] OR / PACU
   History obtained from Medical records
   Patient unable to provide history: S</t>
        </is>
      </c>
    </row>
    <row r="1787">
      <c r="A1787" t="inlineStr">
        <is>
          <t>323048-history-of-present-illness-0-5</t>
        </is>
      </c>
      <c r="B1787" t="inlineStr"/>
      <c r="C1787" t="inlineStr"/>
      <c r="D1787">
        <f>HYPERLINK("http://nlpdeep.cs.uic.edu:8080/proofing/gsii/323048-history-of-present-illness-0-5.pdf","gsii/323048-history-of-present-illness-0-5.pdf")</f>
        <v/>
      </c>
      <c r="E1787" t="n">
        <v>146230</v>
      </c>
      <c r="F1787" t="n">
        <v>323048</v>
      </c>
      <c r="G1787" t="inlineStr">
        <is>
          <t>Physician</t>
        </is>
      </c>
      <c r="H1787" t="inlineStr">
        <is>
          <t>history-of-present-illness</t>
        </is>
      </c>
      <c r="I1787" t="inlineStr">
        <is>
          <t>Patient admitted from: [**Hospital1 54**] OR / PACU
   History obtained from Medical records
   Patient unable to provide history: S</t>
        </is>
      </c>
    </row>
    <row r="1788">
      <c r="A1788" t="inlineStr">
        <is>
          <t>323048-allergies-0-0</t>
        </is>
      </c>
      <c r="B1788" t="inlineStr"/>
      <c r="C1788" t="inlineStr"/>
      <c r="D1788">
        <f>HYPERLINK("http://nlpdeep.cs.uic.edu:8080/proofing/t5/323048-allergies-0-0.pdf","t5/323048-allergies-0-0.pdf")</f>
        <v/>
      </c>
      <c r="E1788" t="n">
        <v>146230</v>
      </c>
      <c r="F1788" t="n">
        <v>323048</v>
      </c>
      <c r="G1788" t="inlineStr">
        <is>
          <t>Physician</t>
        </is>
      </c>
      <c r="H1788" t="inlineStr">
        <is>
          <t>allergies</t>
        </is>
      </c>
      <c r="I1788" t="inlineStr">
        <is>
          <t>Codeine
   severe headache
   Penicillins
   trouble breathi
   Demerol (Injection) (Meperidine Hcl/Pf)
   hot feeling all
   Ampicillin
   sob;
   Melon Flavor
   SOB
   itching [</t>
        </is>
      </c>
    </row>
    <row r="1789">
      <c r="A1789" t="inlineStr">
        <is>
          <t>323048-allergies-0-0</t>
        </is>
      </c>
      <c r="B1789" t="inlineStr"/>
      <c r="C1789" t="inlineStr"/>
      <c r="D1789">
        <f>HYPERLINK("http://nlpdeep.cs.uic.edu:8080/proofing/gsii/323048-allergies-0-0.pdf","gsii/323048-allergies-0-0.pdf")</f>
        <v/>
      </c>
      <c r="E1789" t="n">
        <v>146230</v>
      </c>
      <c r="F1789" t="n">
        <v>323048</v>
      </c>
      <c r="G1789" t="inlineStr">
        <is>
          <t>Physician</t>
        </is>
      </c>
      <c r="H1789" t="inlineStr">
        <is>
          <t>allergies</t>
        </is>
      </c>
      <c r="I1789" t="inlineStr">
        <is>
          <t>Codeine
   severe headache
   Penicillins
   trouble breathi
   Demerol (Injection) (Meperidine Hcl/Pf)
   hot feeling all
   Ampicillin
   sob;
   Melon Flavor
   SOB
   itching [</t>
        </is>
      </c>
    </row>
    <row r="1790">
      <c r="A1790" t="inlineStr">
        <is>
          <t>323048-other-medications-0-0</t>
        </is>
      </c>
      <c r="B1790" t="inlineStr"/>
      <c r="C1790" t="inlineStr"/>
      <c r="D1790">
        <f>HYPERLINK("http://nlpdeep.cs.uic.edu:8080/proofing/t5/323048-other-medications-0-0.pdf","t5/323048-other-medications-0-0.pdf")</f>
        <v/>
      </c>
      <c r="E1790" t="n">
        <v>146230</v>
      </c>
      <c r="F1790" t="n">
        <v>323048</v>
      </c>
      <c r="G1790" t="inlineStr">
        <is>
          <t>Physician</t>
        </is>
      </c>
      <c r="H1790" t="inlineStr">
        <is>
          <t>other-medications</t>
        </is>
      </c>
      <c r="I1790" t="inlineStr">
        <is>
          <t>Fentanyl - [**2186-3-10**] 12:34 PM
   Other medications:</t>
        </is>
      </c>
    </row>
    <row r="1791">
      <c r="A1791" t="inlineStr">
        <is>
          <t>323048-other-medications-0-0</t>
        </is>
      </c>
      <c r="B1791" t="inlineStr"/>
      <c r="C1791" t="inlineStr"/>
      <c r="D1791">
        <f>HYPERLINK("http://nlpdeep.cs.uic.edu:8080/proofing/gsii/323048-other-medications-0-0.pdf","gsii/323048-other-medications-0-0.pdf")</f>
        <v/>
      </c>
      <c r="E1791" t="n">
        <v>146230</v>
      </c>
      <c r="F1791" t="n">
        <v>323048</v>
      </c>
      <c r="G1791" t="inlineStr">
        <is>
          <t>Physician</t>
        </is>
      </c>
      <c r="H1791" t="inlineStr">
        <is>
          <t>other-medications</t>
        </is>
      </c>
      <c r="I1791" t="inlineStr">
        <is>
          <t>Fentanyl - [**2186-3-10**] 12:34 PM
   Other medications:</t>
        </is>
      </c>
    </row>
    <row r="1792">
      <c r="A1792" t="inlineStr">
        <is>
          <t>323048-past-medical-history-0-0</t>
        </is>
      </c>
      <c r="B1792" t="inlineStr"/>
      <c r="C1792" t="inlineStr"/>
      <c r="D1792">
        <f>HYPERLINK("http://nlpdeep.cs.uic.edu:8080/proofing/t5/323048-past-medical-history-0-0.pdf","t5/323048-past-medical-history-0-0.pdf")</f>
        <v/>
      </c>
      <c r="E1792" t="n">
        <v>146230</v>
      </c>
      <c r="F1792" t="n">
        <v>323048</v>
      </c>
      <c r="G1792" t="inlineStr">
        <is>
          <t>Physician</t>
        </is>
      </c>
      <c r="H1792" t="inlineStr">
        <is>
          <t>past-medical-history</t>
        </is>
      </c>
      <c r="I1792" t="inlineStr">
        <is>
          <t>asthma
   obesity
   left femoral fracture due to car crash with poor fusion after
   stabilization
   total knee [**1-28**]
   G</t>
        </is>
      </c>
    </row>
    <row r="1793">
      <c r="A1793" t="inlineStr">
        <is>
          <t>323048-past-medical-history-0-0</t>
        </is>
      </c>
      <c r="B1793" t="inlineStr"/>
      <c r="C1793" t="inlineStr"/>
      <c r="D1793">
        <f>HYPERLINK("http://nlpdeep.cs.uic.edu:8080/proofing/gsii/323048-past-medical-history-0-0.pdf","gsii/323048-past-medical-history-0-0.pdf")</f>
        <v/>
      </c>
      <c r="E1793" t="n">
        <v>146230</v>
      </c>
      <c r="F1793" t="n">
        <v>323048</v>
      </c>
      <c r="G1793" t="inlineStr">
        <is>
          <t>Physician</t>
        </is>
      </c>
      <c r="H1793" t="inlineStr">
        <is>
          <t>past-medical-history</t>
        </is>
      </c>
      <c r="I1793" t="inlineStr">
        <is>
          <t>asthma
   obesity
   left femoral fracture due to car crash with poor fusion after
   stabilization
   total knee [**1-28**]
   G</t>
        </is>
      </c>
    </row>
    <row r="1794">
      <c r="A1794" t="inlineStr">
        <is>
          <t>323048-social-history-0-0</t>
        </is>
      </c>
      <c r="B1794" t="inlineStr"/>
      <c r="C1794" t="inlineStr"/>
      <c r="D1794">
        <f>HYPERLINK("http://nlpdeep.cs.uic.edu:8080/proofing/t5/323048-social-history-0-0.pdf","t5/323048-social-history-0-0.pdf")</f>
        <v/>
      </c>
      <c r="E1794" t="n">
        <v>146230</v>
      </c>
      <c r="F1794" t="n">
        <v>323048</v>
      </c>
      <c r="G1794" t="inlineStr">
        <is>
          <t>Physician</t>
        </is>
      </c>
      <c r="H1794" t="inlineStr">
        <is>
          <t>social-history</t>
        </is>
      </c>
      <c r="I1794" t="inlineStr">
        <is>
          <t>Occupation: art teacher
   Drugs: no
   Tobacco: no
   Alcohol: no
   Other:</t>
        </is>
      </c>
    </row>
    <row r="1795">
      <c r="A1795" t="inlineStr">
        <is>
          <t>323048-social-history-0-0</t>
        </is>
      </c>
      <c r="B1795" t="inlineStr"/>
      <c r="C1795" t="inlineStr"/>
      <c r="D1795">
        <f>HYPERLINK("http://nlpdeep.cs.uic.edu:8080/proofing/gsii/323048-social-history-0-0.pdf","gsii/323048-social-history-0-0.pdf")</f>
        <v/>
      </c>
      <c r="E1795" t="n">
        <v>146230</v>
      </c>
      <c r="F1795" t="n">
        <v>323048</v>
      </c>
      <c r="G1795" t="inlineStr">
        <is>
          <t>Physician</t>
        </is>
      </c>
      <c r="H1795" t="inlineStr">
        <is>
          <t>social-history</t>
        </is>
      </c>
      <c r="I1795" t="inlineStr">
        <is>
          <t>Occupation: art teacher
   Drugs: no
   Tobacco: no
   Alcohol: no
   Other:</t>
        </is>
      </c>
    </row>
    <row r="1796">
      <c r="A1796" t="inlineStr">
        <is>
          <t>323048-medication-history-0-0</t>
        </is>
      </c>
      <c r="B1796" t="inlineStr"/>
      <c r="C1796" t="inlineStr"/>
      <c r="D1796">
        <f>HYPERLINK("http://nlpdeep.cs.uic.edu:8080/proofing/t5/323048-medication-history-0-0.pdf","t5/323048-medication-history-0-0.pdf")</f>
        <v/>
      </c>
      <c r="E1796" t="n">
        <v>146230</v>
      </c>
      <c r="F1796" t="n">
        <v>323048</v>
      </c>
      <c r="G1796" t="inlineStr">
        <is>
          <t>Physician</t>
        </is>
      </c>
      <c r="H1796" t="inlineStr">
        <is>
          <t>medication-history</t>
        </is>
      </c>
      <c r="I1796" t="inlineStr">
        <is>
          <t>prilosec, wellbutrin, advair, tylenol, claritin, hydrocodone
   asthma, uterine ca, D</t>
        </is>
      </c>
    </row>
    <row r="1797">
      <c r="A1797" t="inlineStr">
        <is>
          <t>323048-medication-history-0-0</t>
        </is>
      </c>
      <c r="B1797" t="inlineStr"/>
      <c r="C1797" t="inlineStr"/>
      <c r="D1797">
        <f>HYPERLINK("http://nlpdeep.cs.uic.edu:8080/proofing/gsii/323048-medication-history-0-0.pdf","gsii/323048-medication-history-0-0.pdf")</f>
        <v/>
      </c>
      <c r="E1797" t="n">
        <v>146230</v>
      </c>
      <c r="F1797" t="n">
        <v>323048</v>
      </c>
      <c r="G1797" t="inlineStr">
        <is>
          <t>Physician</t>
        </is>
      </c>
      <c r="H1797" t="inlineStr">
        <is>
          <t>medication-history</t>
        </is>
      </c>
      <c r="I1797" t="inlineStr">
        <is>
          <t>prilosec, wellbutrin, advair, tylenol, claritin, hydrocodone
   asthma, uterine ca, D</t>
        </is>
      </c>
    </row>
    <row r="1798">
      <c r="A1798" t="inlineStr">
        <is>
          <t>323048-flowsheet-data-vitals-0-0</t>
        </is>
      </c>
      <c r="B1798" t="inlineStr"/>
      <c r="C1798" t="inlineStr"/>
      <c r="D1798">
        <f>HYPERLINK("http://nlpdeep.cs.uic.edu:8080/proofing/t5/323048-flowsheet-data-vitals-0-0.pdf","t5/323048-flowsheet-data-vitals-0-0.pdf")</f>
        <v/>
      </c>
      <c r="E1798" t="n">
        <v>146230</v>
      </c>
      <c r="F1798" t="n">
        <v>323048</v>
      </c>
      <c r="G1798" t="inlineStr">
        <is>
          <t>Physician</t>
        </is>
      </c>
      <c r="H1798" t="inlineStr">
        <is>
          <t>flowsheet-data-vitals</t>
        </is>
      </c>
      <c r="I1798" t="inlineStr">
        <is>
          <t>Vital Signs
   Hemodynamic monitoring
   Fluid Balance
                                                                  24 hours
                                                               Since 12 AM
   Tmax: 36.4
C (97.6
   Tcurrent: 36.4
C (97.6
   HR: 74 (72 - 76) bpm
   BP: 117/59(79) {98/48(64) - 118/59(79)} mmHg
   RR: 28 (11 - 28) insp/min
   SpO2: 100%
   Heart rhythm: SR (Sinus Rhythm)
   Height: 60 Inch
             Total In:
             985 mL
   PO:
             TF:
   IVF:
   985 mL
   Blood products:
   Total out:
                                                                      0 mL
                                                                    725 mL
   Urine:
   565 mL
   NG:
   Stool:
   Drains:
   Balance:
                                                                      0 mL
                                                                    263 mL
   Respiratory
   Ventilator mode: CPAP
   Vt (Set): 600 (600 - 600) mL
   Vt (Spontaneous): 550 (438 - 550) mL
   PS : 5 cmH2O
   RR (Set): 14
   RR (Spontaneous): 17
   PEEP: 0 cmH2O
   FiO2: 50%
   PIP: 33 cmH2O
   Plateau: 27 cmH2O
   SpO2: 100%
   ABG: 7.39/45/275/23/2
   Ve: 8.2 L/min
   PaO2 / FiO2: 5</t>
        </is>
      </c>
    </row>
    <row r="1799">
      <c r="A1799" t="inlineStr">
        <is>
          <t>323048-flowsheet-data-vitals-0-0</t>
        </is>
      </c>
      <c r="B1799" t="inlineStr"/>
      <c r="C1799" t="inlineStr"/>
      <c r="D1799">
        <f>HYPERLINK("http://nlpdeep.cs.uic.edu:8080/proofing/gsii/323048-flowsheet-data-vitals-0-0.pdf","gsii/323048-flowsheet-data-vitals-0-0.pdf")</f>
        <v/>
      </c>
      <c r="E1799" t="n">
        <v>146230</v>
      </c>
      <c r="F1799" t="n">
        <v>323048</v>
      </c>
      <c r="G1799" t="inlineStr">
        <is>
          <t>Physician</t>
        </is>
      </c>
      <c r="H1799" t="inlineStr">
        <is>
          <t>flowsheet-data-vitals</t>
        </is>
      </c>
      <c r="I1799" t="inlineStr">
        <is>
          <t>Vital Signs
   Hemodynamic monitoring
   Fluid Balance
                                                                  24 hours
                                                               Since 12 AM
   Tmax: 36.4
C (97.6
   Tcurrent: 36.4
C (97.6
   HR: 74 (72 - 76) bpm
   BP: 117/59(79) {98/48(64) - 118/59(79)} mmHg
   RR: 28 (11 - 28) insp/min
   SpO2: 100%
   Heart rhythm: SR (Sinus Rhythm)
   Height: 60 Inch
             Total In:
             985 mL
   PO:
             TF:
   IVF:
   985 mL
   Blood products:
   Total out:
                                                                      0 mL
                                                                    725 mL
   Urine:
   565 mL
   NG:
   Stool:
   Drains:
   Balance:
                                                                      0 mL
                                                                    263 mL
   Respiratory
   Ventilator mode: CPAP
   Vt (Set): 600 (600 - 600) mL
   Vt (Spontaneous): 550 (438 - 550) mL
   PS : 5 cmH2O
   RR (Set): 14
   RR (Spontaneous): 17
   PEEP: 0 cmH2O
   FiO2: 50%
   PIP: 33 cmH2O
   Plateau: 27 cmH2O
   SpO2: 100%
   ABG: 7.39/45/275/23/2
   Ve: 8.2 L/min
   PaO2 / FiO2: 5</t>
        </is>
      </c>
    </row>
    <row r="1800">
      <c r="A1800" t="inlineStr">
        <is>
          <t>323048-physical-examination-0-0</t>
        </is>
      </c>
      <c r="B1800" t="inlineStr"/>
      <c r="C1800" t="inlineStr"/>
      <c r="D1800">
        <f>HYPERLINK("http://nlpdeep.cs.uic.edu:8080/proofing/t5/323048-physical-examination-0-0.pdf","t5/323048-physical-examination-0-0.pdf")</f>
        <v/>
      </c>
      <c r="E1800" t="n">
        <v>146230</v>
      </c>
      <c r="F1800" t="n">
        <v>323048</v>
      </c>
      <c r="G1800" t="inlineStr">
        <is>
          <t>Physician</t>
        </is>
      </c>
      <c r="H1800" t="inlineStr">
        <is>
          <t>physical-examination</t>
        </is>
      </c>
      <c r="I1800" t="inlineStr">
        <is>
          <t>General Appearance: Well nourished, No acute distress, Overweight /
   Obese
   Eyes / Conjunctiva: PERRL
   Head, Ears, Nose, Throat: Normocephalic, Endotracheal tube
   Lymphatic: Cervical WNL
   Cardiovascular: (S1: Normal), (S2: Normal)
   Peripheral Vascular: (Right radial pulse: Not assessed), (Left radial
   pulse: Not assessed), (Right DP pulse: Not assessed), (Left DP pulse:
   Not assessed)
   Respiratory / Chest: (Expansion: Symmetric), (Breath Sounds: Clear : )
   Abdominal: Soft, Non-tender, Bowel sounds present
   Extremities: Left: left thigh surgical wound dressings with no sig
   blood pooling/oozing, No(t) Cyanosis
   Musculoskeletal: No(t) Muscle wasting
   Skin:  Not assessed
   Neurologic: Attentive, Follows simple commands, Responds to: Verbal
   stimuli, Movement: Not assessed, No(t) Sedated, Tone: N</t>
        </is>
      </c>
    </row>
    <row r="1801">
      <c r="A1801" t="inlineStr">
        <is>
          <t>323048-physical-examination-0-0</t>
        </is>
      </c>
      <c r="B1801" t="inlineStr"/>
      <c r="C1801" t="inlineStr"/>
      <c r="D1801">
        <f>HYPERLINK("http://nlpdeep.cs.uic.edu:8080/proofing/gsii/323048-physical-examination-0-0.pdf","gsii/323048-physical-examination-0-0.pdf")</f>
        <v/>
      </c>
      <c r="E1801" t="n">
        <v>146230</v>
      </c>
      <c r="F1801" t="n">
        <v>323048</v>
      </c>
      <c r="G1801" t="inlineStr">
        <is>
          <t>Physician</t>
        </is>
      </c>
      <c r="H1801" t="inlineStr">
        <is>
          <t>physical-examination</t>
        </is>
      </c>
      <c r="I1801" t="inlineStr">
        <is>
          <t>General Appearance: Well nourished, No acute distress, Overweight /
   Obese
   Eyes / Conjunctiva: PERRL
   Head, Ears, Nose, Throat: Normocephalic, Endotracheal tube
   Lymphatic: Cervical WNL
   Cardiovascular: (S1: Normal), (S2: Normal)
   Peripheral Vascular: (Right radial pulse: Not assessed), (Left radial
   pulse: Not assessed), (Right DP pulse: Not assessed), (Left DP pulse:
   Not assessed)
   Respiratory / Chest: (Expansion: Symmetric), (Breath Sounds: Clear : )
   Abdominal: Soft, Non-tender, Bowel sounds present
   Extremities: Left: left thigh surgical wound dressings with no sig
   blood pooling/oozing, No(t) Cyanosis
   Musculoskeletal: No(t) Muscle wasting
   Skin:  Not assessed
   Neurologic: Attentive, Follows simple commands, Responds to: Verbal
   stimuli, Movement: Not assessed, No(t) Sedated, Tone: N</t>
        </is>
      </c>
    </row>
    <row r="1802">
      <c r="A1802" t="inlineStr">
        <is>
          <t>323048-labs-imaging-0-0</t>
        </is>
      </c>
      <c r="B1802" t="inlineStr"/>
      <c r="C1802" t="inlineStr"/>
      <c r="D1802">
        <f>HYPERLINK("http://nlpdeep.cs.uic.edu:8080/proofing/t5/323048-labs-imaging-0-0.pdf","t5/323048-labs-imaging-0-0.pdf")</f>
        <v/>
      </c>
      <c r="E1802" t="n">
        <v>146230</v>
      </c>
      <c r="F1802" t="n">
        <v>323048</v>
      </c>
      <c r="G1802" t="inlineStr">
        <is>
          <t>Physician</t>
        </is>
      </c>
      <c r="H1802" t="inlineStr">
        <is>
          <t>labs-imaging</t>
        </is>
      </c>
      <c r="I1802" t="inlineStr">
        <is>
          <t>292 K/uL
   24.8 %
   8.4 g/dL
   115 mg/dL
   0.7 mg/dL
   17 mg/dL
   23 mEq/L
   109 mEq/L
   3.9 mEq/L
   139 mEq/L
   14.5 K/uL
        [image002.jpg]
                             [**2186-3-10**]  10:45 AM
                             [**2186-3-10**]  11:01 AM
                             [**2186-3-10**]  11:30 AM
   WBC
                                    14.5
   Hct
                                    24.8
   Plt
                                     292
   Cr
                                     0.7
   TropT
                                    0.17
   TC02
                                     28
   Glucose
                                     115
   Other labs: PT / PTT / INR:13.5/23.1/1.2, CK / CKMB /
   Troponin-T:89/4/0.17, Differential-Neuts:96.0 %, Band:0.0 %, Lymph:3.0
   %, Mono:1.0 %, Eos:0.0 %
   Imaging: CT- no PE or dissection.</t>
        </is>
      </c>
    </row>
    <row r="1803">
      <c r="A1803" t="inlineStr">
        <is>
          <t>323048-labs-imaging-0-0</t>
        </is>
      </c>
      <c r="B1803" t="inlineStr"/>
      <c r="C1803" t="inlineStr"/>
      <c r="D1803">
        <f>HYPERLINK("http://nlpdeep.cs.uic.edu:8080/proofing/gsii/323048-labs-imaging-0-0.pdf","gsii/323048-labs-imaging-0-0.pdf")</f>
        <v/>
      </c>
      <c r="E1803" t="n">
        <v>146230</v>
      </c>
      <c r="F1803" t="n">
        <v>323048</v>
      </c>
      <c r="G1803" t="inlineStr">
        <is>
          <t>Physician</t>
        </is>
      </c>
      <c r="H1803" t="inlineStr">
        <is>
          <t>labs-imaging</t>
        </is>
      </c>
      <c r="I1803" t="inlineStr">
        <is>
          <t>292 K/uL
   24.8 %
   8.4 g/dL
   115 mg/dL
   0.7 mg/dL
   17 mg/dL
   23 mEq/L
   109 mEq/L
   3.9 mEq/L
   139 mEq/L
   14.5 K/uL
        [image002.jpg]
                             [**2186-3-10**]  10:45 AM
                             [**2186-3-10**]  11:01 AM
                             [**2186-3-10**]  11:30 AM
   WBC
                                    14.5
   Hct
                                    24.8
   Plt
                                     292
   Cr
                                     0.7
   TropT
                                    0.17
   TC02
                                     28
   Glucose
                                     115
   Other labs: PT / PTT / INR:13.5/23.1/1.2, CK / CKMB /
   Troponin-T:89/4/0.17, Differential-Neuts:96.0 %, Band:0.0 %, Lymph:3.0
   %, Mono:1.0 %, Eos:0.0 %
   Imaging: CT- no PE or dissection.</t>
        </is>
      </c>
    </row>
    <row r="1804">
      <c r="A1804" t="inlineStr">
        <is>
          <t>323048-labs-imaging-0-1</t>
        </is>
      </c>
      <c r="B1804" t="inlineStr"/>
      <c r="C1804" t="inlineStr"/>
      <c r="D1804">
        <f>HYPERLINK("http://nlpdeep.cs.uic.edu:8080/proofing/t5/323048-labs-imaging-0-1.pdf","t5/323048-labs-imaging-0-1.pdf")</f>
        <v/>
      </c>
      <c r="E1804" t="n">
        <v>146230</v>
      </c>
      <c r="F1804" t="n">
        <v>323048</v>
      </c>
      <c r="G1804" t="inlineStr">
        <is>
          <t>Physician</t>
        </is>
      </c>
      <c r="H1804" t="inlineStr">
        <is>
          <t>labs-imaging</t>
        </is>
      </c>
      <c r="I1804" t="inlineStr">
        <is>
          <t>Atelectasis lower lobes.</t>
        </is>
      </c>
    </row>
    <row r="1805">
      <c r="A1805" t="inlineStr">
        <is>
          <t>323048-labs-imaging-0-1</t>
        </is>
      </c>
      <c r="B1805" t="inlineStr"/>
      <c r="C1805" t="inlineStr"/>
      <c r="D1805">
        <f>HYPERLINK("http://nlpdeep.cs.uic.edu:8080/proofing/gsii/323048-labs-imaging-0-1.pdf","gsii/323048-labs-imaging-0-1.pdf")</f>
        <v/>
      </c>
      <c r="E1805" t="n">
        <v>146230</v>
      </c>
      <c r="F1805" t="n">
        <v>323048</v>
      </c>
      <c r="G1805" t="inlineStr">
        <is>
          <t>Physician</t>
        </is>
      </c>
      <c r="H1805" t="inlineStr">
        <is>
          <t>labs-imaging</t>
        </is>
      </c>
      <c r="I1805" t="inlineStr">
        <is>
          <t>Atelectasis lower lobes.</t>
        </is>
      </c>
    </row>
    <row r="1806">
      <c r="A1806" t="inlineStr">
        <is>
          <t>323048-labs-imaging-0-2</t>
        </is>
      </c>
      <c r="B1806" t="inlineStr"/>
      <c r="C1806" t="inlineStr"/>
      <c r="D1806">
        <f>HYPERLINK("http://nlpdeep.cs.uic.edu:8080/proofing/t5/323048-labs-imaging-0-2.pdf","t5/323048-labs-imaging-0-2.pdf")</f>
        <v/>
      </c>
      <c r="E1806" t="n">
        <v>146230</v>
      </c>
      <c r="F1806" t="n">
        <v>323048</v>
      </c>
      <c r="G1806" t="inlineStr">
        <is>
          <t>Physician</t>
        </is>
      </c>
      <c r="H1806" t="inlineStr">
        <is>
          <t>labs-imaging</t>
        </is>
      </c>
      <c r="I1806" t="inlineStr">
        <is>
          <t xml:space="preserve">
   ECG: Sinus, 79, nl intervals, no hypertrophy or ischemic changes.</t>
        </is>
      </c>
    </row>
    <row r="1807">
      <c r="A1807" t="inlineStr">
        <is>
          <t>323048-labs-imaging-0-2</t>
        </is>
      </c>
      <c r="B1807" t="inlineStr"/>
      <c r="C1807" t="inlineStr"/>
      <c r="D1807">
        <f>HYPERLINK("http://nlpdeep.cs.uic.edu:8080/proofing/gsii/323048-labs-imaging-0-2.pdf","gsii/323048-labs-imaging-0-2.pdf")</f>
        <v/>
      </c>
      <c r="E1807" t="n">
        <v>146230</v>
      </c>
      <c r="F1807" t="n">
        <v>323048</v>
      </c>
      <c r="G1807" t="inlineStr">
        <is>
          <t>Physician</t>
        </is>
      </c>
      <c r="H1807" t="inlineStr">
        <is>
          <t>labs-imaging</t>
        </is>
      </c>
      <c r="I1807" t="inlineStr">
        <is>
          <t xml:space="preserve">
   ECG: Sinus, 79, nl intervals, no hypertrophy or ischemic changes.</t>
        </is>
      </c>
    </row>
    <row r="1808">
      <c r="A1808" t="inlineStr">
        <is>
          <t>323048-assessment-and-plan-0-0</t>
        </is>
      </c>
      <c r="B1808" t="inlineStr"/>
      <c r="C1808" t="inlineStr"/>
      <c r="D1808">
        <f>HYPERLINK("http://nlpdeep.cs.uic.edu:8080/proofing/t5/323048-assessment-and-plan-0-0.pdf","t5/323048-assessment-and-plan-0-0.pdf")</f>
        <v/>
      </c>
      <c r="E1808" t="n">
        <v>146230</v>
      </c>
      <c r="F1808" t="n">
        <v>323048</v>
      </c>
      <c r="G1808" t="inlineStr">
        <is>
          <t>Physician</t>
        </is>
      </c>
      <c r="H1808" t="inlineStr">
        <is>
          <t>assessment-and-plan</t>
        </is>
      </c>
      <c r="I1808" t="inlineStr">
        <is>
          <t>HYPOXEMIC RESP FAILURE
   Normalized oxygenation.</t>
        </is>
      </c>
    </row>
    <row r="1809">
      <c r="A1809" t="inlineStr">
        <is>
          <t>323048-assessment-and-plan-0-0</t>
        </is>
      </c>
      <c r="B1809" t="inlineStr"/>
      <c r="C1809" t="inlineStr"/>
      <c r="D1809">
        <f>HYPERLINK("http://nlpdeep.cs.uic.edu:8080/proofing/gsii/323048-assessment-and-plan-0-0.pdf","gsii/323048-assessment-and-plan-0-0.pdf")</f>
        <v/>
      </c>
      <c r="E1809" t="n">
        <v>146230</v>
      </c>
      <c r="F1809" t="n">
        <v>323048</v>
      </c>
      <c r="G1809" t="inlineStr">
        <is>
          <t>Physician</t>
        </is>
      </c>
      <c r="H1809" t="inlineStr">
        <is>
          <t>assessment-and-plan</t>
        </is>
      </c>
      <c r="I1809" t="inlineStr">
        <is>
          <t>HYPOXEMIC RESP FAILURE
   Normalized oxygenation.</t>
        </is>
      </c>
    </row>
    <row r="1810">
      <c r="A1810" t="inlineStr">
        <is>
          <t>323048-assessment-and-plan-0-1</t>
        </is>
      </c>
      <c r="B1810" t="inlineStr"/>
      <c r="C1810" t="inlineStr"/>
      <c r="D1810">
        <f>HYPERLINK("http://nlpdeep.cs.uic.edu:8080/proofing/t5/323048-assessment-and-plan-0-1.pdf","t5/323048-assessment-and-plan-0-1.pdf")</f>
        <v/>
      </c>
      <c r="E1810" t="n">
        <v>146230</v>
      </c>
      <c r="F1810" t="n">
        <v>323048</v>
      </c>
      <c r="G1810" t="inlineStr">
        <is>
          <t>Physician</t>
        </is>
      </c>
      <c r="H1810" t="inlineStr">
        <is>
          <t>assessment-and-plan</t>
        </is>
      </c>
      <c r="I1810" t="inlineStr">
        <is>
          <t>Resp mechanics and gas exchange good on minimal
   support.</t>
        </is>
      </c>
    </row>
    <row r="1811">
      <c r="A1811" t="inlineStr">
        <is>
          <t>323048-assessment-and-plan-0-1</t>
        </is>
      </c>
      <c r="B1811" t="inlineStr"/>
      <c r="C1811" t="inlineStr"/>
      <c r="D1811">
        <f>HYPERLINK("http://nlpdeep.cs.uic.edu:8080/proofing/gsii/323048-assessment-and-plan-0-1.pdf","gsii/323048-assessment-and-plan-0-1.pdf")</f>
        <v/>
      </c>
      <c r="E1811" t="n">
        <v>146230</v>
      </c>
      <c r="F1811" t="n">
        <v>323048</v>
      </c>
      <c r="G1811" t="inlineStr">
        <is>
          <t>Physician</t>
        </is>
      </c>
      <c r="H1811" t="inlineStr">
        <is>
          <t>assessment-and-plan</t>
        </is>
      </c>
      <c r="I1811" t="inlineStr">
        <is>
          <t>Resp mechanics and gas exchange good on minimal
   support.</t>
        </is>
      </c>
    </row>
    <row r="1812">
      <c r="A1812" t="inlineStr">
        <is>
          <t>323048-assessment-and-plan-0-2</t>
        </is>
      </c>
      <c r="B1812" t="inlineStr"/>
      <c r="C1812" t="inlineStr"/>
      <c r="D1812">
        <f>HYPERLINK("http://nlpdeep.cs.uic.edu:8080/proofing/t5/323048-assessment-and-plan-0-2.pdf","t5/323048-assessment-and-plan-0-2.pdf")</f>
        <v/>
      </c>
      <c r="E1812" t="n">
        <v>146230</v>
      </c>
      <c r="F1812" t="n">
        <v>323048</v>
      </c>
      <c r="G1812" t="inlineStr">
        <is>
          <t>Physician</t>
        </is>
      </c>
      <c r="H1812" t="inlineStr">
        <is>
          <t>assessment-and-plan</t>
        </is>
      </c>
      <c r="I1812" t="inlineStr">
        <is>
          <t>Extubate now.</t>
        </is>
      </c>
    </row>
    <row r="1813">
      <c r="A1813" t="inlineStr">
        <is>
          <t>323048-assessment-and-plan-0-2</t>
        </is>
      </c>
      <c r="B1813" t="inlineStr"/>
      <c r="C1813" t="inlineStr"/>
      <c r="D1813">
        <f>HYPERLINK("http://nlpdeep.cs.uic.edu:8080/proofing/gsii/323048-assessment-and-plan-0-2.pdf","gsii/323048-assessment-and-plan-0-2.pdf")</f>
        <v/>
      </c>
      <c r="E1813" t="n">
        <v>146230</v>
      </c>
      <c r="F1813" t="n">
        <v>323048</v>
      </c>
      <c r="G1813" t="inlineStr">
        <is>
          <t>Physician</t>
        </is>
      </c>
      <c r="H1813" t="inlineStr">
        <is>
          <t>assessment-and-plan</t>
        </is>
      </c>
      <c r="I1813" t="inlineStr">
        <is>
          <t>Extubate now.</t>
        </is>
      </c>
    </row>
    <row r="1814">
      <c r="A1814" t="inlineStr">
        <is>
          <t>323048-assessment-and-plan-0-3</t>
        </is>
      </c>
      <c r="B1814" t="inlineStr"/>
      <c r="C1814" t="inlineStr"/>
      <c r="D1814">
        <f>HYPERLINK("http://nlpdeep.cs.uic.edu:8080/proofing/t5/323048-assessment-and-plan-0-3.pdf","t5/323048-assessment-and-plan-0-3.pdf")</f>
        <v/>
      </c>
      <c r="E1814" t="n">
        <v>146230</v>
      </c>
      <c r="F1814" t="n">
        <v>323048</v>
      </c>
      <c r="G1814" t="inlineStr">
        <is>
          <t>Physician</t>
        </is>
      </c>
      <c r="H1814" t="inlineStr">
        <is>
          <t>assessment-and-plan</t>
        </is>
      </c>
      <c r="I1814" t="inlineStr">
        <is>
          <t xml:space="preserve">
   PEA ARREST
   Likely secondary to large vol blood loss.</t>
        </is>
      </c>
    </row>
    <row r="1815">
      <c r="A1815" t="inlineStr">
        <is>
          <t>323048-assessment-and-plan-0-3</t>
        </is>
      </c>
      <c r="B1815" t="inlineStr"/>
      <c r="C1815" t="inlineStr"/>
      <c r="D1815">
        <f>HYPERLINK("http://nlpdeep.cs.uic.edu:8080/proofing/gsii/323048-assessment-and-plan-0-3.pdf","gsii/323048-assessment-and-plan-0-3.pdf")</f>
        <v/>
      </c>
      <c r="E1815" t="n">
        <v>146230</v>
      </c>
      <c r="F1815" t="n">
        <v>323048</v>
      </c>
      <c r="G1815" t="inlineStr">
        <is>
          <t>Physician</t>
        </is>
      </c>
      <c r="H1815" t="inlineStr">
        <is>
          <t>assessment-and-plan</t>
        </is>
      </c>
      <c r="I1815" t="inlineStr">
        <is>
          <t xml:space="preserve">
   PEA ARREST
   Likely secondary to large vol blood loss.</t>
        </is>
      </c>
    </row>
    <row r="1816">
      <c r="A1816" t="inlineStr">
        <is>
          <t>323048-assessment-and-plan-0-4</t>
        </is>
      </c>
      <c r="B1816" t="inlineStr"/>
      <c r="C1816" t="inlineStr"/>
      <c r="D1816">
        <f>HYPERLINK("http://nlpdeep.cs.uic.edu:8080/proofing/t5/323048-assessment-and-plan-0-4.pdf","t5/323048-assessment-and-plan-0-4.pdf")</f>
        <v/>
      </c>
      <c r="E1816" t="n">
        <v>146230</v>
      </c>
      <c r="F1816" t="n">
        <v>323048</v>
      </c>
      <c r="G1816" t="inlineStr">
        <is>
          <t>Physician</t>
        </is>
      </c>
      <c r="H1816" t="inlineStr">
        <is>
          <t>assessment-and-plan</t>
        </is>
      </c>
      <c r="I1816" t="inlineStr">
        <is>
          <t>Chronicity does not suggest
   fat embolus or PE given rapid improvement.</t>
        </is>
      </c>
    </row>
    <row r="1817">
      <c r="A1817" t="inlineStr">
        <is>
          <t>323048-assessment-and-plan-0-4</t>
        </is>
      </c>
      <c r="B1817" t="inlineStr"/>
      <c r="C1817" t="inlineStr"/>
      <c r="D1817">
        <f>HYPERLINK("http://nlpdeep.cs.uic.edu:8080/proofing/gsii/323048-assessment-and-plan-0-4.pdf","gsii/323048-assessment-and-plan-0-4.pdf")</f>
        <v/>
      </c>
      <c r="E1817" t="n">
        <v>146230</v>
      </c>
      <c r="F1817" t="n">
        <v>323048</v>
      </c>
      <c r="G1817" t="inlineStr">
        <is>
          <t>Physician</t>
        </is>
      </c>
      <c r="H1817" t="inlineStr">
        <is>
          <t>assessment-and-plan</t>
        </is>
      </c>
      <c r="I1817" t="inlineStr">
        <is>
          <t>Chronicity does not suggest
   fat embolus or PE given rapid improvement.</t>
        </is>
      </c>
    </row>
    <row r="1818">
      <c r="A1818" t="inlineStr">
        <is>
          <t>323048-assessment-and-plan-0-5</t>
        </is>
      </c>
      <c r="B1818" t="inlineStr"/>
      <c r="C1818" t="inlineStr"/>
      <c r="D1818">
        <f>HYPERLINK("http://nlpdeep.cs.uic.edu:8080/proofing/t5/323048-assessment-and-plan-0-5.pdf","t5/323048-assessment-and-plan-0-5.pdf")</f>
        <v/>
      </c>
      <c r="E1818" t="n">
        <v>146230</v>
      </c>
      <c r="F1818" t="n">
        <v>323048</v>
      </c>
      <c r="G1818" t="inlineStr">
        <is>
          <t>Physician</t>
        </is>
      </c>
      <c r="H1818" t="inlineStr">
        <is>
          <t>assessment-and-plan</t>
        </is>
      </c>
      <c r="I1818" t="inlineStr">
        <is>
          <t xml:space="preserve">
   Repeat echo to reeval finding of hypokinesis.</t>
        </is>
      </c>
    </row>
    <row r="1819">
      <c r="A1819" t="inlineStr">
        <is>
          <t>323048-assessment-and-plan-0-5</t>
        </is>
      </c>
      <c r="B1819" t="inlineStr"/>
      <c r="C1819" t="inlineStr"/>
      <c r="D1819">
        <f>HYPERLINK("http://nlpdeep.cs.uic.edu:8080/proofing/gsii/323048-assessment-and-plan-0-5.pdf","gsii/323048-assessment-and-plan-0-5.pdf")</f>
        <v/>
      </c>
      <c r="E1819" t="n">
        <v>146230</v>
      </c>
      <c r="F1819" t="n">
        <v>323048</v>
      </c>
      <c r="G1819" t="inlineStr">
        <is>
          <t>Physician</t>
        </is>
      </c>
      <c r="H1819" t="inlineStr">
        <is>
          <t>assessment-and-plan</t>
        </is>
      </c>
      <c r="I1819" t="inlineStr">
        <is>
          <t xml:space="preserve">
   Repeat echo to reeval finding of hypokinesis.</t>
        </is>
      </c>
    </row>
    <row r="1820">
      <c r="A1820" t="inlineStr">
        <is>
          <t>323048-assessment-and-plan-0-6</t>
        </is>
      </c>
      <c r="B1820" t="inlineStr"/>
      <c r="C1820" t="inlineStr"/>
      <c r="D1820">
        <f>HYPERLINK("http://nlpdeep.cs.uic.edu:8080/proofing/t5/323048-assessment-and-plan-0-6.pdf","t5/323048-assessment-and-plan-0-6.pdf")</f>
        <v/>
      </c>
      <c r="E1820" t="n">
        <v>146230</v>
      </c>
      <c r="F1820" t="n">
        <v>323048</v>
      </c>
      <c r="G1820" t="inlineStr">
        <is>
          <t>Physician</t>
        </is>
      </c>
      <c r="H1820" t="inlineStr">
        <is>
          <t>assessment-and-plan</t>
        </is>
      </c>
      <c r="I1820" t="inlineStr">
        <is>
          <t xml:space="preserve">
   ASTHMA
   Not active
   ORTHO
   To address femoral fracture repair.</t>
        </is>
      </c>
    </row>
    <row r="1821">
      <c r="A1821" t="inlineStr">
        <is>
          <t>323048-assessment-and-plan-0-6</t>
        </is>
      </c>
      <c r="B1821" t="inlineStr"/>
      <c r="C1821" t="inlineStr"/>
      <c r="D1821">
        <f>HYPERLINK("http://nlpdeep.cs.uic.edu:8080/proofing/gsii/323048-assessment-and-plan-0-6.pdf","gsii/323048-assessment-and-plan-0-6.pdf")</f>
        <v/>
      </c>
      <c r="E1821" t="n">
        <v>146230</v>
      </c>
      <c r="F1821" t="n">
        <v>323048</v>
      </c>
      <c r="G1821" t="inlineStr">
        <is>
          <t>Physician</t>
        </is>
      </c>
      <c r="H1821" t="inlineStr">
        <is>
          <t>assessment-and-plan</t>
        </is>
      </c>
      <c r="I1821" t="inlineStr">
        <is>
          <t xml:space="preserve">
   ASTHMA
   Not active
   ORTHO
   To address femoral fracture repair.</t>
        </is>
      </c>
    </row>
    <row r="1822">
      <c r="A1822" t="inlineStr">
        <is>
          <t>323048-assessment-and-plan-0-7</t>
        </is>
      </c>
      <c r="B1822" t="inlineStr"/>
      <c r="C1822" t="inlineStr"/>
      <c r="D1822">
        <f>HYPERLINK("http://nlpdeep.cs.uic.edu:8080/proofing/t5/323048-assessment-and-plan-0-7.pdf","t5/323048-assessment-and-plan-0-7.pdf")</f>
        <v/>
      </c>
      <c r="E1822" t="n">
        <v>146230</v>
      </c>
      <c r="F1822" t="n">
        <v>323048</v>
      </c>
      <c r="G1822" t="inlineStr">
        <is>
          <t>Physician</t>
        </is>
      </c>
      <c r="H1822" t="inlineStr">
        <is>
          <t>assessment-and-plan</t>
        </is>
      </c>
      <c r="I1822" t="inlineStr">
        <is>
          <t>FULL CODE
   ICU Care
   Nutrition:
   Glycemic Control:
   Lines / Intubation:
   Arterial Line - [**2186-3-10**] 10:47 AM
   18 Gauge - [**2186-3-10**] 10:47 AM
   Comments:
   Prophylaxis:
   DVT: LMW Heparin(Systemic anticoagulation: None)
   Stress ulcer: PPI
   VAP: HOB elevation, Mouth care, RSBI
   Comments:</t>
        </is>
      </c>
    </row>
    <row r="1823">
      <c r="A1823" t="inlineStr">
        <is>
          <t>323048-assessment-and-plan-0-7</t>
        </is>
      </c>
      <c r="B1823" t="inlineStr"/>
      <c r="C1823" t="inlineStr"/>
      <c r="D1823">
        <f>HYPERLINK("http://nlpdeep.cs.uic.edu:8080/proofing/gsii/323048-assessment-and-plan-0-7.pdf","gsii/323048-assessment-and-plan-0-7.pdf")</f>
        <v/>
      </c>
      <c r="E1823" t="n">
        <v>146230</v>
      </c>
      <c r="F1823" t="n">
        <v>323048</v>
      </c>
      <c r="G1823" t="inlineStr">
        <is>
          <t>Physician</t>
        </is>
      </c>
      <c r="H1823" t="inlineStr">
        <is>
          <t>assessment-and-plan</t>
        </is>
      </c>
      <c r="I1823" t="inlineStr">
        <is>
          <t>FULL CODE
   ICU Care
   Nutrition:
   Glycemic Control:
   Lines / Intubation:
   Arterial Line - [**2186-3-10**] 10:47 AM
   18 Gauge - [**2186-3-10**] 10:47 AM
   Comments:
   Prophylaxis:
   DVT: LMW Heparin(Systemic anticoagulation: None)
   Stress ulcer: PPI
   VAP: HOB elevation, Mouth care, RSBI
   Comments:</t>
        </is>
      </c>
    </row>
    <row r="1824">
      <c r="A1824" t="inlineStr">
        <is>
          <t>323048-communication-0-0</t>
        </is>
      </c>
      <c r="B1824" t="inlineStr"/>
      <c r="C1824" t="inlineStr"/>
      <c r="D1824">
        <f>HYPERLINK("http://nlpdeep.cs.uic.edu:8080/proofing/t5/323048-communication-0-0.pdf","t5/323048-communication-0-0.pdf")</f>
        <v/>
      </c>
      <c r="E1824" t="n">
        <v>146230</v>
      </c>
      <c r="F1824" t="n">
        <v>323048</v>
      </c>
      <c r="G1824" t="inlineStr">
        <is>
          <t>Physician</t>
        </is>
      </c>
      <c r="H1824" t="inlineStr">
        <is>
          <t>communication</t>
        </is>
      </c>
      <c r="I1824" t="inlineStr">
        <is>
          <t>Comments:</t>
        </is>
      </c>
    </row>
    <row r="1825">
      <c r="A1825" t="inlineStr">
        <is>
          <t>323048-communication-0-0</t>
        </is>
      </c>
      <c r="B1825" t="inlineStr"/>
      <c r="C1825" t="inlineStr"/>
      <c r="D1825">
        <f>HYPERLINK("http://nlpdeep.cs.uic.edu:8080/proofing/gsii/323048-communication-0-0.pdf","gsii/323048-communication-0-0.pdf")</f>
        <v/>
      </c>
      <c r="E1825" t="n">
        <v>146230</v>
      </c>
      <c r="F1825" t="n">
        <v>323048</v>
      </c>
      <c r="G1825" t="inlineStr">
        <is>
          <t>Physician</t>
        </is>
      </c>
      <c r="H1825" t="inlineStr">
        <is>
          <t>communication</t>
        </is>
      </c>
      <c r="I1825" t="inlineStr">
        <is>
          <t>Comments:</t>
        </is>
      </c>
    </row>
    <row r="1826">
      <c r="A1826" t="inlineStr">
        <is>
          <t>323048-code-status-0-0</t>
        </is>
      </c>
      <c r="B1826" t="inlineStr"/>
      <c r="C1826" t="inlineStr"/>
      <c r="D1826">
        <f>HYPERLINK("http://nlpdeep.cs.uic.edu:8080/proofing/t5/323048-code-status-0-0.pdf","t5/323048-code-status-0-0.pdf")</f>
        <v/>
      </c>
      <c r="E1826" t="n">
        <v>146230</v>
      </c>
      <c r="F1826" t="n">
        <v>323048</v>
      </c>
      <c r="G1826" t="inlineStr">
        <is>
          <t>Physician</t>
        </is>
      </c>
      <c r="H1826" t="inlineStr">
        <is>
          <t>code-status</t>
        </is>
      </c>
      <c r="I1826" t="inlineStr">
        <is>
          <t>Full c</t>
        </is>
      </c>
    </row>
    <row r="1827">
      <c r="A1827" t="inlineStr">
        <is>
          <t>323048-code-status-0-0</t>
        </is>
      </c>
      <c r="B1827" t="inlineStr"/>
      <c r="C1827" t="inlineStr"/>
      <c r="D1827">
        <f>HYPERLINK("http://nlpdeep.cs.uic.edu:8080/proofing/gsii/323048-code-status-0-0.pdf","gsii/323048-code-status-0-0.pdf")</f>
        <v/>
      </c>
      <c r="E1827" t="n">
        <v>146230</v>
      </c>
      <c r="F1827" t="n">
        <v>323048</v>
      </c>
      <c r="G1827" t="inlineStr">
        <is>
          <t>Physician</t>
        </is>
      </c>
      <c r="H1827" t="inlineStr">
        <is>
          <t>code-status</t>
        </is>
      </c>
      <c r="I1827" t="inlineStr">
        <is>
          <t>Full c</t>
        </is>
      </c>
    </row>
    <row r="1828">
      <c r="A1828" t="inlineStr">
        <is>
          <t>323048-disposition-0-0</t>
        </is>
      </c>
      <c r="B1828" t="inlineStr"/>
      <c r="C1828" t="inlineStr"/>
      <c r="D1828">
        <f>HYPERLINK("http://nlpdeep.cs.uic.edu:8080/proofing/t5/323048-disposition-0-0.pdf","t5/323048-disposition-0-0.pdf")</f>
        <v/>
      </c>
      <c r="E1828" t="n">
        <v>146230</v>
      </c>
      <c r="F1828" t="n">
        <v>323048</v>
      </c>
      <c r="G1828" t="inlineStr">
        <is>
          <t>Physician</t>
        </is>
      </c>
      <c r="H1828" t="inlineStr">
        <is>
          <t>disposition</t>
        </is>
      </c>
      <c r="I1828" t="inlineStr">
        <is>
          <t>I</t>
        </is>
      </c>
    </row>
    <row r="1829">
      <c r="A1829" t="inlineStr">
        <is>
          <t>323048-disposition-0-0</t>
        </is>
      </c>
      <c r="B1829" t="inlineStr"/>
      <c r="C1829" t="inlineStr"/>
      <c r="D1829">
        <f>HYPERLINK("http://nlpdeep.cs.uic.edu:8080/proofing/gsii/323048-disposition-0-0.pdf","gsii/323048-disposition-0-0.pdf")</f>
        <v/>
      </c>
      <c r="E1829" t="n">
        <v>146230</v>
      </c>
      <c r="F1829" t="n">
        <v>323048</v>
      </c>
      <c r="G1829" t="inlineStr">
        <is>
          <t>Physician</t>
        </is>
      </c>
      <c r="H1829" t="inlineStr">
        <is>
          <t>disposition</t>
        </is>
      </c>
      <c r="I1829" t="inlineStr">
        <is>
          <t>I</t>
        </is>
      </c>
    </row>
    <row r="1830">
      <c r="A1830" t="inlineStr">
        <is>
          <t>323041-chief-complaint-0-0</t>
        </is>
      </c>
      <c r="B1830" t="inlineStr"/>
      <c r="C1830" t="inlineStr"/>
      <c r="D1830">
        <f>HYPERLINK("http://nlpdeep.cs.uic.edu:8080/proofing/t5/323041-chief-complaint-0-0.pdf","t5/323041-chief-complaint-0-0.pdf")</f>
        <v/>
      </c>
      <c r="E1830" t="n">
        <v>146230</v>
      </c>
      <c r="F1830" t="n">
        <v>323041</v>
      </c>
      <c r="G1830" t="inlineStr">
        <is>
          <t>Physician</t>
        </is>
      </c>
      <c r="H1830" t="inlineStr">
        <is>
          <t>chief-complaint</t>
        </is>
      </c>
      <c r="I1830" t="inlineStr">
        <is>
          <t>hypotension/h</t>
        </is>
      </c>
    </row>
    <row r="1831">
      <c r="A1831" t="inlineStr">
        <is>
          <t>323041-chief-complaint-0-0</t>
        </is>
      </c>
      <c r="B1831" t="inlineStr"/>
      <c r="C1831" t="inlineStr"/>
      <c r="D1831">
        <f>HYPERLINK("http://nlpdeep.cs.uic.edu:8080/proofing/gsii/323041-chief-complaint-0-0.pdf","gsii/323041-chief-complaint-0-0.pdf")</f>
        <v/>
      </c>
      <c r="E1831" t="n">
        <v>146230</v>
      </c>
      <c r="F1831" t="n">
        <v>323041</v>
      </c>
      <c r="G1831" t="inlineStr">
        <is>
          <t>Physician</t>
        </is>
      </c>
      <c r="H1831" t="inlineStr">
        <is>
          <t>chief-complaint</t>
        </is>
      </c>
      <c r="I1831" t="inlineStr">
        <is>
          <t>hypotension/h</t>
        </is>
      </c>
    </row>
    <row r="1832">
      <c r="A1832" t="inlineStr">
        <is>
          <t>323041-history-of-present-illness-0-0</t>
        </is>
      </c>
      <c r="B1832" t="inlineStr"/>
      <c r="C1832" t="inlineStr"/>
      <c r="D1832">
        <f>HYPERLINK("http://nlpdeep.cs.uic.edu:8080/proofing/t5/323041-history-of-present-illness-0-0.pdf","t5/323041-history-of-present-illness-0-0.pdf")</f>
        <v/>
      </c>
      <c r="E1832" t="n">
        <v>146230</v>
      </c>
      <c r="F1832" t="n">
        <v>323041</v>
      </c>
      <c r="G1832" t="inlineStr">
        <is>
          <t>Physician</t>
        </is>
      </c>
      <c r="H1832" t="inlineStr">
        <is>
          <t>history-of-present-illness</t>
        </is>
      </c>
      <c r="I1832" t="inlineStr">
        <is>
          <t>49 year old woman with hx of asthma, obesity, left femoral fracture
   presenting for elective re-alignment of the femoral fracture compicated
   by intra-op hypotension and hypoxia and transient PEA arrest.</t>
        </is>
      </c>
    </row>
    <row r="1833">
      <c r="A1833" t="inlineStr">
        <is>
          <t>323041-history-of-present-illness-0-0</t>
        </is>
      </c>
      <c r="B1833" t="inlineStr"/>
      <c r="C1833" t="inlineStr"/>
      <c r="D1833">
        <f>HYPERLINK("http://nlpdeep.cs.uic.edu:8080/proofing/gsii/323041-history-of-present-illness-0-0.pdf","gsii/323041-history-of-present-illness-0-0.pdf")</f>
        <v/>
      </c>
      <c r="E1833" t="n">
        <v>146230</v>
      </c>
      <c r="F1833" t="n">
        <v>323041</v>
      </c>
      <c r="G1833" t="inlineStr">
        <is>
          <t>Physician</t>
        </is>
      </c>
      <c r="H1833" t="inlineStr">
        <is>
          <t>history-of-present-illness</t>
        </is>
      </c>
      <c r="I1833" t="inlineStr">
        <is>
          <t>49 year old woman with hx of asthma, obesity, left femoral fracture
   presenting for elective re-alignment of the femoral fracture compicated
   by intra-op hypotension and hypoxia and transient PEA arrest.</t>
        </is>
      </c>
    </row>
    <row r="1834">
      <c r="A1834" t="inlineStr">
        <is>
          <t>323041-history-of-present-illness-0-1</t>
        </is>
      </c>
      <c r="B1834" t="inlineStr"/>
      <c r="C1834" t="inlineStr"/>
      <c r="D1834">
        <f>HYPERLINK("http://nlpdeep.cs.uic.edu:8080/proofing/t5/323041-history-of-present-illness-0-1.pdf","t5/323041-history-of-present-illness-0-1.pdf")</f>
        <v/>
      </c>
      <c r="E1834" t="n">
        <v>146230</v>
      </c>
      <c r="F1834" t="n">
        <v>323041</v>
      </c>
      <c r="G1834" t="inlineStr">
        <is>
          <t>Physician</t>
        </is>
      </c>
      <c r="H1834" t="inlineStr">
        <is>
          <t>history-of-present-illness</t>
        </is>
      </c>
      <c r="I1834" t="inlineStr">
        <is>
          <t xml:space="preserve"> The
   patient had left femoral fracture approximately 20 years ago secondary
   to a car accident.</t>
        </is>
      </c>
    </row>
    <row r="1835">
      <c r="A1835" t="inlineStr">
        <is>
          <t>323041-history-of-present-illness-0-1</t>
        </is>
      </c>
      <c r="B1835" t="inlineStr"/>
      <c r="C1835" t="inlineStr"/>
      <c r="D1835">
        <f>HYPERLINK("http://nlpdeep.cs.uic.edu:8080/proofing/gsii/323041-history-of-present-illness-0-1.pdf","gsii/323041-history-of-present-illness-0-1.pdf")</f>
        <v/>
      </c>
      <c r="E1835" t="n">
        <v>146230</v>
      </c>
      <c r="F1835" t="n">
        <v>323041</v>
      </c>
      <c r="G1835" t="inlineStr">
        <is>
          <t>Physician</t>
        </is>
      </c>
      <c r="H1835" t="inlineStr">
        <is>
          <t>history-of-present-illness</t>
        </is>
      </c>
      <c r="I1835" t="inlineStr">
        <is>
          <t xml:space="preserve"> The
   patient had left femoral fracture approximately 20 years ago secondary
   to a car accident.</t>
        </is>
      </c>
    </row>
    <row r="1836">
      <c r="A1836" t="inlineStr">
        <is>
          <t>323041-history-of-present-illness-0-2</t>
        </is>
      </c>
      <c r="B1836" t="inlineStr"/>
      <c r="C1836" t="inlineStr"/>
      <c r="D1836">
        <f>HYPERLINK("http://nlpdeep.cs.uic.edu:8080/proofing/t5/323041-history-of-present-illness-0-2.pdf","t5/323041-history-of-present-illness-0-2.pdf")</f>
        <v/>
      </c>
      <c r="E1836" t="n">
        <v>146230</v>
      </c>
      <c r="F1836" t="n">
        <v>323041</v>
      </c>
      <c r="G1836" t="inlineStr">
        <is>
          <t>Physician</t>
        </is>
      </c>
      <c r="H1836" t="inlineStr">
        <is>
          <t>history-of-present-illness</t>
        </is>
      </c>
      <c r="I1836" t="inlineStr">
        <is>
          <t xml:space="preserve"> The fracture was treated with splinting and
   traction.</t>
        </is>
      </c>
    </row>
    <row r="1837">
      <c r="A1837" t="inlineStr">
        <is>
          <t>323041-history-of-present-illness-0-2</t>
        </is>
      </c>
      <c r="B1837" t="inlineStr"/>
      <c r="C1837" t="inlineStr"/>
      <c r="D1837">
        <f>HYPERLINK("http://nlpdeep.cs.uic.edu:8080/proofing/gsii/323041-history-of-present-illness-0-2.pdf","gsii/323041-history-of-present-illness-0-2.pdf")</f>
        <v/>
      </c>
      <c r="E1837" t="n">
        <v>146230</v>
      </c>
      <c r="F1837" t="n">
        <v>323041</v>
      </c>
      <c r="G1837" t="inlineStr">
        <is>
          <t>Physician</t>
        </is>
      </c>
      <c r="H1837" t="inlineStr">
        <is>
          <t>history-of-present-illness</t>
        </is>
      </c>
      <c r="I1837" t="inlineStr">
        <is>
          <t xml:space="preserve"> The fracture was treated with splinting and
   traction.</t>
        </is>
      </c>
    </row>
    <row r="1838">
      <c r="A1838" t="inlineStr">
        <is>
          <t>323041-history-of-present-illness-0-3</t>
        </is>
      </c>
      <c r="B1838" t="inlineStr"/>
      <c r="C1838" t="inlineStr"/>
      <c r="D1838">
        <f>HYPERLINK("http://nlpdeep.cs.uic.edu:8080/proofing/t5/323041-history-of-present-illness-0-3.pdf","t5/323041-history-of-present-illness-0-3.pdf")</f>
        <v/>
      </c>
      <c r="E1838" t="n">
        <v>146230</v>
      </c>
      <c r="F1838" t="n">
        <v>323041</v>
      </c>
      <c r="G1838" t="inlineStr">
        <is>
          <t>Physician</t>
        </is>
      </c>
      <c r="H1838" t="inlineStr">
        <is>
          <t>history-of-present-illness</t>
        </is>
      </c>
      <c r="I1838" t="inlineStr">
        <is>
          <t xml:space="preserve"> She developed progressive DJD of the left knee.</t>
        </is>
      </c>
    </row>
    <row r="1839">
      <c r="A1839" t="inlineStr">
        <is>
          <t>323041-history-of-present-illness-0-3</t>
        </is>
      </c>
      <c r="B1839" t="inlineStr"/>
      <c r="C1839" t="inlineStr"/>
      <c r="D1839">
        <f>HYPERLINK("http://nlpdeep.cs.uic.edu:8080/proofing/gsii/323041-history-of-present-illness-0-3.pdf","gsii/323041-history-of-present-illness-0-3.pdf")</f>
        <v/>
      </c>
      <c r="E1839" t="n">
        <v>146230</v>
      </c>
      <c r="F1839" t="n">
        <v>323041</v>
      </c>
      <c r="G1839" t="inlineStr">
        <is>
          <t>Physician</t>
        </is>
      </c>
      <c r="H1839" t="inlineStr">
        <is>
          <t>history-of-present-illness</t>
        </is>
      </c>
      <c r="I1839" t="inlineStr">
        <is>
          <t xml:space="preserve"> She developed progressive DJD of the left knee.</t>
        </is>
      </c>
    </row>
    <row r="1840">
      <c r="A1840" t="inlineStr">
        <is>
          <t>323041-history-of-present-illness-0-4</t>
        </is>
      </c>
      <c r="B1840" t="inlineStr"/>
      <c r="C1840" t="inlineStr"/>
      <c r="D1840">
        <f>HYPERLINK("http://nlpdeep.cs.uic.edu:8080/proofing/t5/323041-history-of-present-illness-0-4.pdf","t5/323041-history-of-present-illness-0-4.pdf")</f>
        <v/>
      </c>
      <c r="E1840" t="n">
        <v>146230</v>
      </c>
      <c r="F1840" t="n">
        <v>323041</v>
      </c>
      <c r="G1840" t="inlineStr">
        <is>
          <t>Physician</t>
        </is>
      </c>
      <c r="H1840" t="inlineStr">
        <is>
          <t>history-of-present-illness</t>
        </is>
      </c>
      <c r="I1840" t="inlineStr">
        <is>
          <t xml:space="preserve"> She
   underwent a left TKA on [**2186-1-23**] which was tolerated well.</t>
        </is>
      </c>
    </row>
    <row r="1841">
      <c r="A1841" t="inlineStr">
        <is>
          <t>323041-history-of-present-illness-0-4</t>
        </is>
      </c>
      <c r="B1841" t="inlineStr"/>
      <c r="C1841" t="inlineStr"/>
      <c r="D1841">
        <f>HYPERLINK("http://nlpdeep.cs.uic.edu:8080/proofing/gsii/323041-history-of-present-illness-0-4.pdf","gsii/323041-history-of-present-illness-0-4.pdf")</f>
        <v/>
      </c>
      <c r="E1841" t="n">
        <v>146230</v>
      </c>
      <c r="F1841" t="n">
        <v>323041</v>
      </c>
      <c r="G1841" t="inlineStr">
        <is>
          <t>Physician</t>
        </is>
      </c>
      <c r="H1841" t="inlineStr">
        <is>
          <t>history-of-present-illness</t>
        </is>
      </c>
      <c r="I1841" t="inlineStr">
        <is>
          <t xml:space="preserve"> She
   underwent a left TKA on [**2186-1-23**] which was tolerated well.</t>
        </is>
      </c>
    </row>
    <row r="1842">
      <c r="A1842" t="inlineStr">
        <is>
          <t>323041-history-of-present-illness-0-5</t>
        </is>
      </c>
      <c r="B1842" t="inlineStr"/>
      <c r="C1842" t="inlineStr"/>
      <c r="D1842">
        <f>HYPERLINK("http://nlpdeep.cs.uic.edu:8080/proofing/t5/323041-history-of-present-illness-0-5.pdf","t5/323041-history-of-present-illness-0-5.pdf")</f>
        <v/>
      </c>
      <c r="E1842" t="n">
        <v>146230</v>
      </c>
      <c r="F1842" t="n">
        <v>323041</v>
      </c>
      <c r="G1842" t="inlineStr">
        <is>
          <t>Physician</t>
        </is>
      </c>
      <c r="H1842" t="inlineStr">
        <is>
          <t>history-of-present-illness</t>
        </is>
      </c>
      <c r="I1842" t="inlineStr">
        <is>
          <t xml:space="preserve"> She presented
   to have a left femoral osteotomy and rod placement to correct the
   angulation deformity at the fracture site.</t>
        </is>
      </c>
    </row>
    <row r="1843">
      <c r="A1843" t="inlineStr">
        <is>
          <t>323041-history-of-present-illness-0-5</t>
        </is>
      </c>
      <c r="B1843" t="inlineStr"/>
      <c r="C1843" t="inlineStr"/>
      <c r="D1843">
        <f>HYPERLINK("http://nlpdeep.cs.uic.edu:8080/proofing/gsii/323041-history-of-present-illness-0-5.pdf","gsii/323041-history-of-present-illness-0-5.pdf")</f>
        <v/>
      </c>
      <c r="E1843" t="n">
        <v>146230</v>
      </c>
      <c r="F1843" t="n">
        <v>323041</v>
      </c>
      <c r="G1843" t="inlineStr">
        <is>
          <t>Physician</t>
        </is>
      </c>
      <c r="H1843" t="inlineStr">
        <is>
          <t>history-of-present-illness</t>
        </is>
      </c>
      <c r="I1843" t="inlineStr">
        <is>
          <t xml:space="preserve"> She presented
   to have a left femoral osteotomy and rod placement to correct the
   angulation deformity at the fracture site.</t>
        </is>
      </c>
    </row>
    <row r="1844">
      <c r="A1844" t="inlineStr">
        <is>
          <t>323041-history-of-present-illness-0-6</t>
        </is>
      </c>
      <c r="B1844" t="inlineStr"/>
      <c r="C1844" t="inlineStr"/>
      <c r="D1844">
        <f>HYPERLINK("http://nlpdeep.cs.uic.edu:8080/proofing/t5/323041-history-of-present-illness-0-6.pdf","t5/323041-history-of-present-illness-0-6.pdf")</f>
        <v/>
      </c>
      <c r="E1844" t="n">
        <v>146230</v>
      </c>
      <c r="F1844" t="n">
        <v>323041</v>
      </c>
      <c r="G1844" t="inlineStr">
        <is>
          <t>Physician</t>
        </is>
      </c>
      <c r="H1844" t="inlineStr">
        <is>
          <t>history-of-present-illness</t>
        </is>
      </c>
      <c r="I1844" t="inlineStr">
        <is>
          <t xml:space="preserve">
   Intra-op the surgery team was using a routing device (that continuously
   irrigates and vacuums [**Last Name (un) 2277**]) to prepare the femur for the IM rod when
   it was noticed that she lost approximately 1500-2000cc of blood within
   approximately 10-15minutes.</t>
        </is>
      </c>
    </row>
    <row r="1845">
      <c r="A1845" t="inlineStr">
        <is>
          <t>323041-history-of-present-illness-0-6</t>
        </is>
      </c>
      <c r="B1845" t="inlineStr"/>
      <c r="C1845" t="inlineStr"/>
      <c r="D1845">
        <f>HYPERLINK("http://nlpdeep.cs.uic.edu:8080/proofing/gsii/323041-history-of-present-illness-0-6.pdf","gsii/323041-history-of-present-illness-0-6.pdf")</f>
        <v/>
      </c>
      <c r="E1845" t="n">
        <v>146230</v>
      </c>
      <c r="F1845" t="n">
        <v>323041</v>
      </c>
      <c r="G1845" t="inlineStr">
        <is>
          <t>Physician</t>
        </is>
      </c>
      <c r="H1845" t="inlineStr">
        <is>
          <t>history-of-present-illness</t>
        </is>
      </c>
      <c r="I1845" t="inlineStr">
        <is>
          <t xml:space="preserve">
   Intra-op the surgery team was using a routing device (that continuously
   irrigates and vacuums [**Last Name (un) 2277**]) to prepare the femur for the IM rod when
   it was noticed that she lost approximately 1500-2000cc of blood within
   approximately 10-15minutes.</t>
        </is>
      </c>
    </row>
    <row r="1846">
      <c r="A1846" t="inlineStr">
        <is>
          <t>323041-history-of-present-illness-0-7</t>
        </is>
      </c>
      <c r="B1846" t="inlineStr"/>
      <c r="C1846" t="inlineStr"/>
      <c r="D1846">
        <f>HYPERLINK("http://nlpdeep.cs.uic.edu:8080/proofing/t5/323041-history-of-present-illness-0-7.pdf","t5/323041-history-of-present-illness-0-7.pdf")</f>
        <v/>
      </c>
      <c r="E1846" t="n">
        <v>146230</v>
      </c>
      <c r="F1846" t="n">
        <v>323041</v>
      </c>
      <c r="G1846" t="inlineStr">
        <is>
          <t>Physician</t>
        </is>
      </c>
      <c r="H1846" t="inlineStr">
        <is>
          <t>history-of-present-illness</t>
        </is>
      </c>
      <c r="I1846" t="inlineStr">
        <is>
          <t xml:space="preserve"> Following that her EtCO2 acutely dropped
   to ~15.</t>
        </is>
      </c>
    </row>
    <row r="1847">
      <c r="A1847" t="inlineStr">
        <is>
          <t>323041-history-of-present-illness-0-7</t>
        </is>
      </c>
      <c r="B1847" t="inlineStr"/>
      <c r="C1847" t="inlineStr"/>
      <c r="D1847">
        <f>HYPERLINK("http://nlpdeep.cs.uic.edu:8080/proofing/gsii/323041-history-of-present-illness-0-7.pdf","gsii/323041-history-of-present-illness-0-7.pdf")</f>
        <v/>
      </c>
      <c r="E1847" t="n">
        <v>146230</v>
      </c>
      <c r="F1847" t="n">
        <v>323041</v>
      </c>
      <c r="G1847" t="inlineStr">
        <is>
          <t>Physician</t>
        </is>
      </c>
      <c r="H1847" t="inlineStr">
        <is>
          <t>history-of-present-illness</t>
        </is>
      </c>
      <c r="I1847" t="inlineStr">
        <is>
          <t xml:space="preserve"> Following that her EtCO2 acutely dropped
   to ~15.</t>
        </is>
      </c>
    </row>
    <row r="1848">
      <c r="A1848" t="inlineStr">
        <is>
          <t>323041-history-of-present-illness-0-8</t>
        </is>
      </c>
      <c r="B1848" t="inlineStr"/>
      <c r="C1848" t="inlineStr"/>
      <c r="D1848">
        <f>HYPERLINK("http://nlpdeep.cs.uic.edu:8080/proofing/t5/323041-history-of-present-illness-0-8.pdf","t5/323041-history-of-present-illness-0-8.pdf")</f>
        <v/>
      </c>
      <c r="E1848" t="n">
        <v>146230</v>
      </c>
      <c r="F1848" t="n">
        <v>323041</v>
      </c>
      <c r="G1848" t="inlineStr">
        <is>
          <t>Physician</t>
        </is>
      </c>
      <c r="H1848" t="inlineStr">
        <is>
          <t>history-of-present-illness</t>
        </is>
      </c>
      <c r="I1848" t="inlineStr">
        <is>
          <t xml:space="preserve"> Shortly thereafter her O2sats dropped to 50%.</t>
        </is>
      </c>
    </row>
    <row r="1849">
      <c r="A1849" t="inlineStr">
        <is>
          <t>323041-history-of-present-illness-0-8</t>
        </is>
      </c>
      <c r="B1849" t="inlineStr"/>
      <c r="C1849" t="inlineStr"/>
      <c r="D1849">
        <f>HYPERLINK("http://nlpdeep.cs.uic.edu:8080/proofing/gsii/323041-history-of-present-illness-0-8.pdf","gsii/323041-history-of-present-illness-0-8.pdf")</f>
        <v/>
      </c>
      <c r="E1849" t="n">
        <v>146230</v>
      </c>
      <c r="F1849" t="n">
        <v>323041</v>
      </c>
      <c r="G1849" t="inlineStr">
        <is>
          <t>Physician</t>
        </is>
      </c>
      <c r="H1849" t="inlineStr">
        <is>
          <t>history-of-present-illness</t>
        </is>
      </c>
      <c r="I1849" t="inlineStr">
        <is>
          <t xml:space="preserve"> Shortly thereafter her O2sats dropped to 50%.</t>
        </is>
      </c>
    </row>
    <row r="1850">
      <c r="A1850" t="inlineStr">
        <is>
          <t>323041-history-of-present-illness-0-9</t>
        </is>
      </c>
      <c r="B1850" t="inlineStr"/>
      <c r="C1850" t="inlineStr"/>
      <c r="D1850">
        <f>HYPERLINK("http://nlpdeep.cs.uic.edu:8080/proofing/t5/323041-history-of-present-illness-0-9.pdf","t5/323041-history-of-present-illness-0-9.pdf")</f>
        <v/>
      </c>
      <c r="E1850" t="n">
        <v>146230</v>
      </c>
      <c r="F1850" t="n">
        <v>323041</v>
      </c>
      <c r="G1850" t="inlineStr">
        <is>
          <t>Physician</t>
        </is>
      </c>
      <c r="H1850" t="inlineStr">
        <is>
          <t>history-of-present-illness</t>
        </is>
      </c>
      <c r="I1850" t="inlineStr">
        <is>
          <t xml:space="preserve"> The procedure
   was terminated.</t>
        </is>
      </c>
    </row>
    <row r="1851">
      <c r="A1851" t="inlineStr">
        <is>
          <t>323041-history-of-present-illness-0-9</t>
        </is>
      </c>
      <c r="B1851" t="inlineStr"/>
      <c r="C1851" t="inlineStr"/>
      <c r="D1851">
        <f>HYPERLINK("http://nlpdeep.cs.uic.edu:8080/proofing/gsii/323041-history-of-present-illness-0-9.pdf","gsii/323041-history-of-present-illness-0-9.pdf")</f>
        <v/>
      </c>
      <c r="E1851" t="n">
        <v>146230</v>
      </c>
      <c r="F1851" t="n">
        <v>323041</v>
      </c>
      <c r="G1851" t="inlineStr">
        <is>
          <t>Physician</t>
        </is>
      </c>
      <c r="H1851" t="inlineStr">
        <is>
          <t>history-of-present-illness</t>
        </is>
      </c>
      <c r="I1851" t="inlineStr">
        <is>
          <t xml:space="preserve"> The procedure
   was terminated.</t>
        </is>
      </c>
    </row>
    <row r="1852">
      <c r="A1852" t="inlineStr">
        <is>
          <t>323041-history-of-present-illness-0-10</t>
        </is>
      </c>
      <c r="B1852" t="inlineStr"/>
      <c r="C1852" t="inlineStr"/>
      <c r="D1852">
        <f>HYPERLINK("http://nlpdeep.cs.uic.edu:8080/proofing/t5/323041-history-of-present-illness-0-10.pdf","t5/323041-history-of-present-illness-0-10.pdf")</f>
        <v/>
      </c>
      <c r="E1852" t="n">
        <v>146230</v>
      </c>
      <c r="F1852" t="n">
        <v>323041</v>
      </c>
      <c r="G1852" t="inlineStr">
        <is>
          <t>Physician</t>
        </is>
      </c>
      <c r="H1852" t="inlineStr">
        <is>
          <t>history-of-present-illness</t>
        </is>
      </c>
      <c r="I1852" t="inlineStr">
        <is>
          <t>She transiently lost her pulse in PEA.</t>
        </is>
      </c>
    </row>
    <row r="1853">
      <c r="A1853" t="inlineStr">
        <is>
          <t>323041-history-of-present-illness-0-10</t>
        </is>
      </c>
      <c r="B1853" t="inlineStr"/>
      <c r="C1853" t="inlineStr"/>
      <c r="D1853">
        <f>HYPERLINK("http://nlpdeep.cs.uic.edu:8080/proofing/gsii/323041-history-of-present-illness-0-10.pdf","gsii/323041-history-of-present-illness-0-10.pdf")</f>
        <v/>
      </c>
      <c r="E1853" t="n">
        <v>146230</v>
      </c>
      <c r="F1853" t="n">
        <v>323041</v>
      </c>
      <c r="G1853" t="inlineStr">
        <is>
          <t>Physician</t>
        </is>
      </c>
      <c r="H1853" t="inlineStr">
        <is>
          <t>history-of-present-illness</t>
        </is>
      </c>
      <c r="I1853" t="inlineStr">
        <is>
          <t>She transiently lost her pulse in PEA.</t>
        </is>
      </c>
    </row>
    <row r="1854">
      <c r="A1854" t="inlineStr">
        <is>
          <t>323041-history-of-present-illness-0-11</t>
        </is>
      </c>
      <c r="B1854" t="inlineStr"/>
      <c r="C1854" t="inlineStr"/>
      <c r="D1854">
        <f>HYPERLINK("http://nlpdeep.cs.uic.edu:8080/proofing/t5/323041-history-of-present-illness-0-11.pdf","t5/323041-history-of-present-illness-0-11.pdf")</f>
        <v/>
      </c>
      <c r="E1854" t="n">
        <v>146230</v>
      </c>
      <c r="F1854" t="n">
        <v>323041</v>
      </c>
      <c r="G1854" t="inlineStr">
        <is>
          <t>Physician</t>
        </is>
      </c>
      <c r="H1854" t="inlineStr">
        <is>
          <t>history-of-present-illness</t>
        </is>
      </c>
      <c r="I1854" t="inlineStr">
        <is>
          <t xml:space="preserve"> She received
   1mg of epinephrine in divided doses.</t>
        </is>
      </c>
    </row>
    <row r="1855">
      <c r="A1855" t="inlineStr">
        <is>
          <t>323041-history-of-present-illness-0-11</t>
        </is>
      </c>
      <c r="B1855" t="inlineStr"/>
      <c r="C1855" t="inlineStr"/>
      <c r="D1855">
        <f>HYPERLINK("http://nlpdeep.cs.uic.edu:8080/proofing/gsii/323041-history-of-present-illness-0-11.pdf","gsii/323041-history-of-present-illness-0-11.pdf")</f>
        <v/>
      </c>
      <c r="E1855" t="n">
        <v>146230</v>
      </c>
      <c r="F1855" t="n">
        <v>323041</v>
      </c>
      <c r="G1855" t="inlineStr">
        <is>
          <t>Physician</t>
        </is>
      </c>
      <c r="H1855" t="inlineStr">
        <is>
          <t>history-of-present-illness</t>
        </is>
      </c>
      <c r="I1855" t="inlineStr">
        <is>
          <t xml:space="preserve"> She received
   1mg of epinephrine in divided doses.</t>
        </is>
      </c>
    </row>
    <row r="1856">
      <c r="A1856" t="inlineStr">
        <is>
          <t>323041-history-of-present-illness-0-12</t>
        </is>
      </c>
      <c r="B1856" t="inlineStr"/>
      <c r="C1856" t="inlineStr"/>
      <c r="D1856">
        <f>HYPERLINK("http://nlpdeep.cs.uic.edu:8080/proofing/t5/323041-history-of-present-illness-0-12.pdf","t5/323041-history-of-present-illness-0-12.pdf")</f>
        <v/>
      </c>
      <c r="E1856" t="n">
        <v>146230</v>
      </c>
      <c r="F1856" t="n">
        <v>323041</v>
      </c>
      <c r="G1856" t="inlineStr">
        <is>
          <t>Physician</t>
        </is>
      </c>
      <c r="H1856" t="inlineStr">
        <is>
          <t>history-of-present-illness</t>
        </is>
      </c>
      <c r="I1856" t="inlineStr">
        <is>
          <t xml:space="preserve"> The PEA spontaneous converted to
   VF with spontaneously converted to sinus.</t>
        </is>
      </c>
    </row>
    <row r="1857">
      <c r="A1857" t="inlineStr">
        <is>
          <t>323041-history-of-present-illness-0-12</t>
        </is>
      </c>
      <c r="B1857" t="inlineStr"/>
      <c r="C1857" t="inlineStr"/>
      <c r="D1857">
        <f>HYPERLINK("http://nlpdeep.cs.uic.edu:8080/proofing/gsii/323041-history-of-present-illness-0-12.pdf","gsii/323041-history-of-present-illness-0-12.pdf")</f>
        <v/>
      </c>
      <c r="E1857" t="n">
        <v>146230</v>
      </c>
      <c r="F1857" t="n">
        <v>323041</v>
      </c>
      <c r="G1857" t="inlineStr">
        <is>
          <t>Physician</t>
        </is>
      </c>
      <c r="H1857" t="inlineStr">
        <is>
          <t>history-of-present-illness</t>
        </is>
      </c>
      <c r="I1857" t="inlineStr">
        <is>
          <t xml:space="preserve"> The PEA spontaneous converted to
   VF with spontaneously converted to sinus.</t>
        </is>
      </c>
    </row>
    <row r="1858">
      <c r="A1858" t="inlineStr">
        <is>
          <t>323041-history-of-present-illness-0-13</t>
        </is>
      </c>
      <c r="B1858" t="inlineStr"/>
      <c r="C1858" t="inlineStr"/>
      <c r="D1858">
        <f>HYPERLINK("http://nlpdeep.cs.uic.edu:8080/proofing/t5/323041-history-of-present-illness-0-13.pdf","t5/323041-history-of-present-illness-0-13.pdf")</f>
        <v/>
      </c>
      <c r="E1858" t="n">
        <v>146230</v>
      </c>
      <c r="F1858" t="n">
        <v>323041</v>
      </c>
      <c r="G1858" t="inlineStr">
        <is>
          <t>Physician</t>
        </is>
      </c>
      <c r="H1858" t="inlineStr">
        <is>
          <t>history-of-present-illness</t>
        </is>
      </c>
      <c r="I1858" t="inlineStr">
        <is>
          <t xml:space="preserve"> She recovered her pulse
   before CPR was initiated.</t>
        </is>
      </c>
    </row>
    <row r="1859">
      <c r="A1859" t="inlineStr">
        <is>
          <t>323041-history-of-present-illness-0-13</t>
        </is>
      </c>
      <c r="B1859" t="inlineStr"/>
      <c r="C1859" t="inlineStr"/>
      <c r="D1859">
        <f>HYPERLINK("http://nlpdeep.cs.uic.edu:8080/proofing/gsii/323041-history-of-present-illness-0-13.pdf","gsii/323041-history-of-present-illness-0-13.pdf")</f>
        <v/>
      </c>
      <c r="E1859" t="n">
        <v>146230</v>
      </c>
      <c r="F1859" t="n">
        <v>323041</v>
      </c>
      <c r="G1859" t="inlineStr">
        <is>
          <t>Physician</t>
        </is>
      </c>
      <c r="H1859" t="inlineStr">
        <is>
          <t>history-of-present-illness</t>
        </is>
      </c>
      <c r="I1859" t="inlineStr">
        <is>
          <t xml:space="preserve"> She recovered her pulse
   before CPR was initiated.</t>
        </is>
      </c>
    </row>
    <row r="1860">
      <c r="A1860" t="inlineStr">
        <is>
          <t>323041-history-of-present-illness-0-14</t>
        </is>
      </c>
      <c r="B1860" t="inlineStr"/>
      <c r="C1860" t="inlineStr"/>
      <c r="D1860">
        <f>HYPERLINK("http://nlpdeep.cs.uic.edu:8080/proofing/t5/323041-history-of-present-illness-0-14.pdf","t5/323041-history-of-present-illness-0-14.pdf")</f>
        <v/>
      </c>
      <c r="E1860" t="n">
        <v>146230</v>
      </c>
      <c r="F1860" t="n">
        <v>323041</v>
      </c>
      <c r="G1860" t="inlineStr">
        <is>
          <t>Physician</t>
        </is>
      </c>
      <c r="H1860" t="inlineStr">
        <is>
          <t>history-of-present-illness</t>
        </is>
      </c>
      <c r="I1860" t="inlineStr">
        <is>
          <t xml:space="preserve"> The duration of pulselessness was estimated
   to be less than 5 minutes.</t>
        </is>
      </c>
    </row>
    <row r="1861">
      <c r="A1861" t="inlineStr">
        <is>
          <t>323041-history-of-present-illness-0-14</t>
        </is>
      </c>
      <c r="B1861" t="inlineStr"/>
      <c r="C1861" t="inlineStr"/>
      <c r="D1861">
        <f>HYPERLINK("http://nlpdeep.cs.uic.edu:8080/proofing/gsii/323041-history-of-present-illness-0-14.pdf","gsii/323041-history-of-present-illness-0-14.pdf")</f>
        <v/>
      </c>
      <c r="E1861" t="n">
        <v>146230</v>
      </c>
      <c r="F1861" t="n">
        <v>323041</v>
      </c>
      <c r="G1861" t="inlineStr">
        <is>
          <t>Physician</t>
        </is>
      </c>
      <c r="H1861" t="inlineStr">
        <is>
          <t>history-of-present-illness</t>
        </is>
      </c>
      <c r="I1861" t="inlineStr">
        <is>
          <t xml:space="preserve"> The duration of pulselessness was estimated
   to be less than 5 minutes.</t>
        </is>
      </c>
    </row>
    <row r="1862">
      <c r="A1862" t="inlineStr">
        <is>
          <t>323041-history-of-present-illness-0-15</t>
        </is>
      </c>
      <c r="B1862" t="inlineStr"/>
      <c r="C1862" t="inlineStr"/>
      <c r="D1862">
        <f>HYPERLINK("http://nlpdeep.cs.uic.edu:8080/proofing/t5/323041-history-of-present-illness-0-15.pdf","t5/323041-history-of-present-illness-0-15.pdf")</f>
        <v/>
      </c>
      <c r="E1862" t="n">
        <v>146230</v>
      </c>
      <c r="F1862" t="n">
        <v>323041</v>
      </c>
      <c r="G1862" t="inlineStr">
        <is>
          <t>Physician</t>
        </is>
      </c>
      <c r="H1862" t="inlineStr">
        <is>
          <t>history-of-present-illness</t>
        </is>
      </c>
      <c r="I1862" t="inlineStr">
        <is>
          <t xml:space="preserve"> Cardiology was consulted who performed a
   bedside TTE that showed mild inferior hypokinesis.</t>
        </is>
      </c>
    </row>
    <row r="1863">
      <c r="A1863" t="inlineStr">
        <is>
          <t>323041-history-of-present-illness-0-15</t>
        </is>
      </c>
      <c r="B1863" t="inlineStr"/>
      <c r="C1863" t="inlineStr"/>
      <c r="D1863">
        <f>HYPERLINK("http://nlpdeep.cs.uic.edu:8080/proofing/gsii/323041-history-of-present-illness-0-15.pdf","gsii/323041-history-of-present-illness-0-15.pdf")</f>
        <v/>
      </c>
      <c r="E1863" t="n">
        <v>146230</v>
      </c>
      <c r="F1863" t="n">
        <v>323041</v>
      </c>
      <c r="G1863" t="inlineStr">
        <is>
          <t>Physician</t>
        </is>
      </c>
      <c r="H1863" t="inlineStr">
        <is>
          <t>history-of-present-illness</t>
        </is>
      </c>
      <c r="I1863" t="inlineStr">
        <is>
          <t xml:space="preserve"> Cardiology was consulted who performed a
   bedside TTE that showed mild inferior hypokinesis.</t>
        </is>
      </c>
    </row>
    <row r="1864">
      <c r="A1864" t="inlineStr">
        <is>
          <t>323041-history-of-present-illness-0-16</t>
        </is>
      </c>
      <c r="B1864" t="inlineStr"/>
      <c r="C1864" t="inlineStr"/>
      <c r="D1864">
        <f>HYPERLINK("http://nlpdeep.cs.uic.edu:8080/proofing/t5/323041-history-of-present-illness-0-16.pdf","t5/323041-history-of-present-illness-0-16.pdf")</f>
        <v/>
      </c>
      <c r="E1864" t="n">
        <v>146230</v>
      </c>
      <c r="F1864" t="n">
        <v>323041</v>
      </c>
      <c r="G1864" t="inlineStr">
        <is>
          <t>Physician</t>
        </is>
      </c>
      <c r="H1864" t="inlineStr">
        <is>
          <t>history-of-present-illness</t>
        </is>
      </c>
      <c r="I1864" t="inlineStr">
        <is>
          <t>An EKG was only
   notable for non-specific lateral ST depressions.</t>
        </is>
      </c>
    </row>
    <row r="1865">
      <c r="A1865" t="inlineStr">
        <is>
          <t>323041-history-of-present-illness-0-16</t>
        </is>
      </c>
      <c r="B1865" t="inlineStr"/>
      <c r="C1865" t="inlineStr"/>
      <c r="D1865">
        <f>HYPERLINK("http://nlpdeep.cs.uic.edu:8080/proofing/gsii/323041-history-of-present-illness-0-16.pdf","gsii/323041-history-of-present-illness-0-16.pdf")</f>
        <v/>
      </c>
      <c r="E1865" t="n">
        <v>146230</v>
      </c>
      <c r="F1865" t="n">
        <v>323041</v>
      </c>
      <c r="G1865" t="inlineStr">
        <is>
          <t>Physician</t>
        </is>
      </c>
      <c r="H1865" t="inlineStr">
        <is>
          <t>history-of-present-illness</t>
        </is>
      </c>
      <c r="I1865" t="inlineStr">
        <is>
          <t>An EKG was only
   notable for non-specific lateral ST depressions.</t>
        </is>
      </c>
    </row>
    <row r="1866">
      <c r="A1866" t="inlineStr">
        <is>
          <t>323041-history-of-present-illness-0-17</t>
        </is>
      </c>
      <c r="B1866" t="inlineStr"/>
      <c r="C1866" t="inlineStr"/>
      <c r="D1866">
        <f>HYPERLINK("http://nlpdeep.cs.uic.edu:8080/proofing/t5/323041-history-of-present-illness-0-17.pdf","t5/323041-history-of-present-illness-0-17.pdf")</f>
        <v/>
      </c>
      <c r="E1866" t="n">
        <v>146230</v>
      </c>
      <c r="F1866" t="n">
        <v>323041</v>
      </c>
      <c r="G1866" t="inlineStr">
        <is>
          <t>Physician</t>
        </is>
      </c>
      <c r="H1866" t="inlineStr">
        <is>
          <t>history-of-present-illness</t>
        </is>
      </c>
      <c r="I1866" t="inlineStr">
        <is>
          <t xml:space="preserve"> A stat Hct was ~30
   immediately post-op.</t>
        </is>
      </c>
    </row>
    <row r="1867">
      <c r="A1867" t="inlineStr">
        <is>
          <t>323041-history-of-present-illness-0-17</t>
        </is>
      </c>
      <c r="B1867" t="inlineStr"/>
      <c r="C1867" t="inlineStr"/>
      <c r="D1867">
        <f>HYPERLINK("http://nlpdeep.cs.uic.edu:8080/proofing/gsii/323041-history-of-present-illness-0-17.pdf","gsii/323041-history-of-present-illness-0-17.pdf")</f>
        <v/>
      </c>
      <c r="E1867" t="n">
        <v>146230</v>
      </c>
      <c r="F1867" t="n">
        <v>323041</v>
      </c>
      <c r="G1867" t="inlineStr">
        <is>
          <t>Physician</t>
        </is>
      </c>
      <c r="H1867" t="inlineStr">
        <is>
          <t>history-of-present-illness</t>
        </is>
      </c>
      <c r="I1867" t="inlineStr">
        <is>
          <t xml:space="preserve"> A stat Hct was ~30
   immediately post-op.</t>
        </is>
      </c>
    </row>
    <row r="1868">
      <c r="A1868" t="inlineStr">
        <is>
          <t>323041-history-of-present-illness-0-18</t>
        </is>
      </c>
      <c r="B1868" t="inlineStr"/>
      <c r="C1868" t="inlineStr"/>
      <c r="D1868">
        <f>HYPERLINK("http://nlpdeep.cs.uic.edu:8080/proofing/t5/323041-history-of-present-illness-0-18.pdf","t5/323041-history-of-present-illness-0-18.pdf")</f>
        <v/>
      </c>
      <c r="E1868" t="n">
        <v>146230</v>
      </c>
      <c r="F1868" t="n">
        <v>323041</v>
      </c>
      <c r="G1868" t="inlineStr">
        <is>
          <t>Physician</t>
        </is>
      </c>
      <c r="H1868" t="inlineStr">
        <is>
          <t>history-of-present-illness</t>
        </is>
      </c>
      <c r="I1868" t="inlineStr">
        <is>
          <t xml:space="preserve">
   She was transfered to the [**Hospital Unit Name 44**] intubated and sedated.</t>
        </is>
      </c>
    </row>
    <row r="1869">
      <c r="A1869" t="inlineStr">
        <is>
          <t>323041-history-of-present-illness-0-18</t>
        </is>
      </c>
      <c r="B1869" t="inlineStr"/>
      <c r="C1869" t="inlineStr"/>
      <c r="D1869">
        <f>HYPERLINK("http://nlpdeep.cs.uic.edu:8080/proofing/gsii/323041-history-of-present-illness-0-18.pdf","gsii/323041-history-of-present-illness-0-18.pdf")</f>
        <v/>
      </c>
      <c r="E1869" t="n">
        <v>146230</v>
      </c>
      <c r="F1869" t="n">
        <v>323041</v>
      </c>
      <c r="G1869" t="inlineStr">
        <is>
          <t>Physician</t>
        </is>
      </c>
      <c r="H1869" t="inlineStr">
        <is>
          <t>history-of-present-illness</t>
        </is>
      </c>
      <c r="I1869" t="inlineStr">
        <is>
          <t xml:space="preserve">
   She was transfered to the [**Hospital Unit Name 44**] intubated and sedated.</t>
        </is>
      </c>
    </row>
    <row r="1870">
      <c r="A1870" t="inlineStr">
        <is>
          <t>323041-history-of-present-illness-0-19</t>
        </is>
      </c>
      <c r="B1870" t="inlineStr"/>
      <c r="C1870" t="inlineStr"/>
      <c r="D1870">
        <f>HYPERLINK("http://nlpdeep.cs.uic.edu:8080/proofing/t5/323041-history-of-present-illness-0-19.pdf","t5/323041-history-of-present-illness-0-19.pdf")</f>
        <v/>
      </c>
      <c r="E1870" t="n">
        <v>146230</v>
      </c>
      <c r="F1870" t="n">
        <v>323041</v>
      </c>
      <c r="G1870" t="inlineStr">
        <is>
          <t>Physician</t>
        </is>
      </c>
      <c r="H1870" t="inlineStr">
        <is>
          <t>history-of-present-illness</t>
        </is>
      </c>
      <c r="I1870" t="inlineStr">
        <is>
          <t>Patient admitted from: [**Hospital1 54**] OR / PACU
   History obtained from Family / [**Hospital 56**] Medical records
   Patient unable to provide history: S</t>
        </is>
      </c>
    </row>
    <row r="1871">
      <c r="A1871" t="inlineStr">
        <is>
          <t>323041-history-of-present-illness-0-19</t>
        </is>
      </c>
      <c r="B1871" t="inlineStr"/>
      <c r="C1871" t="inlineStr"/>
      <c r="D1871">
        <f>HYPERLINK("http://nlpdeep.cs.uic.edu:8080/proofing/gsii/323041-history-of-present-illness-0-19.pdf","gsii/323041-history-of-present-illness-0-19.pdf")</f>
        <v/>
      </c>
      <c r="E1871" t="n">
        <v>146230</v>
      </c>
      <c r="F1871" t="n">
        <v>323041</v>
      </c>
      <c r="G1871" t="inlineStr">
        <is>
          <t>Physician</t>
        </is>
      </c>
      <c r="H1871" t="inlineStr">
        <is>
          <t>history-of-present-illness</t>
        </is>
      </c>
      <c r="I1871" t="inlineStr">
        <is>
          <t>Patient admitted from: [**Hospital1 54**] OR / PACU
   History obtained from Family / [**Hospital 56**] Medical records
   Patient unable to provide history: S</t>
        </is>
      </c>
    </row>
    <row r="1872">
      <c r="A1872" t="inlineStr">
        <is>
          <t>323041-allergies-0-0</t>
        </is>
      </c>
      <c r="B1872" t="inlineStr"/>
      <c r="C1872" t="inlineStr"/>
      <c r="D1872">
        <f>HYPERLINK("http://nlpdeep.cs.uic.edu:8080/proofing/t5/323041-allergies-0-0.pdf","t5/323041-allergies-0-0.pdf")</f>
        <v/>
      </c>
      <c r="E1872" t="n">
        <v>146230</v>
      </c>
      <c r="F1872" t="n">
        <v>323041</v>
      </c>
      <c r="G1872" t="inlineStr">
        <is>
          <t>Physician</t>
        </is>
      </c>
      <c r="H1872" t="inlineStr">
        <is>
          <t>allergies</t>
        </is>
      </c>
      <c r="I1872" t="inlineStr">
        <is>
          <t>Codeine
   severe headache
   Penicillins
   trouble breathi
   Demerol (Injection) (Meperidine Hcl/Pf)
   hot feeling all
   Ampicillin
   sob;
   Melon Flavor
   SOB
   itching [</t>
        </is>
      </c>
    </row>
    <row r="1873">
      <c r="A1873" t="inlineStr">
        <is>
          <t>323041-allergies-0-0</t>
        </is>
      </c>
      <c r="B1873" t="inlineStr"/>
      <c r="C1873" t="inlineStr"/>
      <c r="D1873">
        <f>HYPERLINK("http://nlpdeep.cs.uic.edu:8080/proofing/gsii/323041-allergies-0-0.pdf","gsii/323041-allergies-0-0.pdf")</f>
        <v/>
      </c>
      <c r="E1873" t="n">
        <v>146230</v>
      </c>
      <c r="F1873" t="n">
        <v>323041</v>
      </c>
      <c r="G1873" t="inlineStr">
        <is>
          <t>Physician</t>
        </is>
      </c>
      <c r="H1873" t="inlineStr">
        <is>
          <t>allergies</t>
        </is>
      </c>
      <c r="I1873" t="inlineStr">
        <is>
          <t>Codeine
   severe headache
   Penicillins
   trouble breathi
   Demerol (Injection) (Meperidine Hcl/Pf)
   hot feeling all
   Ampicillin
   sob;
   Melon Flavor
   SOB
   itching [</t>
        </is>
      </c>
    </row>
    <row r="1874">
      <c r="A1874" t="inlineStr">
        <is>
          <t>323041-infusions-0-0</t>
        </is>
      </c>
      <c r="B1874" t="inlineStr"/>
      <c r="C1874" t="inlineStr"/>
      <c r="D1874">
        <f>HYPERLINK("http://nlpdeep.cs.uic.edu:8080/proofing/t5/323041-infusions-0-0.pdf","t5/323041-infusions-0-0.pdf")</f>
        <v/>
      </c>
      <c r="E1874" t="n">
        <v>146230</v>
      </c>
      <c r="F1874" t="n">
        <v>323041</v>
      </c>
      <c r="G1874" t="inlineStr">
        <is>
          <t>Physician</t>
        </is>
      </c>
      <c r="H1874" t="inlineStr">
        <is>
          <t>infusions</t>
        </is>
      </c>
      <c r="I1874" t="inlineStr">
        <is>
          <t>Propofol - 10 mcg/Kg/m</t>
        </is>
      </c>
    </row>
    <row r="1875">
      <c r="A1875" t="inlineStr">
        <is>
          <t>323041-infusions-0-0</t>
        </is>
      </c>
      <c r="B1875" t="inlineStr"/>
      <c r="C1875" t="inlineStr"/>
      <c r="D1875">
        <f>HYPERLINK("http://nlpdeep.cs.uic.edu:8080/proofing/gsii/323041-infusions-0-0.pdf","gsii/323041-infusions-0-0.pdf")</f>
        <v/>
      </c>
      <c r="E1875" t="n">
        <v>146230</v>
      </c>
      <c r="F1875" t="n">
        <v>323041</v>
      </c>
      <c r="G1875" t="inlineStr">
        <is>
          <t>Physician</t>
        </is>
      </c>
      <c r="H1875" t="inlineStr">
        <is>
          <t>infusions</t>
        </is>
      </c>
      <c r="I1875" t="inlineStr">
        <is>
          <t>Propofol - 10 mcg/Kg/m</t>
        </is>
      </c>
    </row>
    <row r="1876">
      <c r="A1876" t="inlineStr">
        <is>
          <t>323041-other-medications-0-0</t>
        </is>
      </c>
      <c r="B1876" t="inlineStr"/>
      <c r="C1876" t="inlineStr"/>
      <c r="D1876">
        <f>HYPERLINK("http://nlpdeep.cs.uic.edu:8080/proofing/t5/323041-other-medications-0-0.pdf","t5/323041-other-medications-0-0.pdf")</f>
        <v/>
      </c>
      <c r="E1876" t="n">
        <v>146230</v>
      </c>
      <c r="F1876" t="n">
        <v>323041</v>
      </c>
      <c r="G1876" t="inlineStr">
        <is>
          <t>Physician</t>
        </is>
      </c>
      <c r="H1876" t="inlineStr">
        <is>
          <t>other-medications</t>
        </is>
      </c>
      <c r="I1876" t="inlineStr">
        <is>
          <t>Fentanyl - [**2186-3-10**] 12:34 PM
   Other medications:
   Prilsec 20 mg daily:prn
   wellbutrin 150 mg [**Hospital1 **]
   tylenol 325-650mg prn
   claritin prn
   hydrocodone 5/500 tab prn
   advair 1 p</t>
        </is>
      </c>
    </row>
    <row r="1877">
      <c r="A1877" t="inlineStr">
        <is>
          <t>323041-other-medications-0-0</t>
        </is>
      </c>
      <c r="B1877" t="inlineStr"/>
      <c r="C1877" t="inlineStr"/>
      <c r="D1877">
        <f>HYPERLINK("http://nlpdeep.cs.uic.edu:8080/proofing/gsii/323041-other-medications-0-0.pdf","gsii/323041-other-medications-0-0.pdf")</f>
        <v/>
      </c>
      <c r="E1877" t="n">
        <v>146230</v>
      </c>
      <c r="F1877" t="n">
        <v>323041</v>
      </c>
      <c r="G1877" t="inlineStr">
        <is>
          <t>Physician</t>
        </is>
      </c>
      <c r="H1877" t="inlineStr">
        <is>
          <t>other-medications</t>
        </is>
      </c>
      <c r="I1877" t="inlineStr">
        <is>
          <t>Fentanyl - [**2186-3-10**] 12:34 PM
   Other medications:
   Prilsec 20 mg daily:prn
   wellbutrin 150 mg [**Hospital1 **]
   tylenol 325-650mg prn
   claritin prn
   hydrocodone 5/500 tab prn
   advair 1 p</t>
        </is>
      </c>
    </row>
    <row r="1878">
      <c r="A1878" t="inlineStr">
        <is>
          <t>323041-past-medical-history-0-0</t>
        </is>
      </c>
      <c r="B1878" t="inlineStr"/>
      <c r="C1878" t="inlineStr"/>
      <c r="D1878">
        <f>HYPERLINK("http://nlpdeep.cs.uic.edu:8080/proofing/t5/323041-past-medical-history-0-0.pdf","t5/323041-past-medical-history-0-0.pdf")</f>
        <v/>
      </c>
      <c r="E1878" t="n">
        <v>146230</v>
      </c>
      <c r="F1878" t="n">
        <v>323041</v>
      </c>
      <c r="G1878" t="inlineStr">
        <is>
          <t>Physician</t>
        </is>
      </c>
      <c r="H1878" t="inlineStr">
        <is>
          <t>past-medical-history</t>
        </is>
      </c>
      <c r="I1878" t="inlineStr">
        <is>
          <t>femoral fracture ~25 years ago
   osteoarthritis
   asthma
   seasonal allergies
   GERD
   uterine cancer, T2DM, heart disease, a</t>
        </is>
      </c>
    </row>
    <row r="1879">
      <c r="A1879" t="inlineStr">
        <is>
          <t>323041-past-medical-history-0-0</t>
        </is>
      </c>
      <c r="B1879" t="inlineStr"/>
      <c r="C1879" t="inlineStr"/>
      <c r="D1879">
        <f>HYPERLINK("http://nlpdeep.cs.uic.edu:8080/proofing/gsii/323041-past-medical-history-0-0.pdf","gsii/323041-past-medical-history-0-0.pdf")</f>
        <v/>
      </c>
      <c r="E1879" t="n">
        <v>146230</v>
      </c>
      <c r="F1879" t="n">
        <v>323041</v>
      </c>
      <c r="G1879" t="inlineStr">
        <is>
          <t>Physician</t>
        </is>
      </c>
      <c r="H1879" t="inlineStr">
        <is>
          <t>past-medical-history</t>
        </is>
      </c>
      <c r="I1879" t="inlineStr">
        <is>
          <t>femoral fracture ~25 years ago
   osteoarthritis
   asthma
   seasonal allergies
   GERD
   uterine cancer, T2DM, heart disease, a</t>
        </is>
      </c>
    </row>
    <row r="1880">
      <c r="A1880" t="inlineStr">
        <is>
          <t>323041-social-history-0-0</t>
        </is>
      </c>
      <c r="B1880" t="inlineStr"/>
      <c r="C1880" t="inlineStr"/>
      <c r="D1880">
        <f>HYPERLINK("http://nlpdeep.cs.uic.edu:8080/proofing/t5/323041-social-history-0-0.pdf","t5/323041-social-history-0-0.pdf")</f>
        <v/>
      </c>
      <c r="E1880" t="n">
        <v>146230</v>
      </c>
      <c r="F1880" t="n">
        <v>323041</v>
      </c>
      <c r="G1880" t="inlineStr">
        <is>
          <t>Physician</t>
        </is>
      </c>
      <c r="H1880" t="inlineStr">
        <is>
          <t>social-history</t>
        </is>
      </c>
      <c r="I1880" t="inlineStr">
        <is>
          <t>Occupation: art teacher
   Drugs: none
   Tobacco: quit &gt;12 months ago
   Alcohol: rare
   Other: lives with partner.</t>
        </is>
      </c>
    </row>
    <row r="1881">
      <c r="A1881" t="inlineStr">
        <is>
          <t>323041-social-history-0-0</t>
        </is>
      </c>
      <c r="B1881" t="inlineStr"/>
      <c r="C1881" t="inlineStr"/>
      <c r="D1881">
        <f>HYPERLINK("http://nlpdeep.cs.uic.edu:8080/proofing/gsii/323041-social-history-0-0.pdf","gsii/323041-social-history-0-0.pdf")</f>
        <v/>
      </c>
      <c r="E1881" t="n">
        <v>146230</v>
      </c>
      <c r="F1881" t="n">
        <v>323041</v>
      </c>
      <c r="G1881" t="inlineStr">
        <is>
          <t>Physician</t>
        </is>
      </c>
      <c r="H1881" t="inlineStr">
        <is>
          <t>social-history</t>
        </is>
      </c>
      <c r="I1881" t="inlineStr">
        <is>
          <t>Occupation: art teacher
   Drugs: none
   Tobacco: quit &gt;12 months ago
   Alcohol: rare
   Other: lives with partner.</t>
        </is>
      </c>
    </row>
    <row r="1882">
      <c r="A1882" t="inlineStr">
        <is>
          <t>323041-review-of-systems-0-0</t>
        </is>
      </c>
      <c r="B1882" t="inlineStr"/>
      <c r="C1882" t="inlineStr"/>
      <c r="D1882">
        <f>HYPERLINK("http://nlpdeep.cs.uic.edu:8080/proofing/t5/323041-review-of-systems-0-0.pdf","t5/323041-review-of-systems-0-0.pdf")</f>
        <v/>
      </c>
      <c r="E1882" t="n">
        <v>146230</v>
      </c>
      <c r="F1882" t="n">
        <v>323041</v>
      </c>
      <c r="G1882" t="inlineStr">
        <is>
          <t>Physician</t>
        </is>
      </c>
      <c r="H1882" t="inlineStr">
        <is>
          <t>review-of-systems</t>
        </is>
      </c>
      <c r="I1882" t="inlineStr">
        <is>
          <t>Constitutional: No(t) Fatigue, No(t) Fever, No(t) Weight loss
   Eyes: No(t)  Blurry vision, No(t) Conjunctival edema
   Cardiovascular: Tachycardia
   Respiratory: Tachypnea
   Signs or concerns for abuse : No
   Pain: Unable to a</t>
        </is>
      </c>
    </row>
    <row r="1883">
      <c r="A1883" t="inlineStr">
        <is>
          <t>323041-review-of-systems-0-0</t>
        </is>
      </c>
      <c r="B1883" t="inlineStr"/>
      <c r="C1883" t="inlineStr"/>
      <c r="D1883">
        <f>HYPERLINK("http://nlpdeep.cs.uic.edu:8080/proofing/gsii/323041-review-of-systems-0-0.pdf","gsii/323041-review-of-systems-0-0.pdf")</f>
        <v/>
      </c>
      <c r="E1883" t="n">
        <v>146230</v>
      </c>
      <c r="F1883" t="n">
        <v>323041</v>
      </c>
      <c r="G1883" t="inlineStr">
        <is>
          <t>Physician</t>
        </is>
      </c>
      <c r="H1883" t="inlineStr">
        <is>
          <t>review-of-systems</t>
        </is>
      </c>
      <c r="I1883" t="inlineStr">
        <is>
          <t>Constitutional: No(t) Fatigue, No(t) Fever, No(t) Weight loss
   Eyes: No(t)  Blurry vision, No(t) Conjunctival edema
   Cardiovascular: Tachycardia
   Respiratory: Tachypnea
   Signs or concerns for abuse : No
   Pain: Unable to a</t>
        </is>
      </c>
    </row>
    <row r="1884">
      <c r="A1884" t="inlineStr">
        <is>
          <t>323041-flowsheet-data-vitals-0-0</t>
        </is>
      </c>
      <c r="B1884" t="inlineStr"/>
      <c r="C1884" t="inlineStr"/>
      <c r="D1884">
        <f>HYPERLINK("http://nlpdeep.cs.uic.edu:8080/proofing/t5/323041-flowsheet-data-vitals-0-0.pdf","t5/323041-flowsheet-data-vitals-0-0.pdf")</f>
        <v/>
      </c>
      <c r="E1884" t="n">
        <v>146230</v>
      </c>
      <c r="F1884" t="n">
        <v>323041</v>
      </c>
      <c r="G1884" t="inlineStr">
        <is>
          <t>Physician</t>
        </is>
      </c>
      <c r="H1884" t="inlineStr">
        <is>
          <t>flowsheet-data-vitals</t>
        </is>
      </c>
      <c r="I1884" t="inlineStr">
        <is>
          <t>Vital Signs
   Hemodynamic monitoring
   Fluid Balance
                                                                  24 hours
                                                               Since 12 AM
   Tmax: 36.4
C (97.6
   Tcurrent: 36.4
C (97.6
   HR: 76 (72 - 76) bpm
   BP: 118/58(79) {98/48(64) - 118/58(79)} mmHg
   RR: 27 (11 - 27) insp/min
   SpO2: 100%
   Heart rhythm: SR (Sinus Rhythm)
             Total In:
             900 mL
   PO:
             TF:
   IVF:
   900 mL
   Blood products:
   Total out:
                                                                      0 mL
                                                                    600 mL
   Urine:
   440 mL
   NG:
   Stool:
   Drains:
   Balance:
                                                                      0 mL
                                                                    300 mL
   Respiratory
   Ventilator mode: CPAP/PSV
   Vt (Set): 600 (600 - 600) mL
   Vt (Spontaneous): 438 (438 - 438) mL
   PS : 12 cmH2O
   RR (Set): 12
   RR (Spontaneous): 17
   PEEP: 5 cmH2O
   FiO2: 50%
   PIP: 33 cmH2O
   Plateau: 27 cmH2O
   SpO2: 100%
   ABG: 7.39/45/275/23/2
   Ve: 7.9 L/min
   PaO2 / FiO2: 5</t>
        </is>
      </c>
    </row>
    <row r="1885">
      <c r="A1885" t="inlineStr">
        <is>
          <t>323041-flowsheet-data-vitals-0-0</t>
        </is>
      </c>
      <c r="B1885" t="inlineStr"/>
      <c r="C1885" t="inlineStr"/>
      <c r="D1885">
        <f>HYPERLINK("http://nlpdeep.cs.uic.edu:8080/proofing/gsii/323041-flowsheet-data-vitals-0-0.pdf","gsii/323041-flowsheet-data-vitals-0-0.pdf")</f>
        <v/>
      </c>
      <c r="E1885" t="n">
        <v>146230</v>
      </c>
      <c r="F1885" t="n">
        <v>323041</v>
      </c>
      <c r="G1885" t="inlineStr">
        <is>
          <t>Physician</t>
        </is>
      </c>
      <c r="H1885" t="inlineStr">
        <is>
          <t>flowsheet-data-vitals</t>
        </is>
      </c>
      <c r="I1885" t="inlineStr">
        <is>
          <t>Vital Signs
   Hemodynamic monitoring
   Fluid Balance
                                                                  24 hours
                                                               Since 12 AM
   Tmax: 36.4
C (97.6
   Tcurrent: 36.4
C (97.6
   HR: 76 (72 - 76) bpm
   BP: 118/58(79) {98/48(64) - 118/58(79)} mmHg
   RR: 27 (11 - 27) insp/min
   SpO2: 100%
   Heart rhythm: SR (Sinus Rhythm)
             Total In:
             900 mL
   PO:
             TF:
   IVF:
   900 mL
   Blood products:
   Total out:
                                                                      0 mL
                                                                    600 mL
   Urine:
   440 mL
   NG:
   Stool:
   Drains:
   Balance:
                                                                      0 mL
                                                                    300 mL
   Respiratory
   Ventilator mode: CPAP/PSV
   Vt (Set): 600 (600 - 600) mL
   Vt (Spontaneous): 438 (438 - 438) mL
   PS : 12 cmH2O
   RR (Set): 12
   RR (Spontaneous): 17
   PEEP: 5 cmH2O
   FiO2: 50%
   PIP: 33 cmH2O
   Plateau: 27 cmH2O
   SpO2: 100%
   ABG: 7.39/45/275/23/2
   Ve: 7.9 L/min
   PaO2 / FiO2: 5</t>
        </is>
      </c>
    </row>
    <row r="1886">
      <c r="A1886" t="inlineStr">
        <is>
          <t>323041-physical-examination-0-0</t>
        </is>
      </c>
      <c r="B1886" t="inlineStr"/>
      <c r="C1886" t="inlineStr"/>
      <c r="D1886">
        <f>HYPERLINK("http://nlpdeep.cs.uic.edu:8080/proofing/t5/323041-physical-examination-0-0.pdf","t5/323041-physical-examination-0-0.pdf")</f>
        <v/>
      </c>
      <c r="E1886" t="n">
        <v>146230</v>
      </c>
      <c r="F1886" t="n">
        <v>323041</v>
      </c>
      <c r="G1886" t="inlineStr">
        <is>
          <t>Physician</t>
        </is>
      </c>
      <c r="H1886" t="inlineStr">
        <is>
          <t>physical-examination</t>
        </is>
      </c>
      <c r="I1886" t="inlineStr">
        <is>
          <t>General Appearance: Well nourished, Overweight / Obese, No(t) Anxious
   Eyes / Conjunctiva: PERRL, Conjunctiva pale
   Head, Ears, Nose, Throat: Normocephalic, Endotracheal tube
   Lymphatic: Cervical WNL
   Cardiovascular: (S1: Normal), (S2: Normal)
   Peripheral Vascular: (Right radial pulse: Present), (Left radial pulse:
   Present), (Right DP pulse: Present), (Left DP pulse: Present)
   Respiratory / Chest: (Expansion: Symmetric), (Percussion: Resonant : ),
   (Breath Sounds: Clear : )
   Abdominal: Soft, Bowel sounds present, Obese
   Extremities: Right: Trace, Left: Trace, left thigh wound
   Skin:  Not assessed, No(t) Rash: , No(t) Jaundice
   Neurologic: Follows simple commands, Responds to: Not assessed,
   Movement: Not assessed, Tone: Not a</t>
        </is>
      </c>
    </row>
    <row r="1887">
      <c r="A1887" t="inlineStr">
        <is>
          <t>323041-physical-examination-0-0</t>
        </is>
      </c>
      <c r="B1887" t="inlineStr"/>
      <c r="C1887" t="inlineStr"/>
      <c r="D1887">
        <f>HYPERLINK("http://nlpdeep.cs.uic.edu:8080/proofing/gsii/323041-physical-examination-0-0.pdf","gsii/323041-physical-examination-0-0.pdf")</f>
        <v/>
      </c>
      <c r="E1887" t="n">
        <v>146230</v>
      </c>
      <c r="F1887" t="n">
        <v>323041</v>
      </c>
      <c r="G1887" t="inlineStr">
        <is>
          <t>Physician</t>
        </is>
      </c>
      <c r="H1887" t="inlineStr">
        <is>
          <t>physical-examination</t>
        </is>
      </c>
      <c r="I1887" t="inlineStr">
        <is>
          <t>General Appearance: Well nourished, Overweight / Obese, No(t) Anxious
   Eyes / Conjunctiva: PERRL, Conjunctiva pale
   Head, Ears, Nose, Throat: Normocephalic, Endotracheal tube
   Lymphatic: Cervical WNL
   Cardiovascular: (S1: Normal), (S2: Normal)
   Peripheral Vascular: (Right radial pulse: Present), (Left radial pulse:
   Present), (Right DP pulse: Present), (Left DP pulse: Present)
   Respiratory / Chest: (Expansion: Symmetric), (Percussion: Resonant : ),
   (Breath Sounds: Clear : )
   Abdominal: Soft, Bowel sounds present, Obese
   Extremities: Right: Trace, Left: Trace, left thigh wound
   Skin:  Not assessed, No(t) Rash: , No(t) Jaundice
   Neurologic: Follows simple commands, Responds to: Not assessed,
   Movement: Not assessed, Tone: Not a</t>
        </is>
      </c>
    </row>
    <row r="1888">
      <c r="A1888" t="inlineStr">
        <is>
          <t>323041-labs-imaging-0-0</t>
        </is>
      </c>
      <c r="B1888" t="inlineStr"/>
      <c r="C1888" t="inlineStr"/>
      <c r="D1888">
        <f>HYPERLINK("http://nlpdeep.cs.uic.edu:8080/proofing/t5/323041-labs-imaging-0-0.pdf","t5/323041-labs-imaging-0-0.pdf")</f>
        <v/>
      </c>
      <c r="E1888" t="n">
        <v>146230</v>
      </c>
      <c r="F1888" t="n">
        <v>323041</v>
      </c>
      <c r="G1888" t="inlineStr">
        <is>
          <t>Physician</t>
        </is>
      </c>
      <c r="H1888" t="inlineStr">
        <is>
          <t>labs-imaging</t>
        </is>
      </c>
      <c r="I1888" t="inlineStr">
        <is>
          <t>292 K/uL
   8.4 g/dL
   115 mg/dL
   0.7 mg/dL
   17 mg/dL
   23 mEq/L
   109 mEq/L
   3.9 mEq/L
   139 mEq/L
   24.8 %
   14.5 K/uL
        [image002.jpg]
                                  [**2183-11-24**]
                          2:33 A4/18/[**2185**]  10:45 AM
                                  [**2183-11-28**]
                         10:20 P4/18/[**2185**]  11:01 AM
                                  [**2183-11-29**]
                          1:20 P4/18/[**2185**]  11:30 AM
                                  [**2183-11-30**]
                                   11:50 P
                                  [**2183-12-1**]
                                   1:20 A
                                  [**2183-12-2**]
                                   7:20 P
                                  1//11/006
                                   1:23 P
                                  [**2183-12-25**]
                                   1:20 P
                                  [**2183-12-25**]
                                   11:20 P
                                  [**2183-12-25**]
                                   4:20 P
   WBC
                                    14.5
   Hct
                                    24.8
   Plt
                                     292
   Cr
                                     0.7
   TropT
                                    0.17
   TC02
                                     28
   Glucose
                                     115
   Other labs: PT / PTT / INR:13.5/23.1/1.2, CK / CKMB /
   Troponin-T:89/4/0.17, Differential-Neuts:96.0 %, Band:0.0 %, Lymph:3.0
   %, Mono:1.0 %, Eos:0.0 %
   Imaging: CTA - .</t>
        </is>
      </c>
    </row>
    <row r="1889">
      <c r="A1889" t="inlineStr">
        <is>
          <t>323041-labs-imaging-0-0</t>
        </is>
      </c>
      <c r="B1889" t="inlineStr"/>
      <c r="C1889" t="inlineStr"/>
      <c r="D1889">
        <f>HYPERLINK("http://nlpdeep.cs.uic.edu:8080/proofing/gsii/323041-labs-imaging-0-0.pdf","gsii/323041-labs-imaging-0-0.pdf")</f>
        <v/>
      </c>
      <c r="E1889" t="n">
        <v>146230</v>
      </c>
      <c r="F1889" t="n">
        <v>323041</v>
      </c>
      <c r="G1889" t="inlineStr">
        <is>
          <t>Physician</t>
        </is>
      </c>
      <c r="H1889" t="inlineStr">
        <is>
          <t>labs-imaging</t>
        </is>
      </c>
      <c r="I1889" t="inlineStr">
        <is>
          <t>292 K/uL
   8.4 g/dL
   115 mg/dL
   0.7 mg/dL
   17 mg/dL
   23 mEq/L
   109 mEq/L
   3.9 mEq/L
   139 mEq/L
   24.8 %
   14.5 K/uL
        [image002.jpg]
                                  [**2183-11-24**]
                          2:33 A4/18/[**2185**]  10:45 AM
                                  [**2183-11-28**]
                         10:20 P4/18/[**2185**]  11:01 AM
                                  [**2183-11-29**]
                          1:20 P4/18/[**2185**]  11:30 AM
                                  [**2183-11-30**]
                                   11:50 P
                                  [**2183-12-1**]
                                   1:20 A
                                  [**2183-12-2**]
                                   7:20 P
                                  1//11/006
                                   1:23 P
                                  [**2183-12-25**]
                                   1:20 P
                                  [**2183-12-25**]
                                   11:20 P
                                  [**2183-12-25**]
                                   4:20 P
   WBC
                                    14.5
   Hct
                                    24.8
   Plt
                                     292
   Cr
                                     0.7
   TropT
                                    0.17
   TC02
                                     28
   Glucose
                                     115
   Other labs: PT / PTT / INR:13.5/23.1/1.2, CK / CKMB /
   Troponin-T:89/4/0.17, Differential-Neuts:96.0 %, Band:0.0 %, Lymph:3.0
   %, Mono:1.0 %, Eos:0.0 %
   Imaging: CTA - .</t>
        </is>
      </c>
    </row>
    <row r="1890">
      <c r="A1890" t="inlineStr">
        <is>
          <t>323041-labs-imaging-0-1</t>
        </is>
      </c>
      <c r="B1890" t="inlineStr"/>
      <c r="C1890" t="inlineStr"/>
      <c r="D1890">
        <f>HYPERLINK("http://nlpdeep.cs.uic.edu:8080/proofing/t5/323041-labs-imaging-0-1.pdf","t5/323041-labs-imaging-0-1.pdf")</f>
        <v/>
      </c>
      <c r="E1890" t="n">
        <v>146230</v>
      </c>
      <c r="F1890" t="n">
        <v>323041</v>
      </c>
      <c r="G1890" t="inlineStr">
        <is>
          <t>Physician</t>
        </is>
      </c>
      <c r="H1890" t="inlineStr">
        <is>
          <t>labs-imaging</t>
        </is>
      </c>
      <c r="I1890" t="inlineStr">
        <is>
          <t>No central or segmental pulmonary embolism.</t>
        </is>
      </c>
    </row>
    <row r="1891">
      <c r="A1891" t="inlineStr">
        <is>
          <t>323041-labs-imaging-0-1</t>
        </is>
      </c>
      <c r="B1891" t="inlineStr"/>
      <c r="C1891" t="inlineStr"/>
      <c r="D1891">
        <f>HYPERLINK("http://nlpdeep.cs.uic.edu:8080/proofing/gsii/323041-labs-imaging-0-1.pdf","gsii/323041-labs-imaging-0-1.pdf")</f>
        <v/>
      </c>
      <c r="E1891" t="n">
        <v>146230</v>
      </c>
      <c r="F1891" t="n">
        <v>323041</v>
      </c>
      <c r="G1891" t="inlineStr">
        <is>
          <t>Physician</t>
        </is>
      </c>
      <c r="H1891" t="inlineStr">
        <is>
          <t>labs-imaging</t>
        </is>
      </c>
      <c r="I1891" t="inlineStr">
        <is>
          <t>No central or segmental pulmonary embolism.</t>
        </is>
      </c>
    </row>
    <row r="1892">
      <c r="A1892" t="inlineStr">
        <is>
          <t>323041-labs-imaging-0-2</t>
        </is>
      </c>
      <c r="B1892" t="inlineStr"/>
      <c r="C1892" t="inlineStr"/>
      <c r="D1892">
        <f>HYPERLINK("http://nlpdeep.cs.uic.edu:8080/proofing/t5/323041-labs-imaging-0-2.pdf","t5/323041-labs-imaging-0-2.pdf")</f>
        <v/>
      </c>
      <c r="E1892" t="n">
        <v>146230</v>
      </c>
      <c r="F1892" t="n">
        <v>323041</v>
      </c>
      <c r="G1892" t="inlineStr">
        <is>
          <t>Physician</t>
        </is>
      </c>
      <c r="H1892" t="inlineStr">
        <is>
          <t>labs-imaging</t>
        </is>
      </c>
      <c r="I1892" t="inlineStr">
        <is>
          <t>No aortic
   dissection.</t>
        </is>
      </c>
    </row>
    <row r="1893">
      <c r="A1893" t="inlineStr">
        <is>
          <t>323041-labs-imaging-0-2</t>
        </is>
      </c>
      <c r="B1893" t="inlineStr"/>
      <c r="C1893" t="inlineStr"/>
      <c r="D1893">
        <f>HYPERLINK("http://nlpdeep.cs.uic.edu:8080/proofing/gsii/323041-labs-imaging-0-2.pdf","gsii/323041-labs-imaging-0-2.pdf")</f>
        <v/>
      </c>
      <c r="E1893" t="n">
        <v>146230</v>
      </c>
      <c r="F1893" t="n">
        <v>323041</v>
      </c>
      <c r="G1893" t="inlineStr">
        <is>
          <t>Physician</t>
        </is>
      </c>
      <c r="H1893" t="inlineStr">
        <is>
          <t>labs-imaging</t>
        </is>
      </c>
      <c r="I1893" t="inlineStr">
        <is>
          <t>No aortic
   dissection.</t>
        </is>
      </c>
    </row>
    <row r="1894">
      <c r="A1894" t="inlineStr">
        <is>
          <t>323041-labs-imaging-0-3</t>
        </is>
      </c>
      <c r="B1894" t="inlineStr"/>
      <c r="C1894" t="inlineStr"/>
      <c r="D1894">
        <f>HYPERLINK("http://nlpdeep.cs.uic.edu:8080/proofing/t5/323041-labs-imaging-0-3.pdf","t5/323041-labs-imaging-0-3.pdf")</f>
        <v/>
      </c>
      <c r="E1894" t="n">
        <v>146230</v>
      </c>
      <c r="F1894" t="n">
        <v>323041</v>
      </c>
      <c r="G1894" t="inlineStr">
        <is>
          <t>Physician</t>
        </is>
      </c>
      <c r="H1894" t="inlineStr">
        <is>
          <t>labs-imaging</t>
        </is>
      </c>
      <c r="I1894" t="inlineStr">
        <is>
          <t>The coronary arteries arise from normal expected anatomical
   location.</t>
        </is>
      </c>
    </row>
    <row r="1895">
      <c r="A1895" t="inlineStr">
        <is>
          <t>323041-labs-imaging-0-3</t>
        </is>
      </c>
      <c r="B1895" t="inlineStr"/>
      <c r="C1895" t="inlineStr"/>
      <c r="D1895">
        <f>HYPERLINK("http://nlpdeep.cs.uic.edu:8080/proofing/gsii/323041-labs-imaging-0-3.pdf","gsii/323041-labs-imaging-0-3.pdf")</f>
        <v/>
      </c>
      <c r="E1895" t="n">
        <v>146230</v>
      </c>
      <c r="F1895" t="n">
        <v>323041</v>
      </c>
      <c r="G1895" t="inlineStr">
        <is>
          <t>Physician</t>
        </is>
      </c>
      <c r="H1895" t="inlineStr">
        <is>
          <t>labs-imaging</t>
        </is>
      </c>
      <c r="I1895" t="inlineStr">
        <is>
          <t>The coronary arteries arise from normal expected anatomical
   location.</t>
        </is>
      </c>
    </row>
    <row r="1896">
      <c r="A1896" t="inlineStr">
        <is>
          <t>323041-labs-imaging-0-4</t>
        </is>
      </c>
      <c r="B1896" t="inlineStr"/>
      <c r="C1896" t="inlineStr"/>
      <c r="D1896">
        <f>HYPERLINK("http://nlpdeep.cs.uic.edu:8080/proofing/t5/323041-labs-imaging-0-4.pdf","t5/323041-labs-imaging-0-4.pdf")</f>
        <v/>
      </c>
      <c r="E1896" t="n">
        <v>146230</v>
      </c>
      <c r="F1896" t="n">
        <v>323041</v>
      </c>
      <c r="G1896" t="inlineStr">
        <is>
          <t>Physician</t>
        </is>
      </c>
      <c r="H1896" t="inlineStr">
        <is>
          <t>labs-imaging</t>
        </is>
      </c>
      <c r="I1896" t="inlineStr">
        <is>
          <t>The ET tube has its tip in the right main bronchus and needs to be
   repositioned.</t>
        </is>
      </c>
    </row>
    <row r="1897">
      <c r="A1897" t="inlineStr">
        <is>
          <t>323041-labs-imaging-0-4</t>
        </is>
      </c>
      <c r="B1897" t="inlineStr"/>
      <c r="C1897" t="inlineStr"/>
      <c r="D1897">
        <f>HYPERLINK("http://nlpdeep.cs.uic.edu:8080/proofing/gsii/323041-labs-imaging-0-4.pdf","gsii/323041-labs-imaging-0-4.pdf")</f>
        <v/>
      </c>
      <c r="E1897" t="n">
        <v>146230</v>
      </c>
      <c r="F1897" t="n">
        <v>323041</v>
      </c>
      <c r="G1897" t="inlineStr">
        <is>
          <t>Physician</t>
        </is>
      </c>
      <c r="H1897" t="inlineStr">
        <is>
          <t>labs-imaging</t>
        </is>
      </c>
      <c r="I1897" t="inlineStr">
        <is>
          <t>The ET tube has its tip in the right main bronchus and needs to be
   repositioned.</t>
        </is>
      </c>
    </row>
    <row r="1898">
      <c r="A1898" t="inlineStr">
        <is>
          <t>323041-labs-imaging-0-5</t>
        </is>
      </c>
      <c r="B1898" t="inlineStr"/>
      <c r="C1898" t="inlineStr"/>
      <c r="D1898">
        <f>HYPERLINK("http://nlpdeep.cs.uic.edu:8080/proofing/t5/323041-labs-imaging-0-5.pdf","t5/323041-labs-imaging-0-5.pdf")</f>
        <v/>
      </c>
      <c r="E1898" t="n">
        <v>146230</v>
      </c>
      <c r="F1898" t="n">
        <v>323041</v>
      </c>
      <c r="G1898" t="inlineStr">
        <is>
          <t>Physician</t>
        </is>
      </c>
      <c r="H1898" t="inlineStr">
        <is>
          <t>labs-imaging</t>
        </is>
      </c>
      <c r="I1898" t="inlineStr">
        <is>
          <t>Passive atelectasis at the lower lobes.</t>
        </is>
      </c>
    </row>
    <row r="1899">
      <c r="A1899" t="inlineStr">
        <is>
          <t>323041-labs-imaging-0-5</t>
        </is>
      </c>
      <c r="B1899" t="inlineStr"/>
      <c r="C1899" t="inlineStr"/>
      <c r="D1899">
        <f>HYPERLINK("http://nlpdeep.cs.uic.edu:8080/proofing/gsii/323041-labs-imaging-0-5.pdf","gsii/323041-labs-imaging-0-5.pdf")</f>
        <v/>
      </c>
      <c r="E1899" t="n">
        <v>146230</v>
      </c>
      <c r="F1899" t="n">
        <v>323041</v>
      </c>
      <c r="G1899" t="inlineStr">
        <is>
          <t>Physician</t>
        </is>
      </c>
      <c r="H1899" t="inlineStr">
        <is>
          <t>labs-imaging</t>
        </is>
      </c>
      <c r="I1899" t="inlineStr">
        <is>
          <t>Passive atelectasis at the lower lobes.</t>
        </is>
      </c>
    </row>
    <row r="1900">
      <c r="A1900" t="inlineStr">
        <is>
          <t>323041-labs-imaging-0-6</t>
        </is>
      </c>
      <c r="B1900" t="inlineStr"/>
      <c r="C1900" t="inlineStr"/>
      <c r="D1900">
        <f>HYPERLINK("http://nlpdeep.cs.uic.edu:8080/proofing/t5/323041-labs-imaging-0-6.pdf","t5/323041-labs-imaging-0-6.pdf")</f>
        <v/>
      </c>
      <c r="E1900" t="n">
        <v>146230</v>
      </c>
      <c r="F1900" t="n">
        <v>323041</v>
      </c>
      <c r="G1900" t="inlineStr">
        <is>
          <t>Physician</t>
        </is>
      </c>
      <c r="H1900" t="inlineStr">
        <is>
          <t>labs-imaging</t>
        </is>
      </c>
      <c r="I1900" t="inlineStr">
        <is>
          <t xml:space="preserve">
   CXR -  right main inbutation.</t>
        </is>
      </c>
    </row>
    <row r="1901">
      <c r="A1901" t="inlineStr">
        <is>
          <t>323041-labs-imaging-0-6</t>
        </is>
      </c>
      <c r="B1901" t="inlineStr"/>
      <c r="C1901" t="inlineStr"/>
      <c r="D1901">
        <f>HYPERLINK("http://nlpdeep.cs.uic.edu:8080/proofing/gsii/323041-labs-imaging-0-6.pdf","gsii/323041-labs-imaging-0-6.pdf")</f>
        <v/>
      </c>
      <c r="E1901" t="n">
        <v>146230</v>
      </c>
      <c r="F1901" t="n">
        <v>323041</v>
      </c>
      <c r="G1901" t="inlineStr">
        <is>
          <t>Physician</t>
        </is>
      </c>
      <c r="H1901" t="inlineStr">
        <is>
          <t>labs-imaging</t>
        </is>
      </c>
      <c r="I1901" t="inlineStr">
        <is>
          <t xml:space="preserve">
   CXR -  right main inbutation.</t>
        </is>
      </c>
    </row>
    <row r="1902">
      <c r="A1902" t="inlineStr">
        <is>
          <t>323041-labs-imaging-0-7</t>
        </is>
      </c>
      <c r="B1902" t="inlineStr"/>
      <c r="C1902" t="inlineStr"/>
      <c r="D1902">
        <f>HYPERLINK("http://nlpdeep.cs.uic.edu:8080/proofing/t5/323041-labs-imaging-0-7.pdf","t5/323041-labs-imaging-0-7.pdf")</f>
        <v/>
      </c>
      <c r="E1902" t="n">
        <v>146230</v>
      </c>
      <c r="F1902" t="n">
        <v>323041</v>
      </c>
      <c r="G1902" t="inlineStr">
        <is>
          <t>Physician</t>
        </is>
      </c>
      <c r="H1902" t="inlineStr">
        <is>
          <t>labs-imaging</t>
        </is>
      </c>
      <c r="I1902" t="inlineStr">
        <is>
          <t>no effusion.</t>
        </is>
      </c>
    </row>
    <row r="1903">
      <c r="A1903" t="inlineStr">
        <is>
          <t>323041-labs-imaging-0-7</t>
        </is>
      </c>
      <c r="B1903" t="inlineStr"/>
      <c r="C1903" t="inlineStr"/>
      <c r="D1903">
        <f>HYPERLINK("http://nlpdeep.cs.uic.edu:8080/proofing/gsii/323041-labs-imaging-0-7.pdf","gsii/323041-labs-imaging-0-7.pdf")</f>
        <v/>
      </c>
      <c r="E1903" t="n">
        <v>146230</v>
      </c>
      <c r="F1903" t="n">
        <v>323041</v>
      </c>
      <c r="G1903" t="inlineStr">
        <is>
          <t>Physician</t>
        </is>
      </c>
      <c r="H1903" t="inlineStr">
        <is>
          <t>labs-imaging</t>
        </is>
      </c>
      <c r="I1903" t="inlineStr">
        <is>
          <t>no effusion.</t>
        </is>
      </c>
    </row>
    <row r="1904">
      <c r="A1904" t="inlineStr">
        <is>
          <t>323041-labs-imaging-0-8</t>
        </is>
      </c>
      <c r="B1904" t="inlineStr"/>
      <c r="C1904" t="inlineStr"/>
      <c r="D1904">
        <f>HYPERLINK("http://nlpdeep.cs.uic.edu:8080/proofing/t5/323041-labs-imaging-0-8.pdf","t5/323041-labs-imaging-0-8.pdf")</f>
        <v/>
      </c>
      <c r="E1904" t="n">
        <v>146230</v>
      </c>
      <c r="F1904" t="n">
        <v>323041</v>
      </c>
      <c r="G1904" t="inlineStr">
        <is>
          <t>Physician</t>
        </is>
      </c>
      <c r="H1904" t="inlineStr">
        <is>
          <t>labs-imaging</t>
        </is>
      </c>
      <c r="I1904" t="inlineStr">
        <is>
          <t>normal sized heart.</t>
        </is>
      </c>
    </row>
    <row r="1905">
      <c r="A1905" t="inlineStr">
        <is>
          <t>323041-labs-imaging-0-8</t>
        </is>
      </c>
      <c r="B1905" t="inlineStr"/>
      <c r="C1905" t="inlineStr"/>
      <c r="D1905">
        <f>HYPERLINK("http://nlpdeep.cs.uic.edu:8080/proofing/gsii/323041-labs-imaging-0-8.pdf","gsii/323041-labs-imaging-0-8.pdf")</f>
        <v/>
      </c>
      <c r="E1905" t="n">
        <v>146230</v>
      </c>
      <c r="F1905" t="n">
        <v>323041</v>
      </c>
      <c r="G1905" t="inlineStr">
        <is>
          <t>Physician</t>
        </is>
      </c>
      <c r="H1905" t="inlineStr">
        <is>
          <t>labs-imaging</t>
        </is>
      </c>
      <c r="I1905" t="inlineStr">
        <is>
          <t>normal sized heart.</t>
        </is>
      </c>
    </row>
    <row r="1906">
      <c r="A1906" t="inlineStr">
        <is>
          <t>323041-labs-imaging-0-9</t>
        </is>
      </c>
      <c r="B1906" t="inlineStr"/>
      <c r="C1906" t="inlineStr"/>
      <c r="D1906">
        <f>HYPERLINK("http://nlpdeep.cs.uic.edu:8080/proofing/t5/323041-labs-imaging-0-9.pdf","t5/323041-labs-imaging-0-9.pdf")</f>
        <v/>
      </c>
      <c r="E1906" t="n">
        <v>146230</v>
      </c>
      <c r="F1906" t="n">
        <v>323041</v>
      </c>
      <c r="G1906" t="inlineStr">
        <is>
          <t>Physician</t>
        </is>
      </c>
      <c r="H1906" t="inlineStr">
        <is>
          <t>labs-imaging</t>
        </is>
      </c>
      <c r="I1906" t="inlineStr">
        <is>
          <t>no
   pneumothorax
   TTE - The left ventricular cavity size is normal.</t>
        </is>
      </c>
    </row>
    <row r="1907">
      <c r="A1907" t="inlineStr">
        <is>
          <t>323041-labs-imaging-0-9</t>
        </is>
      </c>
      <c r="B1907" t="inlineStr"/>
      <c r="C1907" t="inlineStr"/>
      <c r="D1907">
        <f>HYPERLINK("http://nlpdeep.cs.uic.edu:8080/proofing/gsii/323041-labs-imaging-0-9.pdf","gsii/323041-labs-imaging-0-9.pdf")</f>
        <v/>
      </c>
      <c r="E1907" t="n">
        <v>146230</v>
      </c>
      <c r="F1907" t="n">
        <v>323041</v>
      </c>
      <c r="G1907" t="inlineStr">
        <is>
          <t>Physician</t>
        </is>
      </c>
      <c r="H1907" t="inlineStr">
        <is>
          <t>labs-imaging</t>
        </is>
      </c>
      <c r="I1907" t="inlineStr">
        <is>
          <t>no
   pneumothorax
   TTE - The left ventricular cavity size is normal.</t>
        </is>
      </c>
    </row>
    <row r="1908">
      <c r="A1908" t="inlineStr">
        <is>
          <t>323041-labs-imaging-0-10</t>
        </is>
      </c>
      <c r="B1908" t="inlineStr"/>
      <c r="C1908" t="inlineStr"/>
      <c r="D1908">
        <f>HYPERLINK("http://nlpdeep.cs.uic.edu:8080/proofing/t5/323041-labs-imaging-0-10.pdf","t5/323041-labs-imaging-0-10.pdf")</f>
        <v/>
      </c>
      <c r="E1908" t="n">
        <v>146230</v>
      </c>
      <c r="F1908" t="n">
        <v>323041</v>
      </c>
      <c r="G1908" t="inlineStr">
        <is>
          <t>Physician</t>
        </is>
      </c>
      <c r="H1908" t="inlineStr">
        <is>
          <t>labs-imaging</t>
        </is>
      </c>
      <c r="I1908" t="inlineStr">
        <is>
          <t>Overall left
   ventricular ejection fraction is normal (LVEF 60%).</t>
        </is>
      </c>
    </row>
    <row r="1909">
      <c r="A1909" t="inlineStr">
        <is>
          <t>323041-labs-imaging-0-10</t>
        </is>
      </c>
      <c r="B1909" t="inlineStr"/>
      <c r="C1909" t="inlineStr"/>
      <c r="D1909">
        <f>HYPERLINK("http://nlpdeep.cs.uic.edu:8080/proofing/gsii/323041-labs-imaging-0-10.pdf","gsii/323041-labs-imaging-0-10.pdf")</f>
        <v/>
      </c>
      <c r="E1909" t="n">
        <v>146230</v>
      </c>
      <c r="F1909" t="n">
        <v>323041</v>
      </c>
      <c r="G1909" t="inlineStr">
        <is>
          <t>Physician</t>
        </is>
      </c>
      <c r="H1909" t="inlineStr">
        <is>
          <t>labs-imaging</t>
        </is>
      </c>
      <c r="I1909" t="inlineStr">
        <is>
          <t>Overall left
   ventricular ejection fraction is normal (LVEF 60%).</t>
        </is>
      </c>
    </row>
    <row r="1910">
      <c r="A1910" t="inlineStr">
        <is>
          <t>323041-labs-imaging-0-11</t>
        </is>
      </c>
      <c r="B1910" t="inlineStr"/>
      <c r="C1910" t="inlineStr"/>
      <c r="D1910">
        <f>HYPERLINK("http://nlpdeep.cs.uic.edu:8080/proofing/t5/323041-labs-imaging-0-11.pdf","t5/323041-labs-imaging-0-11.pdf")</f>
        <v/>
      </c>
      <c r="E1910" t="n">
        <v>146230</v>
      </c>
      <c r="F1910" t="n">
        <v>323041</v>
      </c>
      <c r="G1910" t="inlineStr">
        <is>
          <t>Physician</t>
        </is>
      </c>
      <c r="H1910" t="inlineStr">
        <is>
          <t>labs-imaging</t>
        </is>
      </c>
      <c r="I1910" t="inlineStr">
        <is>
          <t>However, the
   posterior wall, which was suboptimally visualized, appears hypokinetic.</t>
        </is>
      </c>
    </row>
    <row r="1911">
      <c r="A1911" t="inlineStr">
        <is>
          <t>323041-labs-imaging-0-11</t>
        </is>
      </c>
      <c r="B1911" t="inlineStr"/>
      <c r="C1911" t="inlineStr"/>
      <c r="D1911">
        <f>HYPERLINK("http://nlpdeep.cs.uic.edu:8080/proofing/gsii/323041-labs-imaging-0-11.pdf","gsii/323041-labs-imaging-0-11.pdf")</f>
        <v/>
      </c>
      <c r="E1911" t="n">
        <v>146230</v>
      </c>
      <c r="F1911" t="n">
        <v>323041</v>
      </c>
      <c r="G1911" t="inlineStr">
        <is>
          <t>Physician</t>
        </is>
      </c>
      <c r="H1911" t="inlineStr">
        <is>
          <t>labs-imaging</t>
        </is>
      </c>
      <c r="I1911" t="inlineStr">
        <is>
          <t>However, the
   posterior wall, which was suboptimally visualized, appears hypokinetic.</t>
        </is>
      </c>
    </row>
    <row r="1912">
      <c r="A1912" t="inlineStr">
        <is>
          <t>323041-labs-imaging-0-12</t>
        </is>
      </c>
      <c r="B1912" t="inlineStr"/>
      <c r="C1912" t="inlineStr"/>
      <c r="D1912">
        <f>HYPERLINK("http://nlpdeep.cs.uic.edu:8080/proofing/t5/323041-labs-imaging-0-12.pdf","t5/323041-labs-imaging-0-12.pdf")</f>
        <v/>
      </c>
      <c r="E1912" t="n">
        <v>146230</v>
      </c>
      <c r="F1912" t="n">
        <v>323041</v>
      </c>
      <c r="G1912" t="inlineStr">
        <is>
          <t>Physician</t>
        </is>
      </c>
      <c r="H1912" t="inlineStr">
        <is>
          <t>labs-imaging</t>
        </is>
      </c>
      <c r="I1912" t="inlineStr">
        <is>
          <t xml:space="preserve">
   Right ventricular chamber size and free wall motion are normal.</t>
        </is>
      </c>
    </row>
    <row r="1913">
      <c r="A1913" t="inlineStr">
        <is>
          <t>323041-labs-imaging-0-12</t>
        </is>
      </c>
      <c r="B1913" t="inlineStr"/>
      <c r="C1913" t="inlineStr"/>
      <c r="D1913">
        <f>HYPERLINK("http://nlpdeep.cs.uic.edu:8080/proofing/gsii/323041-labs-imaging-0-12.pdf","gsii/323041-labs-imaging-0-12.pdf")</f>
        <v/>
      </c>
      <c r="E1913" t="n">
        <v>146230</v>
      </c>
      <c r="F1913" t="n">
        <v>323041</v>
      </c>
      <c r="G1913" t="inlineStr">
        <is>
          <t>Physician</t>
        </is>
      </c>
      <c r="H1913" t="inlineStr">
        <is>
          <t>labs-imaging</t>
        </is>
      </c>
      <c r="I1913" t="inlineStr">
        <is>
          <t xml:space="preserve">
   Right ventricular chamber size and free wall motion are normal.</t>
        </is>
      </c>
    </row>
    <row r="1914">
      <c r="A1914" t="inlineStr">
        <is>
          <t>323041-labs-imaging-0-13</t>
        </is>
      </c>
      <c r="B1914" t="inlineStr"/>
      <c r="C1914" t="inlineStr"/>
      <c r="D1914">
        <f>HYPERLINK("http://nlpdeep.cs.uic.edu:8080/proofing/t5/323041-labs-imaging-0-13.pdf","t5/323041-labs-imaging-0-13.pdf")</f>
        <v/>
      </c>
      <c r="E1914" t="n">
        <v>146230</v>
      </c>
      <c r="F1914" t="n">
        <v>323041</v>
      </c>
      <c r="G1914" t="inlineStr">
        <is>
          <t>Physician</t>
        </is>
      </c>
      <c r="H1914" t="inlineStr">
        <is>
          <t>labs-imaging</t>
        </is>
      </c>
      <c r="I1914" t="inlineStr">
        <is>
          <t>The
   aortic valve is not well seen.</t>
        </is>
      </c>
    </row>
    <row r="1915">
      <c r="A1915" t="inlineStr">
        <is>
          <t>323041-labs-imaging-0-13</t>
        </is>
      </c>
      <c r="B1915" t="inlineStr"/>
      <c r="C1915" t="inlineStr"/>
      <c r="D1915">
        <f>HYPERLINK("http://nlpdeep.cs.uic.edu:8080/proofing/gsii/323041-labs-imaging-0-13.pdf","gsii/323041-labs-imaging-0-13.pdf")</f>
        <v/>
      </c>
      <c r="E1915" t="n">
        <v>146230</v>
      </c>
      <c r="F1915" t="n">
        <v>323041</v>
      </c>
      <c r="G1915" t="inlineStr">
        <is>
          <t>Physician</t>
        </is>
      </c>
      <c r="H1915" t="inlineStr">
        <is>
          <t>labs-imaging</t>
        </is>
      </c>
      <c r="I1915" t="inlineStr">
        <is>
          <t>The
   aortic valve is not well seen.</t>
        </is>
      </c>
    </row>
    <row r="1916">
      <c r="A1916" t="inlineStr">
        <is>
          <t>323041-labs-imaging-0-14</t>
        </is>
      </c>
      <c r="B1916" t="inlineStr"/>
      <c r="C1916" t="inlineStr"/>
      <c r="D1916">
        <f>HYPERLINK("http://nlpdeep.cs.uic.edu:8080/proofing/t5/323041-labs-imaging-0-14.pdf","t5/323041-labs-imaging-0-14.pdf")</f>
        <v/>
      </c>
      <c r="E1916" t="n">
        <v>146230</v>
      </c>
      <c r="F1916" t="n">
        <v>323041</v>
      </c>
      <c r="G1916" t="inlineStr">
        <is>
          <t>Physician</t>
        </is>
      </c>
      <c r="H1916" t="inlineStr">
        <is>
          <t>labs-imaging</t>
        </is>
      </c>
      <c r="I1916" t="inlineStr">
        <is>
          <t>There is no aortic valve stenosis.</t>
        </is>
      </c>
    </row>
    <row r="1917">
      <c r="A1917" t="inlineStr">
        <is>
          <t>323041-labs-imaging-0-14</t>
        </is>
      </c>
      <c r="B1917" t="inlineStr"/>
      <c r="C1917" t="inlineStr"/>
      <c r="D1917">
        <f>HYPERLINK("http://nlpdeep.cs.uic.edu:8080/proofing/gsii/323041-labs-imaging-0-14.pdf","gsii/323041-labs-imaging-0-14.pdf")</f>
        <v/>
      </c>
      <c r="E1917" t="n">
        <v>146230</v>
      </c>
      <c r="F1917" t="n">
        <v>323041</v>
      </c>
      <c r="G1917" t="inlineStr">
        <is>
          <t>Physician</t>
        </is>
      </c>
      <c r="H1917" t="inlineStr">
        <is>
          <t>labs-imaging</t>
        </is>
      </c>
      <c r="I1917" t="inlineStr">
        <is>
          <t>There is no aortic valve stenosis.</t>
        </is>
      </c>
    </row>
    <row r="1918">
      <c r="A1918" t="inlineStr">
        <is>
          <t>323041-labs-imaging-0-15</t>
        </is>
      </c>
      <c r="B1918" t="inlineStr"/>
      <c r="C1918" t="inlineStr"/>
      <c r="D1918">
        <f>HYPERLINK("http://nlpdeep.cs.uic.edu:8080/proofing/t5/323041-labs-imaging-0-15.pdf","t5/323041-labs-imaging-0-15.pdf")</f>
        <v/>
      </c>
      <c r="E1918" t="n">
        <v>146230</v>
      </c>
      <c r="F1918" t="n">
        <v>323041</v>
      </c>
      <c r="G1918" t="inlineStr">
        <is>
          <t>Physician</t>
        </is>
      </c>
      <c r="H1918" t="inlineStr">
        <is>
          <t>labs-imaging</t>
        </is>
      </c>
      <c r="I1918" t="inlineStr">
        <is>
          <t>No
   aortic regurgitation is seen.</t>
        </is>
      </c>
    </row>
    <row r="1919">
      <c r="A1919" t="inlineStr">
        <is>
          <t>323041-labs-imaging-0-15</t>
        </is>
      </c>
      <c r="B1919" t="inlineStr"/>
      <c r="C1919" t="inlineStr"/>
      <c r="D1919">
        <f>HYPERLINK("http://nlpdeep.cs.uic.edu:8080/proofing/gsii/323041-labs-imaging-0-15.pdf","gsii/323041-labs-imaging-0-15.pdf")</f>
        <v/>
      </c>
      <c r="E1919" t="n">
        <v>146230</v>
      </c>
      <c r="F1919" t="n">
        <v>323041</v>
      </c>
      <c r="G1919" t="inlineStr">
        <is>
          <t>Physician</t>
        </is>
      </c>
      <c r="H1919" t="inlineStr">
        <is>
          <t>labs-imaging</t>
        </is>
      </c>
      <c r="I1919" t="inlineStr">
        <is>
          <t>No
   aortic regurgitation is seen.</t>
        </is>
      </c>
    </row>
    <row r="1920">
      <c r="A1920" t="inlineStr">
        <is>
          <t>323041-labs-imaging-0-16</t>
        </is>
      </c>
      <c r="B1920" t="inlineStr"/>
      <c r="C1920" t="inlineStr"/>
      <c r="D1920">
        <f>HYPERLINK("http://nlpdeep.cs.uic.edu:8080/proofing/t5/323041-labs-imaging-0-16.pdf","t5/323041-labs-imaging-0-16.pdf")</f>
        <v/>
      </c>
      <c r="E1920" t="n">
        <v>146230</v>
      </c>
      <c r="F1920" t="n">
        <v>323041</v>
      </c>
      <c r="G1920" t="inlineStr">
        <is>
          <t>Physician</t>
        </is>
      </c>
      <c r="H1920" t="inlineStr">
        <is>
          <t>labs-imaging</t>
        </is>
      </c>
      <c r="I1920" t="inlineStr">
        <is>
          <t>The mitral valve appears structurally
   normal with trivial mitral regurgitation.</t>
        </is>
      </c>
    </row>
    <row r="1921">
      <c r="A1921" t="inlineStr">
        <is>
          <t>323041-labs-imaging-0-16</t>
        </is>
      </c>
      <c r="B1921" t="inlineStr"/>
      <c r="C1921" t="inlineStr"/>
      <c r="D1921">
        <f>HYPERLINK("http://nlpdeep.cs.uic.edu:8080/proofing/gsii/323041-labs-imaging-0-16.pdf","gsii/323041-labs-imaging-0-16.pdf")</f>
        <v/>
      </c>
      <c r="E1921" t="n">
        <v>146230</v>
      </c>
      <c r="F1921" t="n">
        <v>323041</v>
      </c>
      <c r="G1921" t="inlineStr">
        <is>
          <t>Physician</t>
        </is>
      </c>
      <c r="H1921" t="inlineStr">
        <is>
          <t>labs-imaging</t>
        </is>
      </c>
      <c r="I1921" t="inlineStr">
        <is>
          <t>The mitral valve appears structurally
   normal with trivial mitral regurgitation.</t>
        </is>
      </c>
    </row>
    <row r="1922">
      <c r="A1922" t="inlineStr">
        <is>
          <t>323041-labs-imaging-0-17</t>
        </is>
      </c>
      <c r="B1922" t="inlineStr"/>
      <c r="C1922" t="inlineStr"/>
      <c r="D1922">
        <f>HYPERLINK("http://nlpdeep.cs.uic.edu:8080/proofing/t5/323041-labs-imaging-0-17.pdf","t5/323041-labs-imaging-0-17.pdf")</f>
        <v/>
      </c>
      <c r="E1922" t="n">
        <v>146230</v>
      </c>
      <c r="F1922" t="n">
        <v>323041</v>
      </c>
      <c r="G1922" t="inlineStr">
        <is>
          <t>Physician</t>
        </is>
      </c>
      <c r="H1922" t="inlineStr">
        <is>
          <t>labs-imaging</t>
        </is>
      </c>
      <c r="I1922" t="inlineStr">
        <is>
          <t>There is no mitral valve
   prolapse.</t>
        </is>
      </c>
    </row>
    <row r="1923">
      <c r="A1923" t="inlineStr">
        <is>
          <t>323041-labs-imaging-0-17</t>
        </is>
      </c>
      <c r="B1923" t="inlineStr"/>
      <c r="C1923" t="inlineStr"/>
      <c r="D1923">
        <f>HYPERLINK("http://nlpdeep.cs.uic.edu:8080/proofing/gsii/323041-labs-imaging-0-17.pdf","gsii/323041-labs-imaging-0-17.pdf")</f>
        <v/>
      </c>
      <c r="E1923" t="n">
        <v>146230</v>
      </c>
      <c r="F1923" t="n">
        <v>323041</v>
      </c>
      <c r="G1923" t="inlineStr">
        <is>
          <t>Physician</t>
        </is>
      </c>
      <c r="H1923" t="inlineStr">
        <is>
          <t>labs-imaging</t>
        </is>
      </c>
      <c r="I1923" t="inlineStr">
        <is>
          <t>There is no mitral valve
   prolapse.</t>
        </is>
      </c>
    </row>
    <row r="1924">
      <c r="A1924" t="inlineStr">
        <is>
          <t>323041-labs-imaging-0-18</t>
        </is>
      </c>
      <c r="B1924" t="inlineStr"/>
      <c r="C1924" t="inlineStr"/>
      <c r="D1924">
        <f>HYPERLINK("http://nlpdeep.cs.uic.edu:8080/proofing/t5/323041-labs-imaging-0-18.pdf","t5/323041-labs-imaging-0-18.pdf")</f>
        <v/>
      </c>
      <c r="E1924" t="n">
        <v>146230</v>
      </c>
      <c r="F1924" t="n">
        <v>323041</v>
      </c>
      <c r="G1924" t="inlineStr">
        <is>
          <t>Physician</t>
        </is>
      </c>
      <c r="H1924" t="inlineStr">
        <is>
          <t>labs-imaging</t>
        </is>
      </c>
      <c r="I1924" t="inlineStr">
        <is>
          <t>The pulmonary artery systolic pressure could not be
   determined.</t>
        </is>
      </c>
    </row>
    <row r="1925">
      <c r="A1925" t="inlineStr">
        <is>
          <t>323041-labs-imaging-0-18</t>
        </is>
      </c>
      <c r="B1925" t="inlineStr"/>
      <c r="C1925" t="inlineStr"/>
      <c r="D1925">
        <f>HYPERLINK("http://nlpdeep.cs.uic.edu:8080/proofing/gsii/323041-labs-imaging-0-18.pdf","gsii/323041-labs-imaging-0-18.pdf")</f>
        <v/>
      </c>
      <c r="E1925" t="n">
        <v>146230</v>
      </c>
      <c r="F1925" t="n">
        <v>323041</v>
      </c>
      <c r="G1925" t="inlineStr">
        <is>
          <t>Physician</t>
        </is>
      </c>
      <c r="H1925" t="inlineStr">
        <is>
          <t>labs-imaging</t>
        </is>
      </c>
      <c r="I1925" t="inlineStr">
        <is>
          <t>The pulmonary artery systolic pressure could not be
   determined.</t>
        </is>
      </c>
    </row>
    <row r="1926">
      <c r="A1926" t="inlineStr">
        <is>
          <t>323041-labs-imaging-0-19</t>
        </is>
      </c>
      <c r="B1926" t="inlineStr"/>
      <c r="C1926" t="inlineStr"/>
      <c r="D1926">
        <f>HYPERLINK("http://nlpdeep.cs.uic.edu:8080/proofing/t5/323041-labs-imaging-0-19.pdf","t5/323041-labs-imaging-0-19.pdf")</f>
        <v/>
      </c>
      <c r="E1926" t="n">
        <v>146230</v>
      </c>
      <c r="F1926" t="n">
        <v>323041</v>
      </c>
      <c r="G1926" t="inlineStr">
        <is>
          <t>Physician</t>
        </is>
      </c>
      <c r="H1926" t="inlineStr">
        <is>
          <t>labs-imaging</t>
        </is>
      </c>
      <c r="I1926" t="inlineStr">
        <is>
          <t>There is no pericardial effusion.</t>
        </is>
      </c>
    </row>
    <row r="1927">
      <c r="A1927" t="inlineStr">
        <is>
          <t>323041-labs-imaging-0-19</t>
        </is>
      </c>
      <c r="B1927" t="inlineStr"/>
      <c r="C1927" t="inlineStr"/>
      <c r="D1927">
        <f>HYPERLINK("http://nlpdeep.cs.uic.edu:8080/proofing/gsii/323041-labs-imaging-0-19.pdf","gsii/323041-labs-imaging-0-19.pdf")</f>
        <v/>
      </c>
      <c r="E1927" t="n">
        <v>146230</v>
      </c>
      <c r="F1927" t="n">
        <v>323041</v>
      </c>
      <c r="G1927" t="inlineStr">
        <is>
          <t>Physician</t>
        </is>
      </c>
      <c r="H1927" t="inlineStr">
        <is>
          <t>labs-imaging</t>
        </is>
      </c>
      <c r="I1927" t="inlineStr">
        <is>
          <t>There is no pericardial effusion.</t>
        </is>
      </c>
    </row>
    <row r="1928">
      <c r="A1928" t="inlineStr">
        <is>
          <t>323041-labs-imaging-0-20</t>
        </is>
      </c>
      <c r="B1928" t="inlineStr"/>
      <c r="C1928" t="inlineStr"/>
      <c r="D1928">
        <f>HYPERLINK("http://nlpdeep.cs.uic.edu:8080/proofing/t5/323041-labs-imaging-0-20.pdf","t5/323041-labs-imaging-0-20.pdf")</f>
        <v/>
      </c>
      <c r="E1928" t="n">
        <v>146230</v>
      </c>
      <c r="F1928" t="n">
        <v>323041</v>
      </c>
      <c r="G1928" t="inlineStr">
        <is>
          <t>Physician</t>
        </is>
      </c>
      <c r="H1928" t="inlineStr">
        <is>
          <t>labs-imaging</t>
        </is>
      </c>
      <c r="I1928" t="inlineStr">
        <is>
          <t xml:space="preserve">
   Microbiology: none
   ECG: sinus @79.</t>
        </is>
      </c>
    </row>
    <row r="1929">
      <c r="A1929" t="inlineStr">
        <is>
          <t>323041-labs-imaging-0-20</t>
        </is>
      </c>
      <c r="B1929" t="inlineStr"/>
      <c r="C1929" t="inlineStr"/>
      <c r="D1929">
        <f>HYPERLINK("http://nlpdeep.cs.uic.edu:8080/proofing/gsii/323041-labs-imaging-0-20.pdf","gsii/323041-labs-imaging-0-20.pdf")</f>
        <v/>
      </c>
      <c r="E1929" t="n">
        <v>146230</v>
      </c>
      <c r="F1929" t="n">
        <v>323041</v>
      </c>
      <c r="G1929" t="inlineStr">
        <is>
          <t>Physician</t>
        </is>
      </c>
      <c r="H1929" t="inlineStr">
        <is>
          <t>labs-imaging</t>
        </is>
      </c>
      <c r="I1929" t="inlineStr">
        <is>
          <t xml:space="preserve">
   Microbiology: none
   ECG: sinus @79.</t>
        </is>
      </c>
    </row>
    <row r="1930">
      <c r="A1930" t="inlineStr">
        <is>
          <t>323041-labs-imaging-0-21</t>
        </is>
      </c>
      <c r="B1930" t="inlineStr"/>
      <c r="C1930" t="inlineStr"/>
      <c r="D1930">
        <f>HYPERLINK("http://nlpdeep.cs.uic.edu:8080/proofing/t5/323041-labs-imaging-0-21.pdf","t5/323041-labs-imaging-0-21.pdf")</f>
        <v/>
      </c>
      <c r="E1930" t="n">
        <v>146230</v>
      </c>
      <c r="F1930" t="n">
        <v>323041</v>
      </c>
      <c r="G1930" t="inlineStr">
        <is>
          <t>Physician</t>
        </is>
      </c>
      <c r="H1930" t="inlineStr">
        <is>
          <t>labs-imaging</t>
        </is>
      </c>
      <c r="I1930" t="inlineStr">
        <is>
          <t>nl axis and intervals.</t>
        </is>
      </c>
    </row>
    <row r="1931">
      <c r="A1931" t="inlineStr">
        <is>
          <t>323041-labs-imaging-0-21</t>
        </is>
      </c>
      <c r="B1931" t="inlineStr"/>
      <c r="C1931" t="inlineStr"/>
      <c r="D1931">
        <f>HYPERLINK("http://nlpdeep.cs.uic.edu:8080/proofing/gsii/323041-labs-imaging-0-21.pdf","gsii/323041-labs-imaging-0-21.pdf")</f>
        <v/>
      </c>
      <c r="E1931" t="n">
        <v>146230</v>
      </c>
      <c r="F1931" t="n">
        <v>323041</v>
      </c>
      <c r="G1931" t="inlineStr">
        <is>
          <t>Physician</t>
        </is>
      </c>
      <c r="H1931" t="inlineStr">
        <is>
          <t>labs-imaging</t>
        </is>
      </c>
      <c r="I1931" t="inlineStr">
        <is>
          <t>nl axis and intervals.</t>
        </is>
      </c>
    </row>
    <row r="1932">
      <c r="A1932" t="inlineStr">
        <is>
          <t>323041-labs-imaging-0-22</t>
        </is>
      </c>
      <c r="B1932" t="inlineStr"/>
      <c r="C1932" t="inlineStr"/>
      <c r="D1932">
        <f>HYPERLINK("http://nlpdeep.cs.uic.edu:8080/proofing/t5/323041-labs-imaging-0-22.pdf","t5/323041-labs-imaging-0-22.pdf")</f>
        <v/>
      </c>
      <c r="E1932" t="n">
        <v>146230</v>
      </c>
      <c r="F1932" t="n">
        <v>323041</v>
      </c>
      <c r="G1932" t="inlineStr">
        <is>
          <t>Physician</t>
        </is>
      </c>
      <c r="H1932" t="inlineStr">
        <is>
          <t>labs-imaging</t>
        </is>
      </c>
      <c r="I1932" t="inlineStr">
        <is>
          <t>&lt;1mm ST depressions in V3-6</t>
        </is>
      </c>
    </row>
    <row r="1933">
      <c r="A1933" t="inlineStr">
        <is>
          <t>323041-labs-imaging-0-22</t>
        </is>
      </c>
      <c r="B1933" t="inlineStr"/>
      <c r="C1933" t="inlineStr"/>
      <c r="D1933">
        <f>HYPERLINK("http://nlpdeep.cs.uic.edu:8080/proofing/gsii/323041-labs-imaging-0-22.pdf","gsii/323041-labs-imaging-0-22.pdf")</f>
        <v/>
      </c>
      <c r="E1933" t="n">
        <v>146230</v>
      </c>
      <c r="F1933" t="n">
        <v>323041</v>
      </c>
      <c r="G1933" t="inlineStr">
        <is>
          <t>Physician</t>
        </is>
      </c>
      <c r="H1933" t="inlineStr">
        <is>
          <t>labs-imaging</t>
        </is>
      </c>
      <c r="I1933" t="inlineStr">
        <is>
          <t>&lt;1mm ST depressions in V3-6</t>
        </is>
      </c>
    </row>
    <row r="1934">
      <c r="A1934" t="inlineStr">
        <is>
          <t>323041-assessment-and-plan-0-0</t>
        </is>
      </c>
      <c r="B1934" t="inlineStr"/>
      <c r="C1934" t="inlineStr"/>
      <c r="D1934">
        <f>HYPERLINK("http://nlpdeep.cs.uic.edu:8080/proofing/t5/323041-assessment-and-plan-0-0.pdf","t5/323041-assessment-and-plan-0-0.pdf")</f>
        <v/>
      </c>
      <c r="E1934" t="n">
        <v>146230</v>
      </c>
      <c r="F1934" t="n">
        <v>323041</v>
      </c>
      <c r="G1934" t="inlineStr">
        <is>
          <t>Physician</t>
        </is>
      </c>
      <c r="H1934" t="inlineStr">
        <is>
          <t>assessment-and-plan</t>
        </is>
      </c>
      <c r="I1934" t="inlineStr">
        <is>
          <t>49 year old woman with history of asthma, DJD secondary to poorly
   healed femoral fracture admitted for hypotension, hypoxia complicated
   by PEA arrest intra-op.</t>
        </is>
      </c>
    </row>
    <row r="1935">
      <c r="A1935" t="inlineStr">
        <is>
          <t>323041-assessment-and-plan-0-0</t>
        </is>
      </c>
      <c r="B1935" t="inlineStr"/>
      <c r="C1935" t="inlineStr"/>
      <c r="D1935">
        <f>HYPERLINK("http://nlpdeep.cs.uic.edu:8080/proofing/gsii/323041-assessment-and-plan-0-0.pdf","gsii/323041-assessment-and-plan-0-0.pdf")</f>
        <v/>
      </c>
      <c r="E1935" t="n">
        <v>146230</v>
      </c>
      <c r="F1935" t="n">
        <v>323041</v>
      </c>
      <c r="G1935" t="inlineStr">
        <is>
          <t>Physician</t>
        </is>
      </c>
      <c r="H1935" t="inlineStr">
        <is>
          <t>assessment-and-plan</t>
        </is>
      </c>
      <c r="I1935" t="inlineStr">
        <is>
          <t>49 year old woman with history of asthma, DJD secondary to poorly
   healed femoral fracture admitted for hypotension, hypoxia complicated
   by PEA arrest intra-op.</t>
        </is>
      </c>
    </row>
    <row r="1936">
      <c r="A1936" t="inlineStr">
        <is>
          <t>323041-assessment-and-plan-0-1</t>
        </is>
      </c>
      <c r="B1936" t="inlineStr"/>
      <c r="C1936" t="inlineStr"/>
      <c r="D1936">
        <f>HYPERLINK("http://nlpdeep.cs.uic.edu:8080/proofing/t5/323041-assessment-and-plan-0-1.pdf","t5/323041-assessment-and-plan-0-1.pdf")</f>
        <v/>
      </c>
      <c r="E1936" t="n">
        <v>146230</v>
      </c>
      <c r="F1936" t="n">
        <v>323041</v>
      </c>
      <c r="G1936" t="inlineStr">
        <is>
          <t>Physician</t>
        </is>
      </c>
      <c r="H1936" t="inlineStr">
        <is>
          <t>assessment-and-plan</t>
        </is>
      </c>
      <c r="I1936" t="inlineStr">
        <is>
          <t xml:space="preserve">
   1) PEA - leading differential would be for severe acute blood loss, fat
   embolism, PE, MI.</t>
        </is>
      </c>
    </row>
    <row r="1937">
      <c r="A1937" t="inlineStr">
        <is>
          <t>323041-assessment-and-plan-0-1</t>
        </is>
      </c>
      <c r="B1937" t="inlineStr"/>
      <c r="C1937" t="inlineStr"/>
      <c r="D1937">
        <f>HYPERLINK("http://nlpdeep.cs.uic.edu:8080/proofing/gsii/323041-assessment-and-plan-0-1.pdf","gsii/323041-assessment-and-plan-0-1.pdf")</f>
        <v/>
      </c>
      <c r="E1937" t="n">
        <v>146230</v>
      </c>
      <c r="F1937" t="n">
        <v>323041</v>
      </c>
      <c r="G1937" t="inlineStr">
        <is>
          <t>Physician</t>
        </is>
      </c>
      <c r="H1937" t="inlineStr">
        <is>
          <t>assessment-and-plan</t>
        </is>
      </c>
      <c r="I1937" t="inlineStr">
        <is>
          <t xml:space="preserve">
   1) PEA - leading differential would be for severe acute blood loss, fat
   embolism, PE, MI.</t>
        </is>
      </c>
    </row>
    <row r="1938">
      <c r="A1938" t="inlineStr">
        <is>
          <t>323041-assessment-and-plan-0-2</t>
        </is>
      </c>
      <c r="B1938" t="inlineStr"/>
      <c r="C1938" t="inlineStr"/>
      <c r="D1938">
        <f>HYPERLINK("http://nlpdeep.cs.uic.edu:8080/proofing/t5/323041-assessment-and-plan-0-2.pdf","t5/323041-assessment-and-plan-0-2.pdf")</f>
        <v/>
      </c>
      <c r="E1938" t="n">
        <v>146230</v>
      </c>
      <c r="F1938" t="n">
        <v>323041</v>
      </c>
      <c r="G1938" t="inlineStr">
        <is>
          <t>Physician</t>
        </is>
      </c>
      <c r="H1938" t="inlineStr">
        <is>
          <t>assessment-and-plan</t>
        </is>
      </c>
      <c r="I1938" t="inlineStr">
        <is>
          <t>of these acute blood loss +/- fat embolism would be
   most likely.</t>
        </is>
      </c>
    </row>
    <row r="1939">
      <c r="A1939" t="inlineStr">
        <is>
          <t>323041-assessment-and-plan-0-2</t>
        </is>
      </c>
      <c r="B1939" t="inlineStr"/>
      <c r="C1939" t="inlineStr"/>
      <c r="D1939">
        <f>HYPERLINK("http://nlpdeep.cs.uic.edu:8080/proofing/gsii/323041-assessment-and-plan-0-2.pdf","gsii/323041-assessment-and-plan-0-2.pdf")</f>
        <v/>
      </c>
      <c r="E1939" t="n">
        <v>146230</v>
      </c>
      <c r="F1939" t="n">
        <v>323041</v>
      </c>
      <c r="G1939" t="inlineStr">
        <is>
          <t>Physician</t>
        </is>
      </c>
      <c r="H1939" t="inlineStr">
        <is>
          <t>assessment-and-plan</t>
        </is>
      </c>
      <c r="I1939" t="inlineStr">
        <is>
          <t>of these acute blood loss +/- fat embolism would be
   most likely.</t>
        </is>
      </c>
    </row>
    <row r="1940">
      <c r="A1940" t="inlineStr">
        <is>
          <t>323041-assessment-and-plan-0-3</t>
        </is>
      </c>
      <c r="B1940" t="inlineStr"/>
      <c r="C1940" t="inlineStr"/>
      <c r="D1940">
        <f>HYPERLINK("http://nlpdeep.cs.uic.edu:8080/proofing/t5/323041-assessment-and-plan-0-3.pdf","t5/323041-assessment-and-plan-0-3.pdf")</f>
        <v/>
      </c>
      <c r="E1940" t="n">
        <v>146230</v>
      </c>
      <c r="F1940" t="n">
        <v>323041</v>
      </c>
      <c r="G1940" t="inlineStr">
        <is>
          <t>Physician</t>
        </is>
      </c>
      <c r="H1940" t="inlineStr">
        <is>
          <t>assessment-and-plan</t>
        </is>
      </c>
      <c r="I1940" t="inlineStr">
        <is>
          <t xml:space="preserve"> negative CTA for central or segmental PE.</t>
        </is>
      </c>
    </row>
    <row r="1941">
      <c r="A1941" t="inlineStr">
        <is>
          <t>323041-assessment-and-plan-0-3</t>
        </is>
      </c>
      <c r="B1941" t="inlineStr"/>
      <c r="C1941" t="inlineStr"/>
      <c r="D1941">
        <f>HYPERLINK("http://nlpdeep.cs.uic.edu:8080/proofing/gsii/323041-assessment-and-plan-0-3.pdf","gsii/323041-assessment-and-plan-0-3.pdf")</f>
        <v/>
      </c>
      <c r="E1941" t="n">
        <v>146230</v>
      </c>
      <c r="F1941" t="n">
        <v>323041</v>
      </c>
      <c r="G1941" t="inlineStr">
        <is>
          <t>Physician</t>
        </is>
      </c>
      <c r="H1941" t="inlineStr">
        <is>
          <t>assessment-and-plan</t>
        </is>
      </c>
      <c r="I1941" t="inlineStr">
        <is>
          <t xml:space="preserve"> negative CTA for central or segmental PE.</t>
        </is>
      </c>
    </row>
    <row r="1942">
      <c r="A1942" t="inlineStr">
        <is>
          <t>323041-assessment-and-plan-0-4</t>
        </is>
      </c>
      <c r="B1942" t="inlineStr"/>
      <c r="C1942" t="inlineStr"/>
      <c r="D1942">
        <f>HYPERLINK("http://nlpdeep.cs.uic.edu:8080/proofing/t5/323041-assessment-and-plan-0-4.pdf","t5/323041-assessment-and-plan-0-4.pdf")</f>
        <v/>
      </c>
      <c r="E1942" t="n">
        <v>146230</v>
      </c>
      <c r="F1942" t="n">
        <v>323041</v>
      </c>
      <c r="G1942" t="inlineStr">
        <is>
          <t>Physician</t>
        </is>
      </c>
      <c r="H1942" t="inlineStr">
        <is>
          <t>assessment-and-plan</t>
        </is>
      </c>
      <c r="I1942" t="inlineStr">
        <is>
          <t>with
   non-specific EKG changes would be unlikely to have coronary event that
   could have caused these events.</t>
        </is>
      </c>
    </row>
    <row r="1943">
      <c r="A1943" t="inlineStr">
        <is>
          <t>323041-assessment-and-plan-0-4</t>
        </is>
      </c>
      <c r="B1943" t="inlineStr"/>
      <c r="C1943" t="inlineStr"/>
      <c r="D1943">
        <f>HYPERLINK("http://nlpdeep.cs.uic.edu:8080/proofing/gsii/323041-assessment-and-plan-0-4.pdf","gsii/323041-assessment-and-plan-0-4.pdf")</f>
        <v/>
      </c>
      <c r="E1943" t="n">
        <v>146230</v>
      </c>
      <c r="F1943" t="n">
        <v>323041</v>
      </c>
      <c r="G1943" t="inlineStr">
        <is>
          <t>Physician</t>
        </is>
      </c>
      <c r="H1943" t="inlineStr">
        <is>
          <t>assessment-and-plan</t>
        </is>
      </c>
      <c r="I1943" t="inlineStr">
        <is>
          <t>with
   non-specific EKG changes would be unlikely to have coronary event that
   could have caused these events.</t>
        </is>
      </c>
    </row>
    <row r="1944">
      <c r="A1944" t="inlineStr">
        <is>
          <t>323041-assessment-and-plan-0-5</t>
        </is>
      </c>
      <c r="B1944" t="inlineStr"/>
      <c r="C1944" t="inlineStr"/>
      <c r="D1944">
        <f>HYPERLINK("http://nlpdeep.cs.uic.edu:8080/proofing/t5/323041-assessment-and-plan-0-5.pdf","t5/323041-assessment-and-plan-0-5.pdf")</f>
        <v/>
      </c>
      <c r="E1944" t="n">
        <v>146230</v>
      </c>
      <c r="F1944" t="n">
        <v>323041</v>
      </c>
      <c r="G1944" t="inlineStr">
        <is>
          <t>Physician</t>
        </is>
      </c>
      <c r="H1944" t="inlineStr">
        <is>
          <t>assessment-and-plan</t>
        </is>
      </c>
      <c r="I1944" t="inlineStr">
        <is>
          <t xml:space="preserve">
   - cycle cardiac enzymes
   - q6hct until stable
   - cards recs
   - transfuse 2 units of autologous blood
   - d/w ortho use of aspirin post-op
   2) Respiratory: no infiltrate or PE on imaging.</t>
        </is>
      </c>
    </row>
    <row r="1945">
      <c r="A1945" t="inlineStr">
        <is>
          <t>323041-assessment-and-plan-0-5</t>
        </is>
      </c>
      <c r="B1945" t="inlineStr"/>
      <c r="C1945" t="inlineStr"/>
      <c r="D1945">
        <f>HYPERLINK("http://nlpdeep.cs.uic.edu:8080/proofing/gsii/323041-assessment-and-plan-0-5.pdf","gsii/323041-assessment-and-plan-0-5.pdf")</f>
        <v/>
      </c>
      <c r="E1945" t="n">
        <v>146230</v>
      </c>
      <c r="F1945" t="n">
        <v>323041</v>
      </c>
      <c r="G1945" t="inlineStr">
        <is>
          <t>Physician</t>
        </is>
      </c>
      <c r="H1945" t="inlineStr">
        <is>
          <t>assessment-and-plan</t>
        </is>
      </c>
      <c r="I1945" t="inlineStr">
        <is>
          <t xml:space="preserve">
   - cycle cardiac enzymes
   - q6hct until stable
   - cards recs
   - transfuse 2 units of autologous blood
   - d/w ortho use of aspirin post-op
   2) Respiratory: no infiltrate or PE on imaging.</t>
        </is>
      </c>
    </row>
    <row r="1946">
      <c r="A1946" t="inlineStr">
        <is>
          <t>323041-assessment-and-plan-0-6</t>
        </is>
      </c>
      <c r="B1946" t="inlineStr"/>
      <c r="C1946" t="inlineStr"/>
      <c r="D1946">
        <f>HYPERLINK("http://nlpdeep.cs.uic.edu:8080/proofing/t5/323041-assessment-and-plan-0-6.pdf","t5/323041-assessment-and-plan-0-6.pdf")</f>
        <v/>
      </c>
      <c r="E1946" t="n">
        <v>146230</v>
      </c>
      <c r="F1946" t="n">
        <v>323041</v>
      </c>
      <c r="G1946" t="inlineStr">
        <is>
          <t>Physician</t>
        </is>
      </c>
      <c r="H1946" t="inlineStr">
        <is>
          <t>assessment-and-plan</t>
        </is>
      </c>
      <c r="I1946" t="inlineStr">
        <is>
          <t>currently gas
   exchanging adequately.</t>
        </is>
      </c>
    </row>
    <row r="1947">
      <c r="A1947" t="inlineStr">
        <is>
          <t>323041-assessment-and-plan-0-6</t>
        </is>
      </c>
      <c r="B1947" t="inlineStr"/>
      <c r="C1947" t="inlineStr"/>
      <c r="D1947">
        <f>HYPERLINK("http://nlpdeep.cs.uic.edu:8080/proofing/gsii/323041-assessment-and-plan-0-6.pdf","gsii/323041-assessment-and-plan-0-6.pdf")</f>
        <v/>
      </c>
      <c r="E1947" t="n">
        <v>146230</v>
      </c>
      <c r="F1947" t="n">
        <v>323041</v>
      </c>
      <c r="G1947" t="inlineStr">
        <is>
          <t>Physician</t>
        </is>
      </c>
      <c r="H1947" t="inlineStr">
        <is>
          <t>assessment-and-plan</t>
        </is>
      </c>
      <c r="I1947" t="inlineStr">
        <is>
          <t>currently gas
   exchanging adequately.</t>
        </is>
      </c>
    </row>
    <row r="1948">
      <c r="A1948" t="inlineStr">
        <is>
          <t>323041-assessment-and-plan-0-7</t>
        </is>
      </c>
      <c r="B1948" t="inlineStr"/>
      <c r="C1948" t="inlineStr"/>
      <c r="D1948">
        <f>HYPERLINK("http://nlpdeep.cs.uic.edu:8080/proofing/t5/323041-assessment-and-plan-0-7.pdf","t5/323041-assessment-and-plan-0-7.pdf")</f>
        <v/>
      </c>
      <c r="E1948" t="n">
        <v>146230</v>
      </c>
      <c r="F1948" t="n">
        <v>323041</v>
      </c>
      <c r="G1948" t="inlineStr">
        <is>
          <t>Physician</t>
        </is>
      </c>
      <c r="H1948" t="inlineStr">
        <is>
          <t>assessment-and-plan</t>
        </is>
      </c>
      <c r="I1948" t="inlineStr">
        <is>
          <t xml:space="preserve">
   - PSV
   - then stop propofol
   - extubate once following commands
   3) S/p left femural procedure: procedure aborted prematurely due to the
   above complications.</t>
        </is>
      </c>
    </row>
    <row r="1949">
      <c r="A1949" t="inlineStr">
        <is>
          <t>323041-assessment-and-plan-0-7</t>
        </is>
      </c>
      <c r="B1949" t="inlineStr"/>
      <c r="C1949" t="inlineStr"/>
      <c r="D1949">
        <f>HYPERLINK("http://nlpdeep.cs.uic.edu:8080/proofing/gsii/323041-assessment-and-plan-0-7.pdf","gsii/323041-assessment-and-plan-0-7.pdf")</f>
        <v/>
      </c>
      <c r="E1949" t="n">
        <v>146230</v>
      </c>
      <c r="F1949" t="n">
        <v>323041</v>
      </c>
      <c r="G1949" t="inlineStr">
        <is>
          <t>Physician</t>
        </is>
      </c>
      <c r="H1949" t="inlineStr">
        <is>
          <t>assessment-and-plan</t>
        </is>
      </c>
      <c r="I1949" t="inlineStr">
        <is>
          <t xml:space="preserve">
   - PSV
   - then stop propofol
   - extubate once following commands
   3) S/p left femural procedure: procedure aborted prematurely due to the
   above complications.</t>
        </is>
      </c>
    </row>
    <row r="1950">
      <c r="A1950" t="inlineStr">
        <is>
          <t>323041-assessment-and-plan-0-8</t>
        </is>
      </c>
      <c r="B1950" t="inlineStr"/>
      <c r="C1950" t="inlineStr"/>
      <c r="D1950">
        <f>HYPERLINK("http://nlpdeep.cs.uic.edu:8080/proofing/t5/323041-assessment-and-plan-0-8.pdf","t5/323041-assessment-and-plan-0-8.pdf")</f>
        <v/>
      </c>
      <c r="E1950" t="n">
        <v>146230</v>
      </c>
      <c r="F1950" t="n">
        <v>323041</v>
      </c>
      <c r="G1950" t="inlineStr">
        <is>
          <t>Physician</t>
        </is>
      </c>
      <c r="H1950" t="inlineStr">
        <is>
          <t>assessment-and-plan</t>
        </is>
      </c>
      <c r="I1950" t="inlineStr">
        <is>
          <t xml:space="preserve">
   - pain control with fentanyl while intubated then morphine
   - lovenox prophylaxis
   - ortho recs for weight bearing once extubated
   4) Asthma - not active issue.</t>
        </is>
      </c>
    </row>
    <row r="1951">
      <c r="A1951" t="inlineStr">
        <is>
          <t>323041-assessment-and-plan-0-8</t>
        </is>
      </c>
      <c r="B1951" t="inlineStr"/>
      <c r="C1951" t="inlineStr"/>
      <c r="D1951">
        <f>HYPERLINK("http://nlpdeep.cs.uic.edu:8080/proofing/gsii/323041-assessment-and-plan-0-8.pdf","gsii/323041-assessment-and-plan-0-8.pdf")</f>
        <v/>
      </c>
      <c r="E1951" t="n">
        <v>146230</v>
      </c>
      <c r="F1951" t="n">
        <v>323041</v>
      </c>
      <c r="G1951" t="inlineStr">
        <is>
          <t>Physician</t>
        </is>
      </c>
      <c r="H1951" t="inlineStr">
        <is>
          <t>assessment-and-plan</t>
        </is>
      </c>
      <c r="I1951" t="inlineStr">
        <is>
          <t xml:space="preserve">
   - pain control with fentanyl while intubated then morphine
   - lovenox prophylaxis
   - ortho recs for weight bearing once extubated
   4) Asthma - not active issue.</t>
        </is>
      </c>
    </row>
    <row r="1952">
      <c r="A1952" t="inlineStr">
        <is>
          <t>323041-assessment-and-plan-0-9</t>
        </is>
      </c>
      <c r="B1952" t="inlineStr"/>
      <c r="C1952" t="inlineStr"/>
      <c r="D1952">
        <f>HYPERLINK("http://nlpdeep.cs.uic.edu:8080/proofing/t5/323041-assessment-and-plan-0-9.pdf","t5/323041-assessment-and-plan-0-9.pdf")</f>
        <v/>
      </c>
      <c r="E1952" t="n">
        <v>146230</v>
      </c>
      <c r="F1952" t="n">
        <v>323041</v>
      </c>
      <c r="G1952" t="inlineStr">
        <is>
          <t>Physician</t>
        </is>
      </c>
      <c r="H1952" t="inlineStr">
        <is>
          <t>assessment-and-plan</t>
        </is>
      </c>
      <c r="I1952" t="inlineStr">
        <is>
          <t>albuterol nebs for now.</t>
        </is>
      </c>
    </row>
    <row r="1953">
      <c r="A1953" t="inlineStr">
        <is>
          <t>323041-assessment-and-plan-0-9</t>
        </is>
      </c>
      <c r="B1953" t="inlineStr"/>
      <c r="C1953" t="inlineStr"/>
      <c r="D1953">
        <f>HYPERLINK("http://nlpdeep.cs.uic.edu:8080/proofing/gsii/323041-assessment-and-plan-0-9.pdf","gsii/323041-assessment-and-plan-0-9.pdf")</f>
        <v/>
      </c>
      <c r="E1953" t="n">
        <v>146230</v>
      </c>
      <c r="F1953" t="n">
        <v>323041</v>
      </c>
      <c r="G1953" t="inlineStr">
        <is>
          <t>Physician</t>
        </is>
      </c>
      <c r="H1953" t="inlineStr">
        <is>
          <t>assessment-and-plan</t>
        </is>
      </c>
      <c r="I1953" t="inlineStr">
        <is>
          <t>albuterol nebs for now.</t>
        </is>
      </c>
    </row>
    <row r="1954">
      <c r="A1954" t="inlineStr">
        <is>
          <t>323041-assessment-and-plan-0-10</t>
        </is>
      </c>
      <c r="B1954" t="inlineStr"/>
      <c r="C1954" t="inlineStr"/>
      <c r="D1954">
        <f>HYPERLINK("http://nlpdeep.cs.uic.edu:8080/proofing/t5/323041-assessment-and-plan-0-10.pdf","t5/323041-assessment-and-plan-0-10.pdf")</f>
        <v/>
      </c>
      <c r="E1954" t="n">
        <v>146230</v>
      </c>
      <c r="F1954" t="n">
        <v>323041</v>
      </c>
      <c r="G1954" t="inlineStr">
        <is>
          <t>Physician</t>
        </is>
      </c>
      <c r="H1954" t="inlineStr">
        <is>
          <t>assessment-and-plan</t>
        </is>
      </c>
      <c r="I1954" t="inlineStr">
        <is>
          <t>then resume home
   meds.</t>
        </is>
      </c>
    </row>
    <row r="1955">
      <c r="A1955" t="inlineStr">
        <is>
          <t>323041-assessment-and-plan-0-10</t>
        </is>
      </c>
      <c r="B1955" t="inlineStr"/>
      <c r="C1955" t="inlineStr"/>
      <c r="D1955">
        <f>HYPERLINK("http://nlpdeep.cs.uic.edu:8080/proofing/gsii/323041-assessment-and-plan-0-10.pdf","gsii/323041-assessment-and-plan-0-10.pdf")</f>
        <v/>
      </c>
      <c r="E1955" t="n">
        <v>146230</v>
      </c>
      <c r="F1955" t="n">
        <v>323041</v>
      </c>
      <c r="G1955" t="inlineStr">
        <is>
          <t>Physician</t>
        </is>
      </c>
      <c r="H1955" t="inlineStr">
        <is>
          <t>assessment-and-plan</t>
        </is>
      </c>
      <c r="I1955" t="inlineStr">
        <is>
          <t>then resume home
   meds.</t>
        </is>
      </c>
    </row>
    <row r="1956">
      <c r="A1956" t="inlineStr">
        <is>
          <t>323041-assessment-and-plan-0-11</t>
        </is>
      </c>
      <c r="B1956" t="inlineStr"/>
      <c r="C1956" t="inlineStr"/>
      <c r="D1956">
        <f>HYPERLINK("http://nlpdeep.cs.uic.edu:8080/proofing/t5/323041-assessment-and-plan-0-11.pdf","t5/323041-assessment-and-plan-0-11.pdf")</f>
        <v/>
      </c>
      <c r="E1956" t="n">
        <v>146230</v>
      </c>
      <c r="F1956" t="n">
        <v>323041</v>
      </c>
      <c r="G1956" t="inlineStr">
        <is>
          <t>Physician</t>
        </is>
      </c>
      <c r="H1956" t="inlineStr">
        <is>
          <t>assessment-and-plan</t>
        </is>
      </c>
      <c r="I1956" t="inlineStr">
        <is>
          <t>ICU Care
   Nutrition:
   Glycemic Control: Blood sugar well controlled
   Lines:
   Arterial Line - [**2186-3-10**] 10:47 AM
   18 Gauge - [**2186-3-10**] 10:47 AM
   Prophylaxis:
   DVT: LMW Heparin
   Stress ulcer:
   VAP: HOB elevation
   Comments:</t>
        </is>
      </c>
    </row>
    <row r="1957">
      <c r="A1957" t="inlineStr">
        <is>
          <t>323041-assessment-and-plan-0-11</t>
        </is>
      </c>
      <c r="B1957" t="inlineStr"/>
      <c r="C1957" t="inlineStr"/>
      <c r="D1957">
        <f>HYPERLINK("http://nlpdeep.cs.uic.edu:8080/proofing/gsii/323041-assessment-and-plan-0-11.pdf","gsii/323041-assessment-and-plan-0-11.pdf")</f>
        <v/>
      </c>
      <c r="E1957" t="n">
        <v>146230</v>
      </c>
      <c r="F1957" t="n">
        <v>323041</v>
      </c>
      <c r="G1957" t="inlineStr">
        <is>
          <t>Physician</t>
        </is>
      </c>
      <c r="H1957" t="inlineStr">
        <is>
          <t>assessment-and-plan</t>
        </is>
      </c>
      <c r="I1957" t="inlineStr">
        <is>
          <t>ICU Care
   Nutrition:
   Glycemic Control: Blood sugar well controlled
   Lines:
   Arterial Line - [**2186-3-10**] 10:47 AM
   18 Gauge - [**2186-3-10**] 10:47 AM
   Prophylaxis:
   DVT: LMW Heparin
   Stress ulcer:
   VAP: HOB elevation
   Comments:</t>
        </is>
      </c>
    </row>
    <row r="1958">
      <c r="A1958" t="inlineStr">
        <is>
          <t>323041-communication-0-0</t>
        </is>
      </c>
      <c r="B1958" t="inlineStr"/>
      <c r="C1958" t="inlineStr"/>
      <c r="D1958">
        <f>HYPERLINK("http://nlpdeep.cs.uic.edu:8080/proofing/t5/323041-communication-0-0.pdf","t5/323041-communication-0-0.pdf")</f>
        <v/>
      </c>
      <c r="E1958" t="n">
        <v>146230</v>
      </c>
      <c r="F1958" t="n">
        <v>323041</v>
      </c>
      <c r="G1958" t="inlineStr">
        <is>
          <t>Physician</t>
        </is>
      </c>
      <c r="H1958" t="inlineStr">
        <is>
          <t>communication</t>
        </is>
      </c>
      <c r="I1958" t="inlineStr">
        <is>
          <t>Family meeting held  Comments:</t>
        </is>
      </c>
    </row>
    <row r="1959">
      <c r="A1959" t="inlineStr">
        <is>
          <t>323041-communication-0-0</t>
        </is>
      </c>
      <c r="B1959" t="inlineStr"/>
      <c r="C1959" t="inlineStr"/>
      <c r="D1959">
        <f>HYPERLINK("http://nlpdeep.cs.uic.edu:8080/proofing/gsii/323041-communication-0-0.pdf","gsii/323041-communication-0-0.pdf")</f>
        <v/>
      </c>
      <c r="E1959" t="n">
        <v>146230</v>
      </c>
      <c r="F1959" t="n">
        <v>323041</v>
      </c>
      <c r="G1959" t="inlineStr">
        <is>
          <t>Physician</t>
        </is>
      </c>
      <c r="H1959" t="inlineStr">
        <is>
          <t>communication</t>
        </is>
      </c>
      <c r="I1959" t="inlineStr">
        <is>
          <t>Family meeting held  Comments:</t>
        </is>
      </c>
    </row>
    <row r="1960">
      <c r="A1960" t="inlineStr">
        <is>
          <t>323041-code-status-0-0</t>
        </is>
      </c>
      <c r="B1960" t="inlineStr"/>
      <c r="C1960" t="inlineStr"/>
      <c r="D1960">
        <f>HYPERLINK("http://nlpdeep.cs.uic.edu:8080/proofing/t5/323041-code-status-0-0.pdf","t5/323041-code-status-0-0.pdf")</f>
        <v/>
      </c>
      <c r="E1960" t="n">
        <v>146230</v>
      </c>
      <c r="F1960" t="n">
        <v>323041</v>
      </c>
      <c r="G1960" t="inlineStr">
        <is>
          <t>Physician</t>
        </is>
      </c>
      <c r="H1960" t="inlineStr">
        <is>
          <t>code-status</t>
        </is>
      </c>
      <c r="I1960" t="inlineStr">
        <is>
          <t>Full c</t>
        </is>
      </c>
    </row>
    <row r="1961">
      <c r="A1961" t="inlineStr">
        <is>
          <t>323041-code-status-0-0</t>
        </is>
      </c>
      <c r="B1961" t="inlineStr"/>
      <c r="C1961" t="inlineStr"/>
      <c r="D1961">
        <f>HYPERLINK("http://nlpdeep.cs.uic.edu:8080/proofing/gsii/323041-code-status-0-0.pdf","gsii/323041-code-status-0-0.pdf")</f>
        <v/>
      </c>
      <c r="E1961" t="n">
        <v>146230</v>
      </c>
      <c r="F1961" t="n">
        <v>323041</v>
      </c>
      <c r="G1961" t="inlineStr">
        <is>
          <t>Physician</t>
        </is>
      </c>
      <c r="H1961" t="inlineStr">
        <is>
          <t>code-status</t>
        </is>
      </c>
      <c r="I1961" t="inlineStr">
        <is>
          <t>Full c</t>
        </is>
      </c>
    </row>
    <row r="1962">
      <c r="A1962" t="inlineStr">
        <is>
          <t>323041-disposition-0-0</t>
        </is>
      </c>
      <c r="B1962" t="inlineStr"/>
      <c r="C1962" t="inlineStr"/>
      <c r="D1962">
        <f>HYPERLINK("http://nlpdeep.cs.uic.edu:8080/proofing/t5/323041-disposition-0-0.pdf","t5/323041-disposition-0-0.pdf")</f>
        <v/>
      </c>
      <c r="E1962" t="n">
        <v>146230</v>
      </c>
      <c r="F1962" t="n">
        <v>323041</v>
      </c>
      <c r="G1962" t="inlineStr">
        <is>
          <t>Physician</t>
        </is>
      </c>
      <c r="H1962" t="inlineStr">
        <is>
          <t>disposition</t>
        </is>
      </c>
      <c r="I1962" t="inlineStr">
        <is>
          <t>I</t>
        </is>
      </c>
    </row>
    <row r="1963">
      <c r="A1963" t="inlineStr">
        <is>
          <t>323041-disposition-0-0</t>
        </is>
      </c>
      <c r="B1963" t="inlineStr"/>
      <c r="C1963" t="inlineStr"/>
      <c r="D1963">
        <f>HYPERLINK("http://nlpdeep.cs.uic.edu:8080/proofing/gsii/323041-disposition-0-0.pdf","gsii/323041-disposition-0-0.pdf")</f>
        <v/>
      </c>
      <c r="E1963" t="n">
        <v>146230</v>
      </c>
      <c r="F1963" t="n">
        <v>323041</v>
      </c>
      <c r="G1963" t="inlineStr">
        <is>
          <t>Physician</t>
        </is>
      </c>
      <c r="H1963" t="inlineStr">
        <is>
          <t>disposition</t>
        </is>
      </c>
      <c r="I1963" t="inlineStr">
        <is>
          <t>I</t>
        </is>
      </c>
    </row>
    <row r="1964">
      <c r="A1964" t="inlineStr">
        <is>
          <t>323158-chief-complaint-0-0</t>
        </is>
      </c>
      <c r="B1964" t="inlineStr"/>
      <c r="C1964" t="inlineStr"/>
      <c r="D1964">
        <f>HYPERLINK("http://nlpdeep.cs.uic.edu:8080/proofing/t5/323158-chief-complaint-0-0.pdf","t5/323158-chief-complaint-0-0.pdf")</f>
        <v/>
      </c>
      <c r="E1964" t="n">
        <v>146230</v>
      </c>
      <c r="F1964" t="n">
        <v>323158</v>
      </c>
      <c r="G1964" t="inlineStr">
        <is>
          <t>Physician</t>
        </is>
      </c>
      <c r="H1964" t="inlineStr">
        <is>
          <t>chief-complaint</t>
        </is>
      </c>
      <c r="I1964" t="inlineStr">
        <is>
          <t>49 year old woman with history of asthma, DJD
   secondary to poorly healed femoral fracture admitted for hypotension,
   hypoxia complicated by PEA arrest intra-op.</t>
        </is>
      </c>
    </row>
    <row r="1965">
      <c r="A1965" t="inlineStr">
        <is>
          <t>323158-chief-complaint-0-0</t>
        </is>
      </c>
      <c r="B1965" t="inlineStr"/>
      <c r="C1965" t="inlineStr"/>
      <c r="D1965">
        <f>HYPERLINK("http://nlpdeep.cs.uic.edu:8080/proofing/gsii/323158-chief-complaint-0-0.pdf","gsii/323158-chief-complaint-0-0.pdf")</f>
        <v/>
      </c>
      <c r="E1965" t="n">
        <v>146230</v>
      </c>
      <c r="F1965" t="n">
        <v>323158</v>
      </c>
      <c r="G1965" t="inlineStr">
        <is>
          <t>Physician</t>
        </is>
      </c>
      <c r="H1965" t="inlineStr">
        <is>
          <t>chief-complaint</t>
        </is>
      </c>
      <c r="I1965" t="inlineStr">
        <is>
          <t>49 year old woman with history of asthma, DJD
   secondary to poorly healed femoral fracture admitted for hypotension,
   hypoxia complicated by PEA arrest intra-op.</t>
        </is>
      </c>
    </row>
    <row r="1966">
      <c r="A1966" t="inlineStr">
        <is>
          <t>323158-24-hour-events-0-0</t>
        </is>
      </c>
      <c r="B1966" t="inlineStr"/>
      <c r="C1966" t="inlineStr"/>
      <c r="D1966">
        <f>HYPERLINK("http://nlpdeep.cs.uic.edu:8080/proofing/t5/323158-24-hour-events-0-0.pdf","t5/323158-24-hour-events-0-0.pdf")</f>
        <v/>
      </c>
      <c r="E1966" t="n">
        <v>146230</v>
      </c>
      <c r="F1966" t="n">
        <v>323158</v>
      </c>
      <c r="G1966" t="inlineStr">
        <is>
          <t>Physician</t>
        </is>
      </c>
      <c r="H1966" t="inlineStr">
        <is>
          <t>24-hour-events</t>
        </is>
      </c>
      <c r="I1966" t="inlineStr">
        <is>
          <t>ARTERIAL LINE - START [**2186-3-10**] 10:47 AM
 INVASIVE VENTILATION - START [**2186-3-10**] 12:33 PM
 INVASIVE VENTILATION - STOP [**2186-3-10**] 02:59 PM
   -Extubated
   -CTA negative for PE
   -Cards recs: ECHO in a few days to further eval for wall motion
   abnormalities, cycle enzymes, monitor Hct; feels this is not likely
   embolic event or ACS-&gt; likely due to acute blood loss
   -CE: 1st set: CK 89 MB 4 Trop 0.17, 2nd set: CK 217 MB 7 Trop 0.44,
   next check CK 226 MB 6 Trop 0.21
   -Hct stable over multiple checks, most recent 29.2 stable from 30.2
   prior.</t>
        </is>
      </c>
    </row>
    <row r="1967">
      <c r="A1967" t="inlineStr">
        <is>
          <t>323158-24-hour-events-0-0</t>
        </is>
      </c>
      <c r="B1967" t="inlineStr"/>
      <c r="C1967" t="inlineStr"/>
      <c r="D1967">
        <f>HYPERLINK("http://nlpdeep.cs.uic.edu:8080/proofing/gsii/323158-24-hour-events-0-0.pdf","gsii/323158-24-hour-events-0-0.pdf")</f>
        <v/>
      </c>
      <c r="E1967" t="n">
        <v>146230</v>
      </c>
      <c r="F1967" t="n">
        <v>323158</v>
      </c>
      <c r="G1967" t="inlineStr">
        <is>
          <t>Physician</t>
        </is>
      </c>
      <c r="H1967" t="inlineStr">
        <is>
          <t>24-hour-events</t>
        </is>
      </c>
      <c r="I1967" t="inlineStr">
        <is>
          <t>ARTERIAL LINE - START [**2186-3-10**] 10:47 AM
 INVASIVE VENTILATION - START [**2186-3-10**] 12:33 PM
 INVASIVE VENTILATION - STOP [**2186-3-10**] 02:59 PM
   -Extubated
   -CTA negative for PE
   -Cards recs: ECHO in a few days to further eval for wall motion
   abnormalities, cycle enzymes, monitor Hct; feels this is not likely
   embolic event or ACS-&gt; likely due to acute blood loss
   -CE: 1st set: CK 89 MB 4 Trop 0.17, 2nd set: CK 217 MB 7 Trop 0.44,
   next check CK 226 MB 6 Trop 0.21
   -Hct stable over multiple checks, most recent 29.2 stable from 30.2
   prior.</t>
        </is>
      </c>
    </row>
    <row r="1968">
      <c r="A1968" t="inlineStr">
        <is>
          <t>323158-24-hour-events-0-1</t>
        </is>
      </c>
      <c r="B1968" t="inlineStr"/>
      <c r="C1968" t="inlineStr"/>
      <c r="D1968">
        <f>HYPERLINK("http://nlpdeep.cs.uic.edu:8080/proofing/t5/323158-24-hour-events-0-1.pdf","t5/323158-24-hour-events-0-1.pdf")</f>
        <v/>
      </c>
      <c r="E1968" t="n">
        <v>146230</v>
      </c>
      <c r="F1968" t="n">
        <v>323158</v>
      </c>
      <c r="G1968" t="inlineStr">
        <is>
          <t>Physician</t>
        </is>
      </c>
      <c r="H1968" t="inlineStr">
        <is>
          <t>24-hour-events</t>
        </is>
      </c>
      <c r="I1968" t="inlineStr">
        <is>
          <t>-A-line no longer [**Location (un) 308**] a</t>
        </is>
      </c>
    </row>
    <row r="1969">
      <c r="A1969" t="inlineStr">
        <is>
          <t>323158-24-hour-events-0-1</t>
        </is>
      </c>
      <c r="B1969" t="inlineStr"/>
      <c r="C1969" t="inlineStr"/>
      <c r="D1969">
        <f>HYPERLINK("http://nlpdeep.cs.uic.edu:8080/proofing/gsii/323158-24-hour-events-0-1.pdf","gsii/323158-24-hour-events-0-1.pdf")</f>
        <v/>
      </c>
      <c r="E1969" t="n">
        <v>146230</v>
      </c>
      <c r="F1969" t="n">
        <v>323158</v>
      </c>
      <c r="G1969" t="inlineStr">
        <is>
          <t>Physician</t>
        </is>
      </c>
      <c r="H1969" t="inlineStr">
        <is>
          <t>24-hour-events</t>
        </is>
      </c>
      <c r="I1969" t="inlineStr">
        <is>
          <t>-A-line no longer [**Location (un) 308**] a</t>
        </is>
      </c>
    </row>
    <row r="1970">
      <c r="A1970" t="inlineStr">
        <is>
          <t>323158-allergies-0-0</t>
        </is>
      </c>
      <c r="B1970" t="inlineStr"/>
      <c r="C1970" t="inlineStr"/>
      <c r="D1970">
        <f>HYPERLINK("http://nlpdeep.cs.uic.edu:8080/proofing/t5/323158-allergies-0-0.pdf","t5/323158-allergies-0-0.pdf")</f>
        <v/>
      </c>
      <c r="E1970" t="n">
        <v>146230</v>
      </c>
      <c r="F1970" t="n">
        <v>323158</v>
      </c>
      <c r="G1970" t="inlineStr">
        <is>
          <t>Physician</t>
        </is>
      </c>
      <c r="H1970" t="inlineStr">
        <is>
          <t>allergies</t>
        </is>
      </c>
      <c r="I1970" t="inlineStr">
        <is>
          <t>Codeine
   severe headache
   Penicillins
   trouble breathi
   Demerol (Injection) (Meperidine Hcl/Pf)
   hot feeling all
   Ampicillin
   sob;
   Melon Flavor
   SOB
   itching [</t>
        </is>
      </c>
    </row>
    <row r="1971">
      <c r="A1971" t="inlineStr">
        <is>
          <t>323158-allergies-0-0</t>
        </is>
      </c>
      <c r="B1971" t="inlineStr"/>
      <c r="C1971" t="inlineStr"/>
      <c r="D1971">
        <f>HYPERLINK("http://nlpdeep.cs.uic.edu:8080/proofing/gsii/323158-allergies-0-0.pdf","gsii/323158-allergies-0-0.pdf")</f>
        <v/>
      </c>
      <c r="E1971" t="n">
        <v>146230</v>
      </c>
      <c r="F1971" t="n">
        <v>323158</v>
      </c>
      <c r="G1971" t="inlineStr">
        <is>
          <t>Physician</t>
        </is>
      </c>
      <c r="H1971" t="inlineStr">
        <is>
          <t>allergies</t>
        </is>
      </c>
      <c r="I1971" t="inlineStr">
        <is>
          <t>Codeine
   severe headache
   Penicillins
   trouble breathi
   Demerol (Injection) (Meperidine Hcl/Pf)
   hot feeling all
   Ampicillin
   sob;
   Melon Flavor
   SOB
   itching [</t>
        </is>
      </c>
    </row>
    <row r="1972">
      <c r="A1972" t="inlineStr">
        <is>
          <t>323158-other-medications-0-0</t>
        </is>
      </c>
      <c r="B1972" t="inlineStr"/>
      <c r="C1972" t="inlineStr"/>
      <c r="D1972">
        <f>HYPERLINK("http://nlpdeep.cs.uic.edu:8080/proofing/t5/323158-other-medications-0-0.pdf","t5/323158-other-medications-0-0.pdf")</f>
        <v/>
      </c>
      <c r="E1972" t="n">
        <v>146230</v>
      </c>
      <c r="F1972" t="n">
        <v>323158</v>
      </c>
      <c r="G1972" t="inlineStr">
        <is>
          <t>Physician</t>
        </is>
      </c>
      <c r="H1972" t="inlineStr">
        <is>
          <t>other-medications</t>
        </is>
      </c>
      <c r="I1972" t="inlineStr">
        <is>
          <t>Fentanyl - [**2186-3-10**] 12:34 PM
   Morphine Sulfate - [**2186-3-10**] 04:39 PM
   Other medications:</t>
        </is>
      </c>
    </row>
    <row r="1973">
      <c r="A1973" t="inlineStr">
        <is>
          <t>323158-other-medications-0-0</t>
        </is>
      </c>
      <c r="B1973" t="inlineStr"/>
      <c r="C1973" t="inlineStr"/>
      <c r="D1973">
        <f>HYPERLINK("http://nlpdeep.cs.uic.edu:8080/proofing/gsii/323158-other-medications-0-0.pdf","gsii/323158-other-medications-0-0.pdf")</f>
        <v/>
      </c>
      <c r="E1973" t="n">
        <v>146230</v>
      </c>
      <c r="F1973" t="n">
        <v>323158</v>
      </c>
      <c r="G1973" t="inlineStr">
        <is>
          <t>Physician</t>
        </is>
      </c>
      <c r="H1973" t="inlineStr">
        <is>
          <t>other-medications</t>
        </is>
      </c>
      <c r="I1973" t="inlineStr">
        <is>
          <t>Fentanyl - [**2186-3-10**] 12:34 PM
   Morphine Sulfate - [**2186-3-10**] 04:39 PM
   Other medications:</t>
        </is>
      </c>
    </row>
    <row r="1974">
      <c r="A1974" t="inlineStr">
        <is>
          <t>323158-past-medical-history-0-0</t>
        </is>
      </c>
      <c r="B1974" t="inlineStr"/>
      <c r="C1974" t="inlineStr"/>
      <c r="D1974">
        <f>HYPERLINK("http://nlpdeep.cs.uic.edu:8080/proofing/t5/323158-past-medical-history-0-0.pdf","t5/323158-past-medical-history-0-0.pdf")</f>
        <v/>
      </c>
      <c r="E1974" t="n">
        <v>146230</v>
      </c>
      <c r="F1974" t="n">
        <v>323158</v>
      </c>
      <c r="G1974" t="inlineStr">
        <is>
          <t>Physician</t>
        </is>
      </c>
      <c r="H1974" t="inlineStr">
        <is>
          <t>past-medical-history</t>
        </is>
      </c>
      <c r="I1974" t="inlineStr">
        <is>
          <t>Changes to medical and family history:</t>
        </is>
      </c>
    </row>
    <row r="1975">
      <c r="A1975" t="inlineStr">
        <is>
          <t>323158-past-medical-history-0-0</t>
        </is>
      </c>
      <c r="B1975" t="inlineStr"/>
      <c r="C1975" t="inlineStr"/>
      <c r="D1975">
        <f>HYPERLINK("http://nlpdeep.cs.uic.edu:8080/proofing/gsii/323158-past-medical-history-0-0.pdf","gsii/323158-past-medical-history-0-0.pdf")</f>
        <v/>
      </c>
      <c r="E1975" t="n">
        <v>146230</v>
      </c>
      <c r="F1975" t="n">
        <v>323158</v>
      </c>
      <c r="G1975" t="inlineStr">
        <is>
          <t>Physician</t>
        </is>
      </c>
      <c r="H1975" t="inlineStr">
        <is>
          <t>past-medical-history</t>
        </is>
      </c>
      <c r="I1975" t="inlineStr">
        <is>
          <t>Changes to medical and family history:</t>
        </is>
      </c>
    </row>
    <row r="1976">
      <c r="A1976" t="inlineStr">
        <is>
          <t>323158-review-of-systems-0-0</t>
        </is>
      </c>
      <c r="B1976" t="inlineStr"/>
      <c r="C1976" t="inlineStr"/>
      <c r="D1976">
        <f>HYPERLINK("http://nlpdeep.cs.uic.edu:8080/proofing/t5/323158-review-of-systems-0-0.pdf","t5/323158-review-of-systems-0-0.pdf")</f>
        <v/>
      </c>
      <c r="E1976" t="n">
        <v>146230</v>
      </c>
      <c r="F1976" t="n">
        <v>323158</v>
      </c>
      <c r="G1976" t="inlineStr">
        <is>
          <t>Physician</t>
        </is>
      </c>
      <c r="H1976" t="inlineStr">
        <is>
          <t>review-of-systems</t>
        </is>
      </c>
      <c r="I1976" t="inlineStr">
        <is>
          <t>Review of systems is unchanged from admission except as noted below
   Review of systems:</t>
        </is>
      </c>
    </row>
    <row r="1977">
      <c r="A1977" t="inlineStr">
        <is>
          <t>323158-review-of-systems-0-0</t>
        </is>
      </c>
      <c r="B1977" t="inlineStr"/>
      <c r="C1977" t="inlineStr"/>
      <c r="D1977">
        <f>HYPERLINK("http://nlpdeep.cs.uic.edu:8080/proofing/gsii/323158-review-of-systems-0-0.pdf","gsii/323158-review-of-systems-0-0.pdf")</f>
        <v/>
      </c>
      <c r="E1977" t="n">
        <v>146230</v>
      </c>
      <c r="F1977" t="n">
        <v>323158</v>
      </c>
      <c r="G1977" t="inlineStr">
        <is>
          <t>Physician</t>
        </is>
      </c>
      <c r="H1977" t="inlineStr">
        <is>
          <t>review-of-systems</t>
        </is>
      </c>
      <c r="I1977" t="inlineStr">
        <is>
          <t>Review of systems is unchanged from admission except as noted below
   Review of systems:</t>
        </is>
      </c>
    </row>
    <row r="1978">
      <c r="A1978" t="inlineStr">
        <is>
          <t>323158-flowsheet-data-vitals-0-0</t>
        </is>
      </c>
      <c r="B1978" t="inlineStr"/>
      <c r="C1978" t="inlineStr"/>
      <c r="D1978">
        <f>HYPERLINK("http://nlpdeep.cs.uic.edu:8080/proofing/t5/323158-flowsheet-data-vitals-0-0.pdf","t5/323158-flowsheet-data-vitals-0-0.pdf")</f>
        <v/>
      </c>
      <c r="E1978" t="n">
        <v>146230</v>
      </c>
      <c r="F1978" t="n">
        <v>323158</v>
      </c>
      <c r="G1978" t="inlineStr">
        <is>
          <t>Physician</t>
        </is>
      </c>
      <c r="H1978" t="inlineStr">
        <is>
          <t>flowsheet-data-vitals</t>
        </is>
      </c>
      <c r="I1978" t="inlineStr">
        <is>
          <t>Vital signs
   Hemodynamic monitoring
   Fluid balance
                                                                  24 hours
                                                               Since 12 AM
   Tmax: 37.7
C (99.8
   Tcurrent: 36.8
C (98.3
   HR: 83 (72 - 93) bpm
   BP: 91/53(61) {83/51(61) - 103/57(66)} mmHg
   RR: 23 (8 - 28) insp/min
   SpO2: 95%
   Heart rhythm: SR (Sinus Rhythm)
   Height: 60 Inch
             Total In:
                                                                  2,419 mL
                                                                     67 mL
   PO:
             TF:
   IVF:
                                                                  1,669 mL
                                                                     67 mL
   Blood products:
                                                                    750 mL
   Total out:
                                                                  1,190 mL
                                                                    220 mL
   Urine:
                                                                  1,030 mL
                                                                    220 mL
   NG:
   Stool:
   Drains:
   Balance:
                                                                  1,229 mL
                                                                   -153 mL
   Respiratory support
   100% on R</t>
        </is>
      </c>
    </row>
    <row r="1979">
      <c r="A1979" t="inlineStr">
        <is>
          <t>323158-flowsheet-data-vitals-0-0</t>
        </is>
      </c>
      <c r="B1979" t="inlineStr"/>
      <c r="C1979" t="inlineStr"/>
      <c r="D1979">
        <f>HYPERLINK("http://nlpdeep.cs.uic.edu:8080/proofing/gsii/323158-flowsheet-data-vitals-0-0.pdf","gsii/323158-flowsheet-data-vitals-0-0.pdf")</f>
        <v/>
      </c>
      <c r="E1979" t="n">
        <v>146230</v>
      </c>
      <c r="F1979" t="n">
        <v>323158</v>
      </c>
      <c r="G1979" t="inlineStr">
        <is>
          <t>Physician</t>
        </is>
      </c>
      <c r="H1979" t="inlineStr">
        <is>
          <t>flowsheet-data-vitals</t>
        </is>
      </c>
      <c r="I1979" t="inlineStr">
        <is>
          <t>Vital signs
   Hemodynamic monitoring
   Fluid balance
                                                                  24 hours
                                                               Since 12 AM
   Tmax: 37.7
C (99.8
   Tcurrent: 36.8
C (98.3
   HR: 83 (72 - 93) bpm
   BP: 91/53(61) {83/51(61) - 103/57(66)} mmHg
   RR: 23 (8 - 28) insp/min
   SpO2: 95%
   Heart rhythm: SR (Sinus Rhythm)
   Height: 60 Inch
             Total In:
                                                                  2,419 mL
                                                                     67 mL
   PO:
             TF:
   IVF:
                                                                  1,669 mL
                                                                     67 mL
   Blood products:
                                                                    750 mL
   Total out:
                                                                  1,190 mL
                                                                    220 mL
   Urine:
                                                                  1,030 mL
                                                                    220 mL
   NG:
   Stool:
   Drains:
   Balance:
                                                                  1,229 mL
                                                                   -153 mL
   Respiratory support
   100% on R</t>
        </is>
      </c>
    </row>
    <row r="1980">
      <c r="A1980" t="inlineStr">
        <is>
          <t>323158-physical-examination-0-0</t>
        </is>
      </c>
      <c r="B1980" t="inlineStr"/>
      <c r="C1980" t="inlineStr"/>
      <c r="D1980">
        <f>HYPERLINK("http://nlpdeep.cs.uic.edu:8080/proofing/t5/323158-physical-examination-0-0.pdf","t5/323158-physical-examination-0-0.pdf")</f>
        <v/>
      </c>
      <c r="E1980" t="n">
        <v>146230</v>
      </c>
      <c r="F1980" t="n">
        <v>323158</v>
      </c>
      <c r="G1980" t="inlineStr">
        <is>
          <t>Physician</t>
        </is>
      </c>
      <c r="H1980" t="inlineStr">
        <is>
          <t>physical-examination</t>
        </is>
      </c>
      <c r="I1980" t="inlineStr">
        <is>
          <t>General Appearance: Well nourished, Overweight / Obese, No(t) Anxious
   Eyes / Conjunctiva: PERRL, Conjunctiva pale
   Head, Ears, Nose, Throat: Normocephalic, Endotracheal tube
   Lymphatic: Cervical WNL
   Cardiovascular: (S1: Normal), (S2: Normal)
   Peripheral Vascular: (Right radial pulse: Present), (Left radial pulse:
   Present), (Right DP pulse: Present), (Left DP pulse: Present)
   Respiratory / Chest: (Expansion: Symmetric), (Percussion: Resonant : ),
   (Breath Sounds: Clear : )
   Abdominal: Soft, Bowel sounds present, Obese
   Extremities: Right: Trace, Left: Trace, left thigh wound
   Skin:  No(t) Rash: , No(t) J</t>
        </is>
      </c>
    </row>
    <row r="1981">
      <c r="A1981" t="inlineStr">
        <is>
          <t>323158-physical-examination-0-0</t>
        </is>
      </c>
      <c r="B1981" t="inlineStr"/>
      <c r="C1981" t="inlineStr"/>
      <c r="D1981">
        <f>HYPERLINK("http://nlpdeep.cs.uic.edu:8080/proofing/gsii/323158-physical-examination-0-0.pdf","gsii/323158-physical-examination-0-0.pdf")</f>
        <v/>
      </c>
      <c r="E1981" t="n">
        <v>146230</v>
      </c>
      <c r="F1981" t="n">
        <v>323158</v>
      </c>
      <c r="G1981" t="inlineStr">
        <is>
          <t>Physician</t>
        </is>
      </c>
      <c r="H1981" t="inlineStr">
        <is>
          <t>physical-examination</t>
        </is>
      </c>
      <c r="I1981" t="inlineStr">
        <is>
          <t>General Appearance: Well nourished, Overweight / Obese, No(t) Anxious
   Eyes / Conjunctiva: PERRL, Conjunctiva pale
   Head, Ears, Nose, Throat: Normocephalic, Endotracheal tube
   Lymphatic: Cervical WNL
   Cardiovascular: (S1: Normal), (S2: Normal)
   Peripheral Vascular: (Right radial pulse: Present), (Left radial pulse:
   Present), (Right DP pulse: Present), (Left DP pulse: Present)
   Respiratory / Chest: (Expansion: Symmetric), (Percussion: Resonant : ),
   (Breath Sounds: Clear : )
   Abdominal: Soft, Bowel sounds present, Obese
   Extremities: Right: Trace, Left: Trace, left thigh wound
   Skin:  No(t) Rash: , No(t) J</t>
        </is>
      </c>
    </row>
    <row r="1982">
      <c r="A1982" t="inlineStr">
        <is>
          <t>323158-labs-imaging-0-0</t>
        </is>
      </c>
      <c r="B1982" t="inlineStr"/>
      <c r="C1982" t="inlineStr"/>
      <c r="D1982">
        <f>HYPERLINK("http://nlpdeep.cs.uic.edu:8080/proofing/t5/323158-labs-imaging-0-0.pdf","t5/323158-labs-imaging-0-0.pdf")</f>
        <v/>
      </c>
      <c r="E1982" t="n">
        <v>146230</v>
      </c>
      <c r="F1982" t="n">
        <v>323158</v>
      </c>
      <c r="G1982" t="inlineStr">
        <is>
          <t>Physician</t>
        </is>
      </c>
      <c r="H1982" t="inlineStr">
        <is>
          <t>labs-imaging</t>
        </is>
      </c>
      <c r="I1982" t="inlineStr">
        <is>
          <t>mEq/L
   28.2 %
        [image002.jpg]
   AM labs pending
                             [**2186-3-10**]  10:45 AM
                             [**2186-3-10**]  11:01 AM
                             [**2186-3-10**]  11:30 AM
                             [**2186-3-10**]  02:15 PM
                             [**2186-3-10**]  04:41 PM
                             [**2186-3-10**]  06:10 PM
                             [**2186-3-10**]  11:13 PM
                             [**2186-3-11**]  05:17 AM
   WBC
   14.5
   Hct
   24.8
   30.2
   29.2
   28.2
   Plt
   292
   Cr
   0.7
   TropT
   0.17
   0.44
   0.21
   TCO2
   28
   28
   Glucose
   115
   Other labs: PT / PTT / INR:13.5/23.1/1.2, CK / CKMB /
   Troponin-T:226/6/0.21, Differential-Neuts:96.0 %, Band:0.0 %, Lymph:3.0
   %, Mono:1.0 %, Eos:0.0 %
   Imaging: CTA [**3-10**]: CONCLUSION:
   1.</t>
        </is>
      </c>
    </row>
    <row r="1983">
      <c r="A1983" t="inlineStr">
        <is>
          <t>323158-labs-imaging-0-0</t>
        </is>
      </c>
      <c r="B1983" t="inlineStr"/>
      <c r="C1983" t="inlineStr"/>
      <c r="D1983">
        <f>HYPERLINK("http://nlpdeep.cs.uic.edu:8080/proofing/gsii/323158-labs-imaging-0-0.pdf","gsii/323158-labs-imaging-0-0.pdf")</f>
        <v/>
      </c>
      <c r="E1983" t="n">
        <v>146230</v>
      </c>
      <c r="F1983" t="n">
        <v>323158</v>
      </c>
      <c r="G1983" t="inlineStr">
        <is>
          <t>Physician</t>
        </is>
      </c>
      <c r="H1983" t="inlineStr">
        <is>
          <t>labs-imaging</t>
        </is>
      </c>
      <c r="I1983" t="inlineStr">
        <is>
          <t>mEq/L
   28.2 %
        [image002.jpg]
   AM labs pending
                             [**2186-3-10**]  10:45 AM
                             [**2186-3-10**]  11:01 AM
                             [**2186-3-10**]  11:30 AM
                             [**2186-3-10**]  02:15 PM
                             [**2186-3-10**]  04:41 PM
                             [**2186-3-10**]  06:10 PM
                             [**2186-3-10**]  11:13 PM
                             [**2186-3-11**]  05:17 AM
   WBC
   14.5
   Hct
   24.8
   30.2
   29.2
   28.2
   Plt
   292
   Cr
   0.7
   TropT
   0.17
   0.44
   0.21
   TCO2
   28
   28
   Glucose
   115
   Other labs: PT / PTT / INR:13.5/23.1/1.2, CK / CKMB /
   Troponin-T:226/6/0.21, Differential-Neuts:96.0 %, Band:0.0 %, Lymph:3.0
   %, Mono:1.0 %, Eos:0.0 %
   Imaging: CTA [**3-10**]: CONCLUSION:
   1.</t>
        </is>
      </c>
    </row>
    <row r="1984">
      <c r="A1984" t="inlineStr">
        <is>
          <t>323158-labs-imaging-0-1</t>
        </is>
      </c>
      <c r="B1984" t="inlineStr"/>
      <c r="C1984" t="inlineStr"/>
      <c r="D1984">
        <f>HYPERLINK("http://nlpdeep.cs.uic.edu:8080/proofing/t5/323158-labs-imaging-0-1.pdf","t5/323158-labs-imaging-0-1.pdf")</f>
        <v/>
      </c>
      <c r="E1984" t="n">
        <v>146230</v>
      </c>
      <c r="F1984" t="n">
        <v>323158</v>
      </c>
      <c r="G1984" t="inlineStr">
        <is>
          <t>Physician</t>
        </is>
      </c>
      <c r="H1984" t="inlineStr">
        <is>
          <t>labs-imaging</t>
        </is>
      </c>
      <c r="I1984" t="inlineStr">
        <is>
          <t>No central or segmental pulmonary embolism.</t>
        </is>
      </c>
    </row>
    <row r="1985">
      <c r="A1985" t="inlineStr">
        <is>
          <t>323158-labs-imaging-0-1</t>
        </is>
      </c>
      <c r="B1985" t="inlineStr"/>
      <c r="C1985" t="inlineStr"/>
      <c r="D1985">
        <f>HYPERLINK("http://nlpdeep.cs.uic.edu:8080/proofing/gsii/323158-labs-imaging-0-1.pdf","gsii/323158-labs-imaging-0-1.pdf")</f>
        <v/>
      </c>
      <c r="E1985" t="n">
        <v>146230</v>
      </c>
      <c r="F1985" t="n">
        <v>323158</v>
      </c>
      <c r="G1985" t="inlineStr">
        <is>
          <t>Physician</t>
        </is>
      </c>
      <c r="H1985" t="inlineStr">
        <is>
          <t>labs-imaging</t>
        </is>
      </c>
      <c r="I1985" t="inlineStr">
        <is>
          <t>No central or segmental pulmonary embolism.</t>
        </is>
      </c>
    </row>
    <row r="1986">
      <c r="A1986" t="inlineStr">
        <is>
          <t>323158-labs-imaging-0-2</t>
        </is>
      </c>
      <c r="B1986" t="inlineStr"/>
      <c r="C1986" t="inlineStr"/>
      <c r="D1986">
        <f>HYPERLINK("http://nlpdeep.cs.uic.edu:8080/proofing/t5/323158-labs-imaging-0-2.pdf","t5/323158-labs-imaging-0-2.pdf")</f>
        <v/>
      </c>
      <c r="E1986" t="n">
        <v>146230</v>
      </c>
      <c r="F1986" t="n">
        <v>323158</v>
      </c>
      <c r="G1986" t="inlineStr">
        <is>
          <t>Physician</t>
        </is>
      </c>
      <c r="H1986" t="inlineStr">
        <is>
          <t>labs-imaging</t>
        </is>
      </c>
      <c r="I1986" t="inlineStr">
        <is>
          <t>No aortic dissection.</t>
        </is>
      </c>
    </row>
    <row r="1987">
      <c r="A1987" t="inlineStr">
        <is>
          <t>323158-labs-imaging-0-2</t>
        </is>
      </c>
      <c r="B1987" t="inlineStr"/>
      <c r="C1987" t="inlineStr"/>
      <c r="D1987">
        <f>HYPERLINK("http://nlpdeep.cs.uic.edu:8080/proofing/gsii/323158-labs-imaging-0-2.pdf","gsii/323158-labs-imaging-0-2.pdf")</f>
        <v/>
      </c>
      <c r="E1987" t="n">
        <v>146230</v>
      </c>
      <c r="F1987" t="n">
        <v>323158</v>
      </c>
      <c r="G1987" t="inlineStr">
        <is>
          <t>Physician</t>
        </is>
      </c>
      <c r="H1987" t="inlineStr">
        <is>
          <t>labs-imaging</t>
        </is>
      </c>
      <c r="I1987" t="inlineStr">
        <is>
          <t>No aortic dissection.</t>
        </is>
      </c>
    </row>
    <row r="1988">
      <c r="A1988" t="inlineStr">
        <is>
          <t>323158-labs-imaging-0-3</t>
        </is>
      </c>
      <c r="B1988" t="inlineStr"/>
      <c r="C1988" t="inlineStr"/>
      <c r="D1988">
        <f>HYPERLINK("http://nlpdeep.cs.uic.edu:8080/proofing/t5/323158-labs-imaging-0-3.pdf","t5/323158-labs-imaging-0-3.pdf")</f>
        <v/>
      </c>
      <c r="E1988" t="n">
        <v>146230</v>
      </c>
      <c r="F1988" t="n">
        <v>323158</v>
      </c>
      <c r="G1988" t="inlineStr">
        <is>
          <t>Physician</t>
        </is>
      </c>
      <c r="H1988" t="inlineStr">
        <is>
          <t>labs-imaging</t>
        </is>
      </c>
      <c r="I1988" t="inlineStr">
        <is>
          <t xml:space="preserve">
   The
   coronary arteries arise from normal expected anatomical location.</t>
        </is>
      </c>
    </row>
    <row r="1989">
      <c r="A1989" t="inlineStr">
        <is>
          <t>323158-labs-imaging-0-3</t>
        </is>
      </c>
      <c r="B1989" t="inlineStr"/>
      <c r="C1989" t="inlineStr"/>
      <c r="D1989">
        <f>HYPERLINK("http://nlpdeep.cs.uic.edu:8080/proofing/gsii/323158-labs-imaging-0-3.pdf","gsii/323158-labs-imaging-0-3.pdf")</f>
        <v/>
      </c>
      <c r="E1989" t="n">
        <v>146230</v>
      </c>
      <c r="F1989" t="n">
        <v>323158</v>
      </c>
      <c r="G1989" t="inlineStr">
        <is>
          <t>Physician</t>
        </is>
      </c>
      <c r="H1989" t="inlineStr">
        <is>
          <t>labs-imaging</t>
        </is>
      </c>
      <c r="I1989" t="inlineStr">
        <is>
          <t xml:space="preserve">
   The
   coronary arteries arise from normal expected anatomical location.</t>
        </is>
      </c>
    </row>
    <row r="1990">
      <c r="A1990" t="inlineStr">
        <is>
          <t>323158-labs-imaging-0-4</t>
        </is>
      </c>
      <c r="B1990" t="inlineStr"/>
      <c r="C1990" t="inlineStr"/>
      <c r="D1990">
        <f>HYPERLINK("http://nlpdeep.cs.uic.edu:8080/proofing/t5/323158-labs-imaging-0-4.pdf","t5/323158-labs-imaging-0-4.pdf")</f>
        <v/>
      </c>
      <c r="E1990" t="n">
        <v>146230</v>
      </c>
      <c r="F1990" t="n">
        <v>323158</v>
      </c>
      <c r="G1990" t="inlineStr">
        <is>
          <t>Physician</t>
        </is>
      </c>
      <c r="H1990" t="inlineStr">
        <is>
          <t>labs-imaging</t>
        </is>
      </c>
      <c r="I1990" t="inlineStr">
        <is>
          <t>The ET tube has its tip in the right main bronchus and needs to be
   repositioned.</t>
        </is>
      </c>
    </row>
    <row r="1991">
      <c r="A1991" t="inlineStr">
        <is>
          <t>323158-labs-imaging-0-4</t>
        </is>
      </c>
      <c r="B1991" t="inlineStr"/>
      <c r="C1991" t="inlineStr"/>
      <c r="D1991">
        <f>HYPERLINK("http://nlpdeep.cs.uic.edu:8080/proofing/gsii/323158-labs-imaging-0-4.pdf","gsii/323158-labs-imaging-0-4.pdf")</f>
        <v/>
      </c>
      <c r="E1991" t="n">
        <v>146230</v>
      </c>
      <c r="F1991" t="n">
        <v>323158</v>
      </c>
      <c r="G1991" t="inlineStr">
        <is>
          <t>Physician</t>
        </is>
      </c>
      <c r="H1991" t="inlineStr">
        <is>
          <t>labs-imaging</t>
        </is>
      </c>
      <c r="I1991" t="inlineStr">
        <is>
          <t>The ET tube has its tip in the right main bronchus and needs to be
   repositioned.</t>
        </is>
      </c>
    </row>
    <row r="1992">
      <c r="A1992" t="inlineStr">
        <is>
          <t>323158-labs-imaging-0-5</t>
        </is>
      </c>
      <c r="B1992" t="inlineStr"/>
      <c r="C1992" t="inlineStr"/>
      <c r="D1992">
        <f>HYPERLINK("http://nlpdeep.cs.uic.edu:8080/proofing/t5/323158-labs-imaging-0-5.pdf","t5/323158-labs-imaging-0-5.pdf")</f>
        <v/>
      </c>
      <c r="E1992" t="n">
        <v>146230</v>
      </c>
      <c r="F1992" t="n">
        <v>323158</v>
      </c>
      <c r="G1992" t="inlineStr">
        <is>
          <t>Physician</t>
        </is>
      </c>
      <c r="H1992" t="inlineStr">
        <is>
          <t>labs-imaging</t>
        </is>
      </c>
      <c r="I1992" t="inlineStr">
        <is>
          <t>Passive atelectasis at the lower lobes.</t>
        </is>
      </c>
    </row>
    <row r="1993">
      <c r="A1993" t="inlineStr">
        <is>
          <t>323158-labs-imaging-0-5</t>
        </is>
      </c>
      <c r="B1993" t="inlineStr"/>
      <c r="C1993" t="inlineStr"/>
      <c r="D1993">
        <f>HYPERLINK("http://nlpdeep.cs.uic.edu:8080/proofing/gsii/323158-labs-imaging-0-5.pdf","gsii/323158-labs-imaging-0-5.pdf")</f>
        <v/>
      </c>
      <c r="E1993" t="n">
        <v>146230</v>
      </c>
      <c r="F1993" t="n">
        <v>323158</v>
      </c>
      <c r="G1993" t="inlineStr">
        <is>
          <t>Physician</t>
        </is>
      </c>
      <c r="H1993" t="inlineStr">
        <is>
          <t>labs-imaging</t>
        </is>
      </c>
      <c r="I1993" t="inlineStr">
        <is>
          <t>Passive atelectasis at the lower lobes.</t>
        </is>
      </c>
    </row>
    <row r="1994">
      <c r="A1994" t="inlineStr">
        <is>
          <t>323158-assessment-and-plan-0-0</t>
        </is>
      </c>
      <c r="B1994" t="inlineStr"/>
      <c r="C1994" t="inlineStr"/>
      <c r="D1994">
        <f>HYPERLINK("http://nlpdeep.cs.uic.edu:8080/proofing/t5/323158-assessment-and-plan-0-0.pdf","t5/323158-assessment-and-plan-0-0.pdf")</f>
        <v/>
      </c>
      <c r="E1994" t="n">
        <v>146230</v>
      </c>
      <c r="F1994" t="n">
        <v>323158</v>
      </c>
      <c r="G1994" t="inlineStr">
        <is>
          <t>Physician</t>
        </is>
      </c>
      <c r="H1994" t="inlineStr">
        <is>
          <t>assessment-and-plan</t>
        </is>
      </c>
      <c r="I1994" t="inlineStr">
        <is>
          <t>49 year old woman with history of asthma, DJD secondary to poorly
   healed femoral fracture admitted for hypotension, hypoxia complicated
   by PEA arrest intra-op.</t>
        </is>
      </c>
    </row>
    <row r="1995">
      <c r="A1995" t="inlineStr">
        <is>
          <t>323158-assessment-and-plan-0-0</t>
        </is>
      </c>
      <c r="B1995" t="inlineStr"/>
      <c r="C1995" t="inlineStr"/>
      <c r="D1995">
        <f>HYPERLINK("http://nlpdeep.cs.uic.edu:8080/proofing/gsii/323158-assessment-and-plan-0-0.pdf","gsii/323158-assessment-and-plan-0-0.pdf")</f>
        <v/>
      </c>
      <c r="E1995" t="n">
        <v>146230</v>
      </c>
      <c r="F1995" t="n">
        <v>323158</v>
      </c>
      <c r="G1995" t="inlineStr">
        <is>
          <t>Physician</t>
        </is>
      </c>
      <c r="H1995" t="inlineStr">
        <is>
          <t>assessment-and-plan</t>
        </is>
      </c>
      <c r="I1995" t="inlineStr">
        <is>
          <t>49 year old woman with history of asthma, DJD secondary to poorly
   healed femoral fracture admitted for hypotension, hypoxia complicated
   by PEA arrest intra-op.</t>
        </is>
      </c>
    </row>
    <row r="1996">
      <c r="A1996" t="inlineStr">
        <is>
          <t>323158-assessment-and-plan-0-1</t>
        </is>
      </c>
      <c r="B1996" t="inlineStr"/>
      <c r="C1996" t="inlineStr"/>
      <c r="D1996">
        <f>HYPERLINK("http://nlpdeep.cs.uic.edu:8080/proofing/t5/323158-assessment-and-plan-0-1.pdf","t5/323158-assessment-and-plan-0-1.pdf")</f>
        <v/>
      </c>
      <c r="E1996" t="n">
        <v>146230</v>
      </c>
      <c r="F1996" t="n">
        <v>323158</v>
      </c>
      <c r="G1996" t="inlineStr">
        <is>
          <t>Physician</t>
        </is>
      </c>
      <c r="H1996" t="inlineStr">
        <is>
          <t>assessment-and-plan</t>
        </is>
      </c>
      <c r="I1996" t="inlineStr">
        <is>
          <t xml:space="preserve">
   1) PEA - Likely due to large volume loss.</t>
        </is>
      </c>
    </row>
    <row r="1997">
      <c r="A1997" t="inlineStr">
        <is>
          <t>323158-assessment-and-plan-0-1</t>
        </is>
      </c>
      <c r="B1997" t="inlineStr"/>
      <c r="C1997" t="inlineStr"/>
      <c r="D1997">
        <f>HYPERLINK("http://nlpdeep.cs.uic.edu:8080/proofing/gsii/323158-assessment-and-plan-0-1.pdf","gsii/323158-assessment-and-plan-0-1.pdf")</f>
        <v/>
      </c>
      <c r="E1997" t="n">
        <v>146230</v>
      </c>
      <c r="F1997" t="n">
        <v>323158</v>
      </c>
      <c r="G1997" t="inlineStr">
        <is>
          <t>Physician</t>
        </is>
      </c>
      <c r="H1997" t="inlineStr">
        <is>
          <t>assessment-and-plan</t>
        </is>
      </c>
      <c r="I1997" t="inlineStr">
        <is>
          <t xml:space="preserve">
   1) PEA - Likely due to large volume loss.</t>
        </is>
      </c>
    </row>
    <row r="1998">
      <c r="A1998" t="inlineStr">
        <is>
          <t>323158-assessment-and-plan-0-2</t>
        </is>
      </c>
      <c r="B1998" t="inlineStr"/>
      <c r="C1998" t="inlineStr"/>
      <c r="D1998">
        <f>HYPERLINK("http://nlpdeep.cs.uic.edu:8080/proofing/t5/323158-assessment-and-plan-0-2.pdf","t5/323158-assessment-and-plan-0-2.pdf")</f>
        <v/>
      </c>
      <c r="E1998" t="n">
        <v>146230</v>
      </c>
      <c r="F1998" t="n">
        <v>323158</v>
      </c>
      <c r="G1998" t="inlineStr">
        <is>
          <t>Physician</t>
        </is>
      </c>
      <c r="H1998" t="inlineStr">
        <is>
          <t>assessment-and-plan</t>
        </is>
      </c>
      <c r="I1998" t="inlineStr">
        <is>
          <t xml:space="preserve"> Other differential includes
   fat embolism, PE, MI.</t>
        </is>
      </c>
    </row>
    <row r="1999">
      <c r="A1999" t="inlineStr">
        <is>
          <t>323158-assessment-and-plan-0-2</t>
        </is>
      </c>
      <c r="B1999" t="inlineStr"/>
      <c r="C1999" t="inlineStr"/>
      <c r="D1999">
        <f>HYPERLINK("http://nlpdeep.cs.uic.edu:8080/proofing/gsii/323158-assessment-and-plan-0-2.pdf","gsii/323158-assessment-and-plan-0-2.pdf")</f>
        <v/>
      </c>
      <c r="E1999" t="n">
        <v>146230</v>
      </c>
      <c r="F1999" t="n">
        <v>323158</v>
      </c>
      <c r="G1999" t="inlineStr">
        <is>
          <t>Physician</t>
        </is>
      </c>
      <c r="H1999" t="inlineStr">
        <is>
          <t>assessment-and-plan</t>
        </is>
      </c>
      <c r="I1999" t="inlineStr">
        <is>
          <t xml:space="preserve"> Other differential includes
   fat embolism, PE, MI.</t>
        </is>
      </c>
    </row>
    <row r="2000">
      <c r="A2000" t="inlineStr">
        <is>
          <t>323158-assessment-and-plan-0-3</t>
        </is>
      </c>
      <c r="B2000" t="inlineStr"/>
      <c r="C2000" t="inlineStr"/>
      <c r="D2000">
        <f>HYPERLINK("http://nlpdeep.cs.uic.edu:8080/proofing/t5/323158-assessment-and-plan-0-3.pdf","t5/323158-assessment-and-plan-0-3.pdf")</f>
        <v/>
      </c>
      <c r="E2000" t="n">
        <v>146230</v>
      </c>
      <c r="F2000" t="n">
        <v>323158</v>
      </c>
      <c r="G2000" t="inlineStr">
        <is>
          <t>Physician</t>
        </is>
      </c>
      <c r="H2000" t="inlineStr">
        <is>
          <t>assessment-and-plan</t>
        </is>
      </c>
      <c r="I2000" t="inlineStr">
        <is>
          <t>Of these acute blood loss +/- fat embolism would
   be most likely.</t>
        </is>
      </c>
    </row>
    <row r="2001">
      <c r="A2001" t="inlineStr">
        <is>
          <t>323158-assessment-and-plan-0-3</t>
        </is>
      </c>
      <c r="B2001" t="inlineStr"/>
      <c r="C2001" t="inlineStr"/>
      <c r="D2001">
        <f>HYPERLINK("http://nlpdeep.cs.uic.edu:8080/proofing/gsii/323158-assessment-and-plan-0-3.pdf","gsii/323158-assessment-and-plan-0-3.pdf")</f>
        <v/>
      </c>
      <c r="E2001" t="n">
        <v>146230</v>
      </c>
      <c r="F2001" t="n">
        <v>323158</v>
      </c>
      <c r="G2001" t="inlineStr">
        <is>
          <t>Physician</t>
        </is>
      </c>
      <c r="H2001" t="inlineStr">
        <is>
          <t>assessment-and-plan</t>
        </is>
      </c>
      <c r="I2001" t="inlineStr">
        <is>
          <t>Of these acute blood loss +/- fat embolism would
   be most likely.</t>
        </is>
      </c>
    </row>
    <row r="2002">
      <c r="A2002" t="inlineStr">
        <is>
          <t>323158-assessment-and-plan-0-4</t>
        </is>
      </c>
      <c r="B2002" t="inlineStr"/>
      <c r="C2002" t="inlineStr"/>
      <c r="D2002">
        <f>HYPERLINK("http://nlpdeep.cs.uic.edu:8080/proofing/t5/323158-assessment-and-plan-0-4.pdf","t5/323158-assessment-and-plan-0-4.pdf")</f>
        <v/>
      </c>
      <c r="E2002" t="n">
        <v>146230</v>
      </c>
      <c r="F2002" t="n">
        <v>323158</v>
      </c>
      <c r="G2002" t="inlineStr">
        <is>
          <t>Physician</t>
        </is>
      </c>
      <c r="H2002" t="inlineStr">
        <is>
          <t>assessment-and-plan</t>
        </is>
      </c>
      <c r="I2002" t="inlineStr">
        <is>
          <t xml:space="preserve"> Negative CTA for central or segmental PE with
   non-specific EKG changes would be unlikely to have coronary event that
   could have caused these events.</t>
        </is>
      </c>
    </row>
    <row r="2003">
      <c r="A2003" t="inlineStr">
        <is>
          <t>323158-assessment-and-plan-0-4</t>
        </is>
      </c>
      <c r="B2003" t="inlineStr"/>
      <c r="C2003" t="inlineStr"/>
      <c r="D2003">
        <f>HYPERLINK("http://nlpdeep.cs.uic.edu:8080/proofing/gsii/323158-assessment-and-plan-0-4.pdf","gsii/323158-assessment-and-plan-0-4.pdf")</f>
        <v/>
      </c>
      <c r="E2003" t="n">
        <v>146230</v>
      </c>
      <c r="F2003" t="n">
        <v>323158</v>
      </c>
      <c r="G2003" t="inlineStr">
        <is>
          <t>Physician</t>
        </is>
      </c>
      <c r="H2003" t="inlineStr">
        <is>
          <t>assessment-and-plan</t>
        </is>
      </c>
      <c r="I2003" t="inlineStr">
        <is>
          <t xml:space="preserve"> Negative CTA for central or segmental PE with
   non-specific EKG changes would be unlikely to have coronary event that
   could have caused these events.</t>
        </is>
      </c>
    </row>
    <row r="2004">
      <c r="A2004" t="inlineStr">
        <is>
          <t>323158-assessment-and-plan-0-5</t>
        </is>
      </c>
      <c r="B2004" t="inlineStr"/>
      <c r="C2004" t="inlineStr"/>
      <c r="D2004">
        <f>HYPERLINK("http://nlpdeep.cs.uic.edu:8080/proofing/t5/323158-assessment-and-plan-0-5.pdf","t5/323158-assessment-and-plan-0-5.pdf")</f>
        <v/>
      </c>
      <c r="E2004" t="n">
        <v>146230</v>
      </c>
      <c r="F2004" t="n">
        <v>323158</v>
      </c>
      <c r="G2004" t="inlineStr">
        <is>
          <t>Physician</t>
        </is>
      </c>
      <c r="H2004" t="inlineStr">
        <is>
          <t>assessment-and-plan</t>
        </is>
      </c>
      <c r="I2004" t="inlineStr">
        <is>
          <t xml:space="preserve"> Large troponin leak and CK elevation
   in the setting of PEA/VFib arrest.</t>
        </is>
      </c>
    </row>
    <row r="2005">
      <c r="A2005" t="inlineStr">
        <is>
          <t>323158-assessment-and-plan-0-5</t>
        </is>
      </c>
      <c r="B2005" t="inlineStr"/>
      <c r="C2005" t="inlineStr"/>
      <c r="D2005">
        <f>HYPERLINK("http://nlpdeep.cs.uic.edu:8080/proofing/gsii/323158-assessment-and-plan-0-5.pdf","gsii/323158-assessment-and-plan-0-5.pdf")</f>
        <v/>
      </c>
      <c r="E2005" t="n">
        <v>146230</v>
      </c>
      <c r="F2005" t="n">
        <v>323158</v>
      </c>
      <c r="G2005" t="inlineStr">
        <is>
          <t>Physician</t>
        </is>
      </c>
      <c r="H2005" t="inlineStr">
        <is>
          <t>assessment-and-plan</t>
        </is>
      </c>
      <c r="I2005" t="inlineStr">
        <is>
          <t xml:space="preserve"> Large troponin leak and CK elevation
   in the setting of PEA/VFib arrest.</t>
        </is>
      </c>
    </row>
    <row r="2006">
      <c r="A2006" t="inlineStr">
        <is>
          <t>323158-assessment-and-plan-0-6</t>
        </is>
      </c>
      <c r="B2006" t="inlineStr"/>
      <c r="C2006" t="inlineStr"/>
      <c r="D2006">
        <f>HYPERLINK("http://nlpdeep.cs.uic.edu:8080/proofing/t5/323158-assessment-and-plan-0-6.pdf","t5/323158-assessment-and-plan-0-6.pdf")</f>
        <v/>
      </c>
      <c r="E2006" t="n">
        <v>146230</v>
      </c>
      <c r="F2006" t="n">
        <v>323158</v>
      </c>
      <c r="G2006" t="inlineStr">
        <is>
          <t>Physician</t>
        </is>
      </c>
      <c r="H2006" t="inlineStr">
        <is>
          <t>assessment-and-plan</t>
        </is>
      </c>
      <c r="I2006" t="inlineStr">
        <is>
          <t xml:space="preserve"> Trop peaked at 0.44, now
   downtrending.</t>
        </is>
      </c>
    </row>
    <row r="2007">
      <c r="A2007" t="inlineStr">
        <is>
          <t>323158-assessment-and-plan-0-6</t>
        </is>
      </c>
      <c r="B2007" t="inlineStr"/>
      <c r="C2007" t="inlineStr"/>
      <c r="D2007">
        <f>HYPERLINK("http://nlpdeep.cs.uic.edu:8080/proofing/gsii/323158-assessment-and-plan-0-6.pdf","gsii/323158-assessment-and-plan-0-6.pdf")</f>
        <v/>
      </c>
      <c r="E2007" t="n">
        <v>146230</v>
      </c>
      <c r="F2007" t="n">
        <v>323158</v>
      </c>
      <c r="G2007" t="inlineStr">
        <is>
          <t>Physician</t>
        </is>
      </c>
      <c r="H2007" t="inlineStr">
        <is>
          <t>assessment-and-plan</t>
        </is>
      </c>
      <c r="I2007" t="inlineStr">
        <is>
          <t xml:space="preserve"> Trop peaked at 0.44, now
   downtrending.</t>
        </is>
      </c>
    </row>
    <row r="2008">
      <c r="A2008" t="inlineStr">
        <is>
          <t>323158-assessment-and-plan-0-7</t>
        </is>
      </c>
      <c r="B2008" t="inlineStr"/>
      <c r="C2008" t="inlineStr"/>
      <c r="D2008">
        <f>HYPERLINK("http://nlpdeep.cs.uic.edu:8080/proofing/t5/323158-assessment-and-plan-0-7.pdf","t5/323158-assessment-and-plan-0-7.pdf")</f>
        <v/>
      </c>
      <c r="E2008" t="n">
        <v>146230</v>
      </c>
      <c r="F2008" t="n">
        <v>323158</v>
      </c>
      <c r="G2008" t="inlineStr">
        <is>
          <t>Physician</t>
        </is>
      </c>
      <c r="H2008" t="inlineStr">
        <is>
          <t>assessment-and-plan</t>
        </is>
      </c>
      <c r="I2008" t="inlineStr">
        <is>
          <t>All CE down at this point.</t>
        </is>
      </c>
    </row>
    <row r="2009">
      <c r="A2009" t="inlineStr">
        <is>
          <t>323158-assessment-and-plan-0-7</t>
        </is>
      </c>
      <c r="B2009" t="inlineStr"/>
      <c r="C2009" t="inlineStr"/>
      <c r="D2009">
        <f>HYPERLINK("http://nlpdeep.cs.uic.edu:8080/proofing/gsii/323158-assessment-and-plan-0-7.pdf","gsii/323158-assessment-and-plan-0-7.pdf")</f>
        <v/>
      </c>
      <c r="E2009" t="n">
        <v>146230</v>
      </c>
      <c r="F2009" t="n">
        <v>323158</v>
      </c>
      <c r="G2009" t="inlineStr">
        <is>
          <t>Physician</t>
        </is>
      </c>
      <c r="H2009" t="inlineStr">
        <is>
          <t>assessment-and-plan</t>
        </is>
      </c>
      <c r="I2009" t="inlineStr">
        <is>
          <t>All CE down at this point.</t>
        </is>
      </c>
    </row>
    <row r="2010">
      <c r="A2010" t="inlineStr">
        <is>
          <t>323158-assessment-and-plan-0-8</t>
        </is>
      </c>
      <c r="B2010" t="inlineStr"/>
      <c r="C2010" t="inlineStr"/>
      <c r="D2010">
        <f>HYPERLINK("http://nlpdeep.cs.uic.edu:8080/proofing/t5/323158-assessment-and-plan-0-8.pdf","t5/323158-assessment-and-plan-0-8.pdf")</f>
        <v/>
      </c>
      <c r="E2010" t="n">
        <v>146230</v>
      </c>
      <c r="F2010" t="n">
        <v>323158</v>
      </c>
      <c r="G2010" t="inlineStr">
        <is>
          <t>Physician</t>
        </is>
      </c>
      <c r="H2010" t="inlineStr">
        <is>
          <t>assessment-and-plan</t>
        </is>
      </c>
      <c r="I2010" t="inlineStr">
        <is>
          <t>Patient is now s/p 2 units
   pRBCs.</t>
        </is>
      </c>
    </row>
    <row r="2011">
      <c r="A2011" t="inlineStr">
        <is>
          <t>323158-assessment-and-plan-0-8</t>
        </is>
      </c>
      <c r="B2011" t="inlineStr"/>
      <c r="C2011" t="inlineStr"/>
      <c r="D2011">
        <f>HYPERLINK("http://nlpdeep.cs.uic.edu:8080/proofing/gsii/323158-assessment-and-plan-0-8.pdf","gsii/323158-assessment-and-plan-0-8.pdf")</f>
        <v/>
      </c>
      <c r="E2011" t="n">
        <v>146230</v>
      </c>
      <c r="F2011" t="n">
        <v>323158</v>
      </c>
      <c r="G2011" t="inlineStr">
        <is>
          <t>Physician</t>
        </is>
      </c>
      <c r="H2011" t="inlineStr">
        <is>
          <t>assessment-and-plan</t>
        </is>
      </c>
      <c r="I2011" t="inlineStr">
        <is>
          <t>Patient is now s/p 2 units
   pRBCs.</t>
        </is>
      </c>
    </row>
    <row r="2012">
      <c r="A2012" t="inlineStr">
        <is>
          <t>323158-assessment-and-plan-0-9</t>
        </is>
      </c>
      <c r="B2012" t="inlineStr"/>
      <c r="C2012" t="inlineStr"/>
      <c r="D2012">
        <f>HYPERLINK("http://nlpdeep.cs.uic.edu:8080/proofing/t5/323158-assessment-and-plan-0-9.pdf","t5/323158-assessment-and-plan-0-9.pdf")</f>
        <v/>
      </c>
      <c r="E2012" t="n">
        <v>146230</v>
      </c>
      <c r="F2012" t="n">
        <v>323158</v>
      </c>
      <c r="G2012" t="inlineStr">
        <is>
          <t>Physician</t>
        </is>
      </c>
      <c r="H2012" t="inlineStr">
        <is>
          <t>assessment-and-plan</t>
        </is>
      </c>
      <c r="I2012" t="inlineStr">
        <is>
          <t xml:space="preserve">
   - No need to further cycle CE
   - Continue to follow HCT q6H today as patient had large volume loss and
   HCT is slowly drifting downward
   - Appreciate cardiology recs, will get repeat ECHO in several days to
   re-eval possible posterior wall hypokinesis
   - Started on baby aspirin
   2) Respiratory: Patient successfully extubated with no complications.</t>
        </is>
      </c>
    </row>
    <row r="2013">
      <c r="A2013" t="inlineStr">
        <is>
          <t>323158-assessment-and-plan-0-9</t>
        </is>
      </c>
      <c r="B2013" t="inlineStr"/>
      <c r="C2013" t="inlineStr"/>
      <c r="D2013">
        <f>HYPERLINK("http://nlpdeep.cs.uic.edu:8080/proofing/gsii/323158-assessment-and-plan-0-9.pdf","gsii/323158-assessment-and-plan-0-9.pdf")</f>
        <v/>
      </c>
      <c r="E2013" t="n">
        <v>146230</v>
      </c>
      <c r="F2013" t="n">
        <v>323158</v>
      </c>
      <c r="G2013" t="inlineStr">
        <is>
          <t>Physician</t>
        </is>
      </c>
      <c r="H2013" t="inlineStr">
        <is>
          <t>assessment-and-plan</t>
        </is>
      </c>
      <c r="I2013" t="inlineStr">
        <is>
          <t xml:space="preserve">
   - No need to further cycle CE
   - Continue to follow HCT q6H today as patient had large volume loss and
   HCT is slowly drifting downward
   - Appreciate cardiology recs, will get repeat ECHO in several days to
   re-eval possible posterior wall hypokinesis
   - Started on baby aspirin
   2) Respiratory: Patient successfully extubated with no complications.</t>
        </is>
      </c>
    </row>
    <row r="2014">
      <c r="A2014" t="inlineStr">
        <is>
          <t>323158-assessment-and-plan-0-10</t>
        </is>
      </c>
      <c r="B2014" t="inlineStr"/>
      <c r="C2014" t="inlineStr"/>
      <c r="D2014">
        <f>HYPERLINK("http://nlpdeep.cs.uic.edu:8080/proofing/t5/323158-assessment-and-plan-0-10.pdf","t5/323158-assessment-and-plan-0-10.pdf")</f>
        <v/>
      </c>
      <c r="E2014" t="n">
        <v>146230</v>
      </c>
      <c r="F2014" t="n">
        <v>323158</v>
      </c>
      <c r="G2014" t="inlineStr">
        <is>
          <t>Physician</t>
        </is>
      </c>
      <c r="H2014" t="inlineStr">
        <is>
          <t>assessment-and-plan</t>
        </is>
      </c>
      <c r="I2014" t="inlineStr">
        <is>
          <t xml:space="preserve">
   Good gas exchange.</t>
        </is>
      </c>
    </row>
    <row r="2015">
      <c r="A2015" t="inlineStr">
        <is>
          <t>323158-assessment-and-plan-0-10</t>
        </is>
      </c>
      <c r="B2015" t="inlineStr"/>
      <c r="C2015" t="inlineStr"/>
      <c r="D2015">
        <f>HYPERLINK("http://nlpdeep.cs.uic.edu:8080/proofing/gsii/323158-assessment-and-plan-0-10.pdf","gsii/323158-assessment-and-plan-0-10.pdf")</f>
        <v/>
      </c>
      <c r="E2015" t="n">
        <v>146230</v>
      </c>
      <c r="F2015" t="n">
        <v>323158</v>
      </c>
      <c r="G2015" t="inlineStr">
        <is>
          <t>Physician</t>
        </is>
      </c>
      <c r="H2015" t="inlineStr">
        <is>
          <t>assessment-and-plan</t>
        </is>
      </c>
      <c r="I2015" t="inlineStr">
        <is>
          <t xml:space="preserve">
   Good gas exchange.</t>
        </is>
      </c>
    </row>
    <row r="2016">
      <c r="A2016" t="inlineStr">
        <is>
          <t>323158-assessment-and-plan-0-11</t>
        </is>
      </c>
      <c r="B2016" t="inlineStr"/>
      <c r="C2016" t="inlineStr"/>
      <c r="D2016">
        <f>HYPERLINK("http://nlpdeep.cs.uic.edu:8080/proofing/t5/323158-assessment-and-plan-0-11.pdf","t5/323158-assessment-and-plan-0-11.pdf")</f>
        <v/>
      </c>
      <c r="E2016" t="n">
        <v>146230</v>
      </c>
      <c r="F2016" t="n">
        <v>323158</v>
      </c>
      <c r="G2016" t="inlineStr">
        <is>
          <t>Physician</t>
        </is>
      </c>
      <c r="H2016" t="inlineStr">
        <is>
          <t>assessment-and-plan</t>
        </is>
      </c>
      <c r="I2016" t="inlineStr">
        <is>
          <t xml:space="preserve">
   3) S/p left femural procedure: procedure aborted prematurely due to the
   above complications.</t>
        </is>
      </c>
    </row>
    <row r="2017">
      <c r="A2017" t="inlineStr">
        <is>
          <t>323158-assessment-and-plan-0-11</t>
        </is>
      </c>
      <c r="B2017" t="inlineStr"/>
      <c r="C2017" t="inlineStr"/>
      <c r="D2017">
        <f>HYPERLINK("http://nlpdeep.cs.uic.edu:8080/proofing/gsii/323158-assessment-and-plan-0-11.pdf","gsii/323158-assessment-and-plan-0-11.pdf")</f>
        <v/>
      </c>
      <c r="E2017" t="n">
        <v>146230</v>
      </c>
      <c r="F2017" t="n">
        <v>323158</v>
      </c>
      <c r="G2017" t="inlineStr">
        <is>
          <t>Physician</t>
        </is>
      </c>
      <c r="H2017" t="inlineStr">
        <is>
          <t>assessment-and-plan</t>
        </is>
      </c>
      <c r="I2017" t="inlineStr">
        <is>
          <t xml:space="preserve">
   3) S/p left femural procedure: procedure aborted prematurely due to the
   above complications.</t>
        </is>
      </c>
    </row>
    <row r="2018">
      <c r="A2018" t="inlineStr">
        <is>
          <t>323158-assessment-and-plan-0-12</t>
        </is>
      </c>
      <c r="B2018" t="inlineStr"/>
      <c r="C2018" t="inlineStr"/>
      <c r="D2018">
        <f>HYPERLINK("http://nlpdeep.cs.uic.edu:8080/proofing/t5/323158-assessment-and-plan-0-12.pdf","t5/323158-assessment-and-plan-0-12.pdf")</f>
        <v/>
      </c>
      <c r="E2018" t="n">
        <v>146230</v>
      </c>
      <c r="F2018" t="n">
        <v>323158</v>
      </c>
      <c r="G2018" t="inlineStr">
        <is>
          <t>Physician</t>
        </is>
      </c>
      <c r="H2018" t="inlineStr">
        <is>
          <t>assessment-and-plan</t>
        </is>
      </c>
      <c r="I2018" t="inlineStr">
        <is>
          <t xml:space="preserve">
   - Pain control with vicodin as per home regimen and morphine
   - Lovenox prophylaxis per ortho recommendations
   - CPM, partial weight bearing on LLE and PT consult
   4) Asthma - Stable.</t>
        </is>
      </c>
    </row>
    <row r="2019">
      <c r="A2019" t="inlineStr">
        <is>
          <t>323158-assessment-and-plan-0-12</t>
        </is>
      </c>
      <c r="B2019" t="inlineStr"/>
      <c r="C2019" t="inlineStr"/>
      <c r="D2019">
        <f>HYPERLINK("http://nlpdeep.cs.uic.edu:8080/proofing/gsii/323158-assessment-and-plan-0-12.pdf","gsii/323158-assessment-and-plan-0-12.pdf")</f>
        <v/>
      </c>
      <c r="E2019" t="n">
        <v>146230</v>
      </c>
      <c r="F2019" t="n">
        <v>323158</v>
      </c>
      <c r="G2019" t="inlineStr">
        <is>
          <t>Physician</t>
        </is>
      </c>
      <c r="H2019" t="inlineStr">
        <is>
          <t>assessment-and-plan</t>
        </is>
      </c>
      <c r="I2019" t="inlineStr">
        <is>
          <t xml:space="preserve">
   - Pain control with vicodin as per home regimen and morphine
   - Lovenox prophylaxis per ortho recommendations
   - CPM, partial weight bearing on LLE and PT consult
   4) Asthma - Stable.</t>
        </is>
      </c>
    </row>
    <row r="2020">
      <c r="A2020" t="inlineStr">
        <is>
          <t>323158-assessment-and-plan-0-13</t>
        </is>
      </c>
      <c r="B2020" t="inlineStr"/>
      <c r="C2020" t="inlineStr"/>
      <c r="D2020">
        <f>HYPERLINK("http://nlpdeep.cs.uic.edu:8080/proofing/t5/323158-assessment-and-plan-0-13.pdf","t5/323158-assessment-and-plan-0-13.pdf")</f>
        <v/>
      </c>
      <c r="E2020" t="n">
        <v>146230</v>
      </c>
      <c r="F2020" t="n">
        <v>323158</v>
      </c>
      <c r="G2020" t="inlineStr">
        <is>
          <t>Physician</t>
        </is>
      </c>
      <c r="H2020" t="inlineStr">
        <is>
          <t>assessment-and-plan</t>
        </is>
      </c>
      <c r="I2020" t="inlineStr">
        <is>
          <t>Will resume home medications
   ICU Care
   Nutrition:
   Full diet
   Glycemic Control: Adequate
   Lines:
   Arterial Line - [**2186-3-10**] 10:47 AM
   18 Gauge - [**2186-3-10**] 10:47 AM
   Prophylaxis:
   DVT: Boots, LMW Heparin
   Stress ulcer: PPI
   VAP:  NA
   Comments:</t>
        </is>
      </c>
    </row>
    <row r="2021">
      <c r="A2021" t="inlineStr">
        <is>
          <t>323158-assessment-and-plan-0-13</t>
        </is>
      </c>
      <c r="B2021" t="inlineStr"/>
      <c r="C2021" t="inlineStr"/>
      <c r="D2021">
        <f>HYPERLINK("http://nlpdeep.cs.uic.edu:8080/proofing/gsii/323158-assessment-and-plan-0-13.pdf","gsii/323158-assessment-and-plan-0-13.pdf")</f>
        <v/>
      </c>
      <c r="E2021" t="n">
        <v>146230</v>
      </c>
      <c r="F2021" t="n">
        <v>323158</v>
      </c>
      <c r="G2021" t="inlineStr">
        <is>
          <t>Physician</t>
        </is>
      </c>
      <c r="H2021" t="inlineStr">
        <is>
          <t>assessment-and-plan</t>
        </is>
      </c>
      <c r="I2021" t="inlineStr">
        <is>
          <t>Will resume home medications
   ICU Care
   Nutrition:
   Full diet
   Glycemic Control: Adequate
   Lines:
   Arterial Line - [**2186-3-10**] 10:47 AM
   18 Gauge - [**2186-3-10**] 10:47 AM
   Prophylaxis:
   DVT: Boots, LMW Heparin
   Stress ulcer: PPI
   VAP:  NA
   Comments:</t>
        </is>
      </c>
    </row>
    <row r="2022">
      <c r="A2022" t="inlineStr">
        <is>
          <t>323158-communication-0-0</t>
        </is>
      </c>
      <c r="B2022" t="inlineStr"/>
      <c r="C2022" t="inlineStr"/>
      <c r="D2022">
        <f>HYPERLINK("http://nlpdeep.cs.uic.edu:8080/proofing/t5/323158-communication-0-0.pdf","t5/323158-communication-0-0.pdf")</f>
        <v/>
      </c>
      <c r="E2022" t="n">
        <v>146230</v>
      </c>
      <c r="F2022" t="n">
        <v>323158</v>
      </c>
      <c r="G2022" t="inlineStr">
        <is>
          <t>Physician</t>
        </is>
      </c>
      <c r="H2022" t="inlineStr">
        <is>
          <t>communication</t>
        </is>
      </c>
      <c r="I2022" t="inlineStr">
        <is>
          <t>Comments:</t>
        </is>
      </c>
    </row>
    <row r="2023">
      <c r="A2023" t="inlineStr">
        <is>
          <t>323158-communication-0-0</t>
        </is>
      </c>
      <c r="B2023" t="inlineStr"/>
      <c r="C2023" t="inlineStr"/>
      <c r="D2023">
        <f>HYPERLINK("http://nlpdeep.cs.uic.edu:8080/proofing/gsii/323158-communication-0-0.pdf","gsii/323158-communication-0-0.pdf")</f>
        <v/>
      </c>
      <c r="E2023" t="n">
        <v>146230</v>
      </c>
      <c r="F2023" t="n">
        <v>323158</v>
      </c>
      <c r="G2023" t="inlineStr">
        <is>
          <t>Physician</t>
        </is>
      </c>
      <c r="H2023" t="inlineStr">
        <is>
          <t>communication</t>
        </is>
      </c>
      <c r="I2023" t="inlineStr">
        <is>
          <t>Comments:</t>
        </is>
      </c>
    </row>
    <row r="2024">
      <c r="A2024" t="inlineStr">
        <is>
          <t>323158-code-status-0-0</t>
        </is>
      </c>
      <c r="B2024" t="inlineStr"/>
      <c r="C2024" t="inlineStr"/>
      <c r="D2024">
        <f>HYPERLINK("http://nlpdeep.cs.uic.edu:8080/proofing/t5/323158-code-status-0-0.pdf","t5/323158-code-status-0-0.pdf")</f>
        <v/>
      </c>
      <c r="E2024" t="n">
        <v>146230</v>
      </c>
      <c r="F2024" t="n">
        <v>323158</v>
      </c>
      <c r="G2024" t="inlineStr">
        <is>
          <t>Physician</t>
        </is>
      </c>
      <c r="H2024" t="inlineStr">
        <is>
          <t>code-status</t>
        </is>
      </c>
      <c r="I2024" t="inlineStr">
        <is>
          <t>Full c</t>
        </is>
      </c>
    </row>
    <row r="2025">
      <c r="A2025" t="inlineStr">
        <is>
          <t>323158-code-status-0-0</t>
        </is>
      </c>
      <c r="B2025" t="inlineStr"/>
      <c r="C2025" t="inlineStr"/>
      <c r="D2025">
        <f>HYPERLINK("http://nlpdeep.cs.uic.edu:8080/proofing/gsii/323158-code-status-0-0.pdf","gsii/323158-code-status-0-0.pdf")</f>
        <v/>
      </c>
      <c r="E2025" t="n">
        <v>146230</v>
      </c>
      <c r="F2025" t="n">
        <v>323158</v>
      </c>
      <c r="G2025" t="inlineStr">
        <is>
          <t>Physician</t>
        </is>
      </c>
      <c r="H2025" t="inlineStr">
        <is>
          <t>code-status</t>
        </is>
      </c>
      <c r="I2025" t="inlineStr">
        <is>
          <t>Full c</t>
        </is>
      </c>
    </row>
    <row r="2026">
      <c r="A2026" t="inlineStr">
        <is>
          <t>323158-disposition-0-0</t>
        </is>
      </c>
      <c r="B2026" t="inlineStr"/>
      <c r="C2026" t="inlineStr"/>
      <c r="D2026">
        <f>HYPERLINK("http://nlpdeep.cs.uic.edu:8080/proofing/t5/323158-disposition-0-0.pdf","t5/323158-disposition-0-0.pdf")</f>
        <v/>
      </c>
      <c r="E2026" t="n">
        <v>146230</v>
      </c>
      <c r="F2026" t="n">
        <v>323158</v>
      </c>
      <c r="G2026" t="inlineStr">
        <is>
          <t>Physician</t>
        </is>
      </c>
      <c r="H2026" t="inlineStr">
        <is>
          <t>disposition</t>
        </is>
      </c>
      <c r="I2026" t="inlineStr">
        <is>
          <t>Call out to ortho s</t>
        </is>
      </c>
    </row>
    <row r="2027">
      <c r="A2027" t="inlineStr">
        <is>
          <t>323158-disposition-0-0</t>
        </is>
      </c>
      <c r="B2027" t="inlineStr"/>
      <c r="C2027" t="inlineStr"/>
      <c r="D2027">
        <f>HYPERLINK("http://nlpdeep.cs.uic.edu:8080/proofing/gsii/323158-disposition-0-0.pdf","gsii/323158-disposition-0-0.pdf")</f>
        <v/>
      </c>
      <c r="E2027" t="n">
        <v>146230</v>
      </c>
      <c r="F2027" t="n">
        <v>323158</v>
      </c>
      <c r="G2027" t="inlineStr">
        <is>
          <t>Physician</t>
        </is>
      </c>
      <c r="H2027" t="inlineStr">
        <is>
          <t>disposition</t>
        </is>
      </c>
      <c r="I2027" t="inlineStr">
        <is>
          <t>Call out to ortho s</t>
        </is>
      </c>
    </row>
    <row r="2028">
      <c r="A2028" t="inlineStr">
        <is>
          <t>323154-chief-complaint-0-0</t>
        </is>
      </c>
      <c r="B2028" t="inlineStr"/>
      <c r="C2028" t="inlineStr"/>
      <c r="D2028">
        <f>HYPERLINK("http://nlpdeep.cs.uic.edu:8080/proofing/t5/323154-chief-complaint-0-0.pdf","t5/323154-chief-complaint-0-0.pdf")</f>
        <v/>
      </c>
      <c r="E2028" t="n">
        <v>146230</v>
      </c>
      <c r="F2028" t="n">
        <v>323154</v>
      </c>
      <c r="G2028" t="inlineStr">
        <is>
          <t>Physician</t>
        </is>
      </c>
      <c r="H2028" t="inlineStr">
        <is>
          <t>chief-complaint</t>
        </is>
      </c>
      <c r="I2028" t="inlineStr">
        <is>
          <t>Intra-op PEA a</t>
        </is>
      </c>
    </row>
    <row r="2029">
      <c r="A2029" t="inlineStr">
        <is>
          <t>323154-chief-complaint-0-0</t>
        </is>
      </c>
      <c r="B2029" t="inlineStr"/>
      <c r="C2029" t="inlineStr"/>
      <c r="D2029">
        <f>HYPERLINK("http://nlpdeep.cs.uic.edu:8080/proofing/gsii/323154-chief-complaint-0-0.pdf","gsii/323154-chief-complaint-0-0.pdf")</f>
        <v/>
      </c>
      <c r="E2029" t="n">
        <v>146230</v>
      </c>
      <c r="F2029" t="n">
        <v>323154</v>
      </c>
      <c r="G2029" t="inlineStr">
        <is>
          <t>Physician</t>
        </is>
      </c>
      <c r="H2029" t="inlineStr">
        <is>
          <t>chief-complaint</t>
        </is>
      </c>
      <c r="I2029" t="inlineStr">
        <is>
          <t>Intra-op PEA a</t>
        </is>
      </c>
    </row>
    <row r="2030">
      <c r="A2030" t="inlineStr">
        <is>
          <t>323154-history-of-present-illness-0-0</t>
        </is>
      </c>
      <c r="B2030" t="inlineStr"/>
      <c r="C2030" t="inlineStr"/>
      <c r="D2030">
        <f>HYPERLINK("http://nlpdeep.cs.uic.edu:8080/proofing/t5/323154-history-of-present-illness-0-0.pdf","t5/323154-history-of-present-illness-0-0.pdf")</f>
        <v/>
      </c>
      <c r="E2030" t="n">
        <v>146230</v>
      </c>
      <c r="F2030" t="n">
        <v>323154</v>
      </c>
      <c r="G2030" t="inlineStr">
        <is>
          <t>Physician</t>
        </is>
      </c>
      <c r="H2030" t="inlineStr">
        <is>
          <t>history-of-present-illness</t>
        </is>
      </c>
      <c r="I2030" t="inlineStr">
        <is>
          <t>49 year old female in [**Hospital Unit Name 44**] since [**3-10**]: intra-op PEA arrest during
   realignment of left femoral fracture, in the setting of severe acute
   blood loss.</t>
        </is>
      </c>
    </row>
    <row r="2031">
      <c r="A2031" t="inlineStr">
        <is>
          <t>323154-history-of-present-illness-0-0</t>
        </is>
      </c>
      <c r="B2031" t="inlineStr"/>
      <c r="C2031" t="inlineStr"/>
      <c r="D2031">
        <f>HYPERLINK("http://nlpdeep.cs.uic.edu:8080/proofing/gsii/323154-history-of-present-illness-0-0.pdf","gsii/323154-history-of-present-illness-0-0.pdf")</f>
        <v/>
      </c>
      <c r="E2031" t="n">
        <v>146230</v>
      </c>
      <c r="F2031" t="n">
        <v>323154</v>
      </c>
      <c r="G2031" t="inlineStr">
        <is>
          <t>Physician</t>
        </is>
      </c>
      <c r="H2031" t="inlineStr">
        <is>
          <t>history-of-present-illness</t>
        </is>
      </c>
      <c r="I2031" t="inlineStr">
        <is>
          <t>49 year old female in [**Hospital Unit Name 44**] since [**3-10**]: intra-op PEA arrest during
   realignment of left femoral fracture, in the setting of severe acute
   blood loss.</t>
        </is>
      </c>
    </row>
    <row r="2032">
      <c r="A2032" t="inlineStr">
        <is>
          <t>323154-history-of-present-illness-0-1</t>
        </is>
      </c>
      <c r="B2032" t="inlineStr"/>
      <c r="C2032" t="inlineStr"/>
      <c r="D2032">
        <f>HYPERLINK("http://nlpdeep.cs.uic.edu:8080/proofing/t5/323154-history-of-present-illness-0-1.pdf","t5/323154-history-of-present-illness-0-1.pdf")</f>
        <v/>
      </c>
      <c r="E2032" t="n">
        <v>146230</v>
      </c>
      <c r="F2032" t="n">
        <v>323154</v>
      </c>
      <c r="G2032" t="inlineStr">
        <is>
          <t>Physician</t>
        </is>
      </c>
      <c r="H2032" t="inlineStr">
        <is>
          <t>history-of-present-illness</t>
        </is>
      </c>
      <c r="I2032" t="inlineStr">
        <is>
          <t xml:space="preserve">
   Overnight, pt extubated.</t>
        </is>
      </c>
    </row>
    <row r="2033">
      <c r="A2033" t="inlineStr">
        <is>
          <t>323154-history-of-present-illness-0-1</t>
        </is>
      </c>
      <c r="B2033" t="inlineStr"/>
      <c r="C2033" t="inlineStr"/>
      <c r="D2033">
        <f>HYPERLINK("http://nlpdeep.cs.uic.edu:8080/proofing/gsii/323154-history-of-present-illness-0-1.pdf","gsii/323154-history-of-present-illness-0-1.pdf")</f>
        <v/>
      </c>
      <c r="E2033" t="n">
        <v>146230</v>
      </c>
      <c r="F2033" t="n">
        <v>323154</v>
      </c>
      <c r="G2033" t="inlineStr">
        <is>
          <t>Physician</t>
        </is>
      </c>
      <c r="H2033" t="inlineStr">
        <is>
          <t>history-of-present-illness</t>
        </is>
      </c>
      <c r="I2033" t="inlineStr">
        <is>
          <t xml:space="preserve">
   Overnight, pt extubated.</t>
        </is>
      </c>
    </row>
    <row r="2034">
      <c r="A2034" t="inlineStr">
        <is>
          <t>323154-history-of-present-illness-0-2</t>
        </is>
      </c>
      <c r="B2034" t="inlineStr"/>
      <c r="C2034" t="inlineStr"/>
      <c r="D2034">
        <f>HYPERLINK("http://nlpdeep.cs.uic.edu:8080/proofing/t5/323154-history-of-present-illness-0-2.pdf","t5/323154-history-of-present-illness-0-2.pdf")</f>
        <v/>
      </c>
      <c r="E2034" t="n">
        <v>146230</v>
      </c>
      <c r="F2034" t="n">
        <v>323154</v>
      </c>
      <c r="G2034" t="inlineStr">
        <is>
          <t>Physician</t>
        </is>
      </c>
      <c r="H2034" t="inlineStr">
        <is>
          <t>history-of-present-illness</t>
        </is>
      </c>
      <c r="I2034" t="inlineStr">
        <is>
          <t>CTA negative for PE.</t>
        </is>
      </c>
    </row>
    <row r="2035">
      <c r="A2035" t="inlineStr">
        <is>
          <t>323154-history-of-present-illness-0-2</t>
        </is>
      </c>
      <c r="B2035" t="inlineStr"/>
      <c r="C2035" t="inlineStr"/>
      <c r="D2035">
        <f>HYPERLINK("http://nlpdeep.cs.uic.edu:8080/proofing/gsii/323154-history-of-present-illness-0-2.pdf","gsii/323154-history-of-present-illness-0-2.pdf")</f>
        <v/>
      </c>
      <c r="E2035" t="n">
        <v>146230</v>
      </c>
      <c r="F2035" t="n">
        <v>323154</v>
      </c>
      <c r="G2035" t="inlineStr">
        <is>
          <t>Physician</t>
        </is>
      </c>
      <c r="H2035" t="inlineStr">
        <is>
          <t>history-of-present-illness</t>
        </is>
      </c>
      <c r="I2035" t="inlineStr">
        <is>
          <t>CTA negative for PE.</t>
        </is>
      </c>
    </row>
    <row r="2036">
      <c r="A2036" t="inlineStr">
        <is>
          <t>323154-history-of-present-illness-0-3</t>
        </is>
      </c>
      <c r="B2036" t="inlineStr"/>
      <c r="C2036" t="inlineStr"/>
      <c r="D2036">
        <f>HYPERLINK("http://nlpdeep.cs.uic.edu:8080/proofing/t5/323154-history-of-present-illness-0-3.pdf","t5/323154-history-of-present-illness-0-3.pdf")</f>
        <v/>
      </c>
      <c r="E2036" t="n">
        <v>146230</v>
      </c>
      <c r="F2036" t="n">
        <v>323154</v>
      </c>
      <c r="G2036" t="inlineStr">
        <is>
          <t>Physician</t>
        </is>
      </c>
      <c r="H2036" t="inlineStr">
        <is>
          <t>history-of-present-illness</t>
        </is>
      </c>
      <c r="I2036" t="inlineStr">
        <is>
          <t>Cards consults to re-echo
   in a few days to follow up possible posterior HK seen during intra-op
   arrest.</t>
        </is>
      </c>
    </row>
    <row r="2037">
      <c r="A2037" t="inlineStr">
        <is>
          <t>323154-history-of-present-illness-0-3</t>
        </is>
      </c>
      <c r="B2037" t="inlineStr"/>
      <c r="C2037" t="inlineStr"/>
      <c r="D2037">
        <f>HYPERLINK("http://nlpdeep.cs.uic.edu:8080/proofing/gsii/323154-history-of-present-illness-0-3.pdf","gsii/323154-history-of-present-illness-0-3.pdf")</f>
        <v/>
      </c>
      <c r="E2037" t="n">
        <v>146230</v>
      </c>
      <c r="F2037" t="n">
        <v>323154</v>
      </c>
      <c r="G2037" t="inlineStr">
        <is>
          <t>Physician</t>
        </is>
      </c>
      <c r="H2037" t="inlineStr">
        <is>
          <t>history-of-present-illness</t>
        </is>
      </c>
      <c r="I2037" t="inlineStr">
        <is>
          <t>Cards consults to re-echo
   in a few days to follow up possible posterior HK seen during intra-op
   arrest.</t>
        </is>
      </c>
    </row>
    <row r="2038">
      <c r="A2038" t="inlineStr">
        <is>
          <t>323154-history-of-present-illness-0-4</t>
        </is>
      </c>
      <c r="B2038" t="inlineStr"/>
      <c r="C2038" t="inlineStr"/>
      <c r="D2038">
        <f>HYPERLINK("http://nlpdeep.cs.uic.edu:8080/proofing/t5/323154-history-of-present-illness-0-4.pdf","t5/323154-history-of-present-illness-0-4.pdf")</f>
        <v/>
      </c>
      <c r="E2038" t="n">
        <v>146230</v>
      </c>
      <c r="F2038" t="n">
        <v>323154</v>
      </c>
      <c r="G2038" t="inlineStr">
        <is>
          <t>Physician</t>
        </is>
      </c>
      <c r="H2038" t="inlineStr">
        <is>
          <t>history-of-present-illness</t>
        </is>
      </c>
      <c r="I2038" t="inlineStr">
        <is>
          <t>Cardiac enzymes wtih trop+ leak but decreasing.</t>
        </is>
      </c>
    </row>
    <row r="2039">
      <c r="A2039" t="inlineStr">
        <is>
          <t>323154-history-of-present-illness-0-4</t>
        </is>
      </c>
      <c r="B2039" t="inlineStr"/>
      <c r="C2039" t="inlineStr"/>
      <c r="D2039">
        <f>HYPERLINK("http://nlpdeep.cs.uic.edu:8080/proofing/gsii/323154-history-of-present-illness-0-4.pdf","gsii/323154-history-of-present-illness-0-4.pdf")</f>
        <v/>
      </c>
      <c r="E2039" t="n">
        <v>146230</v>
      </c>
      <c r="F2039" t="n">
        <v>323154</v>
      </c>
      <c r="G2039" t="inlineStr">
        <is>
          <t>Physician</t>
        </is>
      </c>
      <c r="H2039" t="inlineStr">
        <is>
          <t>history-of-present-illness</t>
        </is>
      </c>
      <c r="I2039" t="inlineStr">
        <is>
          <t>Cardiac enzymes wtih trop+ leak but decreasing.</t>
        </is>
      </c>
    </row>
    <row r="2040">
      <c r="A2040" t="inlineStr">
        <is>
          <t>323154-history-of-present-illness-0-5</t>
        </is>
      </c>
      <c r="B2040" t="inlineStr"/>
      <c r="C2040" t="inlineStr"/>
      <c r="D2040">
        <f>HYPERLINK("http://nlpdeep.cs.uic.edu:8080/proofing/t5/323154-history-of-present-illness-0-5.pdf","t5/323154-history-of-present-illness-0-5.pdf")</f>
        <v/>
      </c>
      <c r="E2040" t="n">
        <v>146230</v>
      </c>
      <c r="F2040" t="n">
        <v>323154</v>
      </c>
      <c r="G2040" t="inlineStr">
        <is>
          <t>Physician</t>
        </is>
      </c>
      <c r="H2040" t="inlineStr">
        <is>
          <t>history-of-present-illness</t>
        </is>
      </c>
      <c r="I2040" t="inlineStr">
        <is>
          <t>24 Hour Events:
 ARTERIAL LINE - START [**2186-3-10**] 10:47 AM
 INVASIVE VENTILATION - START [**2186-3-10**] 12:33 PM
 INVASIVE VENTILATION - STOP [**2186-3-10**] 02:59 PM
   History obtained from Medical records, [**Hospital Unit Name 44**] h</t>
        </is>
      </c>
    </row>
    <row r="2041">
      <c r="A2041" t="inlineStr">
        <is>
          <t>323154-history-of-present-illness-0-5</t>
        </is>
      </c>
      <c r="B2041" t="inlineStr"/>
      <c r="C2041" t="inlineStr"/>
      <c r="D2041">
        <f>HYPERLINK("http://nlpdeep.cs.uic.edu:8080/proofing/gsii/323154-history-of-present-illness-0-5.pdf","gsii/323154-history-of-present-illness-0-5.pdf")</f>
        <v/>
      </c>
      <c r="E2041" t="n">
        <v>146230</v>
      </c>
      <c r="F2041" t="n">
        <v>323154</v>
      </c>
      <c r="G2041" t="inlineStr">
        <is>
          <t>Physician</t>
        </is>
      </c>
      <c r="H2041" t="inlineStr">
        <is>
          <t>history-of-present-illness</t>
        </is>
      </c>
      <c r="I2041" t="inlineStr">
        <is>
          <t>24 Hour Events:
 ARTERIAL LINE - START [**2186-3-10**] 10:47 AM
 INVASIVE VENTILATION - START [**2186-3-10**] 12:33 PM
 INVASIVE VENTILATION - STOP [**2186-3-10**] 02:59 PM
   History obtained from Medical records, [**Hospital Unit Name 44**] h</t>
        </is>
      </c>
    </row>
    <row r="2042">
      <c r="A2042" t="inlineStr">
        <is>
          <t>323154-allergies-0-0</t>
        </is>
      </c>
      <c r="B2042" t="inlineStr"/>
      <c r="C2042" t="inlineStr"/>
      <c r="D2042">
        <f>HYPERLINK("http://nlpdeep.cs.uic.edu:8080/proofing/t5/323154-allergies-0-0.pdf","t5/323154-allergies-0-0.pdf")</f>
        <v/>
      </c>
      <c r="E2042" t="n">
        <v>146230</v>
      </c>
      <c r="F2042" t="n">
        <v>323154</v>
      </c>
      <c r="G2042" t="inlineStr">
        <is>
          <t>Physician</t>
        </is>
      </c>
      <c r="H2042" t="inlineStr">
        <is>
          <t>allergies</t>
        </is>
      </c>
      <c r="I2042" t="inlineStr">
        <is>
          <t>Codeine
   severe headache
   Penicillins
   trouble breathi
   Demerol (Injection) (Meperidine Hcl/Pf)
   hot feeling all
   Ampicillin
   sob;
   Melon Flavor
   SOB
   itching [</t>
        </is>
      </c>
    </row>
    <row r="2043">
      <c r="A2043" t="inlineStr">
        <is>
          <t>323154-allergies-0-0</t>
        </is>
      </c>
      <c r="B2043" t="inlineStr"/>
      <c r="C2043" t="inlineStr"/>
      <c r="D2043">
        <f>HYPERLINK("http://nlpdeep.cs.uic.edu:8080/proofing/gsii/323154-allergies-0-0.pdf","gsii/323154-allergies-0-0.pdf")</f>
        <v/>
      </c>
      <c r="E2043" t="n">
        <v>146230</v>
      </c>
      <c r="F2043" t="n">
        <v>323154</v>
      </c>
      <c r="G2043" t="inlineStr">
        <is>
          <t>Physician</t>
        </is>
      </c>
      <c r="H2043" t="inlineStr">
        <is>
          <t>allergies</t>
        </is>
      </c>
      <c r="I2043" t="inlineStr">
        <is>
          <t>Codeine
   severe headache
   Penicillins
   trouble breathi
   Demerol (Injection) (Meperidine Hcl/Pf)
   hot feeling all
   Ampicillin
   sob;
   Melon Flavor
   SOB
   itching [</t>
        </is>
      </c>
    </row>
    <row r="2044">
      <c r="A2044" t="inlineStr">
        <is>
          <t>323154-other-medications-0-0</t>
        </is>
      </c>
      <c r="B2044" t="inlineStr"/>
      <c r="C2044" t="inlineStr"/>
      <c r="D2044">
        <f>HYPERLINK("http://nlpdeep.cs.uic.edu:8080/proofing/t5/323154-other-medications-0-0.pdf","t5/323154-other-medications-0-0.pdf")</f>
        <v/>
      </c>
      <c r="E2044" t="n">
        <v>146230</v>
      </c>
      <c r="F2044" t="n">
        <v>323154</v>
      </c>
      <c r="G2044" t="inlineStr">
        <is>
          <t>Physician</t>
        </is>
      </c>
      <c r="H2044" t="inlineStr">
        <is>
          <t>other-medications</t>
        </is>
      </c>
      <c r="I2044" t="inlineStr">
        <is>
          <t>Fentanyl - [**2186-3-10**] 12:34 PM
   Morphine Sulfate - [**2186-3-10**] 04:39 PM
   Other medications:</t>
        </is>
      </c>
    </row>
    <row r="2045">
      <c r="A2045" t="inlineStr">
        <is>
          <t>323154-other-medications-0-0</t>
        </is>
      </c>
      <c r="B2045" t="inlineStr"/>
      <c r="C2045" t="inlineStr"/>
      <c r="D2045">
        <f>HYPERLINK("http://nlpdeep.cs.uic.edu:8080/proofing/gsii/323154-other-medications-0-0.pdf","gsii/323154-other-medications-0-0.pdf")</f>
        <v/>
      </c>
      <c r="E2045" t="n">
        <v>146230</v>
      </c>
      <c r="F2045" t="n">
        <v>323154</v>
      </c>
      <c r="G2045" t="inlineStr">
        <is>
          <t>Physician</t>
        </is>
      </c>
      <c r="H2045" t="inlineStr">
        <is>
          <t>other-medications</t>
        </is>
      </c>
      <c r="I2045" t="inlineStr">
        <is>
          <t>Fentanyl - [**2186-3-10**] 12:34 PM
   Morphine Sulfate - [**2186-3-10**] 04:39 PM
   Other medications:</t>
        </is>
      </c>
    </row>
    <row r="2046">
      <c r="A2046" t="inlineStr">
        <is>
          <t>323154-past-medical-history-0-0</t>
        </is>
      </c>
      <c r="B2046" t="inlineStr"/>
      <c r="C2046" t="inlineStr"/>
      <c r="D2046">
        <f>HYPERLINK("http://nlpdeep.cs.uic.edu:8080/proofing/t5/323154-past-medical-history-0-0.pdf","t5/323154-past-medical-history-0-0.pdf")</f>
        <v/>
      </c>
      <c r="E2046" t="n">
        <v>146230</v>
      </c>
      <c r="F2046" t="n">
        <v>323154</v>
      </c>
      <c r="G2046" t="inlineStr">
        <is>
          <t>Physician</t>
        </is>
      </c>
      <c r="H2046" t="inlineStr">
        <is>
          <t>past-medical-history</t>
        </is>
      </c>
      <c r="I2046" t="inlineStr">
        <is>
          <t>Changes to medical and family history:
   PMH, SH, FH and ROS are unchanged from Admission except where noted
   above and b</t>
        </is>
      </c>
    </row>
    <row r="2047">
      <c r="A2047" t="inlineStr">
        <is>
          <t>323154-past-medical-history-0-0</t>
        </is>
      </c>
      <c r="B2047" t="inlineStr"/>
      <c r="C2047" t="inlineStr"/>
      <c r="D2047">
        <f>HYPERLINK("http://nlpdeep.cs.uic.edu:8080/proofing/gsii/323154-past-medical-history-0-0.pdf","gsii/323154-past-medical-history-0-0.pdf")</f>
        <v/>
      </c>
      <c r="E2047" t="n">
        <v>146230</v>
      </c>
      <c r="F2047" t="n">
        <v>323154</v>
      </c>
      <c r="G2047" t="inlineStr">
        <is>
          <t>Physician</t>
        </is>
      </c>
      <c r="H2047" t="inlineStr">
        <is>
          <t>past-medical-history</t>
        </is>
      </c>
      <c r="I2047" t="inlineStr">
        <is>
          <t>Changes to medical and family history:
   PMH, SH, FH and ROS are unchanged from Admission except where noted
   above and b</t>
        </is>
      </c>
    </row>
    <row r="2048">
      <c r="A2048" t="inlineStr">
        <is>
          <t>323154-flowsheet-data-vitals-0-0</t>
        </is>
      </c>
      <c r="B2048" t="inlineStr"/>
      <c r="C2048" t="inlineStr"/>
      <c r="D2048">
        <f>HYPERLINK("http://nlpdeep.cs.uic.edu:8080/proofing/t5/323154-flowsheet-data-vitals-0-0.pdf","t5/323154-flowsheet-data-vitals-0-0.pdf")</f>
        <v/>
      </c>
      <c r="E2048" t="n">
        <v>146230</v>
      </c>
      <c r="F2048" t="n">
        <v>323154</v>
      </c>
      <c r="G2048" t="inlineStr">
        <is>
          <t>Physician</t>
        </is>
      </c>
      <c r="H2048" t="inlineStr">
        <is>
          <t>flowsheet-data-vitals</t>
        </is>
      </c>
      <c r="I2048" t="inlineStr">
        <is>
          <t>Vital signs
   Hemodynamic monitoring
   Fluid balance
                                                                  24 hours
                                                               Since 12 AM
   Tmax: 37.7
C (99.8
   Tcurrent: 37
C (98.6
   HR: 89 (72 - 93) bpm
   BP: 102/54(66) {83/51(61) - 103/57(66)} mmHg
   RR: 16 (0 - 28) insp/min
   SpO2: 97%
   Heart rhythm: SR (Sinus Rhythm)
   Height: 60 Inch
             Total In:
                                                                  2,419 mL
                                                                     91 mL
   PO:
             TF:
   IVF:
                                                                  1,669 mL
                                                                     91 mL
   Blood products:
                                                                    750 mL
   Total out:
                                                                  1,190 mL
                                                                    560 mL
   Urine:
                                                                  1,030 mL
                                                                    560 mL
   NG:
   Stool:
   Drains:
   Balance:
                                                                  1,229 mL
                                                                   -469 mL
   Respiratory support
   O2 Delivery Device: CPAP mask
   Ventilator mode: CPAP
   Vt (Set): 600 (600 - 600) mL
   Vt (Spontaneous): 550 (438 - 550) mL
   PS : 5 cmH2O
   RR (Set): 14
   RR (Spontaneous): 17
   PEEP: 10 cmH2O
   FiO2: 21%
   PIP: 33 cmH2O
   Plateau: 27 cmH2O
   SpO2: 97%
   ABG: 7.36/47/193/23/0
   Ve: 8.2 L/min
   PaO2 / FiO2: 9</t>
        </is>
      </c>
    </row>
    <row r="2049">
      <c r="A2049" t="inlineStr">
        <is>
          <t>323154-flowsheet-data-vitals-0-0</t>
        </is>
      </c>
      <c r="B2049" t="inlineStr"/>
      <c r="C2049" t="inlineStr"/>
      <c r="D2049">
        <f>HYPERLINK("http://nlpdeep.cs.uic.edu:8080/proofing/gsii/323154-flowsheet-data-vitals-0-0.pdf","gsii/323154-flowsheet-data-vitals-0-0.pdf")</f>
        <v/>
      </c>
      <c r="E2049" t="n">
        <v>146230</v>
      </c>
      <c r="F2049" t="n">
        <v>323154</v>
      </c>
      <c r="G2049" t="inlineStr">
        <is>
          <t>Physician</t>
        </is>
      </c>
      <c r="H2049" t="inlineStr">
        <is>
          <t>flowsheet-data-vitals</t>
        </is>
      </c>
      <c r="I2049" t="inlineStr">
        <is>
          <t>Vital signs
   Hemodynamic monitoring
   Fluid balance
                                                                  24 hours
                                                               Since 12 AM
   Tmax: 37.7
C (99.8
   Tcurrent: 37
C (98.6
   HR: 89 (72 - 93) bpm
   BP: 102/54(66) {83/51(61) - 103/57(66)} mmHg
   RR: 16 (0 - 28) insp/min
   SpO2: 97%
   Heart rhythm: SR (Sinus Rhythm)
   Height: 60 Inch
             Total In:
                                                                  2,419 mL
                                                                     91 mL
   PO:
             TF:
   IVF:
                                                                  1,669 mL
                                                                     91 mL
   Blood products:
                                                                    750 mL
   Total out:
                                                                  1,190 mL
                                                                    560 mL
   Urine:
                                                                  1,030 mL
                                                                    560 mL
   NG:
   Stool:
   Drains:
   Balance:
                                                                  1,229 mL
                                                                   -469 mL
   Respiratory support
   O2 Delivery Device: CPAP mask
   Ventilator mode: CPAP
   Vt (Set): 600 (600 - 600) mL
   Vt (Spontaneous): 550 (438 - 550) mL
   PS : 5 cmH2O
   RR (Set): 14
   RR (Spontaneous): 17
   PEEP: 10 cmH2O
   FiO2: 21%
   PIP: 33 cmH2O
   Plateau: 27 cmH2O
   SpO2: 97%
   ABG: 7.36/47/193/23/0
   Ve: 8.2 L/min
   PaO2 / FiO2: 9</t>
        </is>
      </c>
    </row>
    <row r="2050">
      <c r="A2050" t="inlineStr">
        <is>
          <t>323154-physical-examination-0-0</t>
        </is>
      </c>
      <c r="B2050" t="inlineStr"/>
      <c r="C2050" t="inlineStr"/>
      <c r="D2050">
        <f>HYPERLINK("http://nlpdeep.cs.uic.edu:8080/proofing/t5/323154-physical-examination-0-0.pdf","t5/323154-physical-examination-0-0.pdf")</f>
        <v/>
      </c>
      <c r="E2050" t="n">
        <v>146230</v>
      </c>
      <c r="F2050" t="n">
        <v>323154</v>
      </c>
      <c r="G2050" t="inlineStr">
        <is>
          <t>Physician</t>
        </is>
      </c>
      <c r="H2050" t="inlineStr">
        <is>
          <t>physical-examination</t>
        </is>
      </c>
      <c r="I2050" t="inlineStr">
        <is>
          <t>General Appearance: Well nourished, No(t) No acute distress, Overweight
   / Obese, No(t) Anxious, No(t) Diaphoretic
   Eyes / Conjunctiva: PERRL, No(t) Pupils dilated, No(t) Conjunctiva
   pale, No(t) Sclera edema
   Head, Ears, Nose, Throat: Normocephalic, No(t) Endotracheal tube, No(t)
   NG tube, No(t) OG tube
   Cardiovascular: (PMI Normal, No(t) Hyperdynamic), (S1: Normal, No(t)
   Absent), (S2: Normal, No(t) Distant, No(t) Widely split , No(t) Fixed),
   No(t) S3, No(t) S4, No(t) Rub, (Murmur: No(t) Systolic, No(t)
   Diastolic)
   Peripheral Vascular: (Right radial pulse: Not assessed), (Left radial
   pulse: Not assessed), (Right DP pulse: Present), (Left DP pulse:
   Present)
   Respiratory / Chest: (Expansion: Symmetric), (Breath Sounds: Clear : ,
   No(t) Crackles : , No(t) Wheezes : , No(t) Diminished: , No(t)
   Rhonchorous: )
   Abdominal: Soft, Non-tender, Bowel sounds present
   Extremities: Right: Absent, Left: Absent, No(t) Cyanosis, No(t)
   Clubbing, left thigh surgical dressing
   Musculoskeletal: Unable to stand
   Skin:  Not assessed
   Neurologic: Attentive, Follows simple commands, Responds to: Verbal
   stimuli, Oriented (to): , Movement: Not assessed, Tone: Not a</t>
        </is>
      </c>
    </row>
    <row r="2051">
      <c r="A2051" t="inlineStr">
        <is>
          <t>323154-physical-examination-0-0</t>
        </is>
      </c>
      <c r="B2051" t="inlineStr"/>
      <c r="C2051" t="inlineStr"/>
      <c r="D2051">
        <f>HYPERLINK("http://nlpdeep.cs.uic.edu:8080/proofing/gsii/323154-physical-examination-0-0.pdf","gsii/323154-physical-examination-0-0.pdf")</f>
        <v/>
      </c>
      <c r="E2051" t="n">
        <v>146230</v>
      </c>
      <c r="F2051" t="n">
        <v>323154</v>
      </c>
      <c r="G2051" t="inlineStr">
        <is>
          <t>Physician</t>
        </is>
      </c>
      <c r="H2051" t="inlineStr">
        <is>
          <t>physical-examination</t>
        </is>
      </c>
      <c r="I2051" t="inlineStr">
        <is>
          <t>General Appearance: Well nourished, No(t) No acute distress, Overweight
   / Obese, No(t) Anxious, No(t) Diaphoretic
   Eyes / Conjunctiva: PERRL, No(t) Pupils dilated, No(t) Conjunctiva
   pale, No(t) Sclera edema
   Head, Ears, Nose, Throat: Normocephalic, No(t) Endotracheal tube, No(t)
   NG tube, No(t) OG tube
   Cardiovascular: (PMI Normal, No(t) Hyperdynamic), (S1: Normal, No(t)
   Absent), (S2: Normal, No(t) Distant, No(t) Widely split , No(t) Fixed),
   No(t) S3, No(t) S4, No(t) Rub, (Murmur: No(t) Systolic, No(t)
   Diastolic)
   Peripheral Vascular: (Right radial pulse: Not assessed), (Left radial
   pulse: Not assessed), (Right DP pulse: Present), (Left DP pulse:
   Present)
   Respiratory / Chest: (Expansion: Symmetric), (Breath Sounds: Clear : ,
   No(t) Crackles : , No(t) Wheezes : , No(t) Diminished: , No(t)
   Rhonchorous: )
   Abdominal: Soft, Non-tender, Bowel sounds present
   Extremities: Right: Absent, Left: Absent, No(t) Cyanosis, No(t)
   Clubbing, left thigh surgical dressing
   Musculoskeletal: Unable to stand
   Skin:  Not assessed
   Neurologic: Attentive, Follows simple commands, Responds to: Verbal
   stimuli, Oriented (to): , Movement: Not assessed, Tone: Not a</t>
        </is>
      </c>
    </row>
    <row r="2052">
      <c r="A2052" t="inlineStr">
        <is>
          <t>323154-assessment-and-plan-0-0</t>
        </is>
      </c>
      <c r="B2052" t="inlineStr"/>
      <c r="C2052" t="inlineStr"/>
      <c r="D2052">
        <f>HYPERLINK("http://nlpdeep.cs.uic.edu:8080/proofing/t5/323154-assessment-and-plan-0-0.pdf","t5/323154-assessment-and-plan-0-0.pdf")</f>
        <v/>
      </c>
      <c r="E2052" t="n">
        <v>146230</v>
      </c>
      <c r="F2052" t="n">
        <v>323154</v>
      </c>
      <c r="G2052" t="inlineStr">
        <is>
          <t>Physician</t>
        </is>
      </c>
      <c r="H2052" t="inlineStr">
        <is>
          <t>assessment-and-plan</t>
        </is>
      </c>
      <c r="I2052" t="inlineStr">
        <is>
          <t>Acute blood loss anemia: no further Hct drop since [**Hospital Unit Name 44**] transfer,
   continue serial HCT
   Resp failure: now extubated
   Femoral fracture: operation was aborted due to intra-op arrest.</t>
        </is>
      </c>
    </row>
    <row r="2053">
      <c r="A2053" t="inlineStr">
        <is>
          <t>323154-assessment-and-plan-0-0</t>
        </is>
      </c>
      <c r="B2053" t="inlineStr"/>
      <c r="C2053" t="inlineStr"/>
      <c r="D2053">
        <f>HYPERLINK("http://nlpdeep.cs.uic.edu:8080/proofing/gsii/323154-assessment-and-plan-0-0.pdf","gsii/323154-assessment-and-plan-0-0.pdf")</f>
        <v/>
      </c>
      <c r="E2053" t="n">
        <v>146230</v>
      </c>
      <c r="F2053" t="n">
        <v>323154</v>
      </c>
      <c r="G2053" t="inlineStr">
        <is>
          <t>Physician</t>
        </is>
      </c>
      <c r="H2053" t="inlineStr">
        <is>
          <t>assessment-and-plan</t>
        </is>
      </c>
      <c r="I2053" t="inlineStr">
        <is>
          <t>Acute blood loss anemia: no further Hct drop since [**Hospital Unit Name 44**] transfer,
   continue serial HCT
   Resp failure: now extubated
   Femoral fracture: operation was aborted due to intra-op arrest.</t>
        </is>
      </c>
    </row>
    <row r="2054">
      <c r="A2054" t="inlineStr">
        <is>
          <t>323154-assessment-and-plan-0-1</t>
        </is>
      </c>
      <c r="B2054" t="inlineStr"/>
      <c r="C2054" t="inlineStr"/>
      <c r="D2054">
        <f>HYPERLINK("http://nlpdeep.cs.uic.edu:8080/proofing/t5/323154-assessment-and-plan-0-1.pdf","t5/323154-assessment-and-plan-0-1.pdf")</f>
        <v/>
      </c>
      <c r="E2054" t="n">
        <v>146230</v>
      </c>
      <c r="F2054" t="n">
        <v>323154</v>
      </c>
      <c r="G2054" t="inlineStr">
        <is>
          <t>Physician</t>
        </is>
      </c>
      <c r="H2054" t="inlineStr">
        <is>
          <t>assessment-and-plan</t>
        </is>
      </c>
      <c r="I2054" t="inlineStr">
        <is>
          <t>Ortho
   following
   Echo abnormalities: ppossible posterior HK seen on intra op Echo, but
   limited technically limited and in the setting of acute blood loss.</t>
        </is>
      </c>
    </row>
    <row r="2055">
      <c r="A2055" t="inlineStr">
        <is>
          <t>323154-assessment-and-plan-0-1</t>
        </is>
      </c>
      <c r="B2055" t="inlineStr"/>
      <c r="C2055" t="inlineStr"/>
      <c r="D2055">
        <f>HYPERLINK("http://nlpdeep.cs.uic.edu:8080/proofing/gsii/323154-assessment-and-plan-0-1.pdf","gsii/323154-assessment-and-plan-0-1.pdf")</f>
        <v/>
      </c>
      <c r="E2055" t="n">
        <v>146230</v>
      </c>
      <c r="F2055" t="n">
        <v>323154</v>
      </c>
      <c r="G2055" t="inlineStr">
        <is>
          <t>Physician</t>
        </is>
      </c>
      <c r="H2055" t="inlineStr">
        <is>
          <t>assessment-and-plan</t>
        </is>
      </c>
      <c r="I2055" t="inlineStr">
        <is>
          <t>Ortho
   following
   Echo abnormalities: ppossible posterior HK seen on intra op Echo, but
   limited technically limited and in the setting of acute blood loss.</t>
        </is>
      </c>
    </row>
    <row r="2056">
      <c r="A2056" t="inlineStr">
        <is>
          <t>323154-assessment-and-plan-0-2</t>
        </is>
      </c>
      <c r="B2056" t="inlineStr"/>
      <c r="C2056" t="inlineStr"/>
      <c r="D2056">
        <f>HYPERLINK("http://nlpdeep.cs.uic.edu:8080/proofing/t5/323154-assessment-and-plan-0-2.pdf","t5/323154-assessment-and-plan-0-2.pdf")</f>
        <v/>
      </c>
      <c r="E2056" t="n">
        <v>146230</v>
      </c>
      <c r="F2056" t="n">
        <v>323154</v>
      </c>
      <c r="G2056" t="inlineStr">
        <is>
          <t>Physician</t>
        </is>
      </c>
      <c r="H2056" t="inlineStr">
        <is>
          <t>assessment-and-plan</t>
        </is>
      </c>
      <c r="I2056" t="inlineStr">
        <is>
          <t>per
   cards, rec repeat Echo.</t>
        </is>
      </c>
    </row>
    <row r="2057">
      <c r="A2057" t="inlineStr">
        <is>
          <t>323154-assessment-and-plan-0-2</t>
        </is>
      </c>
      <c r="B2057" t="inlineStr"/>
      <c r="C2057" t="inlineStr"/>
      <c r="D2057">
        <f>HYPERLINK("http://nlpdeep.cs.uic.edu:8080/proofing/gsii/323154-assessment-and-plan-0-2.pdf","gsii/323154-assessment-and-plan-0-2.pdf")</f>
        <v/>
      </c>
      <c r="E2057" t="n">
        <v>146230</v>
      </c>
      <c r="F2057" t="n">
        <v>323154</v>
      </c>
      <c r="G2057" t="inlineStr">
        <is>
          <t>Physician</t>
        </is>
      </c>
      <c r="H2057" t="inlineStr">
        <is>
          <t>assessment-and-plan</t>
        </is>
      </c>
      <c r="I2057" t="inlineStr">
        <is>
          <t>per
   cards, rec repeat Echo.</t>
        </is>
      </c>
    </row>
    <row r="2058">
      <c r="A2058" t="inlineStr">
        <is>
          <t>323154-assessment-and-plan-0-3</t>
        </is>
      </c>
      <c r="B2058" t="inlineStr"/>
      <c r="C2058" t="inlineStr"/>
      <c r="D2058">
        <f>HYPERLINK("http://nlpdeep.cs.uic.edu:8080/proofing/t5/323154-assessment-and-plan-0-3.pdf","t5/323154-assessment-and-plan-0-3.pdf")</f>
        <v/>
      </c>
      <c r="E2058" t="n">
        <v>146230</v>
      </c>
      <c r="F2058" t="n">
        <v>323154</v>
      </c>
      <c r="G2058" t="inlineStr">
        <is>
          <t>Physician</t>
        </is>
      </c>
      <c r="H2058" t="inlineStr">
        <is>
          <t>assessment-and-plan</t>
        </is>
      </c>
      <c r="I2058" t="inlineStr">
        <is>
          <t>On ASA.</t>
        </is>
      </c>
    </row>
    <row r="2059">
      <c r="A2059" t="inlineStr">
        <is>
          <t>323154-assessment-and-plan-0-3</t>
        </is>
      </c>
      <c r="B2059" t="inlineStr"/>
      <c r="C2059" t="inlineStr"/>
      <c r="D2059">
        <f>HYPERLINK("http://nlpdeep.cs.uic.edu:8080/proofing/gsii/323154-assessment-and-plan-0-3.pdf","gsii/323154-assessment-and-plan-0-3.pdf")</f>
        <v/>
      </c>
      <c r="E2059" t="n">
        <v>146230</v>
      </c>
      <c r="F2059" t="n">
        <v>323154</v>
      </c>
      <c r="G2059" t="inlineStr">
        <is>
          <t>Physician</t>
        </is>
      </c>
      <c r="H2059" t="inlineStr">
        <is>
          <t>assessment-and-plan</t>
        </is>
      </c>
      <c r="I2059" t="inlineStr">
        <is>
          <t>On ASA.</t>
        </is>
      </c>
    </row>
    <row r="2060">
      <c r="A2060" t="inlineStr">
        <is>
          <t>323154-assessment-and-plan-0-4</t>
        </is>
      </c>
      <c r="B2060" t="inlineStr"/>
      <c r="C2060" t="inlineStr"/>
      <c r="D2060">
        <f>HYPERLINK("http://nlpdeep.cs.uic.edu:8080/proofing/t5/323154-assessment-and-plan-0-4.pdf","t5/323154-assessment-and-plan-0-4.pdf")</f>
        <v/>
      </c>
      <c r="E2060" t="n">
        <v>146230</v>
      </c>
      <c r="F2060" t="n">
        <v>323154</v>
      </c>
      <c r="G2060" t="inlineStr">
        <is>
          <t>Physician</t>
        </is>
      </c>
      <c r="H2060" t="inlineStr">
        <is>
          <t>assessment-and-plan</t>
        </is>
      </c>
      <c r="I2060" t="inlineStr">
        <is>
          <t>ICU Care
   Nutrition:
   Glycemic Control:
   Lines:
   18 Gauge - [**2186-3-10**] 10:47 AM
   Prophylaxis:
   DVT: LMW Heparin
   Stress ulcer: PPI
   VAP: HOB elevation, Mouth care
   Comments:</t>
        </is>
      </c>
    </row>
    <row r="2061">
      <c r="A2061" t="inlineStr">
        <is>
          <t>323154-assessment-and-plan-0-4</t>
        </is>
      </c>
      <c r="B2061" t="inlineStr"/>
      <c r="C2061" t="inlineStr"/>
      <c r="D2061">
        <f>HYPERLINK("http://nlpdeep.cs.uic.edu:8080/proofing/gsii/323154-assessment-and-plan-0-4.pdf","gsii/323154-assessment-and-plan-0-4.pdf")</f>
        <v/>
      </c>
      <c r="E2061" t="n">
        <v>146230</v>
      </c>
      <c r="F2061" t="n">
        <v>323154</v>
      </c>
      <c r="G2061" t="inlineStr">
        <is>
          <t>Physician</t>
        </is>
      </c>
      <c r="H2061" t="inlineStr">
        <is>
          <t>assessment-and-plan</t>
        </is>
      </c>
      <c r="I2061" t="inlineStr">
        <is>
          <t>ICU Care
   Nutrition:
   Glycemic Control:
   Lines:
   18 Gauge - [**2186-3-10**] 10:47 AM
   Prophylaxis:
   DVT: LMW Heparin
   Stress ulcer: PPI
   VAP: HOB elevation, Mouth care
   Comments:</t>
        </is>
      </c>
    </row>
    <row r="2062">
      <c r="A2062" t="inlineStr">
        <is>
          <t>323154-communication-0-0</t>
        </is>
      </c>
      <c r="B2062" t="inlineStr"/>
      <c r="C2062" t="inlineStr"/>
      <c r="D2062">
        <f>HYPERLINK("http://nlpdeep.cs.uic.edu:8080/proofing/t5/323154-communication-0-0.pdf","t5/323154-communication-0-0.pdf")</f>
        <v/>
      </c>
      <c r="E2062" t="n">
        <v>146230</v>
      </c>
      <c r="F2062" t="n">
        <v>323154</v>
      </c>
      <c r="G2062" t="inlineStr">
        <is>
          <t>Physician</t>
        </is>
      </c>
      <c r="H2062" t="inlineStr">
        <is>
          <t>communication</t>
        </is>
      </c>
      <c r="I2062" t="inlineStr">
        <is>
          <t>Patient discussed on interdisciplinary rounds  Comments:</t>
        </is>
      </c>
    </row>
    <row r="2063">
      <c r="A2063" t="inlineStr">
        <is>
          <t>323154-communication-0-0</t>
        </is>
      </c>
      <c r="B2063" t="inlineStr"/>
      <c r="C2063" t="inlineStr"/>
      <c r="D2063">
        <f>HYPERLINK("http://nlpdeep.cs.uic.edu:8080/proofing/gsii/323154-communication-0-0.pdf","gsii/323154-communication-0-0.pdf")</f>
        <v/>
      </c>
      <c r="E2063" t="n">
        <v>146230</v>
      </c>
      <c r="F2063" t="n">
        <v>323154</v>
      </c>
      <c r="G2063" t="inlineStr">
        <is>
          <t>Physician</t>
        </is>
      </c>
      <c r="H2063" t="inlineStr">
        <is>
          <t>communication</t>
        </is>
      </c>
      <c r="I2063" t="inlineStr">
        <is>
          <t>Patient discussed on interdisciplinary rounds  Comments:</t>
        </is>
      </c>
    </row>
    <row r="2064">
      <c r="A2064" t="inlineStr">
        <is>
          <t>323154-code-status-0-0</t>
        </is>
      </c>
      <c r="B2064" t="inlineStr"/>
      <c r="C2064" t="inlineStr"/>
      <c r="D2064">
        <f>HYPERLINK("http://nlpdeep.cs.uic.edu:8080/proofing/t5/323154-code-status-0-0.pdf","t5/323154-code-status-0-0.pdf")</f>
        <v/>
      </c>
      <c r="E2064" t="n">
        <v>146230</v>
      </c>
      <c r="F2064" t="n">
        <v>323154</v>
      </c>
      <c r="G2064" t="inlineStr">
        <is>
          <t>Physician</t>
        </is>
      </c>
      <c r="H2064" t="inlineStr">
        <is>
          <t>code-status</t>
        </is>
      </c>
      <c r="I2064" t="inlineStr">
        <is>
          <t>Full c</t>
        </is>
      </c>
    </row>
    <row r="2065">
      <c r="A2065" t="inlineStr">
        <is>
          <t>323154-code-status-0-0</t>
        </is>
      </c>
      <c r="B2065" t="inlineStr"/>
      <c r="C2065" t="inlineStr"/>
      <c r="D2065">
        <f>HYPERLINK("http://nlpdeep.cs.uic.edu:8080/proofing/gsii/323154-code-status-0-0.pdf","gsii/323154-code-status-0-0.pdf")</f>
        <v/>
      </c>
      <c r="E2065" t="n">
        <v>146230</v>
      </c>
      <c r="F2065" t="n">
        <v>323154</v>
      </c>
      <c r="G2065" t="inlineStr">
        <is>
          <t>Physician</t>
        </is>
      </c>
      <c r="H2065" t="inlineStr">
        <is>
          <t>code-status</t>
        </is>
      </c>
      <c r="I2065" t="inlineStr">
        <is>
          <t>Full c</t>
        </is>
      </c>
    </row>
    <row r="2066">
      <c r="A2066" t="inlineStr">
        <is>
          <t>323154-disposition-0-0</t>
        </is>
      </c>
      <c r="B2066" t="inlineStr"/>
      <c r="C2066" t="inlineStr"/>
      <c r="D2066">
        <f>HYPERLINK("http://nlpdeep.cs.uic.edu:8080/proofing/t5/323154-disposition-0-0.pdf","t5/323154-disposition-0-0.pdf")</f>
        <v/>
      </c>
      <c r="E2066" t="n">
        <v>146230</v>
      </c>
      <c r="F2066" t="n">
        <v>323154</v>
      </c>
      <c r="G2066" t="inlineStr">
        <is>
          <t>Physician</t>
        </is>
      </c>
      <c r="H2066" t="inlineStr">
        <is>
          <t>disposition</t>
        </is>
      </c>
      <c r="I2066" t="inlineStr">
        <is>
          <t>:Transfer to f</t>
        </is>
      </c>
    </row>
    <row r="2067">
      <c r="A2067" t="inlineStr">
        <is>
          <t>323154-disposition-0-0</t>
        </is>
      </c>
      <c r="B2067" t="inlineStr"/>
      <c r="C2067" t="inlineStr"/>
      <c r="D2067">
        <f>HYPERLINK("http://nlpdeep.cs.uic.edu:8080/proofing/gsii/323154-disposition-0-0.pdf","gsii/323154-disposition-0-0.pdf")</f>
        <v/>
      </c>
      <c r="E2067" t="n">
        <v>146230</v>
      </c>
      <c r="F2067" t="n">
        <v>323154</v>
      </c>
      <c r="G2067" t="inlineStr">
        <is>
          <t>Physician</t>
        </is>
      </c>
      <c r="H2067" t="inlineStr">
        <is>
          <t>disposition</t>
        </is>
      </c>
      <c r="I2067" t="inlineStr">
        <is>
          <t>:Transfer to f</t>
        </is>
      </c>
    </row>
    <row r="2068">
      <c r="A2068" t="inlineStr">
        <is>
          <t>323138-24-hour-events-0-0</t>
        </is>
      </c>
      <c r="B2068" t="inlineStr"/>
      <c r="C2068" t="inlineStr"/>
      <c r="D2068">
        <f>HYPERLINK("http://nlpdeep.cs.uic.edu:8080/proofing/t5/323138-24-hour-events-0-0.pdf","t5/323138-24-hour-events-0-0.pdf")</f>
        <v/>
      </c>
      <c r="E2068" t="n">
        <v>146230</v>
      </c>
      <c r="F2068" t="n">
        <v>323138</v>
      </c>
      <c r="G2068" t="inlineStr">
        <is>
          <t>Physician</t>
        </is>
      </c>
      <c r="H2068" t="inlineStr">
        <is>
          <t>24-hour-events</t>
        </is>
      </c>
      <c r="I2068" t="inlineStr">
        <is>
          <t>ARTERIAL LINE - START [**2186-3-10**] 10:47 AM
 INVASIVE VENTILATION - START [**2186-3-10**] 12:33 PM
 INVASIVE VENTILATION - STOP [**2186-3-10**] 02:59 PM
   -Extubated
   -CTA negative for PE
   -Cards recs: ECHO in a few days to further eval for wall motion
   abnormalities, cycle enzymes, monitor Hct; feels this is not likely
   embolic event or ACS-&gt; likely due to acute blood loss
   -CE: 1st set: CK 89 MB 4 Trop 0.17, 2nd set: CK 217 MB 7 Trop 0.44,
   next check CK 226 MB 6 Trop 0.21
   -Hct stable over multiple checks, most recent 29.2 stable from 30.2
   prior.</t>
        </is>
      </c>
    </row>
    <row r="2069">
      <c r="A2069" t="inlineStr">
        <is>
          <t>323138-24-hour-events-0-0</t>
        </is>
      </c>
      <c r="B2069" t="inlineStr"/>
      <c r="C2069" t="inlineStr"/>
      <c r="D2069">
        <f>HYPERLINK("http://nlpdeep.cs.uic.edu:8080/proofing/gsii/323138-24-hour-events-0-0.pdf","gsii/323138-24-hour-events-0-0.pdf")</f>
        <v/>
      </c>
      <c r="E2069" t="n">
        <v>146230</v>
      </c>
      <c r="F2069" t="n">
        <v>323138</v>
      </c>
      <c r="G2069" t="inlineStr">
        <is>
          <t>Physician</t>
        </is>
      </c>
      <c r="H2069" t="inlineStr">
        <is>
          <t>24-hour-events</t>
        </is>
      </c>
      <c r="I2069" t="inlineStr">
        <is>
          <t>ARTERIAL LINE - START [**2186-3-10**] 10:47 AM
 INVASIVE VENTILATION - START [**2186-3-10**] 12:33 PM
 INVASIVE VENTILATION - STOP [**2186-3-10**] 02:59 PM
   -Extubated
   -CTA negative for PE
   -Cards recs: ECHO in a few days to further eval for wall motion
   abnormalities, cycle enzymes, monitor Hct; feels this is not likely
   embolic event or ACS-&gt; likely due to acute blood loss
   -CE: 1st set: CK 89 MB 4 Trop 0.17, 2nd set: CK 217 MB 7 Trop 0.44,
   next check CK 226 MB 6 Trop 0.21
   -Hct stable over multiple checks, most recent 29.2 stable from 30.2
   prior.</t>
        </is>
      </c>
    </row>
    <row r="2070">
      <c r="A2070" t="inlineStr">
        <is>
          <t>323138-24-hour-events-0-1</t>
        </is>
      </c>
      <c r="B2070" t="inlineStr"/>
      <c r="C2070" t="inlineStr"/>
      <c r="D2070">
        <f>HYPERLINK("http://nlpdeep.cs.uic.edu:8080/proofing/t5/323138-24-hour-events-0-1.pdf","t5/323138-24-hour-events-0-1.pdf")</f>
        <v/>
      </c>
      <c r="E2070" t="n">
        <v>146230</v>
      </c>
      <c r="F2070" t="n">
        <v>323138</v>
      </c>
      <c r="G2070" t="inlineStr">
        <is>
          <t>Physician</t>
        </is>
      </c>
      <c r="H2070" t="inlineStr">
        <is>
          <t>24-hour-events</t>
        </is>
      </c>
      <c r="I2070" t="inlineStr">
        <is>
          <t>-A-line no longer [**Location (un) 308**] a</t>
        </is>
      </c>
    </row>
    <row r="2071">
      <c r="A2071" t="inlineStr">
        <is>
          <t>323138-24-hour-events-0-1</t>
        </is>
      </c>
      <c r="B2071" t="inlineStr"/>
      <c r="C2071" t="inlineStr"/>
      <c r="D2071">
        <f>HYPERLINK("http://nlpdeep.cs.uic.edu:8080/proofing/gsii/323138-24-hour-events-0-1.pdf","gsii/323138-24-hour-events-0-1.pdf")</f>
        <v/>
      </c>
      <c r="E2071" t="n">
        <v>146230</v>
      </c>
      <c r="F2071" t="n">
        <v>323138</v>
      </c>
      <c r="G2071" t="inlineStr">
        <is>
          <t>Physician</t>
        </is>
      </c>
      <c r="H2071" t="inlineStr">
        <is>
          <t>24-hour-events</t>
        </is>
      </c>
      <c r="I2071" t="inlineStr">
        <is>
          <t>-A-line no longer [**Location (un) 308**] a</t>
        </is>
      </c>
    </row>
    <row r="2072">
      <c r="A2072" t="inlineStr">
        <is>
          <t>323138-allergies-0-0</t>
        </is>
      </c>
      <c r="B2072" t="inlineStr"/>
      <c r="C2072" t="inlineStr"/>
      <c r="D2072">
        <f>HYPERLINK("http://nlpdeep.cs.uic.edu:8080/proofing/t5/323138-allergies-0-0.pdf","t5/323138-allergies-0-0.pdf")</f>
        <v/>
      </c>
      <c r="E2072" t="n">
        <v>146230</v>
      </c>
      <c r="F2072" t="n">
        <v>323138</v>
      </c>
      <c r="G2072" t="inlineStr">
        <is>
          <t>Physician</t>
        </is>
      </c>
      <c r="H2072" t="inlineStr">
        <is>
          <t>allergies</t>
        </is>
      </c>
      <c r="I2072" t="inlineStr">
        <is>
          <t>Codeine
   severe headache
   Penicillins
   trouble breathi
   Demerol (Injection) (Meperidine Hcl/Pf)
   hot feeling all
   Ampicillin
   sob;
   Melon Flavor
   SOB
   itching [</t>
        </is>
      </c>
    </row>
    <row r="2073">
      <c r="A2073" t="inlineStr">
        <is>
          <t>323138-allergies-0-0</t>
        </is>
      </c>
      <c r="B2073" t="inlineStr"/>
      <c r="C2073" t="inlineStr"/>
      <c r="D2073">
        <f>HYPERLINK("http://nlpdeep.cs.uic.edu:8080/proofing/gsii/323138-allergies-0-0.pdf","gsii/323138-allergies-0-0.pdf")</f>
        <v/>
      </c>
      <c r="E2073" t="n">
        <v>146230</v>
      </c>
      <c r="F2073" t="n">
        <v>323138</v>
      </c>
      <c r="G2073" t="inlineStr">
        <is>
          <t>Physician</t>
        </is>
      </c>
      <c r="H2073" t="inlineStr">
        <is>
          <t>allergies</t>
        </is>
      </c>
      <c r="I2073" t="inlineStr">
        <is>
          <t>Codeine
   severe headache
   Penicillins
   trouble breathi
   Demerol (Injection) (Meperidine Hcl/Pf)
   hot feeling all
   Ampicillin
   sob;
   Melon Flavor
   SOB
   itching [</t>
        </is>
      </c>
    </row>
    <row r="2074">
      <c r="A2074" t="inlineStr">
        <is>
          <t>323138-other-medications-0-0</t>
        </is>
      </c>
      <c r="B2074" t="inlineStr"/>
      <c r="C2074" t="inlineStr"/>
      <c r="D2074">
        <f>HYPERLINK("http://nlpdeep.cs.uic.edu:8080/proofing/t5/323138-other-medications-0-0.pdf","t5/323138-other-medications-0-0.pdf")</f>
        <v/>
      </c>
      <c r="E2074" t="n">
        <v>146230</v>
      </c>
      <c r="F2074" t="n">
        <v>323138</v>
      </c>
      <c r="G2074" t="inlineStr">
        <is>
          <t>Physician</t>
        </is>
      </c>
      <c r="H2074" t="inlineStr">
        <is>
          <t>other-medications</t>
        </is>
      </c>
      <c r="I2074" t="inlineStr">
        <is>
          <t>Fentanyl - [**2186-3-10**] 12:34 PM
   Morphine Sulfate - [**2186-3-10**] 04:39 PM
   Other medications:</t>
        </is>
      </c>
    </row>
    <row r="2075">
      <c r="A2075" t="inlineStr">
        <is>
          <t>323138-other-medications-0-0</t>
        </is>
      </c>
      <c r="B2075" t="inlineStr"/>
      <c r="C2075" t="inlineStr"/>
      <c r="D2075">
        <f>HYPERLINK("http://nlpdeep.cs.uic.edu:8080/proofing/gsii/323138-other-medications-0-0.pdf","gsii/323138-other-medications-0-0.pdf")</f>
        <v/>
      </c>
      <c r="E2075" t="n">
        <v>146230</v>
      </c>
      <c r="F2075" t="n">
        <v>323138</v>
      </c>
      <c r="G2075" t="inlineStr">
        <is>
          <t>Physician</t>
        </is>
      </c>
      <c r="H2075" t="inlineStr">
        <is>
          <t>other-medications</t>
        </is>
      </c>
      <c r="I2075" t="inlineStr">
        <is>
          <t>Fentanyl - [**2186-3-10**] 12:34 PM
   Morphine Sulfate - [**2186-3-10**] 04:39 PM
   Other medications:</t>
        </is>
      </c>
    </row>
    <row r="2076">
      <c r="A2076" t="inlineStr">
        <is>
          <t>323138-flowsheet-data-vitals-0-0</t>
        </is>
      </c>
      <c r="B2076" t="inlineStr"/>
      <c r="C2076" t="inlineStr"/>
      <c r="D2076">
        <f>HYPERLINK("http://nlpdeep.cs.uic.edu:8080/proofing/t5/323138-flowsheet-data-vitals-0-0.pdf","t5/323138-flowsheet-data-vitals-0-0.pdf")</f>
        <v/>
      </c>
      <c r="E2076" t="n">
        <v>146230</v>
      </c>
      <c r="F2076" t="n">
        <v>323138</v>
      </c>
      <c r="G2076" t="inlineStr">
        <is>
          <t>Physician</t>
        </is>
      </c>
      <c r="H2076" t="inlineStr">
        <is>
          <t>flowsheet-data-vitals</t>
        </is>
      </c>
      <c r="I2076" t="inlineStr">
        <is>
          <t>Vital signs
   Hemodynamic monitoring
   Fluid balance
                                                                  24 hours
                                                               Since 12 AM
   Tmax: 37.7
C (99.8
   Tcurrent: 36.8
C (98.3
   HR: 83 (72 - 93) bpm
   BP: 91/53(61) {83/51(61) - 103/57(66)} mmHg
   RR: 23 (8 - 28) insp/min
   SpO2: 95%
   Heart rhythm: SR (Sinus Rhythm)
   Height: 60 Inch
             Total In:
                                                                  2,419 mL
                                                                     67 mL
   PO:
             TF:
   IVF:
                                                                  1,669 mL
                                                                     67 mL
   Blood products:
                                                                    750 mL
   Total out:
                                                                  1,190 mL
                                                                    220 mL
   Urine:
                                                                  1,030 mL
                                                                    220 mL
   NG:
   Stool:
   Drains:
   Balance:
                                                                  1,229 mL
                                                                   -153 mL
   Respiratory support
   O2 Delivery Device: CPAP mask
   Ventilator mode: CPAP
   Vt (Set): 600 (600 - 600) mL
   Vt (Spontaneous): 550 (438 - 550) mL
   PS : 5 cmH2O
   RR (Set): 14
   RR (Spontaneous): 17
   PEEP: 10 cmH2O
   FiO2: 21%
   PIP: 33 cmH2O
   Plateau: 27 cmH2O
   SpO2: 95%
   ABG: 7.36/47/193/23/0
   Ve: 8.2 L/min
   PaO2 / FiO2: 9</t>
        </is>
      </c>
    </row>
    <row r="2077">
      <c r="A2077" t="inlineStr">
        <is>
          <t>323138-flowsheet-data-vitals-0-0</t>
        </is>
      </c>
      <c r="B2077" t="inlineStr"/>
      <c r="C2077" t="inlineStr"/>
      <c r="D2077">
        <f>HYPERLINK("http://nlpdeep.cs.uic.edu:8080/proofing/gsii/323138-flowsheet-data-vitals-0-0.pdf","gsii/323138-flowsheet-data-vitals-0-0.pdf")</f>
        <v/>
      </c>
      <c r="E2077" t="n">
        <v>146230</v>
      </c>
      <c r="F2077" t="n">
        <v>323138</v>
      </c>
      <c r="G2077" t="inlineStr">
        <is>
          <t>Physician</t>
        </is>
      </c>
      <c r="H2077" t="inlineStr">
        <is>
          <t>flowsheet-data-vitals</t>
        </is>
      </c>
      <c r="I2077" t="inlineStr">
        <is>
          <t>Vital signs
   Hemodynamic monitoring
   Fluid balance
                                                                  24 hours
                                                               Since 12 AM
   Tmax: 37.7
C (99.8
   Tcurrent: 36.8
C (98.3
   HR: 83 (72 - 93) bpm
   BP: 91/53(61) {83/51(61) - 103/57(66)} mmHg
   RR: 23 (8 - 28) insp/min
   SpO2: 95%
   Heart rhythm: SR (Sinus Rhythm)
   Height: 60 Inch
             Total In:
                                                                  2,419 mL
                                                                     67 mL
   PO:
             TF:
   IVF:
                                                                  1,669 mL
                                                                     67 mL
   Blood products:
                                                                    750 mL
   Total out:
                                                                  1,190 mL
                                                                    220 mL
   Urine:
                                                                  1,030 mL
                                                                    220 mL
   NG:
   Stool:
   Drains:
   Balance:
                                                                  1,229 mL
                                                                   -153 mL
   Respiratory support
   O2 Delivery Device: CPAP mask
   Ventilator mode: CPAP
   Vt (Set): 600 (600 - 600) mL
   Vt (Spontaneous): 550 (438 - 550) mL
   PS : 5 cmH2O
   RR (Set): 14
   RR (Spontaneous): 17
   PEEP: 10 cmH2O
   FiO2: 21%
   PIP: 33 cmH2O
   Plateau: 27 cmH2O
   SpO2: 95%
   ABG: 7.36/47/193/23/0
   Ve: 8.2 L/min
   PaO2 / FiO2: 9</t>
        </is>
      </c>
    </row>
    <row r="2078">
      <c r="A2078" t="inlineStr">
        <is>
          <t>323138-physical-examination-0-0</t>
        </is>
      </c>
      <c r="B2078" t="inlineStr"/>
      <c r="C2078" t="inlineStr"/>
      <c r="D2078">
        <f>HYPERLINK("http://nlpdeep.cs.uic.edu:8080/proofing/t5/323138-physical-examination-0-0.pdf","t5/323138-physical-examination-0-0.pdf")</f>
        <v/>
      </c>
      <c r="E2078" t="n">
        <v>146230</v>
      </c>
      <c r="F2078" t="n">
        <v>323138</v>
      </c>
      <c r="G2078" t="inlineStr">
        <is>
          <t>Physician</t>
        </is>
      </c>
      <c r="H2078" t="inlineStr">
        <is>
          <t>physical-examination</t>
        </is>
      </c>
      <c r="I2078" t="inlineStr">
        <is>
          <t>Peripheral Vascular: (Right radial pulse: Not assessed), (Left radial
   pulse: Not assessed), (Right DP pulse: Not assessed), (Left DP pulse:
   Not assessed)
   Skin:  Not assessed
   Neurologic: Responds to: Not assessed, Movement: Not assessed, Tone:
   Not a</t>
        </is>
      </c>
    </row>
    <row r="2079">
      <c r="A2079" t="inlineStr">
        <is>
          <t>323138-physical-examination-0-0</t>
        </is>
      </c>
      <c r="B2079" t="inlineStr"/>
      <c r="C2079" t="inlineStr"/>
      <c r="D2079">
        <f>HYPERLINK("http://nlpdeep.cs.uic.edu:8080/proofing/gsii/323138-physical-examination-0-0.pdf","gsii/323138-physical-examination-0-0.pdf")</f>
        <v/>
      </c>
      <c r="E2079" t="n">
        <v>146230</v>
      </c>
      <c r="F2079" t="n">
        <v>323138</v>
      </c>
      <c r="G2079" t="inlineStr">
        <is>
          <t>Physician</t>
        </is>
      </c>
      <c r="H2079" t="inlineStr">
        <is>
          <t>physical-examination</t>
        </is>
      </c>
      <c r="I2079" t="inlineStr">
        <is>
          <t>Peripheral Vascular: (Right radial pulse: Not assessed), (Left radial
   pulse: Not assessed), (Right DP pulse: Not assessed), (Left DP pulse:
   Not assessed)
   Skin:  Not assessed
   Neurologic: Responds to: Not assessed, Movement: Not assessed, Tone:
   Not a</t>
        </is>
      </c>
    </row>
    <row r="2080">
      <c r="A2080" t="inlineStr">
        <is>
          <t>323138-labs-imaging-0-0</t>
        </is>
      </c>
      <c r="B2080" t="inlineStr"/>
      <c r="C2080" t="inlineStr"/>
      <c r="D2080">
        <f>HYPERLINK("http://nlpdeep.cs.uic.edu:8080/proofing/t5/323138-labs-imaging-0-0.pdf","t5/323138-labs-imaging-0-0.pdf")</f>
        <v/>
      </c>
      <c r="E2080" t="n">
        <v>146230</v>
      </c>
      <c r="F2080" t="n">
        <v>323138</v>
      </c>
      <c r="G2080" t="inlineStr">
        <is>
          <t>Physician</t>
        </is>
      </c>
      <c r="H2080" t="inlineStr">
        <is>
          <t>labs-imaging</t>
        </is>
      </c>
      <c r="I2080" t="inlineStr">
        <is>
          <t>292 K/uL
   8.4 g/dL
   115 mg/dL
   0.7 mg/dL
   23 mEq/L
   3.9 mEq/L
   17 mg/dL
   109 mEq/L
   139 mEq/L
   28.2 %
   14.5 K/uL
        [image002.jpg]
                             [**2186-3-10**]  10:45 AM
                             [**2186-3-10**]  11:01 AM
                             [**2186-3-10**]  11:30 AM
                             [**2186-3-10**]  02:15 PM
                             [**2186-3-10**]  04:41 PM
                             [**2186-3-10**]  06:10 PM
                             [**2186-3-10**]  11:13 PM
                             [**2186-3-11**]  05:17 AM
   WBC
   14.5
   Hct
   24.8
   30.2
   29.2
   28.2
   Plt
   292
   Cr
   0.7
   TropT
   0.17
   0.44
   0.21
   TCO2
   28
   28
   Glucose
   115
   Other labs: PT / PTT / INR:13.5/23.1/1.2, CK / CKMB /
   Troponin-T:226/6/0.21, Differential-Neuts:96.0 %, Band:0.0 %, Lymph:3.0
   %, Mono:1.0 %, Eos:0.0 %
   Imaging: CTA [**3-10**]: CONCLUSION:
   1.</t>
        </is>
      </c>
    </row>
    <row r="2081">
      <c r="A2081" t="inlineStr">
        <is>
          <t>323138-labs-imaging-0-0</t>
        </is>
      </c>
      <c r="B2081" t="inlineStr"/>
      <c r="C2081" t="inlineStr"/>
      <c r="D2081">
        <f>HYPERLINK("http://nlpdeep.cs.uic.edu:8080/proofing/gsii/323138-labs-imaging-0-0.pdf","gsii/323138-labs-imaging-0-0.pdf")</f>
        <v/>
      </c>
      <c r="E2081" t="n">
        <v>146230</v>
      </c>
      <c r="F2081" t="n">
        <v>323138</v>
      </c>
      <c r="G2081" t="inlineStr">
        <is>
          <t>Physician</t>
        </is>
      </c>
      <c r="H2081" t="inlineStr">
        <is>
          <t>labs-imaging</t>
        </is>
      </c>
      <c r="I2081" t="inlineStr">
        <is>
          <t>292 K/uL
   8.4 g/dL
   115 mg/dL
   0.7 mg/dL
   23 mEq/L
   3.9 mEq/L
   17 mg/dL
   109 mEq/L
   139 mEq/L
   28.2 %
   14.5 K/uL
        [image002.jpg]
                             [**2186-3-10**]  10:45 AM
                             [**2186-3-10**]  11:01 AM
                             [**2186-3-10**]  11:30 AM
                             [**2186-3-10**]  02:15 PM
                             [**2186-3-10**]  04:41 PM
                             [**2186-3-10**]  06:10 PM
                             [**2186-3-10**]  11:13 PM
                             [**2186-3-11**]  05:17 AM
   WBC
   14.5
   Hct
   24.8
   30.2
   29.2
   28.2
   Plt
   292
   Cr
   0.7
   TropT
   0.17
   0.44
   0.21
   TCO2
   28
   28
   Glucose
   115
   Other labs: PT / PTT / INR:13.5/23.1/1.2, CK / CKMB /
   Troponin-T:226/6/0.21, Differential-Neuts:96.0 %, Band:0.0 %, Lymph:3.0
   %, Mono:1.0 %, Eos:0.0 %
   Imaging: CTA [**3-10**]: CONCLUSION:
   1.</t>
        </is>
      </c>
    </row>
    <row r="2082">
      <c r="A2082" t="inlineStr">
        <is>
          <t>323138-labs-imaging-0-1</t>
        </is>
      </c>
      <c r="B2082" t="inlineStr"/>
      <c r="C2082" t="inlineStr"/>
      <c r="D2082">
        <f>HYPERLINK("http://nlpdeep.cs.uic.edu:8080/proofing/t5/323138-labs-imaging-0-1.pdf","t5/323138-labs-imaging-0-1.pdf")</f>
        <v/>
      </c>
      <c r="E2082" t="n">
        <v>146230</v>
      </c>
      <c r="F2082" t="n">
        <v>323138</v>
      </c>
      <c r="G2082" t="inlineStr">
        <is>
          <t>Physician</t>
        </is>
      </c>
      <c r="H2082" t="inlineStr">
        <is>
          <t>labs-imaging</t>
        </is>
      </c>
      <c r="I2082" t="inlineStr">
        <is>
          <t>No central or segmental pulmonary embolism.</t>
        </is>
      </c>
    </row>
    <row r="2083">
      <c r="A2083" t="inlineStr">
        <is>
          <t>323138-labs-imaging-0-1</t>
        </is>
      </c>
      <c r="B2083" t="inlineStr"/>
      <c r="C2083" t="inlineStr"/>
      <c r="D2083">
        <f>HYPERLINK("http://nlpdeep.cs.uic.edu:8080/proofing/gsii/323138-labs-imaging-0-1.pdf","gsii/323138-labs-imaging-0-1.pdf")</f>
        <v/>
      </c>
      <c r="E2083" t="n">
        <v>146230</v>
      </c>
      <c r="F2083" t="n">
        <v>323138</v>
      </c>
      <c r="G2083" t="inlineStr">
        <is>
          <t>Physician</t>
        </is>
      </c>
      <c r="H2083" t="inlineStr">
        <is>
          <t>labs-imaging</t>
        </is>
      </c>
      <c r="I2083" t="inlineStr">
        <is>
          <t>No central or segmental pulmonary embolism.</t>
        </is>
      </c>
    </row>
    <row r="2084">
      <c r="A2084" t="inlineStr">
        <is>
          <t>323138-labs-imaging-0-2</t>
        </is>
      </c>
      <c r="B2084" t="inlineStr"/>
      <c r="C2084" t="inlineStr"/>
      <c r="D2084">
        <f>HYPERLINK("http://nlpdeep.cs.uic.edu:8080/proofing/t5/323138-labs-imaging-0-2.pdf","t5/323138-labs-imaging-0-2.pdf")</f>
        <v/>
      </c>
      <c r="E2084" t="n">
        <v>146230</v>
      </c>
      <c r="F2084" t="n">
        <v>323138</v>
      </c>
      <c r="G2084" t="inlineStr">
        <is>
          <t>Physician</t>
        </is>
      </c>
      <c r="H2084" t="inlineStr">
        <is>
          <t>labs-imaging</t>
        </is>
      </c>
      <c r="I2084" t="inlineStr">
        <is>
          <t>No aortic dissection.</t>
        </is>
      </c>
    </row>
    <row r="2085">
      <c r="A2085" t="inlineStr">
        <is>
          <t>323138-labs-imaging-0-2</t>
        </is>
      </c>
      <c r="B2085" t="inlineStr"/>
      <c r="C2085" t="inlineStr"/>
      <c r="D2085">
        <f>HYPERLINK("http://nlpdeep.cs.uic.edu:8080/proofing/gsii/323138-labs-imaging-0-2.pdf","gsii/323138-labs-imaging-0-2.pdf")</f>
        <v/>
      </c>
      <c r="E2085" t="n">
        <v>146230</v>
      </c>
      <c r="F2085" t="n">
        <v>323138</v>
      </c>
      <c r="G2085" t="inlineStr">
        <is>
          <t>Physician</t>
        </is>
      </c>
      <c r="H2085" t="inlineStr">
        <is>
          <t>labs-imaging</t>
        </is>
      </c>
      <c r="I2085" t="inlineStr">
        <is>
          <t>No aortic dissection.</t>
        </is>
      </c>
    </row>
    <row r="2086">
      <c r="A2086" t="inlineStr">
        <is>
          <t>323138-labs-imaging-0-3</t>
        </is>
      </c>
      <c r="B2086" t="inlineStr"/>
      <c r="C2086" t="inlineStr"/>
      <c r="D2086">
        <f>HYPERLINK("http://nlpdeep.cs.uic.edu:8080/proofing/t5/323138-labs-imaging-0-3.pdf","t5/323138-labs-imaging-0-3.pdf")</f>
        <v/>
      </c>
      <c r="E2086" t="n">
        <v>146230</v>
      </c>
      <c r="F2086" t="n">
        <v>323138</v>
      </c>
      <c r="G2086" t="inlineStr">
        <is>
          <t>Physician</t>
        </is>
      </c>
      <c r="H2086" t="inlineStr">
        <is>
          <t>labs-imaging</t>
        </is>
      </c>
      <c r="I2086" t="inlineStr">
        <is>
          <t xml:space="preserve">
   The
   coronary arteries arise from normal expected anatomical location.</t>
        </is>
      </c>
    </row>
    <row r="2087">
      <c r="A2087" t="inlineStr">
        <is>
          <t>323138-labs-imaging-0-3</t>
        </is>
      </c>
      <c r="B2087" t="inlineStr"/>
      <c r="C2087" t="inlineStr"/>
      <c r="D2087">
        <f>HYPERLINK("http://nlpdeep.cs.uic.edu:8080/proofing/gsii/323138-labs-imaging-0-3.pdf","gsii/323138-labs-imaging-0-3.pdf")</f>
        <v/>
      </c>
      <c r="E2087" t="n">
        <v>146230</v>
      </c>
      <c r="F2087" t="n">
        <v>323138</v>
      </c>
      <c r="G2087" t="inlineStr">
        <is>
          <t>Physician</t>
        </is>
      </c>
      <c r="H2087" t="inlineStr">
        <is>
          <t>labs-imaging</t>
        </is>
      </c>
      <c r="I2087" t="inlineStr">
        <is>
          <t xml:space="preserve">
   The
   coronary arteries arise from normal expected anatomical location.</t>
        </is>
      </c>
    </row>
    <row r="2088">
      <c r="A2088" t="inlineStr">
        <is>
          <t>323138-labs-imaging-0-4</t>
        </is>
      </c>
      <c r="B2088" t="inlineStr"/>
      <c r="C2088" t="inlineStr"/>
      <c r="D2088">
        <f>HYPERLINK("http://nlpdeep.cs.uic.edu:8080/proofing/t5/323138-labs-imaging-0-4.pdf","t5/323138-labs-imaging-0-4.pdf")</f>
        <v/>
      </c>
      <c r="E2088" t="n">
        <v>146230</v>
      </c>
      <c r="F2088" t="n">
        <v>323138</v>
      </c>
      <c r="G2088" t="inlineStr">
        <is>
          <t>Physician</t>
        </is>
      </c>
      <c r="H2088" t="inlineStr">
        <is>
          <t>labs-imaging</t>
        </is>
      </c>
      <c r="I2088" t="inlineStr">
        <is>
          <t>The ET tube has its tip in the right main bronchus and needs to be
   repositioned.</t>
        </is>
      </c>
    </row>
    <row r="2089">
      <c r="A2089" t="inlineStr">
        <is>
          <t>323138-labs-imaging-0-4</t>
        </is>
      </c>
      <c r="B2089" t="inlineStr"/>
      <c r="C2089" t="inlineStr"/>
      <c r="D2089">
        <f>HYPERLINK("http://nlpdeep.cs.uic.edu:8080/proofing/gsii/323138-labs-imaging-0-4.pdf","gsii/323138-labs-imaging-0-4.pdf")</f>
        <v/>
      </c>
      <c r="E2089" t="n">
        <v>146230</v>
      </c>
      <c r="F2089" t="n">
        <v>323138</v>
      </c>
      <c r="G2089" t="inlineStr">
        <is>
          <t>Physician</t>
        </is>
      </c>
      <c r="H2089" t="inlineStr">
        <is>
          <t>labs-imaging</t>
        </is>
      </c>
      <c r="I2089" t="inlineStr">
        <is>
          <t>The ET tube has its tip in the right main bronchus and needs to be
   repositioned.</t>
        </is>
      </c>
    </row>
    <row r="2090">
      <c r="A2090" t="inlineStr">
        <is>
          <t>323138-labs-imaging-0-5</t>
        </is>
      </c>
      <c r="B2090" t="inlineStr"/>
      <c r="C2090" t="inlineStr"/>
      <c r="D2090">
        <f>HYPERLINK("http://nlpdeep.cs.uic.edu:8080/proofing/t5/323138-labs-imaging-0-5.pdf","t5/323138-labs-imaging-0-5.pdf")</f>
        <v/>
      </c>
      <c r="E2090" t="n">
        <v>146230</v>
      </c>
      <c r="F2090" t="n">
        <v>323138</v>
      </c>
      <c r="G2090" t="inlineStr">
        <is>
          <t>Physician</t>
        </is>
      </c>
      <c r="H2090" t="inlineStr">
        <is>
          <t>labs-imaging</t>
        </is>
      </c>
      <c r="I2090" t="inlineStr">
        <is>
          <t>Passive atelectasis at the lower lobes.</t>
        </is>
      </c>
    </row>
    <row r="2091">
      <c r="A2091" t="inlineStr">
        <is>
          <t>323138-labs-imaging-0-5</t>
        </is>
      </c>
      <c r="B2091" t="inlineStr"/>
      <c r="C2091" t="inlineStr"/>
      <c r="D2091">
        <f>HYPERLINK("http://nlpdeep.cs.uic.edu:8080/proofing/gsii/323138-labs-imaging-0-5.pdf","gsii/323138-labs-imaging-0-5.pdf")</f>
        <v/>
      </c>
      <c r="E2091" t="n">
        <v>146230</v>
      </c>
      <c r="F2091" t="n">
        <v>323138</v>
      </c>
      <c r="G2091" t="inlineStr">
        <is>
          <t>Physician</t>
        </is>
      </c>
      <c r="H2091" t="inlineStr">
        <is>
          <t>labs-imaging</t>
        </is>
      </c>
      <c r="I2091" t="inlineStr">
        <is>
          <t>Passive atelectasis at the lower lobes.</t>
        </is>
      </c>
    </row>
    <row r="2092">
      <c r="A2092" t="inlineStr">
        <is>
          <t>323138-assessment-and-plan-0-0</t>
        </is>
      </c>
      <c r="B2092" t="inlineStr"/>
      <c r="C2092" t="inlineStr"/>
      <c r="D2092">
        <f>HYPERLINK("http://nlpdeep.cs.uic.edu:8080/proofing/t5/323138-assessment-and-plan-0-0.pdf","t5/323138-assessment-and-plan-0-0.pdf")</f>
        <v/>
      </c>
      <c r="E2092" t="n">
        <v>146230</v>
      </c>
      <c r="F2092" t="n">
        <v>323138</v>
      </c>
      <c r="G2092" t="inlineStr">
        <is>
          <t>Physician</t>
        </is>
      </c>
      <c r="H2092" t="inlineStr">
        <is>
          <t>assessment-and-plan</t>
        </is>
      </c>
      <c r="I2092" t="inlineStr">
        <is>
          <t>49 year old woman with history of asthma, DJD secondary to poorly
   healed femoral fracture admitted for hypotension, hypoxia complicated
   by PEA arrest intra-op.</t>
        </is>
      </c>
    </row>
    <row r="2093">
      <c r="A2093" t="inlineStr">
        <is>
          <t>323138-assessment-and-plan-0-0</t>
        </is>
      </c>
      <c r="B2093" t="inlineStr"/>
      <c r="C2093" t="inlineStr"/>
      <c r="D2093">
        <f>HYPERLINK("http://nlpdeep.cs.uic.edu:8080/proofing/gsii/323138-assessment-and-plan-0-0.pdf","gsii/323138-assessment-and-plan-0-0.pdf")</f>
        <v/>
      </c>
      <c r="E2093" t="n">
        <v>146230</v>
      </c>
      <c r="F2093" t="n">
        <v>323138</v>
      </c>
      <c r="G2093" t="inlineStr">
        <is>
          <t>Physician</t>
        </is>
      </c>
      <c r="H2093" t="inlineStr">
        <is>
          <t>assessment-and-plan</t>
        </is>
      </c>
      <c r="I2093" t="inlineStr">
        <is>
          <t>49 year old woman with history of asthma, DJD secondary to poorly
   healed femoral fracture admitted for hypotension, hypoxia complicated
   by PEA arrest intra-op.</t>
        </is>
      </c>
    </row>
    <row r="2094">
      <c r="A2094" t="inlineStr">
        <is>
          <t>323138-assessment-and-plan-0-1</t>
        </is>
      </c>
      <c r="B2094" t="inlineStr"/>
      <c r="C2094" t="inlineStr"/>
      <c r="D2094">
        <f>HYPERLINK("http://nlpdeep.cs.uic.edu:8080/proofing/t5/323138-assessment-and-plan-0-1.pdf","t5/323138-assessment-and-plan-0-1.pdf")</f>
        <v/>
      </c>
      <c r="E2094" t="n">
        <v>146230</v>
      </c>
      <c r="F2094" t="n">
        <v>323138</v>
      </c>
      <c r="G2094" t="inlineStr">
        <is>
          <t>Physician</t>
        </is>
      </c>
      <c r="H2094" t="inlineStr">
        <is>
          <t>assessment-and-plan</t>
        </is>
      </c>
      <c r="I2094" t="inlineStr">
        <is>
          <t xml:space="preserve">
   1) PEA - Likely due to large volume loss.</t>
        </is>
      </c>
    </row>
    <row r="2095">
      <c r="A2095" t="inlineStr">
        <is>
          <t>323138-assessment-and-plan-0-1</t>
        </is>
      </c>
      <c r="B2095" t="inlineStr"/>
      <c r="C2095" t="inlineStr"/>
      <c r="D2095">
        <f>HYPERLINK("http://nlpdeep.cs.uic.edu:8080/proofing/gsii/323138-assessment-and-plan-0-1.pdf","gsii/323138-assessment-and-plan-0-1.pdf")</f>
        <v/>
      </c>
      <c r="E2095" t="n">
        <v>146230</v>
      </c>
      <c r="F2095" t="n">
        <v>323138</v>
      </c>
      <c r="G2095" t="inlineStr">
        <is>
          <t>Physician</t>
        </is>
      </c>
      <c r="H2095" t="inlineStr">
        <is>
          <t>assessment-and-plan</t>
        </is>
      </c>
      <c r="I2095" t="inlineStr">
        <is>
          <t xml:space="preserve">
   1) PEA - Likely due to large volume loss.</t>
        </is>
      </c>
    </row>
    <row r="2096">
      <c r="A2096" t="inlineStr">
        <is>
          <t>323138-assessment-and-plan-0-2</t>
        </is>
      </c>
      <c r="B2096" t="inlineStr"/>
      <c r="C2096" t="inlineStr"/>
      <c r="D2096">
        <f>HYPERLINK("http://nlpdeep.cs.uic.edu:8080/proofing/t5/323138-assessment-and-plan-0-2.pdf","t5/323138-assessment-and-plan-0-2.pdf")</f>
        <v/>
      </c>
      <c r="E2096" t="n">
        <v>146230</v>
      </c>
      <c r="F2096" t="n">
        <v>323138</v>
      </c>
      <c r="G2096" t="inlineStr">
        <is>
          <t>Physician</t>
        </is>
      </c>
      <c r="H2096" t="inlineStr">
        <is>
          <t>assessment-and-plan</t>
        </is>
      </c>
      <c r="I2096" t="inlineStr">
        <is>
          <t xml:space="preserve"> leading differential would
   be for severe acute blood loss, fat embolism, PE, MI.</t>
        </is>
      </c>
    </row>
    <row r="2097">
      <c r="A2097" t="inlineStr">
        <is>
          <t>323138-assessment-and-plan-0-2</t>
        </is>
      </c>
      <c r="B2097" t="inlineStr"/>
      <c r="C2097" t="inlineStr"/>
      <c r="D2097">
        <f>HYPERLINK("http://nlpdeep.cs.uic.edu:8080/proofing/gsii/323138-assessment-and-plan-0-2.pdf","gsii/323138-assessment-and-plan-0-2.pdf")</f>
        <v/>
      </c>
      <c r="E2097" t="n">
        <v>146230</v>
      </c>
      <c r="F2097" t="n">
        <v>323138</v>
      </c>
      <c r="G2097" t="inlineStr">
        <is>
          <t>Physician</t>
        </is>
      </c>
      <c r="H2097" t="inlineStr">
        <is>
          <t>assessment-and-plan</t>
        </is>
      </c>
      <c r="I2097" t="inlineStr">
        <is>
          <t xml:space="preserve"> leading differential would
   be for severe acute blood loss, fat embolism, PE, MI.</t>
        </is>
      </c>
    </row>
    <row r="2098">
      <c r="A2098" t="inlineStr">
        <is>
          <t>323138-assessment-and-plan-0-3</t>
        </is>
      </c>
      <c r="B2098" t="inlineStr"/>
      <c r="C2098" t="inlineStr"/>
      <c r="D2098">
        <f>HYPERLINK("http://nlpdeep.cs.uic.edu:8080/proofing/t5/323138-assessment-and-plan-0-3.pdf","t5/323138-assessment-and-plan-0-3.pdf")</f>
        <v/>
      </c>
      <c r="E2098" t="n">
        <v>146230</v>
      </c>
      <c r="F2098" t="n">
        <v>323138</v>
      </c>
      <c r="G2098" t="inlineStr">
        <is>
          <t>Physician</t>
        </is>
      </c>
      <c r="H2098" t="inlineStr">
        <is>
          <t>assessment-and-plan</t>
        </is>
      </c>
      <c r="I2098" t="inlineStr">
        <is>
          <t>of these acute
   blood loss +/- fat embolism would be most likely.</t>
        </is>
      </c>
    </row>
    <row r="2099">
      <c r="A2099" t="inlineStr">
        <is>
          <t>323138-assessment-and-plan-0-3</t>
        </is>
      </c>
      <c r="B2099" t="inlineStr"/>
      <c r="C2099" t="inlineStr"/>
      <c r="D2099">
        <f>HYPERLINK("http://nlpdeep.cs.uic.edu:8080/proofing/gsii/323138-assessment-and-plan-0-3.pdf","gsii/323138-assessment-and-plan-0-3.pdf")</f>
        <v/>
      </c>
      <c r="E2099" t="n">
        <v>146230</v>
      </c>
      <c r="F2099" t="n">
        <v>323138</v>
      </c>
      <c r="G2099" t="inlineStr">
        <is>
          <t>Physician</t>
        </is>
      </c>
      <c r="H2099" t="inlineStr">
        <is>
          <t>assessment-and-plan</t>
        </is>
      </c>
      <c r="I2099" t="inlineStr">
        <is>
          <t>of these acute
   blood loss +/- fat embolism would be most likely.</t>
        </is>
      </c>
    </row>
    <row r="2100">
      <c r="A2100" t="inlineStr">
        <is>
          <t>323138-assessment-and-plan-0-4</t>
        </is>
      </c>
      <c r="B2100" t="inlineStr"/>
      <c r="C2100" t="inlineStr"/>
      <c r="D2100">
        <f>HYPERLINK("http://nlpdeep.cs.uic.edu:8080/proofing/t5/323138-assessment-and-plan-0-4.pdf","t5/323138-assessment-and-plan-0-4.pdf")</f>
        <v/>
      </c>
      <c r="E2100" t="n">
        <v>146230</v>
      </c>
      <c r="F2100" t="n">
        <v>323138</v>
      </c>
      <c r="G2100" t="inlineStr">
        <is>
          <t>Physician</t>
        </is>
      </c>
      <c r="H2100" t="inlineStr">
        <is>
          <t>assessment-and-plan</t>
        </is>
      </c>
      <c r="I2100" t="inlineStr">
        <is>
          <t xml:space="preserve"> negative CTA for
   central or segmental PE.</t>
        </is>
      </c>
    </row>
    <row r="2101">
      <c r="A2101" t="inlineStr">
        <is>
          <t>323138-assessment-and-plan-0-4</t>
        </is>
      </c>
      <c r="B2101" t="inlineStr"/>
      <c r="C2101" t="inlineStr"/>
      <c r="D2101">
        <f>HYPERLINK("http://nlpdeep.cs.uic.edu:8080/proofing/gsii/323138-assessment-and-plan-0-4.pdf","gsii/323138-assessment-and-plan-0-4.pdf")</f>
        <v/>
      </c>
      <c r="E2101" t="n">
        <v>146230</v>
      </c>
      <c r="F2101" t="n">
        <v>323138</v>
      </c>
      <c r="G2101" t="inlineStr">
        <is>
          <t>Physician</t>
        </is>
      </c>
      <c r="H2101" t="inlineStr">
        <is>
          <t>assessment-and-plan</t>
        </is>
      </c>
      <c r="I2101" t="inlineStr">
        <is>
          <t xml:space="preserve"> negative CTA for
   central or segmental PE.</t>
        </is>
      </c>
    </row>
    <row r="2102">
      <c r="A2102" t="inlineStr">
        <is>
          <t>323138-assessment-and-plan-0-5</t>
        </is>
      </c>
      <c r="B2102" t="inlineStr"/>
      <c r="C2102" t="inlineStr"/>
      <c r="D2102">
        <f>HYPERLINK("http://nlpdeep.cs.uic.edu:8080/proofing/t5/323138-assessment-and-plan-0-5.pdf","t5/323138-assessment-and-plan-0-5.pdf")</f>
        <v/>
      </c>
      <c r="E2102" t="n">
        <v>146230</v>
      </c>
      <c r="F2102" t="n">
        <v>323138</v>
      </c>
      <c r="G2102" t="inlineStr">
        <is>
          <t>Physician</t>
        </is>
      </c>
      <c r="H2102" t="inlineStr">
        <is>
          <t>assessment-and-plan</t>
        </is>
      </c>
      <c r="I2102" t="inlineStr">
        <is>
          <t>with non-specific EKG changes would be
   unlikely to have coronary event that could have caused these events.</t>
        </is>
      </c>
    </row>
    <row r="2103">
      <c r="A2103" t="inlineStr">
        <is>
          <t>323138-assessment-and-plan-0-5</t>
        </is>
      </c>
      <c r="B2103" t="inlineStr"/>
      <c r="C2103" t="inlineStr"/>
      <c r="D2103">
        <f>HYPERLINK("http://nlpdeep.cs.uic.edu:8080/proofing/gsii/323138-assessment-and-plan-0-5.pdf","gsii/323138-assessment-and-plan-0-5.pdf")</f>
        <v/>
      </c>
      <c r="E2103" t="n">
        <v>146230</v>
      </c>
      <c r="F2103" t="n">
        <v>323138</v>
      </c>
      <c r="G2103" t="inlineStr">
        <is>
          <t>Physician</t>
        </is>
      </c>
      <c r="H2103" t="inlineStr">
        <is>
          <t>assessment-and-plan</t>
        </is>
      </c>
      <c r="I2103" t="inlineStr">
        <is>
          <t>with non-specific EKG changes would be
   unlikely to have coronary event that could have caused these events.</t>
        </is>
      </c>
    </row>
    <row r="2104">
      <c r="A2104" t="inlineStr">
        <is>
          <t>323138-assessment-and-plan-0-6</t>
        </is>
      </c>
      <c r="B2104" t="inlineStr"/>
      <c r="C2104" t="inlineStr"/>
      <c r="D2104">
        <f>HYPERLINK("http://nlpdeep.cs.uic.edu:8080/proofing/t5/323138-assessment-and-plan-0-6.pdf","t5/323138-assessment-and-plan-0-6.pdf")</f>
        <v/>
      </c>
      <c r="E2104" t="n">
        <v>146230</v>
      </c>
      <c r="F2104" t="n">
        <v>323138</v>
      </c>
      <c r="G2104" t="inlineStr">
        <is>
          <t>Physician</t>
        </is>
      </c>
      <c r="H2104" t="inlineStr">
        <is>
          <t>assessment-and-plan</t>
        </is>
      </c>
      <c r="I2104" t="inlineStr">
        <is>
          <t xml:space="preserve">
   Large troponin leak and CK elevation in the setting of PEA/VFib
   arrest.</t>
        </is>
      </c>
    </row>
    <row r="2105">
      <c r="A2105" t="inlineStr">
        <is>
          <t>323138-assessment-and-plan-0-6</t>
        </is>
      </c>
      <c r="B2105" t="inlineStr"/>
      <c r="C2105" t="inlineStr"/>
      <c r="D2105">
        <f>HYPERLINK("http://nlpdeep.cs.uic.edu:8080/proofing/gsii/323138-assessment-and-plan-0-6.pdf","gsii/323138-assessment-and-plan-0-6.pdf")</f>
        <v/>
      </c>
      <c r="E2105" t="n">
        <v>146230</v>
      </c>
      <c r="F2105" t="n">
        <v>323138</v>
      </c>
      <c r="G2105" t="inlineStr">
        <is>
          <t>Physician</t>
        </is>
      </c>
      <c r="H2105" t="inlineStr">
        <is>
          <t>assessment-and-plan</t>
        </is>
      </c>
      <c r="I2105" t="inlineStr">
        <is>
          <t xml:space="preserve">
   Large troponin leak and CK elevation in the setting of PEA/VFib
   arrest.</t>
        </is>
      </c>
    </row>
    <row r="2106">
      <c r="A2106" t="inlineStr">
        <is>
          <t>323138-assessment-and-plan-0-7</t>
        </is>
      </c>
      <c r="B2106" t="inlineStr"/>
      <c r="C2106" t="inlineStr"/>
      <c r="D2106">
        <f>HYPERLINK("http://nlpdeep.cs.uic.edu:8080/proofing/t5/323138-assessment-and-plan-0-7.pdf","t5/323138-assessment-and-plan-0-7.pdf")</f>
        <v/>
      </c>
      <c r="E2106" t="n">
        <v>146230</v>
      </c>
      <c r="F2106" t="n">
        <v>323138</v>
      </c>
      <c r="G2106" t="inlineStr">
        <is>
          <t>Physician</t>
        </is>
      </c>
      <c r="H2106" t="inlineStr">
        <is>
          <t>assessment-and-plan</t>
        </is>
      </c>
      <c r="I2106" t="inlineStr">
        <is>
          <t xml:space="preserve"> Trop peaked at 0.44, now downtrending.</t>
        </is>
      </c>
    </row>
    <row r="2107">
      <c r="A2107" t="inlineStr">
        <is>
          <t>323138-assessment-and-plan-0-7</t>
        </is>
      </c>
      <c r="B2107" t="inlineStr"/>
      <c r="C2107" t="inlineStr"/>
      <c r="D2107">
        <f>HYPERLINK("http://nlpdeep.cs.uic.edu:8080/proofing/gsii/323138-assessment-and-plan-0-7.pdf","gsii/323138-assessment-and-plan-0-7.pdf")</f>
        <v/>
      </c>
      <c r="E2107" t="n">
        <v>146230</v>
      </c>
      <c r="F2107" t="n">
        <v>323138</v>
      </c>
      <c r="G2107" t="inlineStr">
        <is>
          <t>Physician</t>
        </is>
      </c>
      <c r="H2107" t="inlineStr">
        <is>
          <t>assessment-and-plan</t>
        </is>
      </c>
      <c r="I2107" t="inlineStr">
        <is>
          <t xml:space="preserve"> Trop peaked at 0.44, now downtrending.</t>
        </is>
      </c>
    </row>
    <row r="2108">
      <c r="A2108" t="inlineStr">
        <is>
          <t>323138-assessment-and-plan-0-8</t>
        </is>
      </c>
      <c r="B2108" t="inlineStr"/>
      <c r="C2108" t="inlineStr"/>
      <c r="D2108">
        <f>HYPERLINK("http://nlpdeep.cs.uic.edu:8080/proofing/t5/323138-assessment-and-plan-0-8.pdf","t5/323138-assessment-and-plan-0-8.pdf")</f>
        <v/>
      </c>
      <c r="E2108" t="n">
        <v>146230</v>
      </c>
      <c r="F2108" t="n">
        <v>323138</v>
      </c>
      <c r="G2108" t="inlineStr">
        <is>
          <t>Physician</t>
        </is>
      </c>
      <c r="H2108" t="inlineStr">
        <is>
          <t>assessment-and-plan</t>
        </is>
      </c>
      <c r="I2108" t="inlineStr">
        <is>
          <t>CK stil rising.</t>
        </is>
      </c>
    </row>
    <row r="2109">
      <c r="A2109" t="inlineStr">
        <is>
          <t>323138-assessment-and-plan-0-8</t>
        </is>
      </c>
      <c r="B2109" t="inlineStr"/>
      <c r="C2109" t="inlineStr"/>
      <c r="D2109">
        <f>HYPERLINK("http://nlpdeep.cs.uic.edu:8080/proofing/gsii/323138-assessment-and-plan-0-8.pdf","gsii/323138-assessment-and-plan-0-8.pdf")</f>
        <v/>
      </c>
      <c r="E2109" t="n">
        <v>146230</v>
      </c>
      <c r="F2109" t="n">
        <v>323138</v>
      </c>
      <c r="G2109" t="inlineStr">
        <is>
          <t>Physician</t>
        </is>
      </c>
      <c r="H2109" t="inlineStr">
        <is>
          <t>assessment-and-plan</t>
        </is>
      </c>
      <c r="I2109" t="inlineStr">
        <is>
          <t>CK stil rising.</t>
        </is>
      </c>
    </row>
    <row r="2110">
      <c r="A2110" t="inlineStr">
        <is>
          <t>323138-assessment-and-plan-0-9</t>
        </is>
      </c>
      <c r="B2110" t="inlineStr"/>
      <c r="C2110" t="inlineStr"/>
      <c r="D2110">
        <f>HYPERLINK("http://nlpdeep.cs.uic.edu:8080/proofing/t5/323138-assessment-and-plan-0-9.pdf","t5/323138-assessment-and-plan-0-9.pdf")</f>
        <v/>
      </c>
      <c r="E2110" t="n">
        <v>146230</v>
      </c>
      <c r="F2110" t="n">
        <v>323138</v>
      </c>
      <c r="G2110" t="inlineStr">
        <is>
          <t>Physician</t>
        </is>
      </c>
      <c r="H2110" t="inlineStr">
        <is>
          <t>assessment-and-plan</t>
        </is>
      </c>
      <c r="I2110" t="inlineStr">
        <is>
          <t>Patient
   is now s/p 2 units pRBCs.</t>
        </is>
      </c>
    </row>
    <row r="2111">
      <c r="A2111" t="inlineStr">
        <is>
          <t>323138-assessment-and-plan-0-9</t>
        </is>
      </c>
      <c r="B2111" t="inlineStr"/>
      <c r="C2111" t="inlineStr"/>
      <c r="D2111">
        <f>HYPERLINK("http://nlpdeep.cs.uic.edu:8080/proofing/gsii/323138-assessment-and-plan-0-9.pdf","gsii/323138-assessment-and-plan-0-9.pdf")</f>
        <v/>
      </c>
      <c r="E2111" t="n">
        <v>146230</v>
      </c>
      <c r="F2111" t="n">
        <v>323138</v>
      </c>
      <c r="G2111" t="inlineStr">
        <is>
          <t>Physician</t>
        </is>
      </c>
      <c r="H2111" t="inlineStr">
        <is>
          <t>assessment-and-plan</t>
        </is>
      </c>
      <c r="I2111" t="inlineStr">
        <is>
          <t>Patient
   is now s/p 2 units pRBCs.</t>
        </is>
      </c>
    </row>
    <row r="2112">
      <c r="A2112" t="inlineStr">
        <is>
          <t>323138-assessment-and-plan-0-10</t>
        </is>
      </c>
      <c r="B2112" t="inlineStr"/>
      <c r="C2112" t="inlineStr"/>
      <c r="D2112">
        <f>HYPERLINK("http://nlpdeep.cs.uic.edu:8080/proofing/t5/323138-assessment-and-plan-0-10.pdf","t5/323138-assessment-and-plan-0-10.pdf")</f>
        <v/>
      </c>
      <c r="E2112" t="n">
        <v>146230</v>
      </c>
      <c r="F2112" t="n">
        <v>323138</v>
      </c>
      <c r="G2112" t="inlineStr">
        <is>
          <t>Physician</t>
        </is>
      </c>
      <c r="H2112" t="inlineStr">
        <is>
          <t>assessment-and-plan</t>
        </is>
      </c>
      <c r="I2112" t="inlineStr">
        <is>
          <t xml:space="preserve">
   - Cycle CK until downtrending
   - Continue to follow HCT q6H today as patient had large volume loss and
   HCT is slowly drifting downward
   - Appreciate cardiology recs, will get repeat ECHO in several days to
   re-eval possible posterior wall hypokinesis
   - Started on baby aspirin
   2) Respiratory: Patient successfully extubated with no complications.</t>
        </is>
      </c>
    </row>
    <row r="2113">
      <c r="A2113" t="inlineStr">
        <is>
          <t>323138-assessment-and-plan-0-10</t>
        </is>
      </c>
      <c r="B2113" t="inlineStr"/>
      <c r="C2113" t="inlineStr"/>
      <c r="D2113">
        <f>HYPERLINK("http://nlpdeep.cs.uic.edu:8080/proofing/gsii/323138-assessment-and-plan-0-10.pdf","gsii/323138-assessment-and-plan-0-10.pdf")</f>
        <v/>
      </c>
      <c r="E2113" t="n">
        <v>146230</v>
      </c>
      <c r="F2113" t="n">
        <v>323138</v>
      </c>
      <c r="G2113" t="inlineStr">
        <is>
          <t>Physician</t>
        </is>
      </c>
      <c r="H2113" t="inlineStr">
        <is>
          <t>assessment-and-plan</t>
        </is>
      </c>
      <c r="I2113" t="inlineStr">
        <is>
          <t xml:space="preserve">
   - Cycle CK until downtrending
   - Continue to follow HCT q6H today as patient had large volume loss and
   HCT is slowly drifting downward
   - Appreciate cardiology recs, will get repeat ECHO in several days to
   re-eval possible posterior wall hypokinesis
   - Started on baby aspirin
   2) Respiratory: Patient successfully extubated with no complications.</t>
        </is>
      </c>
    </row>
    <row r="2114">
      <c r="A2114" t="inlineStr">
        <is>
          <t>323138-assessment-and-plan-0-11</t>
        </is>
      </c>
      <c r="B2114" t="inlineStr"/>
      <c r="C2114" t="inlineStr"/>
      <c r="D2114">
        <f>HYPERLINK("http://nlpdeep.cs.uic.edu:8080/proofing/t5/323138-assessment-and-plan-0-11.pdf","t5/323138-assessment-and-plan-0-11.pdf")</f>
        <v/>
      </c>
      <c r="E2114" t="n">
        <v>146230</v>
      </c>
      <c r="F2114" t="n">
        <v>323138</v>
      </c>
      <c r="G2114" t="inlineStr">
        <is>
          <t>Physician</t>
        </is>
      </c>
      <c r="H2114" t="inlineStr">
        <is>
          <t>assessment-and-plan</t>
        </is>
      </c>
      <c r="I2114" t="inlineStr">
        <is>
          <t xml:space="preserve">
   Good gas exchange.</t>
        </is>
      </c>
    </row>
    <row r="2115">
      <c r="A2115" t="inlineStr">
        <is>
          <t>323138-assessment-and-plan-0-11</t>
        </is>
      </c>
      <c r="B2115" t="inlineStr"/>
      <c r="C2115" t="inlineStr"/>
      <c r="D2115">
        <f>HYPERLINK("http://nlpdeep.cs.uic.edu:8080/proofing/gsii/323138-assessment-and-plan-0-11.pdf","gsii/323138-assessment-and-plan-0-11.pdf")</f>
        <v/>
      </c>
      <c r="E2115" t="n">
        <v>146230</v>
      </c>
      <c r="F2115" t="n">
        <v>323138</v>
      </c>
      <c r="G2115" t="inlineStr">
        <is>
          <t>Physician</t>
        </is>
      </c>
      <c r="H2115" t="inlineStr">
        <is>
          <t>assessment-and-plan</t>
        </is>
      </c>
      <c r="I2115" t="inlineStr">
        <is>
          <t xml:space="preserve">
   Good gas exchange.</t>
        </is>
      </c>
    </row>
    <row r="2116">
      <c r="A2116" t="inlineStr">
        <is>
          <t>323138-assessment-and-plan-0-12</t>
        </is>
      </c>
      <c r="B2116" t="inlineStr"/>
      <c r="C2116" t="inlineStr"/>
      <c r="D2116">
        <f>HYPERLINK("http://nlpdeep.cs.uic.edu:8080/proofing/t5/323138-assessment-and-plan-0-12.pdf","t5/323138-assessment-and-plan-0-12.pdf")</f>
        <v/>
      </c>
      <c r="E2116" t="n">
        <v>146230</v>
      </c>
      <c r="F2116" t="n">
        <v>323138</v>
      </c>
      <c r="G2116" t="inlineStr">
        <is>
          <t>Physician</t>
        </is>
      </c>
      <c r="H2116" t="inlineStr">
        <is>
          <t>assessment-and-plan</t>
        </is>
      </c>
      <c r="I2116" t="inlineStr">
        <is>
          <t xml:space="preserve">
   3) S/p left femural procedure: procedure aborted prematurely due to the
   above complications.</t>
        </is>
      </c>
    </row>
    <row r="2117">
      <c r="A2117" t="inlineStr">
        <is>
          <t>323138-assessment-and-plan-0-12</t>
        </is>
      </c>
      <c r="B2117" t="inlineStr"/>
      <c r="C2117" t="inlineStr"/>
      <c r="D2117">
        <f>HYPERLINK("http://nlpdeep.cs.uic.edu:8080/proofing/gsii/323138-assessment-and-plan-0-12.pdf","gsii/323138-assessment-and-plan-0-12.pdf")</f>
        <v/>
      </c>
      <c r="E2117" t="n">
        <v>146230</v>
      </c>
      <c r="F2117" t="n">
        <v>323138</v>
      </c>
      <c r="G2117" t="inlineStr">
        <is>
          <t>Physician</t>
        </is>
      </c>
      <c r="H2117" t="inlineStr">
        <is>
          <t>assessment-and-plan</t>
        </is>
      </c>
      <c r="I2117" t="inlineStr">
        <is>
          <t xml:space="preserve">
   3) S/p left femural procedure: procedure aborted prematurely due to the
   above complications.</t>
        </is>
      </c>
    </row>
    <row r="2118">
      <c r="A2118" t="inlineStr">
        <is>
          <t>323138-assessment-and-plan-0-13</t>
        </is>
      </c>
      <c r="B2118" t="inlineStr"/>
      <c r="C2118" t="inlineStr"/>
      <c r="D2118">
        <f>HYPERLINK("http://nlpdeep.cs.uic.edu:8080/proofing/t5/323138-assessment-and-plan-0-13.pdf","t5/323138-assessment-and-plan-0-13.pdf")</f>
        <v/>
      </c>
      <c r="E2118" t="n">
        <v>146230</v>
      </c>
      <c r="F2118" t="n">
        <v>323138</v>
      </c>
      <c r="G2118" t="inlineStr">
        <is>
          <t>Physician</t>
        </is>
      </c>
      <c r="H2118" t="inlineStr">
        <is>
          <t>assessment-and-plan</t>
        </is>
      </c>
      <c r="I2118" t="inlineStr">
        <is>
          <t xml:space="preserve">
   - pain control with fentanyl while intubated then morphine
   - lovenox prophylaxis per ortho recommendations
   - Plan for CPM, partial weight bearing on LLE and CPM device per ortho
   today
   4) Asthma - Stable.</t>
        </is>
      </c>
    </row>
    <row r="2119">
      <c r="A2119" t="inlineStr">
        <is>
          <t>323138-assessment-and-plan-0-13</t>
        </is>
      </c>
      <c r="B2119" t="inlineStr"/>
      <c r="C2119" t="inlineStr"/>
      <c r="D2119">
        <f>HYPERLINK("http://nlpdeep.cs.uic.edu:8080/proofing/gsii/323138-assessment-and-plan-0-13.pdf","gsii/323138-assessment-and-plan-0-13.pdf")</f>
        <v/>
      </c>
      <c r="E2119" t="n">
        <v>146230</v>
      </c>
      <c r="F2119" t="n">
        <v>323138</v>
      </c>
      <c r="G2119" t="inlineStr">
        <is>
          <t>Physician</t>
        </is>
      </c>
      <c r="H2119" t="inlineStr">
        <is>
          <t>assessment-and-plan</t>
        </is>
      </c>
      <c r="I2119" t="inlineStr">
        <is>
          <t xml:space="preserve">
   - pain control with fentanyl while intubated then morphine
   - lovenox prophylaxis per ortho recommendations
   - Plan for CPM, partial weight bearing on LLE and CPM device per ortho
   today
   4) Asthma - Stable.</t>
        </is>
      </c>
    </row>
    <row r="2120">
      <c r="A2120" t="inlineStr">
        <is>
          <t>323138-assessment-and-plan-0-14</t>
        </is>
      </c>
      <c r="B2120" t="inlineStr"/>
      <c r="C2120" t="inlineStr"/>
      <c r="D2120">
        <f>HYPERLINK("http://nlpdeep.cs.uic.edu:8080/proofing/t5/323138-assessment-and-plan-0-14.pdf","t5/323138-assessment-and-plan-0-14.pdf")</f>
        <v/>
      </c>
      <c r="E2120" t="n">
        <v>146230</v>
      </c>
      <c r="F2120" t="n">
        <v>323138</v>
      </c>
      <c r="G2120" t="inlineStr">
        <is>
          <t>Physician</t>
        </is>
      </c>
      <c r="H2120" t="inlineStr">
        <is>
          <t>assessment-and-plan</t>
        </is>
      </c>
      <c r="I2120" t="inlineStr">
        <is>
          <t>Will resume home medications
   ICU Care
   Nutrition:
   Full diet
   Glycemic Control: Adequate
   Lines:
   Arterial Line - [**2186-3-10**] 10:47 AM
   18 Gauge - [**2186-3-10**] 10:47 AM
   Prophylaxis:
   DVT: Boots, LMW Heparin
   Stress ulcer: PPI
   VAP:  NA
   Comments:</t>
        </is>
      </c>
    </row>
    <row r="2121">
      <c r="A2121" t="inlineStr">
        <is>
          <t>323138-assessment-and-plan-0-14</t>
        </is>
      </c>
      <c r="B2121" t="inlineStr"/>
      <c r="C2121" t="inlineStr"/>
      <c r="D2121">
        <f>HYPERLINK("http://nlpdeep.cs.uic.edu:8080/proofing/gsii/323138-assessment-and-plan-0-14.pdf","gsii/323138-assessment-and-plan-0-14.pdf")</f>
        <v/>
      </c>
      <c r="E2121" t="n">
        <v>146230</v>
      </c>
      <c r="F2121" t="n">
        <v>323138</v>
      </c>
      <c r="G2121" t="inlineStr">
        <is>
          <t>Physician</t>
        </is>
      </c>
      <c r="H2121" t="inlineStr">
        <is>
          <t>assessment-and-plan</t>
        </is>
      </c>
      <c r="I2121" t="inlineStr">
        <is>
          <t>Will resume home medications
   ICU Care
   Nutrition:
   Full diet
   Glycemic Control: Adequate
   Lines:
   Arterial Line - [**2186-3-10**] 10:47 AM
   18 Gauge - [**2186-3-10**] 10:47 AM
   Prophylaxis:
   DVT: Boots, LMW Heparin
   Stress ulcer: PPI
   VAP:  NA
   Comments:</t>
        </is>
      </c>
    </row>
    <row r="2122">
      <c r="A2122" t="inlineStr">
        <is>
          <t>323138-communication-0-0</t>
        </is>
      </c>
      <c r="B2122" t="inlineStr"/>
      <c r="C2122" t="inlineStr"/>
      <c r="D2122">
        <f>HYPERLINK("http://nlpdeep.cs.uic.edu:8080/proofing/t5/323138-communication-0-0.pdf","t5/323138-communication-0-0.pdf")</f>
        <v/>
      </c>
      <c r="E2122" t="n">
        <v>146230</v>
      </c>
      <c r="F2122" t="n">
        <v>323138</v>
      </c>
      <c r="G2122" t="inlineStr">
        <is>
          <t>Physician</t>
        </is>
      </c>
      <c r="H2122" t="inlineStr">
        <is>
          <t>communication</t>
        </is>
      </c>
      <c r="I2122" t="inlineStr">
        <is>
          <t>Comments:</t>
        </is>
      </c>
    </row>
    <row r="2123">
      <c r="A2123" t="inlineStr">
        <is>
          <t>323138-communication-0-0</t>
        </is>
      </c>
      <c r="B2123" t="inlineStr"/>
      <c r="C2123" t="inlineStr"/>
      <c r="D2123">
        <f>HYPERLINK("http://nlpdeep.cs.uic.edu:8080/proofing/gsii/323138-communication-0-0.pdf","gsii/323138-communication-0-0.pdf")</f>
        <v/>
      </c>
      <c r="E2123" t="n">
        <v>146230</v>
      </c>
      <c r="F2123" t="n">
        <v>323138</v>
      </c>
      <c r="G2123" t="inlineStr">
        <is>
          <t>Physician</t>
        </is>
      </c>
      <c r="H2123" t="inlineStr">
        <is>
          <t>communication</t>
        </is>
      </c>
      <c r="I2123" t="inlineStr">
        <is>
          <t>Comments:</t>
        </is>
      </c>
    </row>
    <row r="2124">
      <c r="A2124" t="inlineStr">
        <is>
          <t>323138-code-status-0-0</t>
        </is>
      </c>
      <c r="B2124" t="inlineStr"/>
      <c r="C2124" t="inlineStr"/>
      <c r="D2124">
        <f>HYPERLINK("http://nlpdeep.cs.uic.edu:8080/proofing/t5/323138-code-status-0-0.pdf","t5/323138-code-status-0-0.pdf")</f>
        <v/>
      </c>
      <c r="E2124" t="n">
        <v>146230</v>
      </c>
      <c r="F2124" t="n">
        <v>323138</v>
      </c>
      <c r="G2124" t="inlineStr">
        <is>
          <t>Physician</t>
        </is>
      </c>
      <c r="H2124" t="inlineStr">
        <is>
          <t>code-status</t>
        </is>
      </c>
      <c r="I2124" t="inlineStr">
        <is>
          <t>Full c</t>
        </is>
      </c>
    </row>
    <row r="2125">
      <c r="A2125" t="inlineStr">
        <is>
          <t>323138-code-status-0-0</t>
        </is>
      </c>
      <c r="B2125" t="inlineStr"/>
      <c r="C2125" t="inlineStr"/>
      <c r="D2125">
        <f>HYPERLINK("http://nlpdeep.cs.uic.edu:8080/proofing/gsii/323138-code-status-0-0.pdf","gsii/323138-code-status-0-0.pdf")</f>
        <v/>
      </c>
      <c r="E2125" t="n">
        <v>146230</v>
      </c>
      <c r="F2125" t="n">
        <v>323138</v>
      </c>
      <c r="G2125" t="inlineStr">
        <is>
          <t>Physician</t>
        </is>
      </c>
      <c r="H2125" t="inlineStr">
        <is>
          <t>code-status</t>
        </is>
      </c>
      <c r="I2125" t="inlineStr">
        <is>
          <t>Full c</t>
        </is>
      </c>
    </row>
    <row r="2126">
      <c r="A2126" t="inlineStr">
        <is>
          <t>323138-disposition-0-0</t>
        </is>
      </c>
      <c r="B2126" t="inlineStr"/>
      <c r="C2126" t="inlineStr"/>
      <c r="D2126">
        <f>HYPERLINK("http://nlpdeep.cs.uic.edu:8080/proofing/t5/323138-disposition-0-0.pdf","t5/323138-disposition-0-0.pdf")</f>
        <v/>
      </c>
      <c r="E2126" t="n">
        <v>146230</v>
      </c>
      <c r="F2126" t="n">
        <v>323138</v>
      </c>
      <c r="G2126" t="inlineStr">
        <is>
          <t>Physician</t>
        </is>
      </c>
      <c r="H2126" t="inlineStr">
        <is>
          <t>disposition</t>
        </is>
      </c>
      <c r="I2126" t="inlineStr">
        <is>
          <t>Consider call out later t</t>
        </is>
      </c>
    </row>
    <row r="2127">
      <c r="A2127" t="inlineStr">
        <is>
          <t>323138-disposition-0-0</t>
        </is>
      </c>
      <c r="B2127" t="inlineStr"/>
      <c r="C2127" t="inlineStr"/>
      <c r="D2127">
        <f>HYPERLINK("http://nlpdeep.cs.uic.edu:8080/proofing/gsii/323138-disposition-0-0.pdf","gsii/323138-disposition-0-0.pdf")</f>
        <v/>
      </c>
      <c r="E2127" t="n">
        <v>146230</v>
      </c>
      <c r="F2127" t="n">
        <v>323138</v>
      </c>
      <c r="G2127" t="inlineStr">
        <is>
          <t>Physician</t>
        </is>
      </c>
      <c r="H2127" t="inlineStr">
        <is>
          <t>disposition</t>
        </is>
      </c>
      <c r="I2127" t="inlineStr">
        <is>
          <t>Consider call out later t</t>
        </is>
      </c>
    </row>
    <row r="2128">
      <c r="A2128" t="inlineStr">
        <is>
          <t>323140-chief-complaint-0-0</t>
        </is>
      </c>
      <c r="B2128" t="inlineStr"/>
      <c r="C2128" t="inlineStr"/>
      <c r="D2128">
        <f>HYPERLINK("http://nlpdeep.cs.uic.edu:8080/proofing/t5/323140-chief-complaint-0-0.pdf","t5/323140-chief-complaint-0-0.pdf")</f>
        <v/>
      </c>
      <c r="E2128" t="n">
        <v>146230</v>
      </c>
      <c r="F2128" t="n">
        <v>323140</v>
      </c>
      <c r="G2128" t="inlineStr">
        <is>
          <t>Physician</t>
        </is>
      </c>
      <c r="H2128" t="inlineStr">
        <is>
          <t>chief-complaint</t>
        </is>
      </c>
      <c r="I2128" t="inlineStr">
        <is>
          <t>49 year old woman with history of asthma, DJD
   secondary to poorly healed femoral fracture admitted for hypotension,
   hypoxia complicated by PEA arrest intra-op.</t>
        </is>
      </c>
    </row>
    <row r="2129">
      <c r="A2129" t="inlineStr">
        <is>
          <t>323140-chief-complaint-0-0</t>
        </is>
      </c>
      <c r="B2129" t="inlineStr"/>
      <c r="C2129" t="inlineStr"/>
      <c r="D2129">
        <f>HYPERLINK("http://nlpdeep.cs.uic.edu:8080/proofing/gsii/323140-chief-complaint-0-0.pdf","gsii/323140-chief-complaint-0-0.pdf")</f>
        <v/>
      </c>
      <c r="E2129" t="n">
        <v>146230</v>
      </c>
      <c r="F2129" t="n">
        <v>323140</v>
      </c>
      <c r="G2129" t="inlineStr">
        <is>
          <t>Physician</t>
        </is>
      </c>
      <c r="H2129" t="inlineStr">
        <is>
          <t>chief-complaint</t>
        </is>
      </c>
      <c r="I2129" t="inlineStr">
        <is>
          <t>49 year old woman with history of asthma, DJD
   secondary to poorly healed femoral fracture admitted for hypotension,
   hypoxia complicated by PEA arrest intra-op.</t>
        </is>
      </c>
    </row>
    <row r="2130">
      <c r="A2130" t="inlineStr">
        <is>
          <t>323140-24-hour-events-0-0</t>
        </is>
      </c>
      <c r="B2130" t="inlineStr"/>
      <c r="C2130" t="inlineStr"/>
      <c r="D2130">
        <f>HYPERLINK("http://nlpdeep.cs.uic.edu:8080/proofing/t5/323140-24-hour-events-0-0.pdf","t5/323140-24-hour-events-0-0.pdf")</f>
        <v/>
      </c>
      <c r="E2130" t="n">
        <v>146230</v>
      </c>
      <c r="F2130" t="n">
        <v>323140</v>
      </c>
      <c r="G2130" t="inlineStr">
        <is>
          <t>Physician</t>
        </is>
      </c>
      <c r="H2130" t="inlineStr">
        <is>
          <t>24-hour-events</t>
        </is>
      </c>
      <c r="I2130" t="inlineStr">
        <is>
          <t>ARTERIAL LINE - START [**2186-3-10**] 10:47 AM
 INVASIVE VENTILATION - START [**2186-3-10**] 12:33 PM
 INVASIVE VENTILATION - STOP [**2186-3-10**] 02:59 PM
   -Extubated
   -CTA negative for PE
   -Cards recs: ECHO in a few days to further eval for wall motion
   abnormalities, cycle enzymes, monitor Hct; feels this is not likely
   embolic event or ACS-&gt; likely due to acute blood loss
   -CE: 1st set: CK 89 MB 4 Trop 0.17, 2nd set: CK 217 MB 7 Trop 0.44,
   next check CK 226 MB 6 Trop 0.21
   -Hct stable over multiple checks, most recent 29.2 stable from 30.2
   prior.</t>
        </is>
      </c>
    </row>
    <row r="2131">
      <c r="A2131" t="inlineStr">
        <is>
          <t>323140-24-hour-events-0-0</t>
        </is>
      </c>
      <c r="B2131" t="inlineStr"/>
      <c r="C2131" t="inlineStr"/>
      <c r="D2131">
        <f>HYPERLINK("http://nlpdeep.cs.uic.edu:8080/proofing/gsii/323140-24-hour-events-0-0.pdf","gsii/323140-24-hour-events-0-0.pdf")</f>
        <v/>
      </c>
      <c r="E2131" t="n">
        <v>146230</v>
      </c>
      <c r="F2131" t="n">
        <v>323140</v>
      </c>
      <c r="G2131" t="inlineStr">
        <is>
          <t>Physician</t>
        </is>
      </c>
      <c r="H2131" t="inlineStr">
        <is>
          <t>24-hour-events</t>
        </is>
      </c>
      <c r="I2131" t="inlineStr">
        <is>
          <t>ARTERIAL LINE - START [**2186-3-10**] 10:47 AM
 INVASIVE VENTILATION - START [**2186-3-10**] 12:33 PM
 INVASIVE VENTILATION - STOP [**2186-3-10**] 02:59 PM
   -Extubated
   -CTA negative for PE
   -Cards recs: ECHO in a few days to further eval for wall motion
   abnormalities, cycle enzymes, monitor Hct; feels this is not likely
   embolic event or ACS-&gt; likely due to acute blood loss
   -CE: 1st set: CK 89 MB 4 Trop 0.17, 2nd set: CK 217 MB 7 Trop 0.44,
   next check CK 226 MB 6 Trop 0.21
   -Hct stable over multiple checks, most recent 29.2 stable from 30.2
   prior.</t>
        </is>
      </c>
    </row>
    <row r="2132">
      <c r="A2132" t="inlineStr">
        <is>
          <t>323140-24-hour-events-0-1</t>
        </is>
      </c>
      <c r="B2132" t="inlineStr"/>
      <c r="C2132" t="inlineStr"/>
      <c r="D2132">
        <f>HYPERLINK("http://nlpdeep.cs.uic.edu:8080/proofing/t5/323140-24-hour-events-0-1.pdf","t5/323140-24-hour-events-0-1.pdf")</f>
        <v/>
      </c>
      <c r="E2132" t="n">
        <v>146230</v>
      </c>
      <c r="F2132" t="n">
        <v>323140</v>
      </c>
      <c r="G2132" t="inlineStr">
        <is>
          <t>Physician</t>
        </is>
      </c>
      <c r="H2132" t="inlineStr">
        <is>
          <t>24-hour-events</t>
        </is>
      </c>
      <c r="I2132" t="inlineStr">
        <is>
          <t>-A-line no longer [**Location (un) 308**] a</t>
        </is>
      </c>
    </row>
    <row r="2133">
      <c r="A2133" t="inlineStr">
        <is>
          <t>323140-24-hour-events-0-1</t>
        </is>
      </c>
      <c r="B2133" t="inlineStr"/>
      <c r="C2133" t="inlineStr"/>
      <c r="D2133">
        <f>HYPERLINK("http://nlpdeep.cs.uic.edu:8080/proofing/gsii/323140-24-hour-events-0-1.pdf","gsii/323140-24-hour-events-0-1.pdf")</f>
        <v/>
      </c>
      <c r="E2133" t="n">
        <v>146230</v>
      </c>
      <c r="F2133" t="n">
        <v>323140</v>
      </c>
      <c r="G2133" t="inlineStr">
        <is>
          <t>Physician</t>
        </is>
      </c>
      <c r="H2133" t="inlineStr">
        <is>
          <t>24-hour-events</t>
        </is>
      </c>
      <c r="I2133" t="inlineStr">
        <is>
          <t>-A-line no longer [**Location (un) 308**] a</t>
        </is>
      </c>
    </row>
    <row r="2134">
      <c r="A2134" t="inlineStr">
        <is>
          <t>323140-allergies-0-0</t>
        </is>
      </c>
      <c r="B2134" t="inlineStr"/>
      <c r="C2134" t="inlineStr"/>
      <c r="D2134">
        <f>HYPERLINK("http://nlpdeep.cs.uic.edu:8080/proofing/t5/323140-allergies-0-0.pdf","t5/323140-allergies-0-0.pdf")</f>
        <v/>
      </c>
      <c r="E2134" t="n">
        <v>146230</v>
      </c>
      <c r="F2134" t="n">
        <v>323140</v>
      </c>
      <c r="G2134" t="inlineStr">
        <is>
          <t>Physician</t>
        </is>
      </c>
      <c r="H2134" t="inlineStr">
        <is>
          <t>allergies</t>
        </is>
      </c>
      <c r="I2134" t="inlineStr">
        <is>
          <t>Codeine
   severe headache
   Penicillins
   trouble breathi
   Demerol (Injection) (Meperidine Hcl/Pf)
   hot feeling all
   Ampicillin
   sob;
   Melon Flavor
   SOB
   itching [</t>
        </is>
      </c>
    </row>
    <row r="2135">
      <c r="A2135" t="inlineStr">
        <is>
          <t>323140-allergies-0-0</t>
        </is>
      </c>
      <c r="B2135" t="inlineStr"/>
      <c r="C2135" t="inlineStr"/>
      <c r="D2135">
        <f>HYPERLINK("http://nlpdeep.cs.uic.edu:8080/proofing/gsii/323140-allergies-0-0.pdf","gsii/323140-allergies-0-0.pdf")</f>
        <v/>
      </c>
      <c r="E2135" t="n">
        <v>146230</v>
      </c>
      <c r="F2135" t="n">
        <v>323140</v>
      </c>
      <c r="G2135" t="inlineStr">
        <is>
          <t>Physician</t>
        </is>
      </c>
      <c r="H2135" t="inlineStr">
        <is>
          <t>allergies</t>
        </is>
      </c>
      <c r="I2135" t="inlineStr">
        <is>
          <t>Codeine
   severe headache
   Penicillins
   trouble breathi
   Demerol (Injection) (Meperidine Hcl/Pf)
   hot feeling all
   Ampicillin
   sob;
   Melon Flavor
   SOB
   itching [</t>
        </is>
      </c>
    </row>
    <row r="2136">
      <c r="A2136" t="inlineStr">
        <is>
          <t>323140-other-medications-0-0</t>
        </is>
      </c>
      <c r="B2136" t="inlineStr"/>
      <c r="C2136" t="inlineStr"/>
      <c r="D2136">
        <f>HYPERLINK("http://nlpdeep.cs.uic.edu:8080/proofing/t5/323140-other-medications-0-0.pdf","t5/323140-other-medications-0-0.pdf")</f>
        <v/>
      </c>
      <c r="E2136" t="n">
        <v>146230</v>
      </c>
      <c r="F2136" t="n">
        <v>323140</v>
      </c>
      <c r="G2136" t="inlineStr">
        <is>
          <t>Physician</t>
        </is>
      </c>
      <c r="H2136" t="inlineStr">
        <is>
          <t>other-medications</t>
        </is>
      </c>
      <c r="I2136" t="inlineStr">
        <is>
          <t>Fentanyl - [**2186-3-10**] 12:34 PM
   Morphine Sulfate - [**2186-3-10**] 04:39 PM
   Other medications:</t>
        </is>
      </c>
    </row>
    <row r="2137">
      <c r="A2137" t="inlineStr">
        <is>
          <t>323140-other-medications-0-0</t>
        </is>
      </c>
      <c r="B2137" t="inlineStr"/>
      <c r="C2137" t="inlineStr"/>
      <c r="D2137">
        <f>HYPERLINK("http://nlpdeep.cs.uic.edu:8080/proofing/gsii/323140-other-medications-0-0.pdf","gsii/323140-other-medications-0-0.pdf")</f>
        <v/>
      </c>
      <c r="E2137" t="n">
        <v>146230</v>
      </c>
      <c r="F2137" t="n">
        <v>323140</v>
      </c>
      <c r="G2137" t="inlineStr">
        <is>
          <t>Physician</t>
        </is>
      </c>
      <c r="H2137" t="inlineStr">
        <is>
          <t>other-medications</t>
        </is>
      </c>
      <c r="I2137" t="inlineStr">
        <is>
          <t>Fentanyl - [**2186-3-10**] 12:34 PM
   Morphine Sulfate - [**2186-3-10**] 04:39 PM
   Other medications:</t>
        </is>
      </c>
    </row>
    <row r="2138">
      <c r="A2138" t="inlineStr">
        <is>
          <t>323140-flowsheet-data-vitals-0-0</t>
        </is>
      </c>
      <c r="B2138" t="inlineStr"/>
      <c r="C2138" t="inlineStr"/>
      <c r="D2138">
        <f>HYPERLINK("http://nlpdeep.cs.uic.edu:8080/proofing/t5/323140-flowsheet-data-vitals-0-0.pdf","t5/323140-flowsheet-data-vitals-0-0.pdf")</f>
        <v/>
      </c>
      <c r="E2138" t="n">
        <v>146230</v>
      </c>
      <c r="F2138" t="n">
        <v>323140</v>
      </c>
      <c r="G2138" t="inlineStr">
        <is>
          <t>Physician</t>
        </is>
      </c>
      <c r="H2138" t="inlineStr">
        <is>
          <t>flowsheet-data-vitals</t>
        </is>
      </c>
      <c r="I2138" t="inlineStr">
        <is>
          <t>Vital signs
   Hemodynamic monitoring
   Fluid balance
                                                                  24 hours
                                                               Since 12 AM
   Tmax: 37.7
C (99.8
   Tcurrent: 36.8
C (98.3
   HR: 83 (72 - 93) bpm
   BP: 91/53(61) {83/51(61) - 103/57(66)} mmHg
   RR: 23 (8 - 28) insp/min
   SpO2: 95%
   Heart rhythm: SR (Sinus Rhythm)
   Height: 60 Inch
             Total In:
                                                                  2,419 mL
                                                                     67 mL
   PO:
             TF:
   IVF:
                                                                  1,669 mL
                                                                     67 mL
   Blood products:
                                                                    750 mL
   Total out:
                                                                  1,190 mL
                                                                    220 mL
   Urine:
                                                                  1,030 mL
                                                                    220 mL
   NG:
   Stool:
   Drains:
   Balance:
                                                                  1,229 mL
                                                                   -153 mL
   Respiratory support
   O2 Delivery Device: CPAP mask
   Ventilator mode: CPAP
   Vt (Set): 600 (600 - 600) mL
   Vt (Spontaneous): 550 (438 - 550) mL
   PS : 5 cmH2O
   RR (Set): 14
   RR (Spontaneous): 17
   PEEP: 10 cmH2O
   FiO2: 21%
   PIP: 33 cmH2O
   Plateau: 27 cmH2O
   SpO2: 95%
   ABG: 7.36/47/193/23/0
   Ve: 8.2 L/min
   PaO2 / FiO2: 9</t>
        </is>
      </c>
    </row>
    <row r="2139">
      <c r="A2139" t="inlineStr">
        <is>
          <t>323140-flowsheet-data-vitals-0-0</t>
        </is>
      </c>
      <c r="B2139" t="inlineStr"/>
      <c r="C2139" t="inlineStr"/>
      <c r="D2139">
        <f>HYPERLINK("http://nlpdeep.cs.uic.edu:8080/proofing/gsii/323140-flowsheet-data-vitals-0-0.pdf","gsii/323140-flowsheet-data-vitals-0-0.pdf")</f>
        <v/>
      </c>
      <c r="E2139" t="n">
        <v>146230</v>
      </c>
      <c r="F2139" t="n">
        <v>323140</v>
      </c>
      <c r="G2139" t="inlineStr">
        <is>
          <t>Physician</t>
        </is>
      </c>
      <c r="H2139" t="inlineStr">
        <is>
          <t>flowsheet-data-vitals</t>
        </is>
      </c>
      <c r="I2139" t="inlineStr">
        <is>
          <t>Vital signs
   Hemodynamic monitoring
   Fluid balance
                                                                  24 hours
                                                               Since 12 AM
   Tmax: 37.7
C (99.8
   Tcurrent: 36.8
C (98.3
   HR: 83 (72 - 93) bpm
   BP: 91/53(61) {83/51(61) - 103/57(66)} mmHg
   RR: 23 (8 - 28) insp/min
   SpO2: 95%
   Heart rhythm: SR (Sinus Rhythm)
   Height: 60 Inch
             Total In:
                                                                  2,419 mL
                                                                     67 mL
   PO:
             TF:
   IVF:
                                                                  1,669 mL
                                                                     67 mL
   Blood products:
                                                                    750 mL
   Total out:
                                                                  1,190 mL
                                                                    220 mL
   Urine:
                                                                  1,030 mL
                                                                    220 mL
   NG:
   Stool:
   Drains:
   Balance:
                                                                  1,229 mL
                                                                   -153 mL
   Respiratory support
   O2 Delivery Device: CPAP mask
   Ventilator mode: CPAP
   Vt (Set): 600 (600 - 600) mL
   Vt (Spontaneous): 550 (438 - 550) mL
   PS : 5 cmH2O
   RR (Set): 14
   RR (Spontaneous): 17
   PEEP: 10 cmH2O
   FiO2: 21%
   PIP: 33 cmH2O
   Plateau: 27 cmH2O
   SpO2: 95%
   ABG: 7.36/47/193/23/0
   Ve: 8.2 L/min
   PaO2 / FiO2: 9</t>
        </is>
      </c>
    </row>
    <row r="2140">
      <c r="A2140" t="inlineStr">
        <is>
          <t>323140-physical-examination-0-0</t>
        </is>
      </c>
      <c r="B2140" t="inlineStr"/>
      <c r="C2140" t="inlineStr"/>
      <c r="D2140">
        <f>HYPERLINK("http://nlpdeep.cs.uic.edu:8080/proofing/t5/323140-physical-examination-0-0.pdf","t5/323140-physical-examination-0-0.pdf")</f>
        <v/>
      </c>
      <c r="E2140" t="n">
        <v>146230</v>
      </c>
      <c r="F2140" t="n">
        <v>323140</v>
      </c>
      <c r="G2140" t="inlineStr">
        <is>
          <t>Physician</t>
        </is>
      </c>
      <c r="H2140" t="inlineStr">
        <is>
          <t>physical-examination</t>
        </is>
      </c>
      <c r="I2140" t="inlineStr">
        <is>
          <t>Peripheral Vascular: (Right radial pulse: Not assessed), (Left radial
   pulse: Not assessed), (Right DP pulse: Not assessed), (Left DP pulse:
   Not assessed)
   Skin:  Not assessed
   Neurologic: Responds to: Not assessed, Movement: Not assessed, Tone:
   Not a</t>
        </is>
      </c>
    </row>
    <row r="2141">
      <c r="A2141" t="inlineStr">
        <is>
          <t>323140-physical-examination-0-0</t>
        </is>
      </c>
      <c r="B2141" t="inlineStr"/>
      <c r="C2141" t="inlineStr"/>
      <c r="D2141">
        <f>HYPERLINK("http://nlpdeep.cs.uic.edu:8080/proofing/gsii/323140-physical-examination-0-0.pdf","gsii/323140-physical-examination-0-0.pdf")</f>
        <v/>
      </c>
      <c r="E2141" t="n">
        <v>146230</v>
      </c>
      <c r="F2141" t="n">
        <v>323140</v>
      </c>
      <c r="G2141" t="inlineStr">
        <is>
          <t>Physician</t>
        </is>
      </c>
      <c r="H2141" t="inlineStr">
        <is>
          <t>physical-examination</t>
        </is>
      </c>
      <c r="I2141" t="inlineStr">
        <is>
          <t>Peripheral Vascular: (Right radial pulse: Not assessed), (Left radial
   pulse: Not assessed), (Right DP pulse: Not assessed), (Left DP pulse:
   Not assessed)
   Skin:  Not assessed
   Neurologic: Responds to: Not assessed, Movement: Not assessed, Tone:
   Not a</t>
        </is>
      </c>
    </row>
    <row r="2142">
      <c r="A2142" t="inlineStr">
        <is>
          <t>323140-labs-imaging-0-0</t>
        </is>
      </c>
      <c r="B2142" t="inlineStr"/>
      <c r="C2142" t="inlineStr"/>
      <c r="D2142">
        <f>HYPERLINK("http://nlpdeep.cs.uic.edu:8080/proofing/t5/323140-labs-imaging-0-0.pdf","t5/323140-labs-imaging-0-0.pdf")</f>
        <v/>
      </c>
      <c r="E2142" t="n">
        <v>146230</v>
      </c>
      <c r="F2142" t="n">
        <v>323140</v>
      </c>
      <c r="G2142" t="inlineStr">
        <is>
          <t>Physician</t>
        </is>
      </c>
      <c r="H2142" t="inlineStr">
        <is>
          <t>labs-imaging</t>
        </is>
      </c>
      <c r="I2142" t="inlineStr">
        <is>
          <t>115 mg/dL
   0.7 mg/dL
   23 mEq/L
   3.9 mEq/L
   17 mg/dL
   109 mEq/L
   139 mEq/L
   28.2 %
        [image002.jpg] OLD
                             [**2186-3-10**]  10:45 AM
                             [**2186-3-10**]  11:01 AM
                             [**2186-3-10**]  11:30 AM
                             [**2186-3-10**]  02:15 PM
                             [**2186-3-10**]  04:41 PM
                             [**2186-3-10**]  06:10 PM
                             [**2186-3-10**]  11:13 PM
                             [**2186-3-11**]  05:17 AM
   WBC
   14.5
   Hct
   24.8
   30.2
   29.2
   28.2
   Plt
   292
   Cr
   0.7
   TropT
   0.17
   0.44
   0.21
   TCO2
   28
   28
   Glucose
   115
   Other labs: PT / PTT / INR:13.5/23.1/1.2, CK / CKMB /
   Troponin-T:226/6/0.21, Differential-Neuts:96.0 %, Band:0.0 %, Lymph:3.0
   %, Mono:1.0 %, Eos:0.0 %
   Imaging: CTA [**3-10**]: CONCLUSION:
   1.</t>
        </is>
      </c>
    </row>
    <row r="2143">
      <c r="A2143" t="inlineStr">
        <is>
          <t>323140-labs-imaging-0-0</t>
        </is>
      </c>
      <c r="B2143" t="inlineStr"/>
      <c r="C2143" t="inlineStr"/>
      <c r="D2143">
        <f>HYPERLINK("http://nlpdeep.cs.uic.edu:8080/proofing/gsii/323140-labs-imaging-0-0.pdf","gsii/323140-labs-imaging-0-0.pdf")</f>
        <v/>
      </c>
      <c r="E2143" t="n">
        <v>146230</v>
      </c>
      <c r="F2143" t="n">
        <v>323140</v>
      </c>
      <c r="G2143" t="inlineStr">
        <is>
          <t>Physician</t>
        </is>
      </c>
      <c r="H2143" t="inlineStr">
        <is>
          <t>labs-imaging</t>
        </is>
      </c>
      <c r="I2143" t="inlineStr">
        <is>
          <t>115 mg/dL
   0.7 mg/dL
   23 mEq/L
   3.9 mEq/L
   17 mg/dL
   109 mEq/L
   139 mEq/L
   28.2 %
        [image002.jpg] OLD
                             [**2186-3-10**]  10:45 AM
                             [**2186-3-10**]  11:01 AM
                             [**2186-3-10**]  11:30 AM
                             [**2186-3-10**]  02:15 PM
                             [**2186-3-10**]  04:41 PM
                             [**2186-3-10**]  06:10 PM
                             [**2186-3-10**]  11:13 PM
                             [**2186-3-11**]  05:17 AM
   WBC
   14.5
   Hct
   24.8
   30.2
   29.2
   28.2
   Plt
   292
   Cr
   0.7
   TropT
   0.17
   0.44
   0.21
   TCO2
   28
   28
   Glucose
   115
   Other labs: PT / PTT / INR:13.5/23.1/1.2, CK / CKMB /
   Troponin-T:226/6/0.21, Differential-Neuts:96.0 %, Band:0.0 %, Lymph:3.0
   %, Mono:1.0 %, Eos:0.0 %
   Imaging: CTA [**3-10**]: CONCLUSION:
   1.</t>
        </is>
      </c>
    </row>
    <row r="2144">
      <c r="A2144" t="inlineStr">
        <is>
          <t>323140-labs-imaging-0-1</t>
        </is>
      </c>
      <c r="B2144" t="inlineStr"/>
      <c r="C2144" t="inlineStr"/>
      <c r="D2144">
        <f>HYPERLINK("http://nlpdeep.cs.uic.edu:8080/proofing/t5/323140-labs-imaging-0-1.pdf","t5/323140-labs-imaging-0-1.pdf")</f>
        <v/>
      </c>
      <c r="E2144" t="n">
        <v>146230</v>
      </c>
      <c r="F2144" t="n">
        <v>323140</v>
      </c>
      <c r="G2144" t="inlineStr">
        <is>
          <t>Physician</t>
        </is>
      </c>
      <c r="H2144" t="inlineStr">
        <is>
          <t>labs-imaging</t>
        </is>
      </c>
      <c r="I2144" t="inlineStr">
        <is>
          <t>No central or segmental pulmonary embolism.</t>
        </is>
      </c>
    </row>
    <row r="2145">
      <c r="A2145" t="inlineStr">
        <is>
          <t>323140-labs-imaging-0-1</t>
        </is>
      </c>
      <c r="B2145" t="inlineStr"/>
      <c r="C2145" t="inlineStr"/>
      <c r="D2145">
        <f>HYPERLINK("http://nlpdeep.cs.uic.edu:8080/proofing/gsii/323140-labs-imaging-0-1.pdf","gsii/323140-labs-imaging-0-1.pdf")</f>
        <v/>
      </c>
      <c r="E2145" t="n">
        <v>146230</v>
      </c>
      <c r="F2145" t="n">
        <v>323140</v>
      </c>
      <c r="G2145" t="inlineStr">
        <is>
          <t>Physician</t>
        </is>
      </c>
      <c r="H2145" t="inlineStr">
        <is>
          <t>labs-imaging</t>
        </is>
      </c>
      <c r="I2145" t="inlineStr">
        <is>
          <t>No central or segmental pulmonary embolism.</t>
        </is>
      </c>
    </row>
    <row r="2146">
      <c r="A2146" t="inlineStr">
        <is>
          <t>323140-labs-imaging-0-2</t>
        </is>
      </c>
      <c r="B2146" t="inlineStr"/>
      <c r="C2146" t="inlineStr"/>
      <c r="D2146">
        <f>HYPERLINK("http://nlpdeep.cs.uic.edu:8080/proofing/t5/323140-labs-imaging-0-2.pdf","t5/323140-labs-imaging-0-2.pdf")</f>
        <v/>
      </c>
      <c r="E2146" t="n">
        <v>146230</v>
      </c>
      <c r="F2146" t="n">
        <v>323140</v>
      </c>
      <c r="G2146" t="inlineStr">
        <is>
          <t>Physician</t>
        </is>
      </c>
      <c r="H2146" t="inlineStr">
        <is>
          <t>labs-imaging</t>
        </is>
      </c>
      <c r="I2146" t="inlineStr">
        <is>
          <t>No aortic dissection.</t>
        </is>
      </c>
    </row>
    <row r="2147">
      <c r="A2147" t="inlineStr">
        <is>
          <t>323140-labs-imaging-0-2</t>
        </is>
      </c>
      <c r="B2147" t="inlineStr"/>
      <c r="C2147" t="inlineStr"/>
      <c r="D2147">
        <f>HYPERLINK("http://nlpdeep.cs.uic.edu:8080/proofing/gsii/323140-labs-imaging-0-2.pdf","gsii/323140-labs-imaging-0-2.pdf")</f>
        <v/>
      </c>
      <c r="E2147" t="n">
        <v>146230</v>
      </c>
      <c r="F2147" t="n">
        <v>323140</v>
      </c>
      <c r="G2147" t="inlineStr">
        <is>
          <t>Physician</t>
        </is>
      </c>
      <c r="H2147" t="inlineStr">
        <is>
          <t>labs-imaging</t>
        </is>
      </c>
      <c r="I2147" t="inlineStr">
        <is>
          <t>No aortic dissection.</t>
        </is>
      </c>
    </row>
    <row r="2148">
      <c r="A2148" t="inlineStr">
        <is>
          <t>323140-labs-imaging-0-3</t>
        </is>
      </c>
      <c r="B2148" t="inlineStr"/>
      <c r="C2148" t="inlineStr"/>
      <c r="D2148">
        <f>HYPERLINK("http://nlpdeep.cs.uic.edu:8080/proofing/t5/323140-labs-imaging-0-3.pdf","t5/323140-labs-imaging-0-3.pdf")</f>
        <v/>
      </c>
      <c r="E2148" t="n">
        <v>146230</v>
      </c>
      <c r="F2148" t="n">
        <v>323140</v>
      </c>
      <c r="G2148" t="inlineStr">
        <is>
          <t>Physician</t>
        </is>
      </c>
      <c r="H2148" t="inlineStr">
        <is>
          <t>labs-imaging</t>
        </is>
      </c>
      <c r="I2148" t="inlineStr">
        <is>
          <t xml:space="preserve">
   The
   coronary arteries arise from normal expected anatomical location.</t>
        </is>
      </c>
    </row>
    <row r="2149">
      <c r="A2149" t="inlineStr">
        <is>
          <t>323140-labs-imaging-0-3</t>
        </is>
      </c>
      <c r="B2149" t="inlineStr"/>
      <c r="C2149" t="inlineStr"/>
      <c r="D2149">
        <f>HYPERLINK("http://nlpdeep.cs.uic.edu:8080/proofing/gsii/323140-labs-imaging-0-3.pdf","gsii/323140-labs-imaging-0-3.pdf")</f>
        <v/>
      </c>
      <c r="E2149" t="n">
        <v>146230</v>
      </c>
      <c r="F2149" t="n">
        <v>323140</v>
      </c>
      <c r="G2149" t="inlineStr">
        <is>
          <t>Physician</t>
        </is>
      </c>
      <c r="H2149" t="inlineStr">
        <is>
          <t>labs-imaging</t>
        </is>
      </c>
      <c r="I2149" t="inlineStr">
        <is>
          <t xml:space="preserve">
   The
   coronary arteries arise from normal expected anatomical location.</t>
        </is>
      </c>
    </row>
    <row r="2150">
      <c r="A2150" t="inlineStr">
        <is>
          <t>323140-labs-imaging-0-4</t>
        </is>
      </c>
      <c r="B2150" t="inlineStr"/>
      <c r="C2150" t="inlineStr"/>
      <c r="D2150">
        <f>HYPERLINK("http://nlpdeep.cs.uic.edu:8080/proofing/t5/323140-labs-imaging-0-4.pdf","t5/323140-labs-imaging-0-4.pdf")</f>
        <v/>
      </c>
      <c r="E2150" t="n">
        <v>146230</v>
      </c>
      <c r="F2150" t="n">
        <v>323140</v>
      </c>
      <c r="G2150" t="inlineStr">
        <is>
          <t>Physician</t>
        </is>
      </c>
      <c r="H2150" t="inlineStr">
        <is>
          <t>labs-imaging</t>
        </is>
      </c>
      <c r="I2150" t="inlineStr">
        <is>
          <t>The ET tube has its tip in the right main bronchus and needs to be
   repositioned.</t>
        </is>
      </c>
    </row>
    <row r="2151">
      <c r="A2151" t="inlineStr">
        <is>
          <t>323140-labs-imaging-0-4</t>
        </is>
      </c>
      <c r="B2151" t="inlineStr"/>
      <c r="C2151" t="inlineStr"/>
      <c r="D2151">
        <f>HYPERLINK("http://nlpdeep.cs.uic.edu:8080/proofing/gsii/323140-labs-imaging-0-4.pdf","gsii/323140-labs-imaging-0-4.pdf")</f>
        <v/>
      </c>
      <c r="E2151" t="n">
        <v>146230</v>
      </c>
      <c r="F2151" t="n">
        <v>323140</v>
      </c>
      <c r="G2151" t="inlineStr">
        <is>
          <t>Physician</t>
        </is>
      </c>
      <c r="H2151" t="inlineStr">
        <is>
          <t>labs-imaging</t>
        </is>
      </c>
      <c r="I2151" t="inlineStr">
        <is>
          <t>The ET tube has its tip in the right main bronchus and needs to be
   repositioned.</t>
        </is>
      </c>
    </row>
    <row r="2152">
      <c r="A2152" t="inlineStr">
        <is>
          <t>323140-labs-imaging-0-5</t>
        </is>
      </c>
      <c r="B2152" t="inlineStr"/>
      <c r="C2152" t="inlineStr"/>
      <c r="D2152">
        <f>HYPERLINK("http://nlpdeep.cs.uic.edu:8080/proofing/t5/323140-labs-imaging-0-5.pdf","t5/323140-labs-imaging-0-5.pdf")</f>
        <v/>
      </c>
      <c r="E2152" t="n">
        <v>146230</v>
      </c>
      <c r="F2152" t="n">
        <v>323140</v>
      </c>
      <c r="G2152" t="inlineStr">
        <is>
          <t>Physician</t>
        </is>
      </c>
      <c r="H2152" t="inlineStr">
        <is>
          <t>labs-imaging</t>
        </is>
      </c>
      <c r="I2152" t="inlineStr">
        <is>
          <t>Passive atelectasis at the lower lobes.</t>
        </is>
      </c>
    </row>
    <row r="2153">
      <c r="A2153" t="inlineStr">
        <is>
          <t>323140-labs-imaging-0-5</t>
        </is>
      </c>
      <c r="B2153" t="inlineStr"/>
      <c r="C2153" t="inlineStr"/>
      <c r="D2153">
        <f>HYPERLINK("http://nlpdeep.cs.uic.edu:8080/proofing/gsii/323140-labs-imaging-0-5.pdf","gsii/323140-labs-imaging-0-5.pdf")</f>
        <v/>
      </c>
      <c r="E2153" t="n">
        <v>146230</v>
      </c>
      <c r="F2153" t="n">
        <v>323140</v>
      </c>
      <c r="G2153" t="inlineStr">
        <is>
          <t>Physician</t>
        </is>
      </c>
      <c r="H2153" t="inlineStr">
        <is>
          <t>labs-imaging</t>
        </is>
      </c>
      <c r="I2153" t="inlineStr">
        <is>
          <t>Passive atelectasis at the lower lobes.</t>
        </is>
      </c>
    </row>
    <row r="2154">
      <c r="A2154" t="inlineStr">
        <is>
          <t>323140-assessment-and-plan-0-0</t>
        </is>
      </c>
      <c r="B2154" t="inlineStr"/>
      <c r="C2154" t="inlineStr"/>
      <c r="D2154">
        <f>HYPERLINK("http://nlpdeep.cs.uic.edu:8080/proofing/t5/323140-assessment-and-plan-0-0.pdf","t5/323140-assessment-and-plan-0-0.pdf")</f>
        <v/>
      </c>
      <c r="E2154" t="n">
        <v>146230</v>
      </c>
      <c r="F2154" t="n">
        <v>323140</v>
      </c>
      <c r="G2154" t="inlineStr">
        <is>
          <t>Physician</t>
        </is>
      </c>
      <c r="H2154" t="inlineStr">
        <is>
          <t>assessment-and-plan</t>
        </is>
      </c>
      <c r="I2154" t="inlineStr">
        <is>
          <t>49 year old woman with history of asthma, DJD secondary to poorly
   healed femoral fracture admitted for hypotension, hypoxia complicated
   by PEA arrest intra-op.</t>
        </is>
      </c>
    </row>
    <row r="2155">
      <c r="A2155" t="inlineStr">
        <is>
          <t>323140-assessment-and-plan-0-0</t>
        </is>
      </c>
      <c r="B2155" t="inlineStr"/>
      <c r="C2155" t="inlineStr"/>
      <c r="D2155">
        <f>HYPERLINK("http://nlpdeep.cs.uic.edu:8080/proofing/gsii/323140-assessment-and-plan-0-0.pdf","gsii/323140-assessment-and-plan-0-0.pdf")</f>
        <v/>
      </c>
      <c r="E2155" t="n">
        <v>146230</v>
      </c>
      <c r="F2155" t="n">
        <v>323140</v>
      </c>
      <c r="G2155" t="inlineStr">
        <is>
          <t>Physician</t>
        </is>
      </c>
      <c r="H2155" t="inlineStr">
        <is>
          <t>assessment-and-plan</t>
        </is>
      </c>
      <c r="I2155" t="inlineStr">
        <is>
          <t>49 year old woman with history of asthma, DJD secondary to poorly
   healed femoral fracture admitted for hypotension, hypoxia complicated
   by PEA arrest intra-op.</t>
        </is>
      </c>
    </row>
    <row r="2156">
      <c r="A2156" t="inlineStr">
        <is>
          <t>323140-assessment-and-plan-0-1</t>
        </is>
      </c>
      <c r="B2156" t="inlineStr"/>
      <c r="C2156" t="inlineStr"/>
      <c r="D2156">
        <f>HYPERLINK("http://nlpdeep.cs.uic.edu:8080/proofing/t5/323140-assessment-and-plan-0-1.pdf","t5/323140-assessment-and-plan-0-1.pdf")</f>
        <v/>
      </c>
      <c r="E2156" t="n">
        <v>146230</v>
      </c>
      <c r="F2156" t="n">
        <v>323140</v>
      </c>
      <c r="G2156" t="inlineStr">
        <is>
          <t>Physician</t>
        </is>
      </c>
      <c r="H2156" t="inlineStr">
        <is>
          <t>assessment-and-plan</t>
        </is>
      </c>
      <c r="I2156" t="inlineStr">
        <is>
          <t xml:space="preserve">
   1) PEA - Likely due to large volume loss.</t>
        </is>
      </c>
    </row>
    <row r="2157">
      <c r="A2157" t="inlineStr">
        <is>
          <t>323140-assessment-and-plan-0-1</t>
        </is>
      </c>
      <c r="B2157" t="inlineStr"/>
      <c r="C2157" t="inlineStr"/>
      <c r="D2157">
        <f>HYPERLINK("http://nlpdeep.cs.uic.edu:8080/proofing/gsii/323140-assessment-and-plan-0-1.pdf","gsii/323140-assessment-and-plan-0-1.pdf")</f>
        <v/>
      </c>
      <c r="E2157" t="n">
        <v>146230</v>
      </c>
      <c r="F2157" t="n">
        <v>323140</v>
      </c>
      <c r="G2157" t="inlineStr">
        <is>
          <t>Physician</t>
        </is>
      </c>
      <c r="H2157" t="inlineStr">
        <is>
          <t>assessment-and-plan</t>
        </is>
      </c>
      <c r="I2157" t="inlineStr">
        <is>
          <t xml:space="preserve">
   1) PEA - Likely due to large volume loss.</t>
        </is>
      </c>
    </row>
    <row r="2158">
      <c r="A2158" t="inlineStr">
        <is>
          <t>323140-assessment-and-plan-0-2</t>
        </is>
      </c>
      <c r="B2158" t="inlineStr"/>
      <c r="C2158" t="inlineStr"/>
      <c r="D2158">
        <f>HYPERLINK("http://nlpdeep.cs.uic.edu:8080/proofing/t5/323140-assessment-and-plan-0-2.pdf","t5/323140-assessment-and-plan-0-2.pdf")</f>
        <v/>
      </c>
      <c r="E2158" t="n">
        <v>146230</v>
      </c>
      <c r="F2158" t="n">
        <v>323140</v>
      </c>
      <c r="G2158" t="inlineStr">
        <is>
          <t>Physician</t>
        </is>
      </c>
      <c r="H2158" t="inlineStr">
        <is>
          <t>assessment-and-plan</t>
        </is>
      </c>
      <c r="I2158" t="inlineStr">
        <is>
          <t xml:space="preserve"> leading differential would
   be for severe acute blood loss, fat embolism, PE, MI.</t>
        </is>
      </c>
    </row>
    <row r="2159">
      <c r="A2159" t="inlineStr">
        <is>
          <t>323140-assessment-and-plan-0-2</t>
        </is>
      </c>
      <c r="B2159" t="inlineStr"/>
      <c r="C2159" t="inlineStr"/>
      <c r="D2159">
        <f>HYPERLINK("http://nlpdeep.cs.uic.edu:8080/proofing/gsii/323140-assessment-and-plan-0-2.pdf","gsii/323140-assessment-and-plan-0-2.pdf")</f>
        <v/>
      </c>
      <c r="E2159" t="n">
        <v>146230</v>
      </c>
      <c r="F2159" t="n">
        <v>323140</v>
      </c>
      <c r="G2159" t="inlineStr">
        <is>
          <t>Physician</t>
        </is>
      </c>
      <c r="H2159" t="inlineStr">
        <is>
          <t>assessment-and-plan</t>
        </is>
      </c>
      <c r="I2159" t="inlineStr">
        <is>
          <t xml:space="preserve"> leading differential would
   be for severe acute blood loss, fat embolism, PE, MI.</t>
        </is>
      </c>
    </row>
    <row r="2160">
      <c r="A2160" t="inlineStr">
        <is>
          <t>323140-assessment-and-plan-0-3</t>
        </is>
      </c>
      <c r="B2160" t="inlineStr"/>
      <c r="C2160" t="inlineStr"/>
      <c r="D2160">
        <f>HYPERLINK("http://nlpdeep.cs.uic.edu:8080/proofing/t5/323140-assessment-and-plan-0-3.pdf","t5/323140-assessment-and-plan-0-3.pdf")</f>
        <v/>
      </c>
      <c r="E2160" t="n">
        <v>146230</v>
      </c>
      <c r="F2160" t="n">
        <v>323140</v>
      </c>
      <c r="G2160" t="inlineStr">
        <is>
          <t>Physician</t>
        </is>
      </c>
      <c r="H2160" t="inlineStr">
        <is>
          <t>assessment-and-plan</t>
        </is>
      </c>
      <c r="I2160" t="inlineStr">
        <is>
          <t>of these acute
   blood loss +/- fat embolism would be most likely.</t>
        </is>
      </c>
    </row>
    <row r="2161">
      <c r="A2161" t="inlineStr">
        <is>
          <t>323140-assessment-and-plan-0-3</t>
        </is>
      </c>
      <c r="B2161" t="inlineStr"/>
      <c r="C2161" t="inlineStr"/>
      <c r="D2161">
        <f>HYPERLINK("http://nlpdeep.cs.uic.edu:8080/proofing/gsii/323140-assessment-and-plan-0-3.pdf","gsii/323140-assessment-and-plan-0-3.pdf")</f>
        <v/>
      </c>
      <c r="E2161" t="n">
        <v>146230</v>
      </c>
      <c r="F2161" t="n">
        <v>323140</v>
      </c>
      <c r="G2161" t="inlineStr">
        <is>
          <t>Physician</t>
        </is>
      </c>
      <c r="H2161" t="inlineStr">
        <is>
          <t>assessment-and-plan</t>
        </is>
      </c>
      <c r="I2161" t="inlineStr">
        <is>
          <t>of these acute
   blood loss +/- fat embolism would be most likely.</t>
        </is>
      </c>
    </row>
    <row r="2162">
      <c r="A2162" t="inlineStr">
        <is>
          <t>323140-assessment-and-plan-0-4</t>
        </is>
      </c>
      <c r="B2162" t="inlineStr"/>
      <c r="C2162" t="inlineStr"/>
      <c r="D2162">
        <f>HYPERLINK("http://nlpdeep.cs.uic.edu:8080/proofing/t5/323140-assessment-and-plan-0-4.pdf","t5/323140-assessment-and-plan-0-4.pdf")</f>
        <v/>
      </c>
      <c r="E2162" t="n">
        <v>146230</v>
      </c>
      <c r="F2162" t="n">
        <v>323140</v>
      </c>
      <c r="G2162" t="inlineStr">
        <is>
          <t>Physician</t>
        </is>
      </c>
      <c r="H2162" t="inlineStr">
        <is>
          <t>assessment-and-plan</t>
        </is>
      </c>
      <c r="I2162" t="inlineStr">
        <is>
          <t xml:space="preserve"> negative CTA for
   central or segmental PE.</t>
        </is>
      </c>
    </row>
    <row r="2163">
      <c r="A2163" t="inlineStr">
        <is>
          <t>323140-assessment-and-plan-0-4</t>
        </is>
      </c>
      <c r="B2163" t="inlineStr"/>
      <c r="C2163" t="inlineStr"/>
      <c r="D2163">
        <f>HYPERLINK("http://nlpdeep.cs.uic.edu:8080/proofing/gsii/323140-assessment-and-plan-0-4.pdf","gsii/323140-assessment-and-plan-0-4.pdf")</f>
        <v/>
      </c>
      <c r="E2163" t="n">
        <v>146230</v>
      </c>
      <c r="F2163" t="n">
        <v>323140</v>
      </c>
      <c r="G2163" t="inlineStr">
        <is>
          <t>Physician</t>
        </is>
      </c>
      <c r="H2163" t="inlineStr">
        <is>
          <t>assessment-and-plan</t>
        </is>
      </c>
      <c r="I2163" t="inlineStr">
        <is>
          <t xml:space="preserve"> negative CTA for
   central or segmental PE.</t>
        </is>
      </c>
    </row>
    <row r="2164">
      <c r="A2164" t="inlineStr">
        <is>
          <t>323140-assessment-and-plan-0-5</t>
        </is>
      </c>
      <c r="B2164" t="inlineStr"/>
      <c r="C2164" t="inlineStr"/>
      <c r="D2164">
        <f>HYPERLINK("http://nlpdeep.cs.uic.edu:8080/proofing/t5/323140-assessment-and-plan-0-5.pdf","t5/323140-assessment-and-plan-0-5.pdf")</f>
        <v/>
      </c>
      <c r="E2164" t="n">
        <v>146230</v>
      </c>
      <c r="F2164" t="n">
        <v>323140</v>
      </c>
      <c r="G2164" t="inlineStr">
        <is>
          <t>Physician</t>
        </is>
      </c>
      <c r="H2164" t="inlineStr">
        <is>
          <t>assessment-and-plan</t>
        </is>
      </c>
      <c r="I2164" t="inlineStr">
        <is>
          <t>with non-specific EKG changes would be
   unlikely to have coronary event that could have caused these events.</t>
        </is>
      </c>
    </row>
    <row r="2165">
      <c r="A2165" t="inlineStr">
        <is>
          <t>323140-assessment-and-plan-0-5</t>
        </is>
      </c>
      <c r="B2165" t="inlineStr"/>
      <c r="C2165" t="inlineStr"/>
      <c r="D2165">
        <f>HYPERLINK("http://nlpdeep.cs.uic.edu:8080/proofing/gsii/323140-assessment-and-plan-0-5.pdf","gsii/323140-assessment-and-plan-0-5.pdf")</f>
        <v/>
      </c>
      <c r="E2165" t="n">
        <v>146230</v>
      </c>
      <c r="F2165" t="n">
        <v>323140</v>
      </c>
      <c r="G2165" t="inlineStr">
        <is>
          <t>Physician</t>
        </is>
      </c>
      <c r="H2165" t="inlineStr">
        <is>
          <t>assessment-and-plan</t>
        </is>
      </c>
      <c r="I2165" t="inlineStr">
        <is>
          <t>with non-specific EKG changes would be
   unlikely to have coronary event that could have caused these events.</t>
        </is>
      </c>
    </row>
    <row r="2166">
      <c r="A2166" t="inlineStr">
        <is>
          <t>323140-assessment-and-plan-0-6</t>
        </is>
      </c>
      <c r="B2166" t="inlineStr"/>
      <c r="C2166" t="inlineStr"/>
      <c r="D2166">
        <f>HYPERLINK("http://nlpdeep.cs.uic.edu:8080/proofing/t5/323140-assessment-and-plan-0-6.pdf","t5/323140-assessment-and-plan-0-6.pdf")</f>
        <v/>
      </c>
      <c r="E2166" t="n">
        <v>146230</v>
      </c>
      <c r="F2166" t="n">
        <v>323140</v>
      </c>
      <c r="G2166" t="inlineStr">
        <is>
          <t>Physician</t>
        </is>
      </c>
      <c r="H2166" t="inlineStr">
        <is>
          <t>assessment-and-plan</t>
        </is>
      </c>
      <c r="I2166" t="inlineStr">
        <is>
          <t xml:space="preserve">
   Large troponin leak and CK elevation in the setting of PEA/VFib
   arrest.</t>
        </is>
      </c>
    </row>
    <row r="2167">
      <c r="A2167" t="inlineStr">
        <is>
          <t>323140-assessment-and-plan-0-6</t>
        </is>
      </c>
      <c r="B2167" t="inlineStr"/>
      <c r="C2167" t="inlineStr"/>
      <c r="D2167">
        <f>HYPERLINK("http://nlpdeep.cs.uic.edu:8080/proofing/gsii/323140-assessment-and-plan-0-6.pdf","gsii/323140-assessment-and-plan-0-6.pdf")</f>
        <v/>
      </c>
      <c r="E2167" t="n">
        <v>146230</v>
      </c>
      <c r="F2167" t="n">
        <v>323140</v>
      </c>
      <c r="G2167" t="inlineStr">
        <is>
          <t>Physician</t>
        </is>
      </c>
      <c r="H2167" t="inlineStr">
        <is>
          <t>assessment-and-plan</t>
        </is>
      </c>
      <c r="I2167" t="inlineStr">
        <is>
          <t xml:space="preserve">
   Large troponin leak and CK elevation in the setting of PEA/VFib
   arrest.</t>
        </is>
      </c>
    </row>
    <row r="2168">
      <c r="A2168" t="inlineStr">
        <is>
          <t>323140-assessment-and-plan-0-7</t>
        </is>
      </c>
      <c r="B2168" t="inlineStr"/>
      <c r="C2168" t="inlineStr"/>
      <c r="D2168">
        <f>HYPERLINK("http://nlpdeep.cs.uic.edu:8080/proofing/t5/323140-assessment-and-plan-0-7.pdf","t5/323140-assessment-and-plan-0-7.pdf")</f>
        <v/>
      </c>
      <c r="E2168" t="n">
        <v>146230</v>
      </c>
      <c r="F2168" t="n">
        <v>323140</v>
      </c>
      <c r="G2168" t="inlineStr">
        <is>
          <t>Physician</t>
        </is>
      </c>
      <c r="H2168" t="inlineStr">
        <is>
          <t>assessment-and-plan</t>
        </is>
      </c>
      <c r="I2168" t="inlineStr">
        <is>
          <t xml:space="preserve"> Trop peaked at 0.44, now downtrending.</t>
        </is>
      </c>
    </row>
    <row r="2169">
      <c r="A2169" t="inlineStr">
        <is>
          <t>323140-assessment-and-plan-0-7</t>
        </is>
      </c>
      <c r="B2169" t="inlineStr"/>
      <c r="C2169" t="inlineStr"/>
      <c r="D2169">
        <f>HYPERLINK("http://nlpdeep.cs.uic.edu:8080/proofing/gsii/323140-assessment-and-plan-0-7.pdf","gsii/323140-assessment-and-plan-0-7.pdf")</f>
        <v/>
      </c>
      <c r="E2169" t="n">
        <v>146230</v>
      </c>
      <c r="F2169" t="n">
        <v>323140</v>
      </c>
      <c r="G2169" t="inlineStr">
        <is>
          <t>Physician</t>
        </is>
      </c>
      <c r="H2169" t="inlineStr">
        <is>
          <t>assessment-and-plan</t>
        </is>
      </c>
      <c r="I2169" t="inlineStr">
        <is>
          <t xml:space="preserve"> Trop peaked at 0.44, now downtrending.</t>
        </is>
      </c>
    </row>
    <row r="2170">
      <c r="A2170" t="inlineStr">
        <is>
          <t>323140-assessment-and-plan-0-8</t>
        </is>
      </c>
      <c r="B2170" t="inlineStr"/>
      <c r="C2170" t="inlineStr"/>
      <c r="D2170">
        <f>HYPERLINK("http://nlpdeep.cs.uic.edu:8080/proofing/t5/323140-assessment-and-plan-0-8.pdf","t5/323140-assessment-and-plan-0-8.pdf")</f>
        <v/>
      </c>
      <c r="E2170" t="n">
        <v>146230</v>
      </c>
      <c r="F2170" t="n">
        <v>323140</v>
      </c>
      <c r="G2170" t="inlineStr">
        <is>
          <t>Physician</t>
        </is>
      </c>
      <c r="H2170" t="inlineStr">
        <is>
          <t>assessment-and-plan</t>
        </is>
      </c>
      <c r="I2170" t="inlineStr">
        <is>
          <t>CK stil rising.</t>
        </is>
      </c>
    </row>
    <row r="2171">
      <c r="A2171" t="inlineStr">
        <is>
          <t>323140-assessment-and-plan-0-8</t>
        </is>
      </c>
      <c r="B2171" t="inlineStr"/>
      <c r="C2171" t="inlineStr"/>
      <c r="D2171">
        <f>HYPERLINK("http://nlpdeep.cs.uic.edu:8080/proofing/gsii/323140-assessment-and-plan-0-8.pdf","gsii/323140-assessment-and-plan-0-8.pdf")</f>
        <v/>
      </c>
      <c r="E2171" t="n">
        <v>146230</v>
      </c>
      <c r="F2171" t="n">
        <v>323140</v>
      </c>
      <c r="G2171" t="inlineStr">
        <is>
          <t>Physician</t>
        </is>
      </c>
      <c r="H2171" t="inlineStr">
        <is>
          <t>assessment-and-plan</t>
        </is>
      </c>
      <c r="I2171" t="inlineStr">
        <is>
          <t>CK stil rising.</t>
        </is>
      </c>
    </row>
    <row r="2172">
      <c r="A2172" t="inlineStr">
        <is>
          <t>323140-assessment-and-plan-0-9</t>
        </is>
      </c>
      <c r="B2172" t="inlineStr"/>
      <c r="C2172" t="inlineStr"/>
      <c r="D2172">
        <f>HYPERLINK("http://nlpdeep.cs.uic.edu:8080/proofing/t5/323140-assessment-and-plan-0-9.pdf","t5/323140-assessment-and-plan-0-9.pdf")</f>
        <v/>
      </c>
      <c r="E2172" t="n">
        <v>146230</v>
      </c>
      <c r="F2172" t="n">
        <v>323140</v>
      </c>
      <c r="G2172" t="inlineStr">
        <is>
          <t>Physician</t>
        </is>
      </c>
      <c r="H2172" t="inlineStr">
        <is>
          <t>assessment-and-plan</t>
        </is>
      </c>
      <c r="I2172" t="inlineStr">
        <is>
          <t>Patient
   is now s/p 2 units pRBCs.</t>
        </is>
      </c>
    </row>
    <row r="2173">
      <c r="A2173" t="inlineStr">
        <is>
          <t>323140-assessment-and-plan-0-9</t>
        </is>
      </c>
      <c r="B2173" t="inlineStr"/>
      <c r="C2173" t="inlineStr"/>
      <c r="D2173">
        <f>HYPERLINK("http://nlpdeep.cs.uic.edu:8080/proofing/gsii/323140-assessment-and-plan-0-9.pdf","gsii/323140-assessment-and-plan-0-9.pdf")</f>
        <v/>
      </c>
      <c r="E2173" t="n">
        <v>146230</v>
      </c>
      <c r="F2173" t="n">
        <v>323140</v>
      </c>
      <c r="G2173" t="inlineStr">
        <is>
          <t>Physician</t>
        </is>
      </c>
      <c r="H2173" t="inlineStr">
        <is>
          <t>assessment-and-plan</t>
        </is>
      </c>
      <c r="I2173" t="inlineStr">
        <is>
          <t>Patient
   is now s/p 2 units pRBCs.</t>
        </is>
      </c>
    </row>
    <row r="2174">
      <c r="A2174" t="inlineStr">
        <is>
          <t>323140-assessment-and-plan-0-10</t>
        </is>
      </c>
      <c r="B2174" t="inlineStr"/>
      <c r="C2174" t="inlineStr"/>
      <c r="D2174">
        <f>HYPERLINK("http://nlpdeep.cs.uic.edu:8080/proofing/t5/323140-assessment-and-plan-0-10.pdf","t5/323140-assessment-and-plan-0-10.pdf")</f>
        <v/>
      </c>
      <c r="E2174" t="n">
        <v>146230</v>
      </c>
      <c r="F2174" t="n">
        <v>323140</v>
      </c>
      <c r="G2174" t="inlineStr">
        <is>
          <t>Physician</t>
        </is>
      </c>
      <c r="H2174" t="inlineStr">
        <is>
          <t>assessment-and-plan</t>
        </is>
      </c>
      <c r="I2174" t="inlineStr">
        <is>
          <t xml:space="preserve">
   - Cycle CK until downtrending
   - Continue to follow HCT q6H today as patient had large volume loss and
   HCT is slowly drifting downward
   - Appreciate cardiology recs, will get repeat ECHO in several days to
   re-eval possible posterior wall hypokinesis
   - Started on baby aspirin
   2) Respiratory: Patient successfully extubated with no complications.</t>
        </is>
      </c>
    </row>
    <row r="2175">
      <c r="A2175" t="inlineStr">
        <is>
          <t>323140-assessment-and-plan-0-10</t>
        </is>
      </c>
      <c r="B2175" t="inlineStr"/>
      <c r="C2175" t="inlineStr"/>
      <c r="D2175">
        <f>HYPERLINK("http://nlpdeep.cs.uic.edu:8080/proofing/gsii/323140-assessment-and-plan-0-10.pdf","gsii/323140-assessment-and-plan-0-10.pdf")</f>
        <v/>
      </c>
      <c r="E2175" t="n">
        <v>146230</v>
      </c>
      <c r="F2175" t="n">
        <v>323140</v>
      </c>
      <c r="G2175" t="inlineStr">
        <is>
          <t>Physician</t>
        </is>
      </c>
      <c r="H2175" t="inlineStr">
        <is>
          <t>assessment-and-plan</t>
        </is>
      </c>
      <c r="I2175" t="inlineStr">
        <is>
          <t xml:space="preserve">
   - Cycle CK until downtrending
   - Continue to follow HCT q6H today as patient had large volume loss and
   HCT is slowly drifting downward
   - Appreciate cardiology recs, will get repeat ECHO in several days to
   re-eval possible posterior wall hypokinesis
   - Started on baby aspirin
   2) Respiratory: Patient successfully extubated with no complications.</t>
        </is>
      </c>
    </row>
    <row r="2176">
      <c r="A2176" t="inlineStr">
        <is>
          <t>323140-assessment-and-plan-0-11</t>
        </is>
      </c>
      <c r="B2176" t="inlineStr"/>
      <c r="C2176" t="inlineStr"/>
      <c r="D2176">
        <f>HYPERLINK("http://nlpdeep.cs.uic.edu:8080/proofing/t5/323140-assessment-and-plan-0-11.pdf","t5/323140-assessment-and-plan-0-11.pdf")</f>
        <v/>
      </c>
      <c r="E2176" t="n">
        <v>146230</v>
      </c>
      <c r="F2176" t="n">
        <v>323140</v>
      </c>
      <c r="G2176" t="inlineStr">
        <is>
          <t>Physician</t>
        </is>
      </c>
      <c r="H2176" t="inlineStr">
        <is>
          <t>assessment-and-plan</t>
        </is>
      </c>
      <c r="I2176" t="inlineStr">
        <is>
          <t xml:space="preserve">
   Good gas exchange.</t>
        </is>
      </c>
    </row>
    <row r="2177">
      <c r="A2177" t="inlineStr">
        <is>
          <t>323140-assessment-and-plan-0-11</t>
        </is>
      </c>
      <c r="B2177" t="inlineStr"/>
      <c r="C2177" t="inlineStr"/>
      <c r="D2177">
        <f>HYPERLINK("http://nlpdeep.cs.uic.edu:8080/proofing/gsii/323140-assessment-and-plan-0-11.pdf","gsii/323140-assessment-and-plan-0-11.pdf")</f>
        <v/>
      </c>
      <c r="E2177" t="n">
        <v>146230</v>
      </c>
      <c r="F2177" t="n">
        <v>323140</v>
      </c>
      <c r="G2177" t="inlineStr">
        <is>
          <t>Physician</t>
        </is>
      </c>
      <c r="H2177" t="inlineStr">
        <is>
          <t>assessment-and-plan</t>
        </is>
      </c>
      <c r="I2177" t="inlineStr">
        <is>
          <t xml:space="preserve">
   Good gas exchange.</t>
        </is>
      </c>
    </row>
    <row r="2178">
      <c r="A2178" t="inlineStr">
        <is>
          <t>323140-assessment-and-plan-0-12</t>
        </is>
      </c>
      <c r="B2178" t="inlineStr"/>
      <c r="C2178" t="inlineStr"/>
      <c r="D2178">
        <f>HYPERLINK("http://nlpdeep.cs.uic.edu:8080/proofing/t5/323140-assessment-and-plan-0-12.pdf","t5/323140-assessment-and-plan-0-12.pdf")</f>
        <v/>
      </c>
      <c r="E2178" t="n">
        <v>146230</v>
      </c>
      <c r="F2178" t="n">
        <v>323140</v>
      </c>
      <c r="G2178" t="inlineStr">
        <is>
          <t>Physician</t>
        </is>
      </c>
      <c r="H2178" t="inlineStr">
        <is>
          <t>assessment-and-plan</t>
        </is>
      </c>
      <c r="I2178" t="inlineStr">
        <is>
          <t xml:space="preserve">
   3) S/p left femural procedure: procedure aborted prematurely due to the
   above complications.</t>
        </is>
      </c>
    </row>
    <row r="2179">
      <c r="A2179" t="inlineStr">
        <is>
          <t>323140-assessment-and-plan-0-12</t>
        </is>
      </c>
      <c r="B2179" t="inlineStr"/>
      <c r="C2179" t="inlineStr"/>
      <c r="D2179">
        <f>HYPERLINK("http://nlpdeep.cs.uic.edu:8080/proofing/gsii/323140-assessment-and-plan-0-12.pdf","gsii/323140-assessment-and-plan-0-12.pdf")</f>
        <v/>
      </c>
      <c r="E2179" t="n">
        <v>146230</v>
      </c>
      <c r="F2179" t="n">
        <v>323140</v>
      </c>
      <c r="G2179" t="inlineStr">
        <is>
          <t>Physician</t>
        </is>
      </c>
      <c r="H2179" t="inlineStr">
        <is>
          <t>assessment-and-plan</t>
        </is>
      </c>
      <c r="I2179" t="inlineStr">
        <is>
          <t xml:space="preserve">
   3) S/p left femural procedure: procedure aborted prematurely due to the
   above complications.</t>
        </is>
      </c>
    </row>
    <row r="2180">
      <c r="A2180" t="inlineStr">
        <is>
          <t>323140-assessment-and-plan-0-13</t>
        </is>
      </c>
      <c r="B2180" t="inlineStr"/>
      <c r="C2180" t="inlineStr"/>
      <c r="D2180">
        <f>HYPERLINK("http://nlpdeep.cs.uic.edu:8080/proofing/t5/323140-assessment-and-plan-0-13.pdf","t5/323140-assessment-and-plan-0-13.pdf")</f>
        <v/>
      </c>
      <c r="E2180" t="n">
        <v>146230</v>
      </c>
      <c r="F2180" t="n">
        <v>323140</v>
      </c>
      <c r="G2180" t="inlineStr">
        <is>
          <t>Physician</t>
        </is>
      </c>
      <c r="H2180" t="inlineStr">
        <is>
          <t>assessment-and-plan</t>
        </is>
      </c>
      <c r="I2180" t="inlineStr">
        <is>
          <t xml:space="preserve">
   - pain control with fentanyl while intubated then morphine
   - lovenox prophylaxis per ortho recommendations
   - Plan for CPM, partial weight bearing on LLE and CPM device per ortho
   today
   4) Asthma - Stable.</t>
        </is>
      </c>
    </row>
    <row r="2181">
      <c r="A2181" t="inlineStr">
        <is>
          <t>323140-assessment-and-plan-0-13</t>
        </is>
      </c>
      <c r="B2181" t="inlineStr"/>
      <c r="C2181" t="inlineStr"/>
      <c r="D2181">
        <f>HYPERLINK("http://nlpdeep.cs.uic.edu:8080/proofing/gsii/323140-assessment-and-plan-0-13.pdf","gsii/323140-assessment-and-plan-0-13.pdf")</f>
        <v/>
      </c>
      <c r="E2181" t="n">
        <v>146230</v>
      </c>
      <c r="F2181" t="n">
        <v>323140</v>
      </c>
      <c r="G2181" t="inlineStr">
        <is>
          <t>Physician</t>
        </is>
      </c>
      <c r="H2181" t="inlineStr">
        <is>
          <t>assessment-and-plan</t>
        </is>
      </c>
      <c r="I2181" t="inlineStr">
        <is>
          <t xml:space="preserve">
   - pain control with fentanyl while intubated then morphine
   - lovenox prophylaxis per ortho recommendations
   - Plan for CPM, partial weight bearing on LLE and CPM device per ortho
   today
   4) Asthma - Stable.</t>
        </is>
      </c>
    </row>
    <row r="2182">
      <c r="A2182" t="inlineStr">
        <is>
          <t>323140-assessment-and-plan-0-14</t>
        </is>
      </c>
      <c r="B2182" t="inlineStr"/>
      <c r="C2182" t="inlineStr"/>
      <c r="D2182">
        <f>HYPERLINK("http://nlpdeep.cs.uic.edu:8080/proofing/t5/323140-assessment-and-plan-0-14.pdf","t5/323140-assessment-and-plan-0-14.pdf")</f>
        <v/>
      </c>
      <c r="E2182" t="n">
        <v>146230</v>
      </c>
      <c r="F2182" t="n">
        <v>323140</v>
      </c>
      <c r="G2182" t="inlineStr">
        <is>
          <t>Physician</t>
        </is>
      </c>
      <c r="H2182" t="inlineStr">
        <is>
          <t>assessment-and-plan</t>
        </is>
      </c>
      <c r="I2182" t="inlineStr">
        <is>
          <t>Will resume home medications
   ICU Care
   Nutrition:
   Full diet
   Glycemic Control: Adequate
   Lines:
   Arterial Line - [**2186-3-10**] 10:47 AM
   18 Gauge - [**2186-3-10**] 10:47 AM
   Prophylaxis:
   DVT: Boots, LMW Heparin
   Stress ulcer: PPI
   VAP:  NA
   Comments:</t>
        </is>
      </c>
    </row>
    <row r="2183">
      <c r="A2183" t="inlineStr">
        <is>
          <t>323140-assessment-and-plan-0-14</t>
        </is>
      </c>
      <c r="B2183" t="inlineStr"/>
      <c r="C2183" t="inlineStr"/>
      <c r="D2183">
        <f>HYPERLINK("http://nlpdeep.cs.uic.edu:8080/proofing/gsii/323140-assessment-and-plan-0-14.pdf","gsii/323140-assessment-and-plan-0-14.pdf")</f>
        <v/>
      </c>
      <c r="E2183" t="n">
        <v>146230</v>
      </c>
      <c r="F2183" t="n">
        <v>323140</v>
      </c>
      <c r="G2183" t="inlineStr">
        <is>
          <t>Physician</t>
        </is>
      </c>
      <c r="H2183" t="inlineStr">
        <is>
          <t>assessment-and-plan</t>
        </is>
      </c>
      <c r="I2183" t="inlineStr">
        <is>
          <t>Will resume home medications
   ICU Care
   Nutrition:
   Full diet
   Glycemic Control: Adequate
   Lines:
   Arterial Line - [**2186-3-10**] 10:47 AM
   18 Gauge - [**2186-3-10**] 10:47 AM
   Prophylaxis:
   DVT: Boots, LMW Heparin
   Stress ulcer: PPI
   VAP:  NA
   Comments:</t>
        </is>
      </c>
    </row>
    <row r="2184">
      <c r="A2184" t="inlineStr">
        <is>
          <t>323140-communication-0-0</t>
        </is>
      </c>
      <c r="B2184" t="inlineStr"/>
      <c r="C2184" t="inlineStr"/>
      <c r="D2184">
        <f>HYPERLINK("http://nlpdeep.cs.uic.edu:8080/proofing/t5/323140-communication-0-0.pdf","t5/323140-communication-0-0.pdf")</f>
        <v/>
      </c>
      <c r="E2184" t="n">
        <v>146230</v>
      </c>
      <c r="F2184" t="n">
        <v>323140</v>
      </c>
      <c r="G2184" t="inlineStr">
        <is>
          <t>Physician</t>
        </is>
      </c>
      <c r="H2184" t="inlineStr">
        <is>
          <t>communication</t>
        </is>
      </c>
      <c r="I2184" t="inlineStr">
        <is>
          <t>Comments:</t>
        </is>
      </c>
    </row>
    <row r="2185">
      <c r="A2185" t="inlineStr">
        <is>
          <t>323140-communication-0-0</t>
        </is>
      </c>
      <c r="B2185" t="inlineStr"/>
      <c r="C2185" t="inlineStr"/>
      <c r="D2185">
        <f>HYPERLINK("http://nlpdeep.cs.uic.edu:8080/proofing/gsii/323140-communication-0-0.pdf","gsii/323140-communication-0-0.pdf")</f>
        <v/>
      </c>
      <c r="E2185" t="n">
        <v>146230</v>
      </c>
      <c r="F2185" t="n">
        <v>323140</v>
      </c>
      <c r="G2185" t="inlineStr">
        <is>
          <t>Physician</t>
        </is>
      </c>
      <c r="H2185" t="inlineStr">
        <is>
          <t>communication</t>
        </is>
      </c>
      <c r="I2185" t="inlineStr">
        <is>
          <t>Comments:</t>
        </is>
      </c>
    </row>
    <row r="2186">
      <c r="A2186" t="inlineStr">
        <is>
          <t>323140-code-status-0-0</t>
        </is>
      </c>
      <c r="B2186" t="inlineStr"/>
      <c r="C2186" t="inlineStr"/>
      <c r="D2186">
        <f>HYPERLINK("http://nlpdeep.cs.uic.edu:8080/proofing/t5/323140-code-status-0-0.pdf","t5/323140-code-status-0-0.pdf")</f>
        <v/>
      </c>
      <c r="E2186" t="n">
        <v>146230</v>
      </c>
      <c r="F2186" t="n">
        <v>323140</v>
      </c>
      <c r="G2186" t="inlineStr">
        <is>
          <t>Physician</t>
        </is>
      </c>
      <c r="H2186" t="inlineStr">
        <is>
          <t>code-status</t>
        </is>
      </c>
      <c r="I2186" t="inlineStr">
        <is>
          <t>Full c</t>
        </is>
      </c>
    </row>
    <row r="2187">
      <c r="A2187" t="inlineStr">
        <is>
          <t>323140-code-status-0-0</t>
        </is>
      </c>
      <c r="B2187" t="inlineStr"/>
      <c r="C2187" t="inlineStr"/>
      <c r="D2187">
        <f>HYPERLINK("http://nlpdeep.cs.uic.edu:8080/proofing/gsii/323140-code-status-0-0.pdf","gsii/323140-code-status-0-0.pdf")</f>
        <v/>
      </c>
      <c r="E2187" t="n">
        <v>146230</v>
      </c>
      <c r="F2187" t="n">
        <v>323140</v>
      </c>
      <c r="G2187" t="inlineStr">
        <is>
          <t>Physician</t>
        </is>
      </c>
      <c r="H2187" t="inlineStr">
        <is>
          <t>code-status</t>
        </is>
      </c>
      <c r="I2187" t="inlineStr">
        <is>
          <t>Full c</t>
        </is>
      </c>
    </row>
    <row r="2188">
      <c r="A2188" t="inlineStr">
        <is>
          <t>323140-disposition-0-0</t>
        </is>
      </c>
      <c r="B2188" t="inlineStr"/>
      <c r="C2188" t="inlineStr"/>
      <c r="D2188">
        <f>HYPERLINK("http://nlpdeep.cs.uic.edu:8080/proofing/t5/323140-disposition-0-0.pdf","t5/323140-disposition-0-0.pdf")</f>
        <v/>
      </c>
      <c r="E2188" t="n">
        <v>146230</v>
      </c>
      <c r="F2188" t="n">
        <v>323140</v>
      </c>
      <c r="G2188" t="inlineStr">
        <is>
          <t>Physician</t>
        </is>
      </c>
      <c r="H2188" t="inlineStr">
        <is>
          <t>disposition</t>
        </is>
      </c>
      <c r="I2188" t="inlineStr">
        <is>
          <t>Consider call out later t</t>
        </is>
      </c>
    </row>
    <row r="2189">
      <c r="A2189" t="inlineStr">
        <is>
          <t>323140-disposition-0-0</t>
        </is>
      </c>
      <c r="B2189" t="inlineStr"/>
      <c r="C2189" t="inlineStr"/>
      <c r="D2189">
        <f>HYPERLINK("http://nlpdeep.cs.uic.edu:8080/proofing/gsii/323140-disposition-0-0.pdf","gsii/323140-disposition-0-0.pdf")</f>
        <v/>
      </c>
      <c r="E2189" t="n">
        <v>146230</v>
      </c>
      <c r="F2189" t="n">
        <v>323140</v>
      </c>
      <c r="G2189" t="inlineStr">
        <is>
          <t>Physician</t>
        </is>
      </c>
      <c r="H2189" t="inlineStr">
        <is>
          <t>disposition</t>
        </is>
      </c>
      <c r="I2189" t="inlineStr">
        <is>
          <t>Consider call out later t</t>
        </is>
      </c>
    </row>
    <row r="2190">
      <c r="A2190" t="inlineStr">
        <is>
          <t>22966-allergies-0-0</t>
        </is>
      </c>
      <c r="B2190" t="inlineStr"/>
      <c r="C2190" t="inlineStr"/>
      <c r="D2190">
        <f>HYPERLINK("http://nlpdeep.cs.uic.edu:8080/proofing/t5/22966-allergies-0-0.pdf","t5/22966-allergies-0-0.pdf")</f>
        <v/>
      </c>
      <c r="E2190" t="n">
        <v>146230</v>
      </c>
      <c r="F2190" t="n">
        <v>22966</v>
      </c>
      <c r="G2190" t="inlineStr">
        <is>
          <t>Discharge summary</t>
        </is>
      </c>
      <c r="H2190" t="inlineStr">
        <is>
          <t>allergies</t>
        </is>
      </c>
      <c r="I2190" t="inlineStr">
        <is>
          <t>Codeine / Penicillins / Demerol / Ampicillin / Melon F</t>
        </is>
      </c>
    </row>
    <row r="2191">
      <c r="A2191" t="inlineStr">
        <is>
          <t>22966-allergies-0-0</t>
        </is>
      </c>
      <c r="B2191" t="inlineStr"/>
      <c r="C2191" t="inlineStr"/>
      <c r="D2191">
        <f>HYPERLINK("http://nlpdeep.cs.uic.edu:8080/proofing/gsii/22966-allergies-0-0.pdf","gsii/22966-allergies-0-0.pdf")</f>
        <v/>
      </c>
      <c r="E2191" t="n">
        <v>146230</v>
      </c>
      <c r="F2191" t="n">
        <v>22966</v>
      </c>
      <c r="G2191" t="inlineStr">
        <is>
          <t>Discharge summary</t>
        </is>
      </c>
      <c r="H2191" t="inlineStr">
        <is>
          <t>allergies</t>
        </is>
      </c>
      <c r="I2191" t="inlineStr">
        <is>
          <t>Codeine / Penicillins / Demerol / Ampicillin / Melon F</t>
        </is>
      </c>
    </row>
    <row r="2192">
      <c r="A2192" t="inlineStr">
        <is>
          <t>22966-chief-complaint-0-0</t>
        </is>
      </c>
      <c r="B2192" t="inlineStr"/>
      <c r="C2192" t="inlineStr"/>
      <c r="D2192">
        <f>HYPERLINK("http://nlpdeep.cs.uic.edu:8080/proofing/t5/22966-chief-complaint-0-0.pdf","t5/22966-chief-complaint-0-0.pdf")</f>
        <v/>
      </c>
      <c r="E2192" t="n">
        <v>146230</v>
      </c>
      <c r="F2192" t="n">
        <v>22966</v>
      </c>
      <c r="G2192" t="inlineStr">
        <is>
          <t>Discharge summary</t>
        </is>
      </c>
      <c r="H2192" t="inlineStr">
        <is>
          <t>chief-complaint</t>
        </is>
      </c>
      <c r="I2192" t="inlineStr">
        <is>
          <t>Left femur d</t>
        </is>
      </c>
    </row>
    <row r="2193">
      <c r="A2193" t="inlineStr">
        <is>
          <t>22966-chief-complaint-0-0</t>
        </is>
      </c>
      <c r="B2193" t="inlineStr"/>
      <c r="C2193" t="inlineStr"/>
      <c r="D2193">
        <f>HYPERLINK("http://nlpdeep.cs.uic.edu:8080/proofing/gsii/22966-chief-complaint-0-0.pdf","gsii/22966-chief-complaint-0-0.pdf")</f>
        <v/>
      </c>
      <c r="E2193" t="n">
        <v>146230</v>
      </c>
      <c r="F2193" t="n">
        <v>22966</v>
      </c>
      <c r="G2193" t="inlineStr">
        <is>
          <t>Discharge summary</t>
        </is>
      </c>
      <c r="H2193" t="inlineStr">
        <is>
          <t>chief-complaint</t>
        </is>
      </c>
      <c r="I2193" t="inlineStr">
        <is>
          <t>Left femur d</t>
        </is>
      </c>
    </row>
    <row r="2194">
      <c r="A2194" t="inlineStr">
        <is>
          <t>22966-major-surgical-or-invasive-procedure-0-0</t>
        </is>
      </c>
      <c r="B2194" t="inlineStr"/>
      <c r="C2194" t="inlineStr"/>
      <c r="D2194">
        <f>HYPERLINK("http://nlpdeep.cs.uic.edu:8080/proofing/t5/22966-major-surgical-or-invasive-procedure-0-0.pdf","t5/22966-major-surgical-or-invasive-procedure-0-0.pdf")</f>
        <v/>
      </c>
      <c r="E2194" t="n">
        <v>146230</v>
      </c>
      <c r="F2194" t="n">
        <v>22966</v>
      </c>
      <c r="G2194" t="inlineStr">
        <is>
          <t>Discharge summary</t>
        </is>
      </c>
      <c r="H2194" t="inlineStr">
        <is>
          <t>major-surgical-or-invasive-procedure</t>
        </is>
      </c>
      <c r="I2194" t="inlineStr">
        <is>
          <t>[**2186-3-10**]: attempted femoral O</t>
        </is>
      </c>
    </row>
    <row r="2195">
      <c r="A2195" t="inlineStr">
        <is>
          <t>22966-major-surgical-or-invasive-procedure-0-0</t>
        </is>
      </c>
      <c r="B2195" t="inlineStr"/>
      <c r="C2195" t="inlineStr"/>
      <c r="D2195">
        <f>HYPERLINK("http://nlpdeep.cs.uic.edu:8080/proofing/gsii/22966-major-surgical-or-invasive-procedure-0-0.pdf","gsii/22966-major-surgical-or-invasive-procedure-0-0.pdf")</f>
        <v/>
      </c>
      <c r="E2195" t="n">
        <v>146230</v>
      </c>
      <c r="F2195" t="n">
        <v>22966</v>
      </c>
      <c r="G2195" t="inlineStr">
        <is>
          <t>Discharge summary</t>
        </is>
      </c>
      <c r="H2195" t="inlineStr">
        <is>
          <t>major-surgical-or-invasive-procedure</t>
        </is>
      </c>
      <c r="I2195" t="inlineStr">
        <is>
          <t>[**2186-3-10**]: attempted femoral O</t>
        </is>
      </c>
    </row>
    <row r="2196">
      <c r="A2196" t="inlineStr">
        <is>
          <t>22966-history-of-present-illness-0-0</t>
        </is>
      </c>
      <c r="B2196" t="inlineStr"/>
      <c r="C2196" t="inlineStr"/>
      <c r="D2196">
        <f>HYPERLINK("http://nlpdeep.cs.uic.edu:8080/proofing/t5/22966-history-of-present-illness-0-0.pdf","t5/22966-history-of-present-illness-0-0.pdf")</f>
        <v/>
      </c>
      <c r="E2196" t="n">
        <v>146230</v>
      </c>
      <c r="F2196" t="n">
        <v>22966</v>
      </c>
      <c r="G2196" t="inlineStr">
        <is>
          <t>Discharge summary</t>
        </is>
      </c>
      <c r="H2196" t="inlineStr">
        <is>
          <t>history-of-present-illness</t>
        </is>
      </c>
      <c r="I2196" t="inlineStr">
        <is>
          <t>The patient is a 49 year old female who had a left femur
fracture approximately 25 years ago which was treated with
traction.</t>
        </is>
      </c>
    </row>
    <row r="2197">
      <c r="A2197" t="inlineStr">
        <is>
          <t>22966-history-of-present-illness-0-0</t>
        </is>
      </c>
      <c r="B2197" t="inlineStr"/>
      <c r="C2197" t="inlineStr"/>
      <c r="D2197">
        <f>HYPERLINK("http://nlpdeep.cs.uic.edu:8080/proofing/gsii/22966-history-of-present-illness-0-0.pdf","gsii/22966-history-of-present-illness-0-0.pdf")</f>
        <v/>
      </c>
      <c r="E2197" t="n">
        <v>146230</v>
      </c>
      <c r="F2197" t="n">
        <v>22966</v>
      </c>
      <c r="G2197" t="inlineStr">
        <is>
          <t>Discharge summary</t>
        </is>
      </c>
      <c r="H2197" t="inlineStr">
        <is>
          <t>history-of-present-illness</t>
        </is>
      </c>
      <c r="I2197" t="inlineStr">
        <is>
          <t>The patient is a 49 year old female who had a left femur
fracture approximately 25 years ago which was treated with
traction.</t>
        </is>
      </c>
    </row>
    <row r="2198">
      <c r="A2198" t="inlineStr">
        <is>
          <t>22966-history-of-present-illness-0-1</t>
        </is>
      </c>
      <c r="B2198" t="inlineStr"/>
      <c r="C2198" t="inlineStr"/>
      <c r="D2198">
        <f>HYPERLINK("http://nlpdeep.cs.uic.edu:8080/proofing/t5/22966-history-of-present-illness-0-1.pdf","t5/22966-history-of-present-illness-0-1.pdf")</f>
        <v/>
      </c>
      <c r="E2198" t="n">
        <v>146230</v>
      </c>
      <c r="F2198" t="n">
        <v>22966</v>
      </c>
      <c r="G2198" t="inlineStr">
        <is>
          <t>Discharge summary</t>
        </is>
      </c>
      <c r="H2198" t="inlineStr">
        <is>
          <t>history-of-present-illness</t>
        </is>
      </c>
      <c r="I2198" t="inlineStr">
        <is>
          <t xml:space="preserve"> She was left with a left leg deformity.</t>
        </is>
      </c>
    </row>
    <row r="2199">
      <c r="A2199" t="inlineStr">
        <is>
          <t>22966-history-of-present-illness-0-1</t>
        </is>
      </c>
      <c r="B2199" t="inlineStr"/>
      <c r="C2199" t="inlineStr"/>
      <c r="D2199">
        <f>HYPERLINK("http://nlpdeep.cs.uic.edu:8080/proofing/gsii/22966-history-of-present-illness-0-1.pdf","gsii/22966-history-of-present-illness-0-1.pdf")</f>
        <v/>
      </c>
      <c r="E2199" t="n">
        <v>146230</v>
      </c>
      <c r="F2199" t="n">
        <v>22966</v>
      </c>
      <c r="G2199" t="inlineStr">
        <is>
          <t>Discharge summary</t>
        </is>
      </c>
      <c r="H2199" t="inlineStr">
        <is>
          <t>history-of-present-illness</t>
        </is>
      </c>
      <c r="I2199" t="inlineStr">
        <is>
          <t xml:space="preserve"> She was left with a left leg deformity.</t>
        </is>
      </c>
    </row>
    <row r="2200">
      <c r="A2200" t="inlineStr">
        <is>
          <t>22966-history-of-present-illness-0-2</t>
        </is>
      </c>
      <c r="B2200" t="inlineStr"/>
      <c r="C2200" t="inlineStr"/>
      <c r="D2200">
        <f>HYPERLINK("http://nlpdeep.cs.uic.edu:8080/proofing/t5/22966-history-of-present-illness-0-2.pdf","t5/22966-history-of-present-illness-0-2.pdf")</f>
        <v/>
      </c>
      <c r="E2200" t="n">
        <v>146230</v>
      </c>
      <c r="F2200" t="n">
        <v>22966</v>
      </c>
      <c r="G2200" t="inlineStr">
        <is>
          <t>Discharge summary</t>
        </is>
      </c>
      <c r="H2200" t="inlineStr">
        <is>
          <t>history-of-present-illness</t>
        </is>
      </c>
      <c r="I2200" t="inlineStr">
        <is>
          <t xml:space="preserve"> She now
presents for treatment.</t>
        </is>
      </c>
    </row>
    <row r="2201">
      <c r="A2201" t="inlineStr">
        <is>
          <t>22966-history-of-present-illness-0-2</t>
        </is>
      </c>
      <c r="B2201" t="inlineStr"/>
      <c r="C2201" t="inlineStr"/>
      <c r="D2201">
        <f>HYPERLINK("http://nlpdeep.cs.uic.edu:8080/proofing/gsii/22966-history-of-present-illness-0-2.pdf","gsii/22966-history-of-present-illness-0-2.pdf")</f>
        <v/>
      </c>
      <c r="E2201" t="n">
        <v>146230</v>
      </c>
      <c r="F2201" t="n">
        <v>22966</v>
      </c>
      <c r="G2201" t="inlineStr">
        <is>
          <t>Discharge summary</t>
        </is>
      </c>
      <c r="H2201" t="inlineStr">
        <is>
          <t>history-of-present-illness</t>
        </is>
      </c>
      <c r="I2201" t="inlineStr">
        <is>
          <t xml:space="preserve"> She now
presents for treatment.</t>
        </is>
      </c>
    </row>
    <row r="2202">
      <c r="A2202" t="inlineStr">
        <is>
          <t>22966-past-medical-history-0-0</t>
        </is>
      </c>
      <c r="B2202" t="inlineStr"/>
      <c r="C2202" t="inlineStr"/>
      <c r="D2202">
        <f>HYPERLINK("http://nlpdeep.cs.uic.edu:8080/proofing/t5/22966-past-medical-history-0-0.pdf","t5/22966-past-medical-history-0-0.pdf")</f>
        <v/>
      </c>
      <c r="E2202" t="n">
        <v>146230</v>
      </c>
      <c r="F2202" t="n">
        <v>22966</v>
      </c>
      <c r="G2202" t="inlineStr">
        <is>
          <t>Discharge summary</t>
        </is>
      </c>
      <c r="H2202" t="inlineStr">
        <is>
          <t>past-medical-history</t>
        </is>
      </c>
      <c r="I2202" t="inlineStr">
        <is>
          <t>L femur fracture 25years ago treated by traction
Left t</t>
        </is>
      </c>
    </row>
    <row r="2203">
      <c r="A2203" t="inlineStr">
        <is>
          <t>22966-past-medical-history-0-0</t>
        </is>
      </c>
      <c r="B2203" t="inlineStr"/>
      <c r="C2203" t="inlineStr"/>
      <c r="D2203">
        <f>HYPERLINK("http://nlpdeep.cs.uic.edu:8080/proofing/gsii/22966-past-medical-history-0-0.pdf","gsii/22966-past-medical-history-0-0.pdf")</f>
        <v/>
      </c>
      <c r="E2203" t="n">
        <v>146230</v>
      </c>
      <c r="F2203" t="n">
        <v>22966</v>
      </c>
      <c r="G2203" t="inlineStr">
        <is>
          <t>Discharge summary</t>
        </is>
      </c>
      <c r="H2203" t="inlineStr">
        <is>
          <t>past-medical-history</t>
        </is>
      </c>
      <c r="I2203" t="inlineStr">
        <is>
          <t>L femur fracture 25years ago treated by traction
Left t</t>
        </is>
      </c>
    </row>
    <row r="2204">
      <c r="A2204" t="inlineStr">
        <is>
          <t>22966-social-history-0-0</t>
        </is>
      </c>
      <c r="B2204" t="inlineStr"/>
      <c r="C2204" t="inlineStr"/>
      <c r="D2204">
        <f>HYPERLINK("http://nlpdeep.cs.uic.edu:8080/proofing/t5/22966-social-history-0-0.pdf","t5/22966-social-history-0-0.pdf")</f>
        <v/>
      </c>
      <c r="E2204" t="n">
        <v>146230</v>
      </c>
      <c r="F2204" t="n">
        <v>22966</v>
      </c>
      <c r="G2204" t="inlineStr">
        <is>
          <t>Discharge summary</t>
        </is>
      </c>
      <c r="H2204" t="inlineStr">
        <is>
          <t>social-history</t>
        </is>
      </c>
      <c r="I2204" t="inlineStr">
        <is>
          <t>art teach; former smoker; rare e</t>
        </is>
      </c>
    </row>
    <row r="2205">
      <c r="A2205" t="inlineStr">
        <is>
          <t>22966-social-history-0-0</t>
        </is>
      </c>
      <c r="B2205" t="inlineStr"/>
      <c r="C2205" t="inlineStr"/>
      <c r="D2205">
        <f>HYPERLINK("http://nlpdeep.cs.uic.edu:8080/proofing/gsii/22966-social-history-0-0.pdf","gsii/22966-social-history-0-0.pdf")</f>
        <v/>
      </c>
      <c r="E2205" t="n">
        <v>146230</v>
      </c>
      <c r="F2205" t="n">
        <v>22966</v>
      </c>
      <c r="G2205" t="inlineStr">
        <is>
          <t>Discharge summary</t>
        </is>
      </c>
      <c r="H2205" t="inlineStr">
        <is>
          <t>social-history</t>
        </is>
      </c>
      <c r="I2205" t="inlineStr">
        <is>
          <t>art teach; former smoker; rare e</t>
        </is>
      </c>
    </row>
    <row r="2206">
      <c r="A2206" t="inlineStr">
        <is>
          <t>22966-family-history-0-0</t>
        </is>
      </c>
      <c r="B2206" t="inlineStr"/>
      <c r="C2206" t="inlineStr"/>
      <c r="D2206">
        <f>HYPERLINK("http://nlpdeep.cs.uic.edu:8080/proofing/t5/22966-family-history-0-0.pdf","t5/22966-family-history-0-0.pdf")</f>
        <v/>
      </c>
      <c r="E2206" t="n">
        <v>146230</v>
      </c>
      <c r="F2206" t="n">
        <v>22966</v>
      </c>
      <c r="G2206" t="inlineStr">
        <is>
          <t>Discharge summary</t>
        </is>
      </c>
      <c r="H2206" t="inlineStr">
        <is>
          <t>family-history</t>
        </is>
      </c>
      <c r="I2206" t="inlineStr">
        <is>
          <t>N</t>
        </is>
      </c>
    </row>
    <row r="2207">
      <c r="A2207" t="inlineStr">
        <is>
          <t>22966-family-history-0-0</t>
        </is>
      </c>
      <c r="B2207" t="inlineStr"/>
      <c r="C2207" t="inlineStr"/>
      <c r="D2207">
        <f>HYPERLINK("http://nlpdeep.cs.uic.edu:8080/proofing/gsii/22966-family-history-0-0.pdf","gsii/22966-family-history-0-0.pdf")</f>
        <v/>
      </c>
      <c r="E2207" t="n">
        <v>146230</v>
      </c>
      <c r="F2207" t="n">
        <v>22966</v>
      </c>
      <c r="G2207" t="inlineStr">
        <is>
          <t>Discharge summary</t>
        </is>
      </c>
      <c r="H2207" t="inlineStr">
        <is>
          <t>family-history</t>
        </is>
      </c>
      <c r="I2207" t="inlineStr">
        <is>
          <t>N</t>
        </is>
      </c>
    </row>
    <row r="2208">
      <c r="A2208" t="inlineStr">
        <is>
          <t>22966-physical-examination-0-0</t>
        </is>
      </c>
      <c r="B2208" t="inlineStr"/>
      <c r="C2208" t="inlineStr"/>
      <c r="D2208">
        <f>HYPERLINK("http://nlpdeep.cs.uic.edu:8080/proofing/t5/22966-physical-examination-0-0.pdf","t5/22966-physical-examination-0-0.pdf")</f>
        <v/>
      </c>
      <c r="E2208" t="n">
        <v>146230</v>
      </c>
      <c r="F2208" t="n">
        <v>22966</v>
      </c>
      <c r="G2208" t="inlineStr">
        <is>
          <t>Discharge summary</t>
        </is>
      </c>
      <c r="H2208" t="inlineStr">
        <is>
          <t>physical-examination</t>
        </is>
      </c>
      <c r="I2208" t="inlineStr">
        <is>
          <t>Upon discharge
AVSS
NAD
A+O
CTA b/l
RRR
S/NT/ND
LLE: incision c/d/i
     NVI d</t>
        </is>
      </c>
    </row>
    <row r="2209">
      <c r="A2209" t="inlineStr">
        <is>
          <t>22966-physical-examination-0-0</t>
        </is>
      </c>
      <c r="B2209" t="inlineStr"/>
      <c r="C2209" t="inlineStr"/>
      <c r="D2209">
        <f>HYPERLINK("http://nlpdeep.cs.uic.edu:8080/proofing/gsii/22966-physical-examination-0-0.pdf","gsii/22966-physical-examination-0-0.pdf")</f>
        <v/>
      </c>
      <c r="E2209" t="n">
        <v>146230</v>
      </c>
      <c r="F2209" t="n">
        <v>22966</v>
      </c>
      <c r="G2209" t="inlineStr">
        <is>
          <t>Discharge summary</t>
        </is>
      </c>
      <c r="H2209" t="inlineStr">
        <is>
          <t>physical-examination</t>
        </is>
      </c>
      <c r="I2209" t="inlineStr">
        <is>
          <t>Upon discharge
AVSS
NAD
A+O
CTA b/l
RRR
S/NT/ND
LLE: incision c/d/i
     NVI d</t>
        </is>
      </c>
    </row>
    <row r="2210">
      <c r="A2210" t="inlineStr">
        <is>
          <t>22966-labs-imaging-0-0</t>
        </is>
      </c>
      <c r="B2210" t="inlineStr"/>
      <c r="C2210" t="inlineStr"/>
      <c r="D2210">
        <f>HYPERLINK("http://nlpdeep.cs.uic.edu:8080/proofing/t5/22966-labs-imaging-0-0.pdf","t5/22966-labs-imaging-0-0.pdf")</f>
        <v/>
      </c>
      <c r="E2210" t="n">
        <v>146230</v>
      </c>
      <c r="F2210" t="n">
        <v>22966</v>
      </c>
      <c r="G2210" t="inlineStr">
        <is>
          <t>Discharge summary</t>
        </is>
      </c>
      <c r="H2210" t="inlineStr">
        <is>
          <t>labs-imaging</t>
        </is>
      </c>
      <c r="I2210" t="inlineStr">
        <is>
          <t>[**2186-3-10**] 11:13PM   CK(CPK)-226*
[**2186-3-10**] 11:13PM   CK-MB-6 cTropnT-0.21*
[**2186-3-10**] 11:13PM   HCT-29.2*
[**2186-3-10**] 06:10PM   HCT-30.2*
[**2186-3-10**] 04:41PM   CK(CPK)-217*
[**2186-3-10**] 04:41PM   CK-MB-7 cTropnT-0.44*
[**2186-3-10**] 02:15PM   TYPE-ART TEMP-36.2 RATES-/17 O2-50 PO2-193*
PCO2-47* PH-7.36 TOTAL CO2-28 BASE XS-0 INTUBATED-INTUBATED
[**2186-3-10**] 11:30AM   GLUCOSE-115* UREA N-17 CREAT-0.7 SODIUM-139
POTASSIUM-3.9 CHLORIDE-109* TOTAL CO2-23 ANION GAP-11
[**2186-3-10**] 11:30AM   estGFR-Using this
[**2186-3-10**] 11:30AM   CK(CPK)-89
[**2186-3-10**] 11:30AM   CK-MB-4 cTropnT-0.17*
[**2186-3-10**] 11:01AM   TYPE-ART PO2-275* PCO2-45 PH-7.39 TOTAL
CO2-28 BASE XS-2
[**2186-3-10**] 10:45AM   WBC-14.5*# RBC-2.97* HGB-8.4* HCT-24.8*
MCV-83 MCH-28.1 MCHC-33.8 RDW-13.7
[**2186-3-10**] 10:45AM   NEUTS-96* BANDS-0 LYMPHS-3* MONOS-1* EOS-0
BASOS-0 ATYPS-0 METAS-0 MYELOS-0
[**2186-3-10**] 10:45AM   HYPOCHROM-1+ ANISOCYT-NORMAL POIKILOCY-NORMAL
MACROCYT-NORMAL MICROCYT-2+ POLYCHROM-NORMAL
[**2186-3-10**] 10:45AM   PLT SMR-NORMAL PLT COUNT-292
[**2186-3-10**] 10:45AM   PT-13.5* PTT-23.1 INR(PT)-1.2*</t>
        </is>
      </c>
    </row>
    <row r="2211">
      <c r="A2211" t="inlineStr">
        <is>
          <t>22966-labs-imaging-0-0</t>
        </is>
      </c>
      <c r="B2211" t="inlineStr"/>
      <c r="C2211" t="inlineStr"/>
      <c r="D2211">
        <f>HYPERLINK("http://nlpdeep.cs.uic.edu:8080/proofing/gsii/22966-labs-imaging-0-0.pdf","gsii/22966-labs-imaging-0-0.pdf")</f>
        <v/>
      </c>
      <c r="E2211" t="n">
        <v>146230</v>
      </c>
      <c r="F2211" t="n">
        <v>22966</v>
      </c>
      <c r="G2211" t="inlineStr">
        <is>
          <t>Discharge summary</t>
        </is>
      </c>
      <c r="H2211" t="inlineStr">
        <is>
          <t>labs-imaging</t>
        </is>
      </c>
      <c r="I2211" t="inlineStr">
        <is>
          <t>[**2186-3-10**] 11:13PM   CK(CPK)-226*
[**2186-3-10**] 11:13PM   CK-MB-6 cTropnT-0.21*
[**2186-3-10**] 11:13PM   HCT-29.2*
[**2186-3-10**] 06:10PM   HCT-30.2*
[**2186-3-10**] 04:41PM   CK(CPK)-217*
[**2186-3-10**] 04:41PM   CK-MB-7 cTropnT-0.44*
[**2186-3-10**] 02:15PM   TYPE-ART TEMP-36.2 RATES-/17 O2-50 PO2-193*
PCO2-47* PH-7.36 TOTAL CO2-28 BASE XS-0 INTUBATED-INTUBATED
[**2186-3-10**] 11:30AM   GLUCOSE-115* UREA N-17 CREAT-0.7 SODIUM-139
POTASSIUM-3.9 CHLORIDE-109* TOTAL CO2-23 ANION GAP-11
[**2186-3-10**] 11:30AM   estGFR-Using this
[**2186-3-10**] 11:30AM   CK(CPK)-89
[**2186-3-10**] 11:30AM   CK-MB-4 cTropnT-0.17*
[**2186-3-10**] 11:01AM   TYPE-ART PO2-275* PCO2-45 PH-7.39 TOTAL
CO2-28 BASE XS-2
[**2186-3-10**] 10:45AM   WBC-14.5*# RBC-2.97* HGB-8.4* HCT-24.8*
MCV-83 MCH-28.1 MCHC-33.8 RDW-13.7
[**2186-3-10**] 10:45AM   NEUTS-96* BANDS-0 LYMPHS-3* MONOS-1* EOS-0
BASOS-0 ATYPS-0 METAS-0 MYELOS-0
[**2186-3-10**] 10:45AM   HYPOCHROM-1+ ANISOCYT-NORMAL POIKILOCY-NORMAL
MACROCYT-NORMAL MICROCYT-2+ POLYCHROM-NORMAL
[**2186-3-10**] 10:45AM   PLT SMR-NORMAL PLT COUNT-292
[**2186-3-10**] 10:45AM   PT-13.5* PTT-23.1 INR(PT)-1.2*</t>
        </is>
      </c>
    </row>
    <row r="2212">
      <c r="A2212" t="inlineStr">
        <is>
          <t>22966-labs-imaging-0-1</t>
        </is>
      </c>
      <c r="B2212" t="inlineStr"/>
      <c r="C2212" t="inlineStr"/>
      <c r="D2212">
        <f>HYPERLINK("http://nlpdeep.cs.uic.edu:8080/proofing/t5/22966-labs-imaging-0-1.pdf","t5/22966-labs-imaging-0-1.pdf")</f>
        <v/>
      </c>
      <c r="E2212" t="n">
        <v>146230</v>
      </c>
      <c r="F2212" t="n">
        <v>22966</v>
      </c>
      <c r="G2212" t="inlineStr">
        <is>
          <t>Discharge summary</t>
        </is>
      </c>
      <c r="H2212" t="inlineStr">
        <is>
          <t>labs-imaging</t>
        </is>
      </c>
      <c r="I2212" t="inlineStr">
        <is>
          <t>[**2186-3-10**] 10:45AM   RET AUT-1.3
[**2186-3-10**] 09:20AM   TYPE-ART PO2-36* PCO2-44 PH-7.37 TOTAL CO2-26
BASE XS-0
[**2186-3-10**] 09:20AM   GLUCOSE-196* LACTATE-4.0* NA+-137 K+-2.9*
CL--104
[**2186-3-10**] 09:20AM   HGB-10.0* calcHCT-30
[**2186-3-10**] 09:20AM   f</t>
        </is>
      </c>
    </row>
    <row r="2213">
      <c r="A2213" t="inlineStr">
        <is>
          <t>22966-labs-imaging-0-1</t>
        </is>
      </c>
      <c r="B2213" t="inlineStr"/>
      <c r="C2213" t="inlineStr"/>
      <c r="D2213">
        <f>HYPERLINK("http://nlpdeep.cs.uic.edu:8080/proofing/gsii/22966-labs-imaging-0-1.pdf","gsii/22966-labs-imaging-0-1.pdf")</f>
        <v/>
      </c>
      <c r="E2213" t="n">
        <v>146230</v>
      </c>
      <c r="F2213" t="n">
        <v>22966</v>
      </c>
      <c r="G2213" t="inlineStr">
        <is>
          <t>Discharge summary</t>
        </is>
      </c>
      <c r="H2213" t="inlineStr">
        <is>
          <t>labs-imaging</t>
        </is>
      </c>
      <c r="I2213" t="inlineStr">
        <is>
          <t>[**2186-3-10**] 10:45AM   RET AUT-1.3
[**2186-3-10**] 09:20AM   TYPE-ART PO2-36* PCO2-44 PH-7.37 TOTAL CO2-26
BASE XS-0
[**2186-3-10**] 09:20AM   GLUCOSE-196* LACTATE-4.0* NA+-137 K+-2.9*
CL--104
[**2186-3-10**] 09:20AM   HGB-10.0* calcHCT-30
[**2186-3-10**] 09:20AM   f</t>
        </is>
      </c>
    </row>
    <row r="2214">
      <c r="A2214" t="inlineStr">
        <is>
          <t>22966-hospital-course-0-0</t>
        </is>
      </c>
      <c r="B2214" t="inlineStr"/>
      <c r="C2214" t="inlineStr"/>
      <c r="D2214">
        <f>HYPERLINK("http://nlpdeep.cs.uic.edu:8080/proofing/t5/22966-hospital-course-0-0.pdf","t5/22966-hospital-course-0-0.pdf")</f>
        <v/>
      </c>
      <c r="E2214" t="n">
        <v>146230</v>
      </c>
      <c r="F2214" t="n">
        <v>22966</v>
      </c>
      <c r="G2214" t="inlineStr">
        <is>
          <t>Discharge summary</t>
        </is>
      </c>
      <c r="H2214" t="inlineStr">
        <is>
          <t>hospital-course</t>
        </is>
      </c>
      <c r="I2214" t="inlineStr">
        <is>
          <t>The patient was brought to the operating room on [**2186-3-14**] for a
left femur osteotomy.</t>
        </is>
      </c>
    </row>
    <row r="2215">
      <c r="A2215" t="inlineStr">
        <is>
          <t>22966-hospital-course-0-0</t>
        </is>
      </c>
      <c r="B2215" t="inlineStr"/>
      <c r="C2215" t="inlineStr"/>
      <c r="D2215">
        <f>HYPERLINK("http://nlpdeep.cs.uic.edu:8080/proofing/gsii/22966-hospital-course-0-0.pdf","gsii/22966-hospital-course-0-0.pdf")</f>
        <v/>
      </c>
      <c r="E2215" t="n">
        <v>146230</v>
      </c>
      <c r="F2215" t="n">
        <v>22966</v>
      </c>
      <c r="G2215" t="inlineStr">
        <is>
          <t>Discharge summary</t>
        </is>
      </c>
      <c r="H2215" t="inlineStr">
        <is>
          <t>hospital-course</t>
        </is>
      </c>
      <c r="I2215" t="inlineStr">
        <is>
          <t>The patient was brought to the operating room on [**2186-3-14**] for a
left femur osteotomy.</t>
        </is>
      </c>
    </row>
    <row r="2216">
      <c r="A2216" t="inlineStr">
        <is>
          <t>22966-hospital-course-0-1</t>
        </is>
      </c>
      <c r="B2216" t="inlineStr"/>
      <c r="C2216" t="inlineStr"/>
      <c r="D2216">
        <f>HYPERLINK("http://nlpdeep.cs.uic.edu:8080/proofing/t5/22966-hospital-course-0-1.pdf","t5/22966-hospital-course-0-1.pdf")</f>
        <v/>
      </c>
      <c r="E2216" t="n">
        <v>146230</v>
      </c>
      <c r="F2216" t="n">
        <v>22966</v>
      </c>
      <c r="G2216" t="inlineStr">
        <is>
          <t>Discharge summary</t>
        </is>
      </c>
      <c r="H2216" t="inlineStr">
        <is>
          <t>hospital-course</t>
        </is>
      </c>
      <c r="I2216" t="inlineStr">
        <is>
          <t xml:space="preserve"> See operative note for details.</t>
        </is>
      </c>
    </row>
    <row r="2217">
      <c r="A2217" t="inlineStr">
        <is>
          <t>22966-hospital-course-0-1</t>
        </is>
      </c>
      <c r="B2217" t="inlineStr"/>
      <c r="C2217" t="inlineStr"/>
      <c r="D2217">
        <f>HYPERLINK("http://nlpdeep.cs.uic.edu:8080/proofing/gsii/22966-hospital-course-0-1.pdf","gsii/22966-hospital-course-0-1.pdf")</f>
        <v/>
      </c>
      <c r="E2217" t="n">
        <v>146230</v>
      </c>
      <c r="F2217" t="n">
        <v>22966</v>
      </c>
      <c r="G2217" t="inlineStr">
        <is>
          <t>Discharge summary</t>
        </is>
      </c>
      <c r="H2217" t="inlineStr">
        <is>
          <t>hospital-course</t>
        </is>
      </c>
      <c r="I2217" t="inlineStr">
        <is>
          <t xml:space="preserve"> See operative note for details.</t>
        </is>
      </c>
    </row>
    <row r="2218">
      <c r="A2218" t="inlineStr">
        <is>
          <t>22966-hospital-course-0-2</t>
        </is>
      </c>
      <c r="B2218" t="inlineStr"/>
      <c r="C2218" t="inlineStr"/>
      <c r="D2218">
        <f>HYPERLINK("http://nlpdeep.cs.uic.edu:8080/proofing/t5/22966-hospital-course-0-2.pdf","t5/22966-hospital-course-0-2.pdf")</f>
        <v/>
      </c>
      <c r="E2218" t="n">
        <v>146230</v>
      </c>
      <c r="F2218" t="n">
        <v>22966</v>
      </c>
      <c r="G2218" t="inlineStr">
        <is>
          <t>Discharge summary</t>
        </is>
      </c>
      <c r="H2218" t="inlineStr">
        <is>
          <t>hospital-course</t>
        </is>
      </c>
      <c r="I2218" t="inlineStr">
        <is>
          <t xml:space="preserve"> Her
operation was complicated by desaturation and hypotension and
was aborted.</t>
        </is>
      </c>
    </row>
    <row r="2219">
      <c r="A2219" t="inlineStr">
        <is>
          <t>22966-hospital-course-0-2</t>
        </is>
      </c>
      <c r="B2219" t="inlineStr"/>
      <c r="C2219" t="inlineStr"/>
      <c r="D2219">
        <f>HYPERLINK("http://nlpdeep.cs.uic.edu:8080/proofing/gsii/22966-hospital-course-0-2.pdf","gsii/22966-hospital-course-0-2.pdf")</f>
        <v/>
      </c>
      <c r="E2219" t="n">
        <v>146230</v>
      </c>
      <c r="F2219" t="n">
        <v>22966</v>
      </c>
      <c r="G2219" t="inlineStr">
        <is>
          <t>Discharge summary</t>
        </is>
      </c>
      <c r="H2219" t="inlineStr">
        <is>
          <t>hospital-course</t>
        </is>
      </c>
      <c r="I2219" t="inlineStr">
        <is>
          <t xml:space="preserve"> Her
operation was complicated by desaturation and hypotension and
was aborted.</t>
        </is>
      </c>
    </row>
    <row r="2220">
      <c r="A2220" t="inlineStr">
        <is>
          <t>22966-hospital-course-0-3</t>
        </is>
      </c>
      <c r="B2220" t="inlineStr"/>
      <c r="C2220" t="inlineStr"/>
      <c r="D2220">
        <f>HYPERLINK("http://nlpdeep.cs.uic.edu:8080/proofing/t5/22966-hospital-course-0-3.pdf","t5/22966-hospital-course-0-3.pdf")</f>
        <v/>
      </c>
      <c r="E2220" t="n">
        <v>146230</v>
      </c>
      <c r="F2220" t="n">
        <v>22966</v>
      </c>
      <c r="G2220" t="inlineStr">
        <is>
          <t>Discharge summary</t>
        </is>
      </c>
      <c r="H2220" t="inlineStr">
        <is>
          <t>hospital-course</t>
        </is>
      </c>
      <c r="I2220" t="inlineStr">
        <is>
          <t xml:space="preserve"> The wound was closed and she was transferred to
the ICU for further management.</t>
        </is>
      </c>
    </row>
    <row r="2221">
      <c r="A2221" t="inlineStr">
        <is>
          <t>22966-hospital-course-0-3</t>
        </is>
      </c>
      <c r="B2221" t="inlineStr"/>
      <c r="C2221" t="inlineStr"/>
      <c r="D2221">
        <f>HYPERLINK("http://nlpdeep.cs.uic.edu:8080/proofing/gsii/22966-hospital-course-0-3.pdf","gsii/22966-hospital-course-0-3.pdf")</f>
        <v/>
      </c>
      <c r="E2221" t="n">
        <v>146230</v>
      </c>
      <c r="F2221" t="n">
        <v>22966</v>
      </c>
      <c r="G2221" t="inlineStr">
        <is>
          <t>Discharge summary</t>
        </is>
      </c>
      <c r="H2221" t="inlineStr">
        <is>
          <t>hospital-course</t>
        </is>
      </c>
      <c r="I2221" t="inlineStr">
        <is>
          <t xml:space="preserve"> The wound was closed and she was transferred to
the ICU for further management.</t>
        </is>
      </c>
    </row>
    <row r="2222">
      <c r="A2222" t="inlineStr">
        <is>
          <t>22966-hospital-course-0-4</t>
        </is>
      </c>
      <c r="B2222" t="inlineStr"/>
      <c r="C2222" t="inlineStr"/>
      <c r="D2222">
        <f>HYPERLINK("http://nlpdeep.cs.uic.edu:8080/proofing/t5/22966-hospital-course-0-4.pdf","t5/22966-hospital-course-0-4.pdf")</f>
        <v/>
      </c>
      <c r="E2222" t="n">
        <v>146230</v>
      </c>
      <c r="F2222" t="n">
        <v>22966</v>
      </c>
      <c r="G2222" t="inlineStr">
        <is>
          <t>Discharge summary</t>
        </is>
      </c>
      <c r="H2222" t="inlineStr">
        <is>
          <t>hospital-course</t>
        </is>
      </c>
      <c r="I2222" t="inlineStr">
        <is>
          <t xml:space="preserve"> A CTA was done that was
negative.</t>
        </is>
      </c>
    </row>
    <row r="2223">
      <c r="A2223" t="inlineStr">
        <is>
          <t>22966-hospital-course-0-4</t>
        </is>
      </c>
      <c r="B2223" t="inlineStr"/>
      <c r="C2223" t="inlineStr"/>
      <c r="D2223">
        <f>HYPERLINK("http://nlpdeep.cs.uic.edu:8080/proofing/gsii/22966-hospital-course-0-4.pdf","gsii/22966-hospital-course-0-4.pdf")</f>
        <v/>
      </c>
      <c r="E2223" t="n">
        <v>146230</v>
      </c>
      <c r="F2223" t="n">
        <v>22966</v>
      </c>
      <c r="G2223" t="inlineStr">
        <is>
          <t>Discharge summary</t>
        </is>
      </c>
      <c r="H2223" t="inlineStr">
        <is>
          <t>hospital-course</t>
        </is>
      </c>
      <c r="I2223" t="inlineStr">
        <is>
          <t xml:space="preserve"> A CTA was done that was
negative.</t>
        </is>
      </c>
    </row>
    <row r="2224">
      <c r="A2224" t="inlineStr">
        <is>
          <t>22966-hospital-course-0-5</t>
        </is>
      </c>
      <c r="B2224" t="inlineStr"/>
      <c r="C2224" t="inlineStr"/>
      <c r="D2224">
        <f>HYPERLINK("http://nlpdeep.cs.uic.edu:8080/proofing/t5/22966-hospital-course-0-5.pdf","t5/22966-hospital-course-0-5.pdf")</f>
        <v/>
      </c>
      <c r="E2224" t="n">
        <v>146230</v>
      </c>
      <c r="F2224" t="n">
        <v>22966</v>
      </c>
      <c r="G2224" t="inlineStr">
        <is>
          <t>Discharge summary</t>
        </is>
      </c>
      <c r="H2224" t="inlineStr">
        <is>
          <t>hospital-course</t>
        </is>
      </c>
      <c r="I2224" t="inlineStr">
        <is>
          <t xml:space="preserve"> Differential diagnosis was fat emboli versus acute
blood loss.</t>
        </is>
      </c>
    </row>
    <row r="2225">
      <c r="A2225" t="inlineStr">
        <is>
          <t>22966-hospital-course-0-5</t>
        </is>
      </c>
      <c r="B2225" t="inlineStr"/>
      <c r="C2225" t="inlineStr"/>
      <c r="D2225">
        <f>HYPERLINK("http://nlpdeep.cs.uic.edu:8080/proofing/gsii/22966-hospital-course-0-5.pdf","gsii/22966-hospital-course-0-5.pdf")</f>
        <v/>
      </c>
      <c r="E2225" t="n">
        <v>146230</v>
      </c>
      <c r="F2225" t="n">
        <v>22966</v>
      </c>
      <c r="G2225" t="inlineStr">
        <is>
          <t>Discharge summary</t>
        </is>
      </c>
      <c r="H2225" t="inlineStr">
        <is>
          <t>hospital-course</t>
        </is>
      </c>
      <c r="I2225" t="inlineStr">
        <is>
          <t xml:space="preserve"> Differential diagnosis was fat emboli versus acute
blood loss.</t>
        </is>
      </c>
    </row>
    <row r="2226">
      <c r="A2226" t="inlineStr">
        <is>
          <t>22966-hospital-course-0-6</t>
        </is>
      </c>
      <c r="B2226" t="inlineStr"/>
      <c r="C2226" t="inlineStr"/>
      <c r="D2226">
        <f>HYPERLINK("http://nlpdeep.cs.uic.edu:8080/proofing/t5/22966-hospital-course-0-6.pdf","t5/22966-hospital-course-0-6.pdf")</f>
        <v/>
      </c>
      <c r="E2226" t="n">
        <v>146230</v>
      </c>
      <c r="F2226" t="n">
        <v>22966</v>
      </c>
      <c r="G2226" t="inlineStr">
        <is>
          <t>Discharge summary</t>
        </is>
      </c>
      <c r="H2226" t="inlineStr">
        <is>
          <t>hospital-course</t>
        </is>
      </c>
      <c r="I2226" t="inlineStr">
        <is>
          <t xml:space="preserve"> She was stabilized and extubated in the ICU and
transferred to the floor to the orthopedic service.</t>
        </is>
      </c>
    </row>
    <row r="2227">
      <c r="A2227" t="inlineStr">
        <is>
          <t>22966-hospital-course-0-6</t>
        </is>
      </c>
      <c r="B2227" t="inlineStr"/>
      <c r="C2227" t="inlineStr"/>
      <c r="D2227">
        <f>HYPERLINK("http://nlpdeep.cs.uic.edu:8080/proofing/gsii/22966-hospital-course-0-6.pdf","gsii/22966-hospital-course-0-6.pdf")</f>
        <v/>
      </c>
      <c r="E2227" t="n">
        <v>146230</v>
      </c>
      <c r="F2227" t="n">
        <v>22966</v>
      </c>
      <c r="G2227" t="inlineStr">
        <is>
          <t>Discharge summary</t>
        </is>
      </c>
      <c r="H2227" t="inlineStr">
        <is>
          <t>hospital-course</t>
        </is>
      </c>
      <c r="I2227" t="inlineStr">
        <is>
          <t xml:space="preserve"> She was stabilized and extubated in the ICU and
transferred to the floor to the orthopedic service.</t>
        </is>
      </c>
    </row>
    <row r="2228">
      <c r="A2228" t="inlineStr">
        <is>
          <t>22966-hospital-course-0-7</t>
        </is>
      </c>
      <c r="B2228" t="inlineStr"/>
      <c r="C2228" t="inlineStr"/>
      <c r="D2228">
        <f>HYPERLINK("http://nlpdeep.cs.uic.edu:8080/proofing/t5/22966-hospital-course-0-7.pdf","t5/22966-hospital-course-0-7.pdf")</f>
        <v/>
      </c>
      <c r="E2228" t="n">
        <v>146230</v>
      </c>
      <c r="F2228" t="n">
        <v>22966</v>
      </c>
      <c r="G2228" t="inlineStr">
        <is>
          <t>Discharge summary</t>
        </is>
      </c>
      <c r="H2228" t="inlineStr">
        <is>
          <t>hospital-course</t>
        </is>
      </c>
      <c r="I2228" t="inlineStr">
        <is>
          <t xml:space="preserve"> Her labs
and vital signs remained stable.</t>
        </is>
      </c>
    </row>
    <row r="2229">
      <c r="A2229" t="inlineStr">
        <is>
          <t>22966-hospital-course-0-7</t>
        </is>
      </c>
      <c r="B2229" t="inlineStr"/>
      <c r="C2229" t="inlineStr"/>
      <c r="D2229">
        <f>HYPERLINK("http://nlpdeep.cs.uic.edu:8080/proofing/gsii/22966-hospital-course-0-7.pdf","gsii/22966-hospital-course-0-7.pdf")</f>
        <v/>
      </c>
      <c r="E2229" t="n">
        <v>146230</v>
      </c>
      <c r="F2229" t="n">
        <v>22966</v>
      </c>
      <c r="G2229" t="inlineStr">
        <is>
          <t>Discharge summary</t>
        </is>
      </c>
      <c r="H2229" t="inlineStr">
        <is>
          <t>hospital-course</t>
        </is>
      </c>
      <c r="I2229" t="inlineStr">
        <is>
          <t xml:space="preserve"> Her labs
and vital signs remained stable.</t>
        </is>
      </c>
    </row>
    <row r="2230">
      <c r="A2230" t="inlineStr">
        <is>
          <t>22966-hospital-course-0-8</t>
        </is>
      </c>
      <c r="B2230" t="inlineStr"/>
      <c r="C2230" t="inlineStr"/>
      <c r="D2230">
        <f>HYPERLINK("http://nlpdeep.cs.uic.edu:8080/proofing/t5/22966-hospital-course-0-8.pdf","t5/22966-hospital-course-0-8.pdf")</f>
        <v/>
      </c>
      <c r="E2230" t="n">
        <v>146230</v>
      </c>
      <c r="F2230" t="n">
        <v>22966</v>
      </c>
      <c r="G2230" t="inlineStr">
        <is>
          <t>Discharge summary</t>
        </is>
      </c>
      <c r="H2230" t="inlineStr">
        <is>
          <t>hospital-course</t>
        </is>
      </c>
      <c r="I2230" t="inlineStr">
        <is>
          <t xml:space="preserve"> She was evaluated by physical
therapy and progressed well.</t>
        </is>
      </c>
    </row>
    <row r="2231">
      <c r="A2231" t="inlineStr">
        <is>
          <t>22966-hospital-course-0-8</t>
        </is>
      </c>
      <c r="B2231" t="inlineStr"/>
      <c r="C2231" t="inlineStr"/>
      <c r="D2231">
        <f>HYPERLINK("http://nlpdeep.cs.uic.edu:8080/proofing/gsii/22966-hospital-course-0-8.pdf","gsii/22966-hospital-course-0-8.pdf")</f>
        <v/>
      </c>
      <c r="E2231" t="n">
        <v>146230</v>
      </c>
      <c r="F2231" t="n">
        <v>22966</v>
      </c>
      <c r="G2231" t="inlineStr">
        <is>
          <t>Discharge summary</t>
        </is>
      </c>
      <c r="H2231" t="inlineStr">
        <is>
          <t>hospital-course</t>
        </is>
      </c>
      <c r="I2231" t="inlineStr">
        <is>
          <t xml:space="preserve"> She was evaluated by physical
therapy and progressed well.</t>
        </is>
      </c>
    </row>
    <row r="2232">
      <c r="A2232" t="inlineStr">
        <is>
          <t>22966-hospital-course-0-9</t>
        </is>
      </c>
      <c r="B2232" t="inlineStr"/>
      <c r="C2232" t="inlineStr"/>
      <c r="D2232">
        <f>HYPERLINK("http://nlpdeep.cs.uic.edu:8080/proofing/t5/22966-hospital-course-0-9.pdf","t5/22966-hospital-course-0-9.pdf")</f>
        <v/>
      </c>
      <c r="E2232" t="n">
        <v>146230</v>
      </c>
      <c r="F2232" t="n">
        <v>22966</v>
      </c>
      <c r="G2232" t="inlineStr">
        <is>
          <t>Discharge summary</t>
        </is>
      </c>
      <c r="H2232" t="inlineStr">
        <is>
          <t>hospital-course</t>
        </is>
      </c>
      <c r="I2232" t="inlineStr">
        <is>
          <t xml:space="preserve"> Her hospital course was otherwise
wihout incident.</t>
        </is>
      </c>
    </row>
    <row r="2233">
      <c r="A2233" t="inlineStr">
        <is>
          <t>22966-hospital-course-0-9</t>
        </is>
      </c>
      <c r="B2233" t="inlineStr"/>
      <c r="C2233" t="inlineStr"/>
      <c r="D2233">
        <f>HYPERLINK("http://nlpdeep.cs.uic.edu:8080/proofing/gsii/22966-hospital-course-0-9.pdf","gsii/22966-hospital-course-0-9.pdf")</f>
        <v/>
      </c>
      <c r="E2233" t="n">
        <v>146230</v>
      </c>
      <c r="F2233" t="n">
        <v>22966</v>
      </c>
      <c r="G2233" t="inlineStr">
        <is>
          <t>Discharge summary</t>
        </is>
      </c>
      <c r="H2233" t="inlineStr">
        <is>
          <t>hospital-course</t>
        </is>
      </c>
      <c r="I2233" t="inlineStr">
        <is>
          <t xml:space="preserve"> Her hospital course was otherwise
wihout incident.</t>
        </is>
      </c>
    </row>
    <row r="2234">
      <c r="A2234" t="inlineStr">
        <is>
          <t>22966-hospital-course-0-10</t>
        </is>
      </c>
      <c r="B2234" t="inlineStr"/>
      <c r="C2234" t="inlineStr"/>
      <c r="D2234">
        <f>HYPERLINK("http://nlpdeep.cs.uic.edu:8080/proofing/t5/22966-hospital-course-0-10.pdf","t5/22966-hospital-course-0-10.pdf")</f>
        <v/>
      </c>
      <c r="E2234" t="n">
        <v>146230</v>
      </c>
      <c r="F2234" t="n">
        <v>22966</v>
      </c>
      <c r="G2234" t="inlineStr">
        <is>
          <t>Discharge summary</t>
        </is>
      </c>
      <c r="H2234" t="inlineStr">
        <is>
          <t>hospital-course</t>
        </is>
      </c>
      <c r="I2234" t="inlineStr">
        <is>
          <t xml:space="preserve"> She is being dicharged today in stable
condition.</t>
        </is>
      </c>
    </row>
    <row r="2235">
      <c r="A2235" t="inlineStr">
        <is>
          <t>22966-hospital-course-0-10</t>
        </is>
      </c>
      <c r="B2235" t="inlineStr"/>
      <c r="C2235" t="inlineStr"/>
      <c r="D2235">
        <f>HYPERLINK("http://nlpdeep.cs.uic.edu:8080/proofing/gsii/22966-hospital-course-0-10.pdf","gsii/22966-hospital-course-0-10.pdf")</f>
        <v/>
      </c>
      <c r="E2235" t="n">
        <v>146230</v>
      </c>
      <c r="F2235" t="n">
        <v>22966</v>
      </c>
      <c r="G2235" t="inlineStr">
        <is>
          <t>Discharge summary</t>
        </is>
      </c>
      <c r="H2235" t="inlineStr">
        <is>
          <t>hospital-course</t>
        </is>
      </c>
      <c r="I2235" t="inlineStr">
        <is>
          <t xml:space="preserve"> She is being dicharged today in stable
condition.</t>
        </is>
      </c>
    </row>
    <row r="2236">
      <c r="A2236" t="inlineStr">
        <is>
          <t>22966-discharge-medications-0-0</t>
        </is>
      </c>
      <c r="B2236" t="inlineStr"/>
      <c r="C2236" t="inlineStr"/>
      <c r="D2236">
        <f>HYPERLINK("http://nlpdeep.cs.uic.edu:8080/proofing/t5/22966-discharge-medications-0-0.pdf","t5/22966-discharge-medications-0-0.pdf")</f>
        <v/>
      </c>
      <c r="E2236" t="n">
        <v>146230</v>
      </c>
      <c r="F2236" t="n">
        <v>22966</v>
      </c>
      <c r="G2236" t="inlineStr">
        <is>
          <t>Discharge summary</t>
        </is>
      </c>
      <c r="H2236" t="inlineStr">
        <is>
          <t>discharge-medications</t>
        </is>
      </c>
      <c r="I2236" t="inlineStr">
        <is>
          <t>Hydrocodone-Acetaminophen 5-500 mg Tablet Sig: 1-2 Tablets PO
Q6H (every 6 hours) as needed for hip pain.</t>
        </is>
      </c>
    </row>
    <row r="2237">
      <c r="A2237" t="inlineStr">
        <is>
          <t>22966-discharge-medications-0-0</t>
        </is>
      </c>
      <c r="B2237" t="inlineStr"/>
      <c r="C2237" t="inlineStr"/>
      <c r="D2237">
        <f>HYPERLINK("http://nlpdeep.cs.uic.edu:8080/proofing/gsii/22966-discharge-medications-0-0.pdf","gsii/22966-discharge-medications-0-0.pdf")</f>
        <v/>
      </c>
      <c r="E2237" t="n">
        <v>146230</v>
      </c>
      <c r="F2237" t="n">
        <v>22966</v>
      </c>
      <c r="G2237" t="inlineStr">
        <is>
          <t>Discharge summary</t>
        </is>
      </c>
      <c r="H2237" t="inlineStr">
        <is>
          <t>discharge-medications</t>
        </is>
      </c>
      <c r="I2237" t="inlineStr">
        <is>
          <t>Hydrocodone-Acetaminophen 5-500 mg Tablet Sig: 1-2 Tablets PO
Q6H (every 6 hours) as needed for hip pain.</t>
        </is>
      </c>
    </row>
    <row r="2238">
      <c r="A2238" t="inlineStr">
        <is>
          <t>22966-discharge-medications-0-1</t>
        </is>
      </c>
      <c r="B2238" t="inlineStr"/>
      <c r="C2238" t="inlineStr"/>
      <c r="D2238">
        <f>HYPERLINK("http://nlpdeep.cs.uic.edu:8080/proofing/t5/22966-discharge-medications-0-1.pdf","t5/22966-discharge-medications-0-1.pdf")</f>
        <v/>
      </c>
      <c r="E2238" t="n">
        <v>146230</v>
      </c>
      <c r="F2238" t="n">
        <v>22966</v>
      </c>
      <c r="G2238" t="inlineStr">
        <is>
          <t>Discharge summary</t>
        </is>
      </c>
      <c r="H2238" t="inlineStr">
        <is>
          <t>discharge-medications</t>
        </is>
      </c>
      <c r="I2238" t="inlineStr">
        <is>
          <t xml:space="preserve">
Disp:*90 Tablet(s)* Refills:*0*
2.</t>
        </is>
      </c>
    </row>
    <row r="2239">
      <c r="A2239" t="inlineStr">
        <is>
          <t>22966-discharge-medications-0-1</t>
        </is>
      </c>
      <c r="B2239" t="inlineStr"/>
      <c r="C2239" t="inlineStr"/>
      <c r="D2239">
        <f>HYPERLINK("http://nlpdeep.cs.uic.edu:8080/proofing/gsii/22966-discharge-medications-0-1.pdf","gsii/22966-discharge-medications-0-1.pdf")</f>
        <v/>
      </c>
      <c r="E2239" t="n">
        <v>146230</v>
      </c>
      <c r="F2239" t="n">
        <v>22966</v>
      </c>
      <c r="G2239" t="inlineStr">
        <is>
          <t>Discharge summary</t>
        </is>
      </c>
      <c r="H2239" t="inlineStr">
        <is>
          <t>discharge-medications</t>
        </is>
      </c>
      <c r="I2239" t="inlineStr">
        <is>
          <t xml:space="preserve">
Disp:*90 Tablet(s)* Refills:*0*
2.</t>
        </is>
      </c>
    </row>
    <row r="2240">
      <c r="A2240" t="inlineStr">
        <is>
          <t>22966-discharge-medications-0-2</t>
        </is>
      </c>
      <c r="B2240" t="inlineStr"/>
      <c r="C2240" t="inlineStr"/>
      <c r="D2240">
        <f>HYPERLINK("http://nlpdeep.cs.uic.edu:8080/proofing/t5/22966-discharge-medications-0-2.pdf","t5/22966-discharge-medications-0-2.pdf")</f>
        <v/>
      </c>
      <c r="E2240" t="n">
        <v>146230</v>
      </c>
      <c r="F2240" t="n">
        <v>22966</v>
      </c>
      <c r="G2240" t="inlineStr">
        <is>
          <t>Discharge summary</t>
        </is>
      </c>
      <c r="H2240" t="inlineStr">
        <is>
          <t>discharge-medications</t>
        </is>
      </c>
      <c r="I2240" t="inlineStr">
        <is>
          <t>Bupropion 150 mg Tablet Sustained Release Sig: One (1) Tablet
Sustained Release PO BID (2 times a day).</t>
        </is>
      </c>
    </row>
    <row r="2241">
      <c r="A2241" t="inlineStr">
        <is>
          <t>22966-discharge-medications-0-2</t>
        </is>
      </c>
      <c r="B2241" t="inlineStr"/>
      <c r="C2241" t="inlineStr"/>
      <c r="D2241">
        <f>HYPERLINK("http://nlpdeep.cs.uic.edu:8080/proofing/gsii/22966-discharge-medications-0-2.pdf","gsii/22966-discharge-medications-0-2.pdf")</f>
        <v/>
      </c>
      <c r="E2241" t="n">
        <v>146230</v>
      </c>
      <c r="F2241" t="n">
        <v>22966</v>
      </c>
      <c r="G2241" t="inlineStr">
        <is>
          <t>Discharge summary</t>
        </is>
      </c>
      <c r="H2241" t="inlineStr">
        <is>
          <t>discharge-medications</t>
        </is>
      </c>
      <c r="I2241" t="inlineStr">
        <is>
          <t>Bupropion 150 mg Tablet Sustained Release Sig: One (1) Tablet
Sustained Release PO BID (2 times a day).</t>
        </is>
      </c>
    </row>
    <row r="2242">
      <c r="A2242" t="inlineStr">
        <is>
          <t>22966-discharge-medications-0-3</t>
        </is>
      </c>
      <c r="B2242" t="inlineStr"/>
      <c r="C2242" t="inlineStr"/>
      <c r="D2242">
        <f>HYPERLINK("http://nlpdeep.cs.uic.edu:8080/proofing/t5/22966-discharge-medications-0-3.pdf","t5/22966-discharge-medications-0-3.pdf")</f>
        <v/>
      </c>
      <c r="E2242" t="n">
        <v>146230</v>
      </c>
      <c r="F2242" t="n">
        <v>22966</v>
      </c>
      <c r="G2242" t="inlineStr">
        <is>
          <t>Discharge summary</t>
        </is>
      </c>
      <c r="H2242" t="inlineStr">
        <is>
          <t>discharge-medications</t>
        </is>
      </c>
      <c r="I2242" t="inlineStr">
        <is>
          <t>Fluticasone-Salmeterol 100-50 mcg/Dose Disk with Device Sig:
One (1) Disk with Device Inhalation [**Hospital1 **] (2 times a day).</t>
        </is>
      </c>
    </row>
    <row r="2243">
      <c r="A2243" t="inlineStr">
        <is>
          <t>22966-discharge-medications-0-3</t>
        </is>
      </c>
      <c r="B2243" t="inlineStr"/>
      <c r="C2243" t="inlineStr"/>
      <c r="D2243">
        <f>HYPERLINK("http://nlpdeep.cs.uic.edu:8080/proofing/gsii/22966-discharge-medications-0-3.pdf","gsii/22966-discharge-medications-0-3.pdf")</f>
        <v/>
      </c>
      <c r="E2243" t="n">
        <v>146230</v>
      </c>
      <c r="F2243" t="n">
        <v>22966</v>
      </c>
      <c r="G2243" t="inlineStr">
        <is>
          <t>Discharge summary</t>
        </is>
      </c>
      <c r="H2243" t="inlineStr">
        <is>
          <t>discharge-medications</t>
        </is>
      </c>
      <c r="I2243" t="inlineStr">
        <is>
          <t>Fluticasone-Salmeterol 100-50 mcg/Dose Disk with Device Sig:
One (1) Disk with Device Inhalation [**Hospital1 **] (2 times a day).</t>
        </is>
      </c>
    </row>
    <row r="2244">
      <c r="A2244" t="inlineStr">
        <is>
          <t>22966-discharge-medications-0-4</t>
        </is>
      </c>
      <c r="B2244" t="inlineStr"/>
      <c r="C2244" t="inlineStr"/>
      <c r="D2244">
        <f>HYPERLINK("http://nlpdeep.cs.uic.edu:8080/proofing/t5/22966-discharge-medications-0-4.pdf","t5/22966-discharge-medications-0-4.pdf")</f>
        <v/>
      </c>
      <c r="E2244" t="n">
        <v>146230</v>
      </c>
      <c r="F2244" t="n">
        <v>22966</v>
      </c>
      <c r="G2244" t="inlineStr">
        <is>
          <t>Discharge summary</t>
        </is>
      </c>
      <c r="H2244" t="inlineStr">
        <is>
          <t>discharge-medications</t>
        </is>
      </c>
      <c r="I2244" t="inlineStr">
        <is>
          <t>Docusate Sodium 100 mg Capsule Sig: One (1) Capsule PO BID (2
times a day).</t>
        </is>
      </c>
    </row>
    <row r="2245">
      <c r="A2245" t="inlineStr">
        <is>
          <t>22966-discharge-medications-0-4</t>
        </is>
      </c>
      <c r="B2245" t="inlineStr"/>
      <c r="C2245" t="inlineStr"/>
      <c r="D2245">
        <f>HYPERLINK("http://nlpdeep.cs.uic.edu:8080/proofing/gsii/22966-discharge-medications-0-4.pdf","gsii/22966-discharge-medications-0-4.pdf")</f>
        <v/>
      </c>
      <c r="E2245" t="n">
        <v>146230</v>
      </c>
      <c r="F2245" t="n">
        <v>22966</v>
      </c>
      <c r="G2245" t="inlineStr">
        <is>
          <t>Discharge summary</t>
        </is>
      </c>
      <c r="H2245" t="inlineStr">
        <is>
          <t>discharge-medications</t>
        </is>
      </c>
      <c r="I2245" t="inlineStr">
        <is>
          <t>Docusate Sodium 100 mg Capsule Sig: One (1) Capsule PO BID (2
times a day).</t>
        </is>
      </c>
    </row>
    <row r="2246">
      <c r="A2246" t="inlineStr">
        <is>
          <t>22966-discharge-medications-0-5</t>
        </is>
      </c>
      <c r="B2246" t="inlineStr"/>
      <c r="C2246" t="inlineStr"/>
      <c r="D2246">
        <f>HYPERLINK("http://nlpdeep.cs.uic.edu:8080/proofing/t5/22966-discharge-medications-0-5.pdf","t5/22966-discharge-medications-0-5.pdf")</f>
        <v/>
      </c>
      <c r="E2246" t="n">
        <v>146230</v>
      </c>
      <c r="F2246" t="n">
        <v>22966</v>
      </c>
      <c r="G2246" t="inlineStr">
        <is>
          <t>Discharge summary</t>
        </is>
      </c>
      <c r="H2246" t="inlineStr">
        <is>
          <t>discharge-medications</t>
        </is>
      </c>
      <c r="I2246" t="inlineStr">
        <is>
          <t>Enoxaparin 30 mg/0.3 mL Syringe Sig: One (1) 30 mg syringe
Subcutaneous Q12H (every 12 hours) for 3 weeks.</t>
        </is>
      </c>
    </row>
    <row r="2247">
      <c r="A2247" t="inlineStr">
        <is>
          <t>22966-discharge-medications-0-5</t>
        </is>
      </c>
      <c r="B2247" t="inlineStr"/>
      <c r="C2247" t="inlineStr"/>
      <c r="D2247">
        <f>HYPERLINK("http://nlpdeep.cs.uic.edu:8080/proofing/gsii/22966-discharge-medications-0-5.pdf","gsii/22966-discharge-medications-0-5.pdf")</f>
        <v/>
      </c>
      <c r="E2247" t="n">
        <v>146230</v>
      </c>
      <c r="F2247" t="n">
        <v>22966</v>
      </c>
      <c r="G2247" t="inlineStr">
        <is>
          <t>Discharge summary</t>
        </is>
      </c>
      <c r="H2247" t="inlineStr">
        <is>
          <t>discharge-medications</t>
        </is>
      </c>
      <c r="I2247" t="inlineStr">
        <is>
          <t>Enoxaparin 30 mg/0.3 mL Syringe Sig: One (1) 30 mg syringe
Subcutaneous Q12H (every 12 hours) for 3 weeks.</t>
        </is>
      </c>
    </row>
    <row r="2248">
      <c r="A2248" t="inlineStr">
        <is>
          <t>22966-discharge-medications-0-6</t>
        </is>
      </c>
      <c r="B2248" t="inlineStr"/>
      <c r="C2248" t="inlineStr"/>
      <c r="D2248">
        <f>HYPERLINK("http://nlpdeep.cs.uic.edu:8080/proofing/t5/22966-discharge-medications-0-6.pdf","t5/22966-discharge-medications-0-6.pdf")</f>
        <v/>
      </c>
      <c r="E2248" t="n">
        <v>146230</v>
      </c>
      <c r="F2248" t="n">
        <v>22966</v>
      </c>
      <c r="G2248" t="inlineStr">
        <is>
          <t>Discharge summary</t>
        </is>
      </c>
      <c r="H2248" t="inlineStr">
        <is>
          <t>discharge-medications</t>
        </is>
      </c>
      <c r="I2248" t="inlineStr">
        <is>
          <t xml:space="preserve">
Disp:*42 30 mg syringe* Refills:*0*
6.</t>
        </is>
      </c>
    </row>
    <row r="2249">
      <c r="A2249" t="inlineStr">
        <is>
          <t>22966-discharge-medications-0-6</t>
        </is>
      </c>
      <c r="B2249" t="inlineStr"/>
      <c r="C2249" t="inlineStr"/>
      <c r="D2249">
        <f>HYPERLINK("http://nlpdeep.cs.uic.edu:8080/proofing/gsii/22966-discharge-medications-0-6.pdf","gsii/22966-discharge-medications-0-6.pdf")</f>
        <v/>
      </c>
      <c r="E2249" t="n">
        <v>146230</v>
      </c>
      <c r="F2249" t="n">
        <v>22966</v>
      </c>
      <c r="G2249" t="inlineStr">
        <is>
          <t>Discharge summary</t>
        </is>
      </c>
      <c r="H2249" t="inlineStr">
        <is>
          <t>discharge-medications</t>
        </is>
      </c>
      <c r="I2249" t="inlineStr">
        <is>
          <t xml:space="preserve">
Disp:*42 30 mg syringe* Refills:*0*
6.</t>
        </is>
      </c>
    </row>
    <row r="2250">
      <c r="A2250" t="inlineStr">
        <is>
          <t>22966-discharge-medications-0-7</t>
        </is>
      </c>
      <c r="B2250" t="inlineStr"/>
      <c r="C2250" t="inlineStr"/>
      <c r="D2250">
        <f>HYPERLINK("http://nlpdeep.cs.uic.edu:8080/proofing/t5/22966-discharge-medications-0-7.pdf","t5/22966-discharge-medications-0-7.pdf")</f>
        <v/>
      </c>
      <c r="E2250" t="n">
        <v>146230</v>
      </c>
      <c r="F2250" t="n">
        <v>22966</v>
      </c>
      <c r="G2250" t="inlineStr">
        <is>
          <t>Discharge summary</t>
        </is>
      </c>
      <c r="H2250" t="inlineStr">
        <is>
          <t>discharge-medications</t>
        </is>
      </c>
      <c r="I2250" t="inlineStr">
        <is>
          <t>Outpatient Physical Therapy
s/p attempted L femoral osteotomy
generalized ROM + strengthening, gait training
2x/wk x 6 w</t>
        </is>
      </c>
    </row>
    <row r="2251">
      <c r="A2251" t="inlineStr">
        <is>
          <t>22966-discharge-medications-0-7</t>
        </is>
      </c>
      <c r="B2251" t="inlineStr"/>
      <c r="C2251" t="inlineStr"/>
      <c r="D2251">
        <f>HYPERLINK("http://nlpdeep.cs.uic.edu:8080/proofing/gsii/22966-discharge-medications-0-7.pdf","gsii/22966-discharge-medications-0-7.pdf")</f>
        <v/>
      </c>
      <c r="E2251" t="n">
        <v>146230</v>
      </c>
      <c r="F2251" t="n">
        <v>22966</v>
      </c>
      <c r="G2251" t="inlineStr">
        <is>
          <t>Discharge summary</t>
        </is>
      </c>
      <c r="H2251" t="inlineStr">
        <is>
          <t>discharge-medications</t>
        </is>
      </c>
      <c r="I2251" t="inlineStr">
        <is>
          <t>Outpatient Physical Therapy
s/p attempted L femoral osteotomy
generalized ROM + strengthening, gait training
2x/wk x 6 w</t>
        </is>
      </c>
    </row>
    <row r="2252">
      <c r="A2252" t="inlineStr">
        <is>
          <t>22966-discharge-disposition-0-0</t>
        </is>
      </c>
      <c r="B2252" t="inlineStr"/>
      <c r="C2252" t="inlineStr"/>
      <c r="D2252">
        <f>HYPERLINK("http://nlpdeep.cs.uic.edu:8080/proofing/t5/22966-discharge-disposition-0-0.pdf","t5/22966-discharge-disposition-0-0.pdf")</f>
        <v/>
      </c>
      <c r="E2252" t="n">
        <v>146230</v>
      </c>
      <c r="F2252" t="n">
        <v>22966</v>
      </c>
      <c r="G2252" t="inlineStr">
        <is>
          <t>Discharge summary</t>
        </is>
      </c>
      <c r="H2252" t="inlineStr">
        <is>
          <t>discharge-disposition</t>
        </is>
      </c>
      <c r="I2252" t="inlineStr">
        <is>
          <t>H</t>
        </is>
      </c>
    </row>
    <row r="2253">
      <c r="A2253" t="inlineStr">
        <is>
          <t>22966-discharge-disposition-0-0</t>
        </is>
      </c>
      <c r="B2253" t="inlineStr"/>
      <c r="C2253" t="inlineStr"/>
      <c r="D2253">
        <f>HYPERLINK("http://nlpdeep.cs.uic.edu:8080/proofing/gsii/22966-discharge-disposition-0-0.pdf","gsii/22966-discharge-disposition-0-0.pdf")</f>
        <v/>
      </c>
      <c r="E2253" t="n">
        <v>146230</v>
      </c>
      <c r="F2253" t="n">
        <v>22966</v>
      </c>
      <c r="G2253" t="inlineStr">
        <is>
          <t>Discharge summary</t>
        </is>
      </c>
      <c r="H2253" t="inlineStr">
        <is>
          <t>discharge-disposition</t>
        </is>
      </c>
      <c r="I2253" t="inlineStr">
        <is>
          <t>H</t>
        </is>
      </c>
    </row>
    <row r="2254">
      <c r="A2254" t="inlineStr">
        <is>
          <t>22966-discharge-diagnosis-0-0</t>
        </is>
      </c>
      <c r="B2254" t="inlineStr"/>
      <c r="C2254" t="inlineStr"/>
      <c r="D2254">
        <f>HYPERLINK("http://nlpdeep.cs.uic.edu:8080/proofing/t5/22966-discharge-diagnosis-0-0.pdf","t5/22966-discharge-diagnosis-0-0.pdf")</f>
        <v/>
      </c>
      <c r="E2254" t="n">
        <v>146230</v>
      </c>
      <c r="F2254" t="n">
        <v>22966</v>
      </c>
      <c r="G2254" t="inlineStr">
        <is>
          <t>Discharge summary</t>
        </is>
      </c>
      <c r="H2254" t="inlineStr">
        <is>
          <t>discharge-diagnosis</t>
        </is>
      </c>
      <c r="I2254" t="inlineStr">
        <is>
          <t>Left femur malunion
Demand i</t>
        </is>
      </c>
    </row>
    <row r="2255">
      <c r="A2255" t="inlineStr">
        <is>
          <t>22966-discharge-diagnosis-0-0</t>
        </is>
      </c>
      <c r="B2255" t="inlineStr"/>
      <c r="C2255" t="inlineStr"/>
      <c r="D2255">
        <f>HYPERLINK("http://nlpdeep.cs.uic.edu:8080/proofing/gsii/22966-discharge-diagnosis-0-0.pdf","gsii/22966-discharge-diagnosis-0-0.pdf")</f>
        <v/>
      </c>
      <c r="E2255" t="n">
        <v>146230</v>
      </c>
      <c r="F2255" t="n">
        <v>22966</v>
      </c>
      <c r="G2255" t="inlineStr">
        <is>
          <t>Discharge summary</t>
        </is>
      </c>
      <c r="H2255" t="inlineStr">
        <is>
          <t>discharge-diagnosis</t>
        </is>
      </c>
      <c r="I2255" t="inlineStr">
        <is>
          <t>Left femur malunion
Demand i</t>
        </is>
      </c>
    </row>
    <row r="2256">
      <c r="A2256" t="inlineStr">
        <is>
          <t>22966-discharge-condition-0-0</t>
        </is>
      </c>
      <c r="B2256" t="inlineStr"/>
      <c r="C2256" t="inlineStr"/>
      <c r="D2256">
        <f>HYPERLINK("http://nlpdeep.cs.uic.edu:8080/proofing/t5/22966-discharge-condition-0-0.pdf","t5/22966-discharge-condition-0-0.pdf")</f>
        <v/>
      </c>
      <c r="E2256" t="n">
        <v>146230</v>
      </c>
      <c r="F2256" t="n">
        <v>22966</v>
      </c>
      <c r="G2256" t="inlineStr">
        <is>
          <t>Discharge summary</t>
        </is>
      </c>
      <c r="H2256" t="inlineStr">
        <is>
          <t>discharge-condition</t>
        </is>
      </c>
      <c r="I2256" t="inlineStr">
        <is>
          <t>S</t>
        </is>
      </c>
    </row>
    <row r="2257">
      <c r="A2257" t="inlineStr">
        <is>
          <t>22966-discharge-condition-0-0</t>
        </is>
      </c>
      <c r="B2257" t="inlineStr"/>
      <c r="C2257" t="inlineStr"/>
      <c r="D2257">
        <f>HYPERLINK("http://nlpdeep.cs.uic.edu:8080/proofing/gsii/22966-discharge-condition-0-0.pdf","gsii/22966-discharge-condition-0-0.pdf")</f>
        <v/>
      </c>
      <c r="E2257" t="n">
        <v>146230</v>
      </c>
      <c r="F2257" t="n">
        <v>22966</v>
      </c>
      <c r="G2257" t="inlineStr">
        <is>
          <t>Discharge summary</t>
        </is>
      </c>
      <c r="H2257" t="inlineStr">
        <is>
          <t>discharge-condition</t>
        </is>
      </c>
      <c r="I2257" t="inlineStr">
        <is>
          <t>S</t>
        </is>
      </c>
    </row>
    <row r="2258">
      <c r="A2258" t="inlineStr">
        <is>
          <t>22966-discharge-instructions-0-0</t>
        </is>
      </c>
      <c r="B2258" t="inlineStr"/>
      <c r="C2258" t="inlineStr"/>
      <c r="D2258">
        <f>HYPERLINK("http://nlpdeep.cs.uic.edu:8080/proofing/t5/22966-discharge-instructions-0-0.pdf","t5/22966-discharge-instructions-0-0.pdf")</f>
        <v/>
      </c>
      <c r="E2258" t="n">
        <v>146230</v>
      </c>
      <c r="F2258" t="n">
        <v>22966</v>
      </c>
      <c r="G2258" t="inlineStr">
        <is>
          <t>Discharge summary</t>
        </is>
      </c>
      <c r="H2258" t="inlineStr">
        <is>
          <t>discharge-instructions</t>
        </is>
      </c>
      <c r="I2258" t="inlineStr">
        <is>
          <t>You may continue to bear weight on your left leg.</t>
        </is>
      </c>
    </row>
    <row r="2259">
      <c r="A2259" t="inlineStr">
        <is>
          <t>22966-discharge-instructions-0-0</t>
        </is>
      </c>
      <c r="B2259" t="inlineStr"/>
      <c r="C2259" t="inlineStr"/>
      <c r="D2259">
        <f>HYPERLINK("http://nlpdeep.cs.uic.edu:8080/proofing/gsii/22966-discharge-instructions-0-0.pdf","gsii/22966-discharge-instructions-0-0.pdf")</f>
        <v/>
      </c>
      <c r="E2259" t="n">
        <v>146230</v>
      </c>
      <c r="F2259" t="n">
        <v>22966</v>
      </c>
      <c r="G2259" t="inlineStr">
        <is>
          <t>Discharge summary</t>
        </is>
      </c>
      <c r="H2259" t="inlineStr">
        <is>
          <t>discharge-instructions</t>
        </is>
      </c>
      <c r="I2259" t="inlineStr">
        <is>
          <t>You may continue to bear weight on your left leg.</t>
        </is>
      </c>
    </row>
    <row r="2260">
      <c r="A2260" t="inlineStr">
        <is>
          <t>22966-discharge-instructions-1-0</t>
        </is>
      </c>
      <c r="B2260" t="inlineStr"/>
      <c r="C2260" t="inlineStr"/>
      <c r="D2260">
        <f>HYPERLINK("http://nlpdeep.cs.uic.edu:8080/proofing/t5/22966-discharge-instructions-1-0.pdf","t5/22966-discharge-instructions-1-0.pdf")</f>
        <v/>
      </c>
      <c r="E2260" t="n">
        <v>146230</v>
      </c>
      <c r="F2260" t="n">
        <v>22966</v>
      </c>
      <c r="G2260" t="inlineStr">
        <is>
          <t>Discharge summary</t>
        </is>
      </c>
      <c r="H2260" t="inlineStr">
        <is>
          <t>discharge-instructions</t>
        </is>
      </c>
      <c r="I2260" t="inlineStr">
        <is>
          <t xml:space="preserve">
Please keep incision clean and dry.</t>
        </is>
      </c>
    </row>
    <row r="2261">
      <c r="A2261" t="inlineStr">
        <is>
          <t>22966-discharge-instructions-1-0</t>
        </is>
      </c>
      <c r="B2261" t="inlineStr"/>
      <c r="C2261" t="inlineStr"/>
      <c r="D2261">
        <f>HYPERLINK("http://nlpdeep.cs.uic.edu:8080/proofing/gsii/22966-discharge-instructions-1-0.pdf","gsii/22966-discharge-instructions-1-0.pdf")</f>
        <v/>
      </c>
      <c r="E2261" t="n">
        <v>146230</v>
      </c>
      <c r="F2261" t="n">
        <v>22966</v>
      </c>
      <c r="G2261" t="inlineStr">
        <is>
          <t>Discharge summary</t>
        </is>
      </c>
      <c r="H2261" t="inlineStr">
        <is>
          <t>discharge-instructions</t>
        </is>
      </c>
      <c r="I2261" t="inlineStr">
        <is>
          <t xml:space="preserve">
Please keep incision clean and dry.</t>
        </is>
      </c>
    </row>
    <row r="2262">
      <c r="A2262" t="inlineStr">
        <is>
          <t>22966-discharge-instructions-1-1</t>
        </is>
      </c>
      <c r="B2262" t="inlineStr"/>
      <c r="C2262" t="inlineStr"/>
      <c r="D2262">
        <f>HYPERLINK("http://nlpdeep.cs.uic.edu:8080/proofing/t5/22966-discharge-instructions-1-1.pdf","t5/22966-discharge-instructions-1-1.pdf")</f>
        <v/>
      </c>
      <c r="E2262" t="n">
        <v>146230</v>
      </c>
      <c r="F2262" t="n">
        <v>22966</v>
      </c>
      <c r="G2262" t="inlineStr">
        <is>
          <t>Discharge summary</t>
        </is>
      </c>
      <c r="H2262" t="inlineStr">
        <is>
          <t>discharge-instructions</t>
        </is>
      </c>
      <c r="I2262" t="inlineStr">
        <is>
          <t xml:space="preserve"> Dry dressing daily as
needed.  If you notice any increased rednesss, swelling,
drainage, temperature &gt;101.4, or difficulty breathing please
[**Name8 (MD) 138**] MD or report to the emergency room.</t>
        </is>
      </c>
    </row>
    <row r="2263">
      <c r="A2263" t="inlineStr">
        <is>
          <t>22966-discharge-instructions-1-1</t>
        </is>
      </c>
      <c r="B2263" t="inlineStr"/>
      <c r="C2263" t="inlineStr"/>
      <c r="D2263">
        <f>HYPERLINK("http://nlpdeep.cs.uic.edu:8080/proofing/gsii/22966-discharge-instructions-1-1.pdf","gsii/22966-discharge-instructions-1-1.pdf")</f>
        <v/>
      </c>
      <c r="E2263" t="n">
        <v>146230</v>
      </c>
      <c r="F2263" t="n">
        <v>22966</v>
      </c>
      <c r="G2263" t="inlineStr">
        <is>
          <t>Discharge summary</t>
        </is>
      </c>
      <c r="H2263" t="inlineStr">
        <is>
          <t>discharge-instructions</t>
        </is>
      </c>
      <c r="I2263" t="inlineStr">
        <is>
          <t xml:space="preserve"> Dry dressing daily as
needed.  If you notice any increased rednesss, swelling,
drainage, temperature &gt;101.4, or difficulty breathing please
[**Name8 (MD) 138**] MD or report to the emergency room.</t>
        </is>
      </c>
    </row>
    <row r="2264">
      <c r="A2264" t="inlineStr">
        <is>
          <t>22966-discharge-instructions-2-0</t>
        </is>
      </c>
      <c r="B2264" t="inlineStr"/>
      <c r="C2264" t="inlineStr"/>
      <c r="D2264">
        <f>HYPERLINK("http://nlpdeep.cs.uic.edu:8080/proofing/t5/22966-discharge-instructions-2-0.pdf","t5/22966-discharge-instructions-2-0.pdf")</f>
        <v/>
      </c>
      <c r="E2264" t="n">
        <v>146230</v>
      </c>
      <c r="F2264" t="n">
        <v>22966</v>
      </c>
      <c r="G2264" t="inlineStr">
        <is>
          <t>Discharge summary</t>
        </is>
      </c>
      <c r="H2264" t="inlineStr">
        <is>
          <t>discharge-instructions</t>
        </is>
      </c>
      <c r="I2264" t="inlineStr">
        <is>
          <t xml:space="preserve">
Please take all medications as prescribed.</t>
        </is>
      </c>
    </row>
    <row r="2265">
      <c r="A2265" t="inlineStr">
        <is>
          <t>22966-discharge-instructions-2-0</t>
        </is>
      </c>
      <c r="B2265" t="inlineStr"/>
      <c r="C2265" t="inlineStr"/>
      <c r="D2265">
        <f>HYPERLINK("http://nlpdeep.cs.uic.edu:8080/proofing/gsii/22966-discharge-instructions-2-0.pdf","gsii/22966-discharge-instructions-2-0.pdf")</f>
        <v/>
      </c>
      <c r="E2265" t="n">
        <v>146230</v>
      </c>
      <c r="F2265" t="n">
        <v>22966</v>
      </c>
      <c r="G2265" t="inlineStr">
        <is>
          <t>Discharge summary</t>
        </is>
      </c>
      <c r="H2265" t="inlineStr">
        <is>
          <t>discharge-instructions</t>
        </is>
      </c>
      <c r="I2265" t="inlineStr">
        <is>
          <t xml:space="preserve">
Please take all medications as prescribed.</t>
        </is>
      </c>
    </row>
    <row r="2266">
      <c r="A2266" t="inlineStr">
        <is>
          <t>22966-discharge-instructions-2-1</t>
        </is>
      </c>
      <c r="B2266" t="inlineStr"/>
      <c r="C2266" t="inlineStr"/>
      <c r="D2266">
        <f>HYPERLINK("http://nlpdeep.cs.uic.edu:8080/proofing/t5/22966-discharge-instructions-2-1.pdf","t5/22966-discharge-instructions-2-1.pdf")</f>
        <v/>
      </c>
      <c r="E2266" t="n">
        <v>146230</v>
      </c>
      <c r="F2266" t="n">
        <v>22966</v>
      </c>
      <c r="G2266" t="inlineStr">
        <is>
          <t>Discharge summary</t>
        </is>
      </c>
      <c r="H2266" t="inlineStr">
        <is>
          <t>discharge-instructions</t>
        </is>
      </c>
      <c r="I2266" t="inlineStr">
        <is>
          <t xml:space="preserve"> You need to take the
lovenox injections for 3 weeks to prevent blood clots.</t>
        </is>
      </c>
    </row>
    <row r="2267">
      <c r="A2267" t="inlineStr">
        <is>
          <t>22966-discharge-instructions-2-1</t>
        </is>
      </c>
      <c r="B2267" t="inlineStr"/>
      <c r="C2267" t="inlineStr"/>
      <c r="D2267">
        <f>HYPERLINK("http://nlpdeep.cs.uic.edu:8080/proofing/gsii/22966-discharge-instructions-2-1.pdf","gsii/22966-discharge-instructions-2-1.pdf")</f>
        <v/>
      </c>
      <c r="E2267" t="n">
        <v>146230</v>
      </c>
      <c r="F2267" t="n">
        <v>22966</v>
      </c>
      <c r="G2267" t="inlineStr">
        <is>
          <t>Discharge summary</t>
        </is>
      </c>
      <c r="H2267" t="inlineStr">
        <is>
          <t>discharge-instructions</t>
        </is>
      </c>
      <c r="I2267" t="inlineStr">
        <is>
          <t xml:space="preserve"> You need to take the
lovenox injections for 3 weeks to prevent blood clots.</t>
        </is>
      </c>
    </row>
    <row r="2268">
      <c r="A2268" t="inlineStr">
        <is>
          <t>22966-discharge-instructions-2-2</t>
        </is>
      </c>
      <c r="B2268" t="inlineStr"/>
      <c r="C2268" t="inlineStr"/>
      <c r="D2268">
        <f>HYPERLINK("http://nlpdeep.cs.uic.edu:8080/proofing/t5/22966-discharge-instructions-2-2.pdf","t5/22966-discharge-instructions-2-2.pdf")</f>
        <v/>
      </c>
      <c r="E2268" t="n">
        <v>146230</v>
      </c>
      <c r="F2268" t="n">
        <v>22966</v>
      </c>
      <c r="G2268" t="inlineStr">
        <is>
          <t>Discharge summary</t>
        </is>
      </c>
      <c r="H2268" t="inlineStr">
        <is>
          <t>discharge-instructions</t>
        </is>
      </c>
      <c r="I2268" t="inlineStr">
        <is>
          <t xml:space="preserve"> You may
resume any normal home medications.</t>
        </is>
      </c>
    </row>
    <row r="2269">
      <c r="A2269" t="inlineStr">
        <is>
          <t>22966-discharge-instructions-2-2</t>
        </is>
      </c>
      <c r="B2269" t="inlineStr"/>
      <c r="C2269" t="inlineStr"/>
      <c r="D2269">
        <f>HYPERLINK("http://nlpdeep.cs.uic.edu:8080/proofing/gsii/22966-discharge-instructions-2-2.pdf","gsii/22966-discharge-instructions-2-2.pdf")</f>
        <v/>
      </c>
      <c r="E2269" t="n">
        <v>146230</v>
      </c>
      <c r="F2269" t="n">
        <v>22966</v>
      </c>
      <c r="G2269" t="inlineStr">
        <is>
          <t>Discharge summary</t>
        </is>
      </c>
      <c r="H2269" t="inlineStr">
        <is>
          <t>discharge-instructions</t>
        </is>
      </c>
      <c r="I2269" t="inlineStr">
        <is>
          <t xml:space="preserve"> You may
resume any normal home medications.</t>
        </is>
      </c>
    </row>
    <row r="2270">
      <c r="A2270" t="inlineStr">
        <is>
          <t>22966-discharge-instructions-3-0</t>
        </is>
      </c>
      <c r="B2270" t="inlineStr"/>
      <c r="C2270" t="inlineStr"/>
      <c r="D2270">
        <f>HYPERLINK("http://nlpdeep.cs.uic.edu:8080/proofing/t5/22966-discharge-instructions-3-0.pdf","t5/22966-discharge-instructions-3-0.pdf")</f>
        <v/>
      </c>
      <c r="E2270" t="n">
        <v>146230</v>
      </c>
      <c r="F2270" t="n">
        <v>22966</v>
      </c>
      <c r="G2270" t="inlineStr">
        <is>
          <t>Discharge summary</t>
        </is>
      </c>
      <c r="H2270" t="inlineStr">
        <is>
          <t>discharge-instructions</t>
        </is>
      </c>
      <c r="I2270" t="inlineStr">
        <is>
          <t xml:space="preserve">
Please follow up as below.</t>
        </is>
      </c>
    </row>
    <row r="2271">
      <c r="A2271" t="inlineStr">
        <is>
          <t>22966-discharge-instructions-3-0</t>
        </is>
      </c>
      <c r="B2271" t="inlineStr"/>
      <c r="C2271" t="inlineStr"/>
      <c r="D2271">
        <f>HYPERLINK("http://nlpdeep.cs.uic.edu:8080/proofing/gsii/22966-discharge-instructions-3-0.pdf","gsii/22966-discharge-instructions-3-0.pdf")</f>
        <v/>
      </c>
      <c r="E2271" t="n">
        <v>146230</v>
      </c>
      <c r="F2271" t="n">
        <v>22966</v>
      </c>
      <c r="G2271" t="inlineStr">
        <is>
          <t>Discharge summary</t>
        </is>
      </c>
      <c r="H2271" t="inlineStr">
        <is>
          <t>discharge-instructions</t>
        </is>
      </c>
      <c r="I2271" t="inlineStr">
        <is>
          <t xml:space="preserve">
Please follow up as below.</t>
        </is>
      </c>
    </row>
    <row r="2272">
      <c r="A2272" t="inlineStr">
        <is>
          <t>22966-discharge-instructions-3-1</t>
        </is>
      </c>
      <c r="B2272" t="inlineStr"/>
      <c r="C2272" t="inlineStr"/>
      <c r="D2272">
        <f>HYPERLINK("http://nlpdeep.cs.uic.edu:8080/proofing/t5/22966-discharge-instructions-3-1.pdf","t5/22966-discharge-instructions-3-1.pdf")</f>
        <v/>
      </c>
      <c r="E2272" t="n">
        <v>146230</v>
      </c>
      <c r="F2272" t="n">
        <v>22966</v>
      </c>
      <c r="G2272" t="inlineStr">
        <is>
          <t>Discharge summary</t>
        </is>
      </c>
      <c r="H2272" t="inlineStr">
        <is>
          <t>discharge-instructions</t>
        </is>
      </c>
      <c r="I2272" t="inlineStr">
        <is>
          <t xml:space="preserve"> Call with any questions or concerns.</t>
        </is>
      </c>
    </row>
    <row r="2273">
      <c r="A2273" t="inlineStr">
        <is>
          <t>22966-discharge-instructions-3-1</t>
        </is>
      </c>
      <c r="B2273" t="inlineStr"/>
      <c r="C2273" t="inlineStr"/>
      <c r="D2273">
        <f>HYPERLINK("http://nlpdeep.cs.uic.edu:8080/proofing/gsii/22966-discharge-instructions-3-1.pdf","gsii/22966-discharge-instructions-3-1.pdf")</f>
        <v/>
      </c>
      <c r="E2273" t="n">
        <v>146230</v>
      </c>
      <c r="F2273" t="n">
        <v>22966</v>
      </c>
      <c r="G2273" t="inlineStr">
        <is>
          <t>Discharge summary</t>
        </is>
      </c>
      <c r="H2273" t="inlineStr">
        <is>
          <t>discharge-instructions</t>
        </is>
      </c>
      <c r="I2273" t="inlineStr">
        <is>
          <t xml:space="preserve"> Call with any questions or concerns.</t>
        </is>
      </c>
    </row>
    <row r="2274">
      <c r="A2274" t="inlineStr">
        <is>
          <t>22966-discharge-instructions-4-0</t>
        </is>
      </c>
      <c r="B2274" t="inlineStr"/>
      <c r="C2274" t="inlineStr"/>
      <c r="D2274">
        <f>HYPERLINK("http://nlpdeep.cs.uic.edu:8080/proofing/t5/22966-discharge-instructions-4-0.pdf","t5/22966-discharge-instructions-4-0.pdf")</f>
        <v/>
      </c>
      <c r="E2274" t="n">
        <v>146230</v>
      </c>
      <c r="F2274" t="n">
        <v>22966</v>
      </c>
      <c r="G2274" t="inlineStr">
        <is>
          <t>Discharge summary</t>
        </is>
      </c>
      <c r="H2274" t="inlineStr">
        <is>
          <t>discharge-instructions</t>
        </is>
      </c>
      <c r="I2274" t="inlineStr">
        <is>
          <t xml:space="preserve">
Followup Instructions:
Please follow up with Dr.</t>
        </is>
      </c>
    </row>
    <row r="2275">
      <c r="A2275" t="inlineStr">
        <is>
          <t>22966-discharge-instructions-4-0</t>
        </is>
      </c>
      <c r="B2275" t="inlineStr"/>
      <c r="C2275" t="inlineStr"/>
      <c r="D2275">
        <f>HYPERLINK("http://nlpdeep.cs.uic.edu:8080/proofing/gsii/22966-discharge-instructions-4-0.pdf","gsii/22966-discharge-instructions-4-0.pdf")</f>
        <v/>
      </c>
      <c r="E2275" t="n">
        <v>146230</v>
      </c>
      <c r="F2275" t="n">
        <v>22966</v>
      </c>
      <c r="G2275" t="inlineStr">
        <is>
          <t>Discharge summary</t>
        </is>
      </c>
      <c r="H2275" t="inlineStr">
        <is>
          <t>discharge-instructions</t>
        </is>
      </c>
      <c r="I2275" t="inlineStr">
        <is>
          <t xml:space="preserve">
Followup Instructions:
Please follow up with Dr.</t>
        </is>
      </c>
    </row>
    <row r="2276">
      <c r="A2276" t="inlineStr">
        <is>
          <t>22966-discharge-instructions-4-1</t>
        </is>
      </c>
      <c r="B2276" t="inlineStr"/>
      <c r="C2276" t="inlineStr"/>
      <c r="D2276">
        <f>HYPERLINK("http://nlpdeep.cs.uic.edu:8080/proofing/t5/22966-discharge-instructions-4-1.pdf","t5/22966-discharge-instructions-4-1.pdf")</f>
        <v/>
      </c>
      <c r="E2276" t="n">
        <v>146230</v>
      </c>
      <c r="F2276" t="n">
        <v>22966</v>
      </c>
      <c r="G2276" t="inlineStr">
        <is>
          <t>Discharge summary</t>
        </is>
      </c>
      <c r="H2276" t="inlineStr">
        <is>
          <t>discharge-instructions</t>
        </is>
      </c>
      <c r="I2276" t="inlineStr">
        <is>
          <t>[**First Name (STitle) **] is 2 weeks.</t>
        </is>
      </c>
    </row>
    <row r="2277">
      <c r="A2277" t="inlineStr">
        <is>
          <t>22966-discharge-instructions-4-1</t>
        </is>
      </c>
      <c r="B2277" t="inlineStr"/>
      <c r="C2277" t="inlineStr"/>
      <c r="D2277">
        <f>HYPERLINK("http://nlpdeep.cs.uic.edu:8080/proofing/gsii/22966-discharge-instructions-4-1.pdf","gsii/22966-discharge-instructions-4-1.pdf")</f>
        <v/>
      </c>
      <c r="E2277" t="n">
        <v>146230</v>
      </c>
      <c r="F2277" t="n">
        <v>22966</v>
      </c>
      <c r="G2277" t="inlineStr">
        <is>
          <t>Discharge summary</t>
        </is>
      </c>
      <c r="H2277" t="inlineStr">
        <is>
          <t>discharge-instructions</t>
        </is>
      </c>
      <c r="I2277" t="inlineStr">
        <is>
          <t>[**First Name (STitle) **] is 2 weeks.</t>
        </is>
      </c>
    </row>
    <row r="2278">
      <c r="A2278" t="inlineStr">
        <is>
          <t>22966-discharge-instructions-4-2</t>
        </is>
      </c>
      <c r="B2278" t="inlineStr"/>
      <c r="C2278" t="inlineStr"/>
      <c r="D2278">
        <f>HYPERLINK("http://nlpdeep.cs.uic.edu:8080/proofing/t5/22966-discharge-instructions-4-2.pdf","t5/22966-discharge-instructions-4-2.pdf")</f>
        <v/>
      </c>
      <c r="E2278" t="n">
        <v>146230</v>
      </c>
      <c r="F2278" t="n">
        <v>22966</v>
      </c>
      <c r="G2278" t="inlineStr">
        <is>
          <t>Discharge summary</t>
        </is>
      </c>
      <c r="H2278" t="inlineStr">
        <is>
          <t>discharge-instructions</t>
        </is>
      </c>
      <c r="I2278" t="inlineStr">
        <is>
          <t xml:space="preserve"> Call [**Telephone/Fax (1) **]
to make that appointment.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2022-07-08T00:15:07Z</dcterms:created>
  <dcterms:modified xmlns:dcterms="http://purl.org/dc/terms/" xmlns:xsi="http://www.w3.org/2001/XMLSchema-instance" xsi:type="dcterms:W3CDTF">2022-07-08T00:15:07Z</dcterms:modified>
</cp:coreProperties>
</file>